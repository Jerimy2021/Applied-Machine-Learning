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ontec\Descargas\"/>
    </mc:Choice>
  </mc:AlternateContent>
  <xr:revisionPtr revIDLastSave="0" documentId="8_{7C630815-752A-491A-8100-C4E18F5C2601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INDICADORES" sheetId="4" r:id="rId1"/>
    <sheet name="Hoja2" sheetId="10" state="hidden" r:id="rId2"/>
    <sheet name="ACCIDENTES" sheetId="3" r:id="rId3"/>
    <sheet name="HH" sheetId="2" r:id="rId4"/>
    <sheet name="DÍAS SIN" sheetId="7" r:id="rId5"/>
    <sheet name="Proyección" sheetId="8" r:id="rId6"/>
    <sheet name="Hoja1" sheetId="9" r:id="rId7"/>
    <sheet name="Hoja3" sheetId="11" r:id="rId8"/>
  </sheets>
  <definedNames>
    <definedName name="_xlnm._FilterDatabase" localSheetId="2" hidden="1">ACCIDENTES!$A$4:$BO$79</definedName>
    <definedName name="_xlnm._FilterDatabase" localSheetId="4" hidden="1">'DÍAS SIN'!$A$107:$E$107</definedName>
    <definedName name="_xlnm._FilterDatabase" localSheetId="3" hidden="1">HH!$A$4:$BF$77</definedName>
    <definedName name="_xlnm._FilterDatabase" localSheetId="6" hidden="1">Hoja1!$B$4:$J$51</definedName>
    <definedName name="_xlnm._FilterDatabase" localSheetId="0" hidden="1">INDICADORES!$A$4:$BM$79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" i="3" l="1"/>
  <c r="E13" i="2"/>
  <c r="E23" i="2"/>
  <c r="BA24" i="2"/>
  <c r="AZ11" i="2"/>
  <c r="AW23" i="2" l="1"/>
  <c r="AS23" i="2"/>
  <c r="AO23" i="2"/>
  <c r="AK23" i="2"/>
  <c r="AG23" i="2"/>
  <c r="AC23" i="2"/>
  <c r="Y23" i="2"/>
  <c r="U23" i="2"/>
  <c r="Q23" i="2"/>
  <c r="M23" i="2"/>
  <c r="I23" i="2"/>
  <c r="AW13" i="2"/>
  <c r="AS13" i="2"/>
  <c r="AO13" i="2"/>
  <c r="AK13" i="2"/>
  <c r="AG13" i="2"/>
  <c r="AC13" i="2"/>
  <c r="Y13" i="2"/>
  <c r="U13" i="2"/>
  <c r="Q13" i="2"/>
  <c r="M13" i="2"/>
  <c r="I13" i="2"/>
  <c r="AX44" i="2"/>
  <c r="Z39" i="2"/>
  <c r="BL51" i="3"/>
  <c r="BL52" i="3"/>
  <c r="BL53" i="3"/>
  <c r="BL54" i="3"/>
  <c r="BL55" i="3"/>
  <c r="BL56" i="3"/>
  <c r="BL57" i="3"/>
  <c r="BL58" i="3"/>
  <c r="BL50" i="3"/>
  <c r="BM51" i="3"/>
  <c r="BM52" i="3"/>
  <c r="BM53" i="3"/>
  <c r="BM54" i="3"/>
  <c r="BM55" i="3"/>
  <c r="BM56" i="3"/>
  <c r="BM57" i="3"/>
  <c r="BM58" i="3"/>
  <c r="BK51" i="3"/>
  <c r="BK52" i="3"/>
  <c r="BK53" i="3"/>
  <c r="BK54" i="3"/>
  <c r="BK55" i="3"/>
  <c r="BK56" i="3"/>
  <c r="BK57" i="3"/>
  <c r="BK58" i="3"/>
  <c r="BK50" i="3"/>
  <c r="AC59" i="3"/>
  <c r="BM9" i="3" l="1"/>
  <c r="BK9" i="3"/>
  <c r="AX11" i="2"/>
  <c r="AL78" i="4"/>
  <c r="BK78" i="3"/>
  <c r="AJ78" i="4" s="1"/>
  <c r="BH69" i="3"/>
  <c r="BG69" i="3"/>
  <c r="BF69" i="3"/>
  <c r="BH49" i="3"/>
  <c r="BG49" i="3"/>
  <c r="BF49" i="3"/>
  <c r="BH32" i="3"/>
  <c r="BG32" i="3"/>
  <c r="BF32" i="3"/>
  <c r="BH23" i="3"/>
  <c r="BG23" i="3"/>
  <c r="BF23" i="3"/>
  <c r="BH13" i="3"/>
  <c r="BG13" i="3"/>
  <c r="BF13" i="3"/>
  <c r="BH12" i="3"/>
  <c r="BG12" i="3"/>
  <c r="BF12" i="3"/>
  <c r="BH59" i="3"/>
  <c r="BG59" i="3"/>
  <c r="BF59" i="3"/>
  <c r="AB59" i="3"/>
  <c r="E79" i="7"/>
  <c r="C79" i="7"/>
  <c r="AU69" i="2"/>
  <c r="AV69" i="2"/>
  <c r="AW69" i="2"/>
  <c r="AV17" i="2"/>
  <c r="AV13" i="2" s="1"/>
  <c r="AW10" i="2"/>
  <c r="AW12" i="2" s="1"/>
  <c r="AW32" i="2"/>
  <c r="AP36" i="2"/>
  <c r="AP35" i="2"/>
  <c r="AX35" i="2"/>
  <c r="AU59" i="2"/>
  <c r="AV59" i="2"/>
  <c r="AW59" i="2"/>
  <c r="AU49" i="2"/>
  <c r="AV49" i="2"/>
  <c r="AW49" i="2"/>
  <c r="AU32" i="2"/>
  <c r="AV32" i="2"/>
  <c r="AU12" i="2"/>
  <c r="AV12" i="2"/>
  <c r="AU13" i="2"/>
  <c r="H6" i="8"/>
  <c r="L7" i="8"/>
  <c r="L6" i="8"/>
  <c r="L5" i="8"/>
  <c r="AU23" i="2"/>
  <c r="AV23" i="2"/>
  <c r="BL78" i="3"/>
  <c r="AK78" i="4" s="1"/>
  <c r="AH78" i="4"/>
  <c r="AG78" i="4"/>
  <c r="AX13" i="2" l="1"/>
  <c r="BH40" i="3"/>
  <c r="BG40" i="3"/>
  <c r="BF40" i="3"/>
  <c r="BF60" i="3" s="1"/>
  <c r="BF70" i="3" s="1"/>
  <c r="AW40" i="2"/>
  <c r="AU40" i="2"/>
  <c r="AU60" i="2" s="1"/>
  <c r="AW60" i="2"/>
  <c r="AW70" i="2" s="1"/>
  <c r="AW79" i="2" s="1"/>
  <c r="BG60" i="3"/>
  <c r="BG70" i="3" s="1"/>
  <c r="BG79" i="3" s="1"/>
  <c r="BH60" i="3"/>
  <c r="BH70" i="3" s="1"/>
  <c r="BH79" i="3" s="1"/>
  <c r="AV40" i="2"/>
  <c r="AV60" i="2" s="1"/>
  <c r="AV70" i="2" s="1"/>
  <c r="AV79" i="2" s="1"/>
  <c r="AU70" i="2"/>
  <c r="AU79" i="2" s="1"/>
  <c r="P5" i="8"/>
  <c r="O5" i="8"/>
  <c r="P6" i="8"/>
  <c r="O6" i="8"/>
  <c r="P7" i="8"/>
  <c r="O7" i="8"/>
  <c r="AS69" i="2"/>
  <c r="AR69" i="2"/>
  <c r="AQ69" i="2"/>
  <c r="AS59" i="2"/>
  <c r="AR59" i="2"/>
  <c r="AQ59" i="2"/>
  <c r="AS49" i="2"/>
  <c r="AR49" i="2"/>
  <c r="AQ49" i="2"/>
  <c r="AR32" i="2"/>
  <c r="AQ32" i="2"/>
  <c r="AR12" i="2"/>
  <c r="AQ12" i="2"/>
  <c r="BC69" i="3"/>
  <c r="BB69" i="3"/>
  <c r="BA69" i="3"/>
  <c r="BC59" i="3"/>
  <c r="BB59" i="3"/>
  <c r="BA59" i="3"/>
  <c r="BC49" i="3"/>
  <c r="BB49" i="3"/>
  <c r="BA49" i="3"/>
  <c r="BC32" i="3"/>
  <c r="BB32" i="3"/>
  <c r="BA32" i="3"/>
  <c r="BC23" i="3"/>
  <c r="BB23" i="3"/>
  <c r="BA23" i="3"/>
  <c r="BC13" i="3"/>
  <c r="BB13" i="3"/>
  <c r="BA13" i="3"/>
  <c r="BC12" i="3"/>
  <c r="BB12" i="3"/>
  <c r="BA12" i="3"/>
  <c r="AR23" i="2"/>
  <c r="AQ23" i="2"/>
  <c r="AQ13" i="2"/>
  <c r="AR17" i="2"/>
  <c r="AR13" i="2" s="1"/>
  <c r="BD8" i="3"/>
  <c r="AS10" i="2"/>
  <c r="AS12" i="2" s="1"/>
  <c r="AS40" i="2" s="1"/>
  <c r="C12" i="2"/>
  <c r="AI13" i="2"/>
  <c r="D13" i="2"/>
  <c r="BA11" i="2"/>
  <c r="AP9" i="2"/>
  <c r="C13" i="2"/>
  <c r="BA40" i="3" l="1"/>
  <c r="BF79" i="3"/>
  <c r="AR40" i="2"/>
  <c r="AQ40" i="2"/>
  <c r="AT13" i="2"/>
  <c r="F13" i="2"/>
  <c r="AT40" i="2"/>
  <c r="AR60" i="2"/>
  <c r="AR70" i="2" s="1"/>
  <c r="AR79" i="2" s="1"/>
  <c r="AS60" i="2"/>
  <c r="AS70" i="2" s="1"/>
  <c r="AS79" i="2" s="1"/>
  <c r="AQ60" i="2"/>
  <c r="AQ70" i="2" s="1"/>
  <c r="AQ79" i="2" s="1"/>
  <c r="BB40" i="3"/>
  <c r="BB60" i="3" s="1"/>
  <c r="BC40" i="3"/>
  <c r="BC60" i="3" s="1"/>
  <c r="BC70" i="3" s="1"/>
  <c r="BC79" i="3" s="1"/>
  <c r="BB92" i="3"/>
  <c r="BA60" i="3"/>
  <c r="AM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X69" i="3"/>
  <c r="AW69" i="3"/>
  <c r="AV69" i="3"/>
  <c r="AX59" i="3"/>
  <c r="AW59" i="3"/>
  <c r="AV59" i="3"/>
  <c r="AX49" i="3"/>
  <c r="AW49" i="3"/>
  <c r="AV49" i="3"/>
  <c r="AX32" i="3"/>
  <c r="AW32" i="3"/>
  <c r="AV32" i="3"/>
  <c r="AX23" i="3"/>
  <c r="AW23" i="3"/>
  <c r="AV23" i="3"/>
  <c r="AX13" i="3"/>
  <c r="AW13" i="3"/>
  <c r="AV13" i="3"/>
  <c r="AX12" i="3"/>
  <c r="AW12" i="3"/>
  <c r="AV12" i="3"/>
  <c r="AY78" i="3"/>
  <c r="AI78" i="4" s="1"/>
  <c r="AO69" i="2"/>
  <c r="AN69" i="2"/>
  <c r="AM69" i="2"/>
  <c r="AO59" i="2"/>
  <c r="AN59" i="2"/>
  <c r="AM59" i="2"/>
  <c r="AO49" i="2"/>
  <c r="AN49" i="2"/>
  <c r="AM49" i="2"/>
  <c r="AP39" i="2"/>
  <c r="AN32" i="2"/>
  <c r="AM32" i="2"/>
  <c r="AP32" i="2" s="1"/>
  <c r="AL31" i="2"/>
  <c r="AL30" i="2"/>
  <c r="AN23" i="2"/>
  <c r="AM23" i="2"/>
  <c r="AJ23" i="2"/>
  <c r="AI23" i="2"/>
  <c r="AN12" i="2"/>
  <c r="AM12" i="2"/>
  <c r="AO10" i="2"/>
  <c r="AO12" i="2" s="1"/>
  <c r="AM13" i="2"/>
  <c r="AN17" i="2"/>
  <c r="AN13" i="2" s="1"/>
  <c r="AJ17" i="2"/>
  <c r="AJ13" i="2" s="1"/>
  <c r="AL13" i="2" s="1"/>
  <c r="CA92" i="3"/>
  <c r="BU92" i="3"/>
  <c r="G92" i="3"/>
  <c r="L92" i="3"/>
  <c r="Q92" i="3"/>
  <c r="V92" i="3"/>
  <c r="AA92" i="3"/>
  <c r="AF92" i="3"/>
  <c r="AK92" i="3"/>
  <c r="AP92" i="3"/>
  <c r="AU92" i="3"/>
  <c r="AZ92" i="3"/>
  <c r="BC92" i="3"/>
  <c r="BE92" i="3"/>
  <c r="BF92" i="3"/>
  <c r="BG92" i="3"/>
  <c r="BH92" i="3"/>
  <c r="BJ92" i="3"/>
  <c r="BO92" i="3"/>
  <c r="AQ92" i="2"/>
  <c r="AR92" i="2"/>
  <c r="AS92" i="2"/>
  <c r="AU92" i="2"/>
  <c r="AV92" i="2"/>
  <c r="AW92" i="2"/>
  <c r="R8" i="2"/>
  <c r="AO86" i="4"/>
  <c r="I12" i="8"/>
  <c r="H12" i="8"/>
  <c r="E14" i="8"/>
  <c r="E13" i="8"/>
  <c r="E12" i="8"/>
  <c r="I6" i="8"/>
  <c r="I7" i="8"/>
  <c r="I5" i="8"/>
  <c r="H7" i="8"/>
  <c r="H5" i="8"/>
  <c r="E6" i="8"/>
  <c r="E7" i="8"/>
  <c r="E5" i="8"/>
  <c r="AW40" i="3" l="1"/>
  <c r="AX40" i="3"/>
  <c r="AP13" i="2"/>
  <c r="AV40" i="3"/>
  <c r="AX60" i="3"/>
  <c r="AX70" i="3" s="1"/>
  <c r="AX79" i="3" s="1"/>
  <c r="AW60" i="3"/>
  <c r="AW70" i="3" s="1"/>
  <c r="AX92" i="3"/>
  <c r="BB70" i="3"/>
  <c r="BA70" i="3"/>
  <c r="AV60" i="3"/>
  <c r="AV70" i="3" s="1"/>
  <c r="AV93" i="3" s="1"/>
  <c r="AW92" i="3"/>
  <c r="AV92" i="3"/>
  <c r="AO92" i="2"/>
  <c r="AO40" i="2"/>
  <c r="AO60" i="2" s="1"/>
  <c r="AO70" i="2" s="1"/>
  <c r="AO79" i="2" s="1"/>
  <c r="AN40" i="2"/>
  <c r="AN60" i="2" s="1"/>
  <c r="AN70" i="2" s="1"/>
  <c r="AN79" i="2" s="1"/>
  <c r="AM40" i="2"/>
  <c r="AM60" i="2" s="1"/>
  <c r="AM70" i="2" s="1"/>
  <c r="AM79" i="2" s="1"/>
  <c r="AM92" i="2"/>
  <c r="AN92" i="2"/>
  <c r="AJ12" i="2"/>
  <c r="AI12" i="2"/>
  <c r="AJ32" i="2"/>
  <c r="AI32" i="2"/>
  <c r="AK49" i="2"/>
  <c r="AJ49" i="2"/>
  <c r="AI49" i="2"/>
  <c r="AK69" i="2"/>
  <c r="AJ69" i="2"/>
  <c r="AI69" i="2"/>
  <c r="AS13" i="3"/>
  <c r="AR13" i="3"/>
  <c r="AQ13" i="3"/>
  <c r="AS12" i="3"/>
  <c r="AR12" i="3"/>
  <c r="AQ12" i="3"/>
  <c r="AN12" i="3"/>
  <c r="AM12" i="3"/>
  <c r="AL12" i="3"/>
  <c r="AN13" i="3"/>
  <c r="AM13" i="3"/>
  <c r="AL13" i="3"/>
  <c r="AS23" i="3"/>
  <c r="AR23" i="3"/>
  <c r="AQ23" i="3"/>
  <c r="AN23" i="3"/>
  <c r="AM23" i="3"/>
  <c r="AL23" i="3"/>
  <c r="AS32" i="3"/>
  <c r="AR32" i="3"/>
  <c r="AQ32" i="3"/>
  <c r="AN32" i="3"/>
  <c r="AM32" i="3"/>
  <c r="AL32" i="3"/>
  <c r="AS49" i="3"/>
  <c r="AR49" i="3"/>
  <c r="AQ49" i="3"/>
  <c r="AS69" i="3"/>
  <c r="AR69" i="3"/>
  <c r="AQ69" i="3"/>
  <c r="AU95" i="3"/>
  <c r="AS92" i="3" l="1"/>
  <c r="AW93" i="3"/>
  <c r="AW79" i="3"/>
  <c r="BB93" i="3"/>
  <c r="BB79" i="3"/>
  <c r="AV79" i="3"/>
  <c r="BA79" i="3"/>
  <c r="AI92" i="2"/>
  <c r="AR92" i="3"/>
  <c r="AQ92" i="3"/>
  <c r="AJ92" i="2"/>
  <c r="AQ40" i="3"/>
  <c r="AR40" i="3"/>
  <c r="AS40" i="3"/>
  <c r="AI40" i="2"/>
  <c r="AJ40" i="2"/>
  <c r="AL50" i="2"/>
  <c r="AL51" i="2"/>
  <c r="AL52" i="2"/>
  <c r="AL53" i="2"/>
  <c r="AL54" i="2"/>
  <c r="AL55" i="2"/>
  <c r="AL56" i="2"/>
  <c r="AL57" i="2"/>
  <c r="AL58" i="2"/>
  <c r="AI59" i="2"/>
  <c r="AJ59" i="2"/>
  <c r="AK59" i="2"/>
  <c r="AQ59" i="3"/>
  <c r="AR59" i="3"/>
  <c r="AS59" i="3"/>
  <c r="AK10" i="2"/>
  <c r="AK12" i="2" s="1"/>
  <c r="AK92" i="2" s="1"/>
  <c r="AT44" i="3"/>
  <c r="AT45" i="3"/>
  <c r="AT46" i="3"/>
  <c r="AL44" i="2"/>
  <c r="AL45" i="2"/>
  <c r="AL46" i="2"/>
  <c r="AL11" i="2"/>
  <c r="AT11" i="3"/>
  <c r="BB109" i="2"/>
  <c r="BC109" i="2" s="1"/>
  <c r="BB111" i="2" s="1"/>
  <c r="BC111" i="2" s="1"/>
  <c r="AQ60" i="3" l="1"/>
  <c r="AQ70" i="3" s="1"/>
  <c r="AQ79" i="3" s="1"/>
  <c r="AQ95" i="3" s="1"/>
  <c r="AJ60" i="2"/>
  <c r="AJ70" i="2" s="1"/>
  <c r="AJ79" i="2" s="1"/>
  <c r="AR60" i="3"/>
  <c r="AR70" i="3" s="1"/>
  <c r="AS60" i="3"/>
  <c r="AS70" i="3" s="1"/>
  <c r="AS79" i="3" s="1"/>
  <c r="AS95" i="3" s="1"/>
  <c r="AI60" i="2"/>
  <c r="AI70" i="2" s="1"/>
  <c r="AI79" i="2" s="1"/>
  <c r="AL59" i="2"/>
  <c r="AK40" i="2"/>
  <c r="AK60" i="2" s="1"/>
  <c r="BB105" i="2"/>
  <c r="BC105" i="2" s="1"/>
  <c r="BB107" i="2" s="1"/>
  <c r="BC107" i="2" s="1"/>
  <c r="BB99" i="2"/>
  <c r="BC99" i="2" s="1"/>
  <c r="BB101" i="2" s="1"/>
  <c r="BC101" i="2" s="1"/>
  <c r="AE58" i="3"/>
  <c r="AE53" i="3"/>
  <c r="AR79" i="3" l="1"/>
  <c r="AK70" i="2"/>
  <c r="AK79" i="2" s="1"/>
  <c r="AL60" i="2"/>
  <c r="AY73" i="2"/>
  <c r="AG49" i="2"/>
  <c r="AF49" i="2"/>
  <c r="AE49" i="2"/>
  <c r="AZ44" i="2"/>
  <c r="AD44" i="2"/>
  <c r="AH44" i="2"/>
  <c r="AD45" i="2"/>
  <c r="AG59" i="2"/>
  <c r="AF59" i="2"/>
  <c r="AE59" i="2"/>
  <c r="AE32" i="2"/>
  <c r="AA32" i="2"/>
  <c r="AF23" i="2"/>
  <c r="AE23" i="2"/>
  <c r="AB23" i="2"/>
  <c r="AF12" i="2"/>
  <c r="AF86" i="2" s="1"/>
  <c r="AE12" i="2"/>
  <c r="AN59" i="3"/>
  <c r="AM59" i="3"/>
  <c r="AL59" i="3"/>
  <c r="AN49" i="3"/>
  <c r="AN92" i="3" s="1"/>
  <c r="AM49" i="3"/>
  <c r="AM92" i="3" s="1"/>
  <c r="AL49" i="3"/>
  <c r="AN40" i="3"/>
  <c r="AL40" i="3"/>
  <c r="AF13" i="2"/>
  <c r="AE13" i="2"/>
  <c r="AF32" i="2"/>
  <c r="AG10" i="2"/>
  <c r="AG12" i="2" s="1"/>
  <c r="AH11" i="2"/>
  <c r="AG69" i="2"/>
  <c r="AF69" i="2"/>
  <c r="AE69" i="2"/>
  <c r="AG92" i="2" l="1"/>
  <c r="AH13" i="2"/>
  <c r="AL92" i="3"/>
  <c r="AR95" i="3"/>
  <c r="AE92" i="2"/>
  <c r="AF92" i="2"/>
  <c r="AM40" i="3"/>
  <c r="AG40" i="2"/>
  <c r="AG60" i="2" s="1"/>
  <c r="AE40" i="2"/>
  <c r="AE60" i="2" s="1"/>
  <c r="AE70" i="2" s="1"/>
  <c r="AF40" i="2"/>
  <c r="AF60" i="2" s="1"/>
  <c r="AF70" i="2" s="1"/>
  <c r="AF79" i="2" s="1"/>
  <c r="AH10" i="2"/>
  <c r="AH69" i="2"/>
  <c r="AN69" i="3"/>
  <c r="AM69" i="3"/>
  <c r="AL69" i="3"/>
  <c r="AN60" i="3"/>
  <c r="AL60" i="3"/>
  <c r="AN70" i="3" l="1"/>
  <c r="AN79" i="3" s="1"/>
  <c r="AO69" i="3"/>
  <c r="AG70" i="2"/>
  <c r="AG79" i="2" s="1"/>
  <c r="AM60" i="3"/>
  <c r="AM70" i="3" s="1"/>
  <c r="AM79" i="3" s="1"/>
  <c r="AO60" i="3"/>
  <c r="AE79" i="2"/>
  <c r="AL70" i="3"/>
  <c r="C13" i="3"/>
  <c r="C23" i="3"/>
  <c r="BF41" i="4"/>
  <c r="BE41" i="4"/>
  <c r="BD41" i="4"/>
  <c r="AD11" i="2"/>
  <c r="AH70" i="2" l="1"/>
  <c r="AO70" i="3"/>
  <c r="AL79" i="3"/>
  <c r="AC10" i="2"/>
  <c r="AC77" i="2" l="1"/>
  <c r="AB77" i="2"/>
  <c r="AA77" i="2"/>
  <c r="AC59" i="2"/>
  <c r="AB59" i="2"/>
  <c r="AA59" i="2"/>
  <c r="AB32" i="2"/>
  <c r="AA23" i="2"/>
  <c r="AB13" i="2"/>
  <c r="AA13" i="2"/>
  <c r="AC12" i="2"/>
  <c r="AB12" i="2"/>
  <c r="AA12" i="2"/>
  <c r="W12" i="2"/>
  <c r="AI77" i="3"/>
  <c r="AH77" i="3"/>
  <c r="AG77" i="3"/>
  <c r="AI69" i="3"/>
  <c r="AH69" i="3"/>
  <c r="AG69" i="3"/>
  <c r="AI49" i="3"/>
  <c r="AH49" i="3"/>
  <c r="AG49" i="3"/>
  <c r="AI32" i="3"/>
  <c r="AH32" i="3"/>
  <c r="AG32" i="3"/>
  <c r="AI23" i="3"/>
  <c r="AH23" i="3"/>
  <c r="AG23" i="3"/>
  <c r="AI13" i="3"/>
  <c r="AH13" i="3"/>
  <c r="AG13" i="3"/>
  <c r="AI12" i="3"/>
  <c r="AH12" i="3"/>
  <c r="AG12" i="3"/>
  <c r="AB12" i="3"/>
  <c r="AD13" i="2" l="1"/>
  <c r="AB86" i="2"/>
  <c r="AG92" i="3"/>
  <c r="AH92" i="3"/>
  <c r="AI92" i="3"/>
  <c r="AI40" i="3"/>
  <c r="AG40" i="3"/>
  <c r="AH40" i="3"/>
  <c r="AD29" i="2"/>
  <c r="AC69" i="2"/>
  <c r="AB69" i="2"/>
  <c r="AA69" i="2"/>
  <c r="AD49" i="3" l="1"/>
  <c r="Y49" i="3"/>
  <c r="AI59" i="3" l="1"/>
  <c r="AI60" i="3" s="1"/>
  <c r="AI70" i="3" s="1"/>
  <c r="AH59" i="3"/>
  <c r="AG59" i="3"/>
  <c r="AI79" i="3" l="1"/>
  <c r="AI93" i="3"/>
  <c r="AH60" i="3"/>
  <c r="AH70" i="3" s="1"/>
  <c r="AG60" i="3"/>
  <c r="BW6" i="3"/>
  <c r="BX6" i="3"/>
  <c r="BY6" i="3"/>
  <c r="BW7" i="3"/>
  <c r="BX7" i="3"/>
  <c r="BY7" i="3"/>
  <c r="BW8" i="3"/>
  <c r="BX8" i="3"/>
  <c r="BY8" i="3"/>
  <c r="BW9" i="3"/>
  <c r="BX9" i="3"/>
  <c r="BY9" i="3"/>
  <c r="BW10" i="3"/>
  <c r="BX10" i="3"/>
  <c r="BY10" i="3"/>
  <c r="BW11" i="3"/>
  <c r="BX11" i="3"/>
  <c r="BY11" i="3"/>
  <c r="BW14" i="3"/>
  <c r="BX14" i="3"/>
  <c r="BY14" i="3"/>
  <c r="BW15" i="3"/>
  <c r="BX15" i="3"/>
  <c r="BY15" i="3"/>
  <c r="BW16" i="3"/>
  <c r="BX16" i="3"/>
  <c r="BY16" i="3"/>
  <c r="BW17" i="3"/>
  <c r="BX17" i="3"/>
  <c r="BY17" i="3"/>
  <c r="BW18" i="3"/>
  <c r="BX18" i="3"/>
  <c r="BY18" i="3"/>
  <c r="BW19" i="3"/>
  <c r="BX19" i="3"/>
  <c r="BY19" i="3"/>
  <c r="BW20" i="3"/>
  <c r="BX20" i="3"/>
  <c r="BY20" i="3"/>
  <c r="BW21" i="3"/>
  <c r="BX21" i="3"/>
  <c r="BY21" i="3"/>
  <c r="BW22" i="3"/>
  <c r="BX22" i="3"/>
  <c r="BY22" i="3"/>
  <c r="BW24" i="3"/>
  <c r="BX24" i="3"/>
  <c r="BY24" i="3"/>
  <c r="BW25" i="3"/>
  <c r="BX25" i="3"/>
  <c r="BY25" i="3"/>
  <c r="BW26" i="3"/>
  <c r="BX26" i="3"/>
  <c r="BY26" i="3"/>
  <c r="BW27" i="3"/>
  <c r="BX27" i="3"/>
  <c r="BY27" i="3"/>
  <c r="BW28" i="3"/>
  <c r="BX28" i="3"/>
  <c r="BY28" i="3"/>
  <c r="BW29" i="3"/>
  <c r="BX29" i="3"/>
  <c r="BY29" i="3"/>
  <c r="BW30" i="3"/>
  <c r="BX30" i="3"/>
  <c r="BY30" i="3"/>
  <c r="BW31" i="3"/>
  <c r="BX31" i="3"/>
  <c r="BY31" i="3"/>
  <c r="BW33" i="3"/>
  <c r="BX33" i="3"/>
  <c r="BY33" i="3"/>
  <c r="BW34" i="3"/>
  <c r="BX34" i="3"/>
  <c r="BY34" i="3"/>
  <c r="BW35" i="3"/>
  <c r="BX35" i="3"/>
  <c r="BY35" i="3"/>
  <c r="BW36" i="3"/>
  <c r="BX36" i="3"/>
  <c r="BY36" i="3"/>
  <c r="BW37" i="3"/>
  <c r="BX37" i="3"/>
  <c r="BY37" i="3"/>
  <c r="BW38" i="3"/>
  <c r="BX38" i="3"/>
  <c r="BY38" i="3"/>
  <c r="BW39" i="3"/>
  <c r="BX39" i="3"/>
  <c r="BY39" i="3"/>
  <c r="BW41" i="3"/>
  <c r="BX41" i="3"/>
  <c r="BY41" i="3"/>
  <c r="BW42" i="3"/>
  <c r="BX42" i="3"/>
  <c r="BY42" i="3"/>
  <c r="BW43" i="3"/>
  <c r="BX43" i="3"/>
  <c r="BY43" i="3"/>
  <c r="BW44" i="3"/>
  <c r="BX44" i="3"/>
  <c r="BY44" i="3"/>
  <c r="BW45" i="3"/>
  <c r="BX45" i="3"/>
  <c r="BY45" i="3"/>
  <c r="BW46" i="3"/>
  <c r="BX46" i="3"/>
  <c r="BY46" i="3"/>
  <c r="BW47" i="3"/>
  <c r="BX47" i="3"/>
  <c r="BY47" i="3"/>
  <c r="BW48" i="3"/>
  <c r="BX48" i="3"/>
  <c r="BY48" i="3"/>
  <c r="BW50" i="3"/>
  <c r="BX50" i="3"/>
  <c r="BY50" i="3"/>
  <c r="BW51" i="3"/>
  <c r="BX51" i="3"/>
  <c r="BY51" i="3"/>
  <c r="BW52" i="3"/>
  <c r="BX52" i="3"/>
  <c r="BY52" i="3"/>
  <c r="BW53" i="3"/>
  <c r="BX53" i="3"/>
  <c r="BY53" i="3"/>
  <c r="BW54" i="3"/>
  <c r="BX54" i="3"/>
  <c r="BY54" i="3"/>
  <c r="BW55" i="3"/>
  <c r="BX55" i="3"/>
  <c r="BY55" i="3"/>
  <c r="BW56" i="3"/>
  <c r="BX56" i="3"/>
  <c r="BY56" i="3"/>
  <c r="BW57" i="3"/>
  <c r="BX57" i="3"/>
  <c r="BY57" i="3"/>
  <c r="BW58" i="3"/>
  <c r="BX58" i="3"/>
  <c r="BY58" i="3"/>
  <c r="BW61" i="3"/>
  <c r="BX61" i="3"/>
  <c r="BY61" i="3"/>
  <c r="BW62" i="3"/>
  <c r="BX62" i="3"/>
  <c r="BY62" i="3"/>
  <c r="BW63" i="3"/>
  <c r="BX63" i="3"/>
  <c r="BY63" i="3"/>
  <c r="BW64" i="3"/>
  <c r="BX64" i="3"/>
  <c r="BY64" i="3"/>
  <c r="BW65" i="3"/>
  <c r="BX65" i="3"/>
  <c r="BY65" i="3"/>
  <c r="BW66" i="3"/>
  <c r="BX66" i="3"/>
  <c r="BY66" i="3"/>
  <c r="BW67" i="3"/>
  <c r="BX67" i="3"/>
  <c r="BY67" i="3"/>
  <c r="BW68" i="3"/>
  <c r="BX68" i="3"/>
  <c r="BY68" i="3"/>
  <c r="BW71" i="3"/>
  <c r="BX71" i="3"/>
  <c r="BY71" i="3"/>
  <c r="BW72" i="3"/>
  <c r="BX72" i="3"/>
  <c r="BY72" i="3"/>
  <c r="BW73" i="3"/>
  <c r="BX73" i="3"/>
  <c r="BY73" i="3"/>
  <c r="BW74" i="3"/>
  <c r="BX74" i="3"/>
  <c r="BY74" i="3"/>
  <c r="BW75" i="3"/>
  <c r="BX75" i="3"/>
  <c r="BY75" i="3"/>
  <c r="BY5" i="3"/>
  <c r="BX5" i="3"/>
  <c r="BW5" i="3"/>
  <c r="BQ6" i="3"/>
  <c r="BR6" i="3"/>
  <c r="BS6" i="3"/>
  <c r="BQ7" i="3"/>
  <c r="BR7" i="3"/>
  <c r="BS7" i="3"/>
  <c r="BQ8" i="3"/>
  <c r="BR8" i="3"/>
  <c r="BS8" i="3"/>
  <c r="BQ9" i="3"/>
  <c r="BR9" i="3"/>
  <c r="BS9" i="3"/>
  <c r="BQ10" i="3"/>
  <c r="BR10" i="3"/>
  <c r="BS10" i="3"/>
  <c r="BQ11" i="3"/>
  <c r="BR11" i="3"/>
  <c r="BS11" i="3"/>
  <c r="BQ14" i="3"/>
  <c r="BR14" i="3"/>
  <c r="BS14" i="3"/>
  <c r="BQ15" i="3"/>
  <c r="BR15" i="3"/>
  <c r="BS15" i="3"/>
  <c r="BQ16" i="3"/>
  <c r="BR16" i="3"/>
  <c r="BS16" i="3"/>
  <c r="BQ17" i="3"/>
  <c r="BR17" i="3"/>
  <c r="BS17" i="3"/>
  <c r="BQ18" i="3"/>
  <c r="BR18" i="3"/>
  <c r="BS18" i="3"/>
  <c r="BQ19" i="3"/>
  <c r="BR19" i="3"/>
  <c r="BS19" i="3"/>
  <c r="BQ20" i="3"/>
  <c r="BR20" i="3"/>
  <c r="BS20" i="3"/>
  <c r="BQ21" i="3"/>
  <c r="BR21" i="3"/>
  <c r="BS21" i="3"/>
  <c r="BQ22" i="3"/>
  <c r="BR22" i="3"/>
  <c r="BS22" i="3"/>
  <c r="BQ24" i="3"/>
  <c r="BR24" i="3"/>
  <c r="BS24" i="3"/>
  <c r="BQ25" i="3"/>
  <c r="BR25" i="3"/>
  <c r="BS25" i="3"/>
  <c r="BQ26" i="3"/>
  <c r="BR26" i="3"/>
  <c r="BS26" i="3"/>
  <c r="BQ27" i="3"/>
  <c r="BR27" i="3"/>
  <c r="BS27" i="3"/>
  <c r="BQ28" i="3"/>
  <c r="BR28" i="3"/>
  <c r="BS28" i="3"/>
  <c r="BQ29" i="3"/>
  <c r="BR29" i="3"/>
  <c r="BS29" i="3"/>
  <c r="BQ30" i="3"/>
  <c r="BR30" i="3"/>
  <c r="BS30" i="3"/>
  <c r="BQ31" i="3"/>
  <c r="BR31" i="3"/>
  <c r="BS31" i="3"/>
  <c r="BQ33" i="3"/>
  <c r="BR33" i="3"/>
  <c r="BS33" i="3"/>
  <c r="BQ34" i="3"/>
  <c r="BR34" i="3"/>
  <c r="BS34" i="3"/>
  <c r="BQ35" i="3"/>
  <c r="BR35" i="3"/>
  <c r="BS35" i="3"/>
  <c r="BQ36" i="3"/>
  <c r="BR36" i="3"/>
  <c r="BS36" i="3"/>
  <c r="BQ37" i="3"/>
  <c r="BR37" i="3"/>
  <c r="BS37" i="3"/>
  <c r="BQ38" i="3"/>
  <c r="BR38" i="3"/>
  <c r="BS38" i="3"/>
  <c r="BQ39" i="3"/>
  <c r="BR39" i="3"/>
  <c r="BS39" i="3"/>
  <c r="BQ41" i="3"/>
  <c r="BR41" i="3"/>
  <c r="BS41" i="3"/>
  <c r="BQ42" i="3"/>
  <c r="BR42" i="3"/>
  <c r="BS42" i="3"/>
  <c r="BQ43" i="3"/>
  <c r="BR43" i="3"/>
  <c r="BS43" i="3"/>
  <c r="BQ44" i="3"/>
  <c r="BR44" i="3"/>
  <c r="BS44" i="3"/>
  <c r="BQ45" i="3"/>
  <c r="BR45" i="3"/>
  <c r="BS45" i="3"/>
  <c r="BQ46" i="3"/>
  <c r="BR46" i="3"/>
  <c r="BS46" i="3"/>
  <c r="BQ47" i="3"/>
  <c r="BR47" i="3"/>
  <c r="BS47" i="3"/>
  <c r="BQ48" i="3"/>
  <c r="BR48" i="3"/>
  <c r="BS48" i="3"/>
  <c r="BQ50" i="3"/>
  <c r="BR50" i="3"/>
  <c r="BS50" i="3"/>
  <c r="BQ51" i="3"/>
  <c r="BR51" i="3"/>
  <c r="BS51" i="3"/>
  <c r="BQ52" i="3"/>
  <c r="BR52" i="3"/>
  <c r="BS52" i="3"/>
  <c r="BQ53" i="3"/>
  <c r="BR53" i="3"/>
  <c r="BS53" i="3"/>
  <c r="BQ54" i="3"/>
  <c r="BR54" i="3"/>
  <c r="BS54" i="3"/>
  <c r="BQ55" i="3"/>
  <c r="BR55" i="3"/>
  <c r="BS55" i="3"/>
  <c r="BQ56" i="3"/>
  <c r="BR56" i="3"/>
  <c r="BS56" i="3"/>
  <c r="BQ57" i="3"/>
  <c r="BR57" i="3"/>
  <c r="BS57" i="3"/>
  <c r="BQ58" i="3"/>
  <c r="BR58" i="3"/>
  <c r="BS58" i="3"/>
  <c r="BQ61" i="3"/>
  <c r="BR61" i="3"/>
  <c r="BS61" i="3"/>
  <c r="BQ62" i="3"/>
  <c r="BR62" i="3"/>
  <c r="BS62" i="3"/>
  <c r="BQ63" i="3"/>
  <c r="BR63" i="3"/>
  <c r="BS63" i="3"/>
  <c r="BQ64" i="3"/>
  <c r="BR64" i="3"/>
  <c r="BS64" i="3"/>
  <c r="BQ65" i="3"/>
  <c r="BR65" i="3"/>
  <c r="BS65" i="3"/>
  <c r="BQ66" i="3"/>
  <c r="BR66" i="3"/>
  <c r="BS66" i="3"/>
  <c r="BQ67" i="3"/>
  <c r="BR67" i="3"/>
  <c r="BS67" i="3"/>
  <c r="BQ68" i="3"/>
  <c r="BR68" i="3"/>
  <c r="BS68" i="3"/>
  <c r="BQ71" i="3"/>
  <c r="BR71" i="3"/>
  <c r="BS71" i="3"/>
  <c r="BQ72" i="3"/>
  <c r="BR72" i="3"/>
  <c r="BS72" i="3"/>
  <c r="BQ73" i="3"/>
  <c r="BR73" i="3"/>
  <c r="BS73" i="3"/>
  <c r="BQ74" i="3"/>
  <c r="BR74" i="3"/>
  <c r="BS74" i="3"/>
  <c r="BQ75" i="3"/>
  <c r="BR75" i="3"/>
  <c r="BS75" i="3"/>
  <c r="BS5" i="3"/>
  <c r="BR5" i="3"/>
  <c r="BL5" i="3"/>
  <c r="BM5" i="3"/>
  <c r="BQ5" i="3"/>
  <c r="CA95" i="3"/>
  <c r="CA93" i="3"/>
  <c r="CA88" i="3"/>
  <c r="CA87" i="3"/>
  <c r="CA91" i="3" s="1"/>
  <c r="CA86" i="3"/>
  <c r="CA90" i="3" s="1"/>
  <c r="CA84" i="3"/>
  <c r="CA83" i="3"/>
  <c r="CA82" i="3"/>
  <c r="BU95" i="3"/>
  <c r="BU93" i="3"/>
  <c r="BU88" i="3"/>
  <c r="BU87" i="3"/>
  <c r="BU91" i="3" s="1"/>
  <c r="BU86" i="3"/>
  <c r="BU90" i="3" s="1"/>
  <c r="BU84" i="3"/>
  <c r="BU83" i="3"/>
  <c r="BU82" i="3"/>
  <c r="AG70" i="3" l="1"/>
  <c r="AG79" i="3" s="1"/>
  <c r="AH79" i="3"/>
  <c r="BZ57" i="3"/>
  <c r="BZ11" i="3"/>
  <c r="BT11" i="3"/>
  <c r="BT75" i="3"/>
  <c r="BT65" i="3"/>
  <c r="BT61" i="3"/>
  <c r="BT37" i="3"/>
  <c r="BZ72" i="3"/>
  <c r="BZ66" i="3"/>
  <c r="BZ62" i="3"/>
  <c r="BZ56" i="3"/>
  <c r="BZ52" i="3"/>
  <c r="BZ47" i="3"/>
  <c r="BZ43" i="3"/>
  <c r="BZ38" i="3"/>
  <c r="BZ34" i="3"/>
  <c r="BZ20" i="3"/>
  <c r="BZ16" i="3"/>
  <c r="BZ10" i="3"/>
  <c r="BT71" i="3"/>
  <c r="BT51" i="3"/>
  <c r="BT55" i="3"/>
  <c r="BT53" i="3"/>
  <c r="BT67" i="3"/>
  <c r="BT39" i="3"/>
  <c r="BT19" i="3"/>
  <c r="BT73" i="3"/>
  <c r="BT63" i="3"/>
  <c r="BT57" i="3"/>
  <c r="BT68" i="3"/>
  <c r="BT50" i="3"/>
  <c r="BT45" i="3"/>
  <c r="BT31" i="3"/>
  <c r="BT27" i="3"/>
  <c r="BT18" i="3"/>
  <c r="BZ75" i="3"/>
  <c r="BZ65" i="3"/>
  <c r="BZ61" i="3"/>
  <c r="BZ55" i="3"/>
  <c r="BZ51" i="3"/>
  <c r="BZ46" i="3"/>
  <c r="BZ63" i="3"/>
  <c r="BZ25" i="3"/>
  <c r="BZ6" i="3"/>
  <c r="BT72" i="3"/>
  <c r="BT7" i="3"/>
  <c r="BZ74" i="3"/>
  <c r="BZ68" i="3"/>
  <c r="BZ64" i="3"/>
  <c r="BZ58" i="3"/>
  <c r="BZ54" i="3"/>
  <c r="BZ50" i="3"/>
  <c r="BZ45" i="3"/>
  <c r="BZ41" i="3"/>
  <c r="BZ36" i="3"/>
  <c r="BZ22" i="3"/>
  <c r="BZ18" i="3"/>
  <c r="BZ14" i="3"/>
  <c r="BZ8" i="3"/>
  <c r="BT52" i="3"/>
  <c r="BT47" i="3"/>
  <c r="BT29" i="3"/>
  <c r="BT16" i="3"/>
  <c r="BZ73" i="3"/>
  <c r="BZ67" i="3"/>
  <c r="BZ53" i="3"/>
  <c r="BZ48" i="3"/>
  <c r="BZ30" i="3"/>
  <c r="BZ26" i="3"/>
  <c r="BT74" i="3"/>
  <c r="BT5" i="3"/>
  <c r="BZ71" i="3"/>
  <c r="BZ15" i="3"/>
  <c r="BT66" i="3"/>
  <c r="BT58" i="3"/>
  <c r="BT43" i="3"/>
  <c r="BZ42" i="3"/>
  <c r="BZ37" i="3"/>
  <c r="BZ33" i="3"/>
  <c r="BZ28" i="3"/>
  <c r="BZ24" i="3"/>
  <c r="BZ19" i="3"/>
  <c r="BZ9" i="3"/>
  <c r="BT62" i="3"/>
  <c r="BT26" i="3"/>
  <c r="BT21" i="3"/>
  <c r="BT17" i="3"/>
  <c r="BZ31" i="3"/>
  <c r="BZ27" i="3"/>
  <c r="BT35" i="3"/>
  <c r="BT8" i="3"/>
  <c r="BT54" i="3"/>
  <c r="BT46" i="3"/>
  <c r="BT25" i="3"/>
  <c r="BT33" i="3"/>
  <c r="BZ44" i="3"/>
  <c r="BZ39" i="3"/>
  <c r="BZ35" i="3"/>
  <c r="BZ21" i="3"/>
  <c r="BZ17" i="3"/>
  <c r="BZ7" i="3"/>
  <c r="BT64" i="3"/>
  <c r="BT6" i="3"/>
  <c r="BT56" i="3"/>
  <c r="BT48" i="3"/>
  <c r="BT24" i="3"/>
  <c r="BT15" i="3"/>
  <c r="BZ5" i="3"/>
  <c r="BZ29" i="3"/>
  <c r="BT41" i="3"/>
  <c r="BT36" i="3"/>
  <c r="BT9" i="3"/>
  <c r="BT34" i="3"/>
  <c r="BT20" i="3"/>
  <c r="BT10" i="3"/>
  <c r="BT38" i="3"/>
  <c r="BT28" i="3"/>
  <c r="BT14" i="3"/>
  <c r="BT22" i="3"/>
  <c r="BT30" i="3"/>
  <c r="BT42" i="3"/>
  <c r="BT44" i="3"/>
  <c r="H2" i="7"/>
  <c r="D17" i="7" s="1"/>
  <c r="AG93" i="3" l="1"/>
  <c r="D7" i="7"/>
  <c r="D9" i="7"/>
  <c r="D19" i="7"/>
  <c r="D26" i="7"/>
  <c r="D165" i="7"/>
  <c r="D116" i="7"/>
  <c r="D142" i="7"/>
  <c r="D143" i="7"/>
  <c r="D166" i="7"/>
  <c r="D120" i="7"/>
  <c r="D124" i="7"/>
  <c r="D170" i="7"/>
  <c r="D115" i="7"/>
  <c r="D140" i="7"/>
  <c r="D137" i="7"/>
  <c r="D161" i="7"/>
  <c r="D155" i="7"/>
  <c r="D141" i="7"/>
  <c r="D123" i="7"/>
  <c r="D129" i="7"/>
  <c r="D114" i="7"/>
  <c r="D149" i="7"/>
  <c r="D139" i="7"/>
  <c r="D162" i="7"/>
  <c r="D146" i="7"/>
  <c r="D122" i="7"/>
  <c r="D135" i="7"/>
  <c r="D138" i="7"/>
  <c r="D145" i="7"/>
  <c r="D150" i="7"/>
  <c r="D151" i="7"/>
  <c r="D125" i="7"/>
  <c r="D109" i="7"/>
  <c r="D168" i="7"/>
  <c r="D169" i="7"/>
  <c r="D113" i="7"/>
  <c r="D108" i="7"/>
  <c r="D136" i="7"/>
  <c r="D117" i="7"/>
  <c r="D110" i="7"/>
  <c r="D147" i="7"/>
  <c r="D121" i="7"/>
  <c r="D112" i="7"/>
  <c r="D153" i="7"/>
  <c r="D131" i="7"/>
  <c r="D118" i="7"/>
  <c r="D164" i="7"/>
  <c r="D134" i="7"/>
  <c r="D160" i="7"/>
  <c r="D126" i="7"/>
  <c r="D148" i="7"/>
  <c r="D158" i="7"/>
  <c r="D119" i="7"/>
  <c r="D163" i="7"/>
  <c r="D128" i="7"/>
  <c r="D132" i="7"/>
  <c r="D159" i="7"/>
  <c r="D127" i="7"/>
  <c r="D171" i="7"/>
  <c r="D156" i="7"/>
  <c r="D154" i="7"/>
  <c r="D152" i="7"/>
  <c r="D133" i="7"/>
  <c r="D144" i="7"/>
  <c r="D157" i="7"/>
  <c r="D111" i="7"/>
  <c r="D167" i="7"/>
  <c r="D130" i="7"/>
  <c r="D5" i="7"/>
  <c r="D11" i="7"/>
  <c r="D12" i="7"/>
  <c r="D13" i="7"/>
  <c r="D14" i="7"/>
  <c r="D15" i="7"/>
  <c r="D16" i="7"/>
  <c r="D53" i="7"/>
  <c r="D61" i="7"/>
  <c r="D45" i="7"/>
  <c r="D47" i="7"/>
  <c r="D28" i="7"/>
  <c r="D24" i="7"/>
  <c r="D31" i="7"/>
  <c r="D29" i="7"/>
  <c r="D43" i="7"/>
  <c r="D59" i="7"/>
  <c r="D41" i="7"/>
  <c r="D57" i="7"/>
  <c r="D73" i="7"/>
  <c r="D56" i="7"/>
  <c r="D39" i="7"/>
  <c r="D23" i="7"/>
  <c r="D46" i="7"/>
  <c r="D62" i="7"/>
  <c r="D60" i="7"/>
  <c r="D76" i="7"/>
  <c r="D25" i="7"/>
  <c r="D74" i="7"/>
  <c r="D88" i="7"/>
  <c r="D72" i="7"/>
  <c r="D55" i="7"/>
  <c r="D38" i="7"/>
  <c r="D22" i="7"/>
  <c r="D81" i="7"/>
  <c r="D64" i="7"/>
  <c r="D44" i="7"/>
  <c r="D77" i="7"/>
  <c r="D42" i="7"/>
  <c r="D75" i="7"/>
  <c r="D58" i="7"/>
  <c r="D40" i="7"/>
  <c r="D87" i="7"/>
  <c r="D71" i="7"/>
  <c r="D79" i="7" s="1"/>
  <c r="D54" i="7"/>
  <c r="D37" i="7"/>
  <c r="D21" i="7"/>
  <c r="D65" i="7"/>
  <c r="D86" i="7"/>
  <c r="D70" i="7"/>
  <c r="D52" i="7"/>
  <c r="D36" i="7"/>
  <c r="D20" i="7"/>
  <c r="D85" i="7"/>
  <c r="D30" i="7"/>
  <c r="D78" i="7"/>
  <c r="D51" i="7"/>
  <c r="D84" i="7"/>
  <c r="D68" i="7"/>
  <c r="D50" i="7"/>
  <c r="D34" i="7"/>
  <c r="D18" i="7"/>
  <c r="D83" i="7"/>
  <c r="D67" i="7"/>
  <c r="D49" i="7"/>
  <c r="D33" i="7"/>
  <c r="D10" i="7"/>
  <c r="D80" i="7"/>
  <c r="D63" i="7"/>
  <c r="D27" i="7"/>
  <c r="D69" i="7"/>
  <c r="D35" i="7"/>
  <c r="D82" i="7"/>
  <c r="D66" i="7"/>
  <c r="D48" i="7"/>
  <c r="D32" i="7"/>
  <c r="D8" i="7"/>
  <c r="D6" i="7"/>
  <c r="V46" i="2" l="1"/>
  <c r="V45" i="2"/>
  <c r="F44" i="2"/>
  <c r="X32" i="2"/>
  <c r="E96" i="7" l="1"/>
  <c r="E100" i="7" s="1"/>
  <c r="E95" i="7"/>
  <c r="E99" i="7" s="1"/>
  <c r="E91" i="7"/>
  <c r="C96" i="7"/>
  <c r="E92" i="7"/>
  <c r="W13" i="2"/>
  <c r="X13" i="2"/>
  <c r="AD13" i="3"/>
  <c r="AC13" i="3"/>
  <c r="AB13" i="3"/>
  <c r="AD12" i="3"/>
  <c r="AC12" i="3"/>
  <c r="AD23" i="3"/>
  <c r="AC23" i="3"/>
  <c r="AB23" i="3"/>
  <c r="AD32" i="3"/>
  <c r="AC32" i="3"/>
  <c r="AB32" i="3"/>
  <c r="AC49" i="3"/>
  <c r="AB49" i="3"/>
  <c r="AD59" i="3"/>
  <c r="Z13" i="2" l="1"/>
  <c r="AE49" i="3"/>
  <c r="AD92" i="3"/>
  <c r="AB92" i="3"/>
  <c r="AC92" i="3"/>
  <c r="AB83" i="3"/>
  <c r="C100" i="7"/>
  <c r="D100" i="7" s="1"/>
  <c r="D96" i="7"/>
  <c r="C92" i="7"/>
  <c r="D92" i="7" s="1"/>
  <c r="C93" i="7"/>
  <c r="D93" i="7" s="1"/>
  <c r="E93" i="7"/>
  <c r="C95" i="7"/>
  <c r="C91" i="7"/>
  <c r="D91" i="7" s="1"/>
  <c r="C97" i="7"/>
  <c r="D97" i="7" s="1"/>
  <c r="AB40" i="3"/>
  <c r="AC40" i="3"/>
  <c r="AD40" i="3"/>
  <c r="C99" i="7" l="1"/>
  <c r="D99" i="7" s="1"/>
  <c r="D95" i="7"/>
  <c r="E97" i="7"/>
  <c r="X23" i="2"/>
  <c r="Y59" i="2"/>
  <c r="X59" i="2"/>
  <c r="W59" i="2"/>
  <c r="C101" i="7" l="1"/>
  <c r="D101" i="7" s="1"/>
  <c r="E101" i="7"/>
  <c r="S23" i="2"/>
  <c r="AB77" i="3"/>
  <c r="AC77" i="3"/>
  <c r="AD77" i="3"/>
  <c r="AB60" i="3"/>
  <c r="AC60" i="3"/>
  <c r="AD60" i="3"/>
  <c r="AB69" i="3"/>
  <c r="AC69" i="3"/>
  <c r="AD69" i="3"/>
  <c r="Y10" i="2"/>
  <c r="Y9" i="2"/>
  <c r="AE11" i="3"/>
  <c r="S12" i="3"/>
  <c r="Z11" i="2"/>
  <c r="V11" i="2"/>
  <c r="AT49" i="4"/>
  <c r="AT40" i="4"/>
  <c r="E103" i="7" l="1"/>
  <c r="C103" i="7"/>
  <c r="D103" i="7" s="1"/>
  <c r="AD70" i="3"/>
  <c r="AD79" i="3" s="1"/>
  <c r="AC70" i="3"/>
  <c r="AB70" i="3"/>
  <c r="AP59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1" i="4"/>
  <c r="AO72" i="4"/>
  <c r="AO73" i="4"/>
  <c r="AO74" i="4"/>
  <c r="AO75" i="4"/>
  <c r="AO76" i="4"/>
  <c r="AO77" i="4"/>
  <c r="AO79" i="4"/>
  <c r="AO82" i="4"/>
  <c r="AO83" i="4"/>
  <c r="AO84" i="4"/>
  <c r="AO87" i="4"/>
  <c r="AO88" i="4"/>
  <c r="AO90" i="4"/>
  <c r="AO91" i="4"/>
  <c r="AO95" i="4"/>
  <c r="AO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1" i="4"/>
  <c r="AN72" i="4"/>
  <c r="AN73" i="4"/>
  <c r="AN74" i="4"/>
  <c r="AN75" i="4"/>
  <c r="AN76" i="4"/>
  <c r="AN77" i="4"/>
  <c r="AN79" i="4"/>
  <c r="AN82" i="4"/>
  <c r="AN83" i="4"/>
  <c r="AN84" i="4"/>
  <c r="AN86" i="4"/>
  <c r="AN87" i="4"/>
  <c r="AN88" i="4"/>
  <c r="AN90" i="4"/>
  <c r="AN91" i="4"/>
  <c r="AN95" i="4"/>
  <c r="AN5" i="4"/>
  <c r="AB93" i="3" l="1"/>
  <c r="AC79" i="3"/>
  <c r="AB79" i="3"/>
  <c r="U99" i="2"/>
  <c r="U100" i="2"/>
  <c r="U98" i="2"/>
  <c r="V98" i="2" s="1"/>
  <c r="I99" i="2"/>
  <c r="I100" i="2"/>
  <c r="I98" i="2"/>
  <c r="E99" i="2"/>
  <c r="E100" i="2"/>
  <c r="E98" i="2"/>
  <c r="Q99" i="2"/>
  <c r="Q100" i="2"/>
  <c r="Q98" i="2"/>
  <c r="M99" i="2"/>
  <c r="M100" i="2"/>
  <c r="M98" i="2"/>
  <c r="T23" i="2"/>
  <c r="N22" i="2"/>
  <c r="S59" i="2"/>
  <c r="T59" i="2"/>
  <c r="U59" i="2"/>
  <c r="T13" i="2"/>
  <c r="S13" i="2"/>
  <c r="P13" i="2"/>
  <c r="O13" i="2"/>
  <c r="L13" i="2"/>
  <c r="K13" i="2"/>
  <c r="H13" i="2"/>
  <c r="G13" i="2"/>
  <c r="BA22" i="2"/>
  <c r="AZ22" i="2"/>
  <c r="AY22" i="2"/>
  <c r="AX22" i="2"/>
  <c r="AT22" i="2"/>
  <c r="AP22" i="2"/>
  <c r="AL22" i="2"/>
  <c r="AH22" i="2"/>
  <c r="AD22" i="2"/>
  <c r="Z22" i="2"/>
  <c r="V22" i="2"/>
  <c r="R22" i="2"/>
  <c r="J22" i="2"/>
  <c r="F22" i="2"/>
  <c r="AH22" i="4" s="1"/>
  <c r="Y13" i="3"/>
  <c r="X13" i="3"/>
  <c r="W13" i="3"/>
  <c r="T13" i="3"/>
  <c r="S13" i="3"/>
  <c r="R13" i="3"/>
  <c r="O13" i="3"/>
  <c r="N13" i="3"/>
  <c r="M13" i="3"/>
  <c r="J13" i="3"/>
  <c r="I13" i="3"/>
  <c r="H13" i="3"/>
  <c r="E13" i="3"/>
  <c r="D13" i="3"/>
  <c r="BM22" i="3"/>
  <c r="BL22" i="3"/>
  <c r="BK22" i="3"/>
  <c r="BI22" i="3"/>
  <c r="BD22" i="3"/>
  <c r="AY22" i="3"/>
  <c r="AT22" i="3"/>
  <c r="AO22" i="3"/>
  <c r="AJ22" i="3"/>
  <c r="AE22" i="3"/>
  <c r="Z22" i="3"/>
  <c r="U22" i="3"/>
  <c r="P22" i="3"/>
  <c r="K22" i="3"/>
  <c r="F22" i="3"/>
  <c r="U9" i="2"/>
  <c r="J44" i="2"/>
  <c r="V7" i="2"/>
  <c r="BM6" i="3"/>
  <c r="BM7" i="3"/>
  <c r="BM8" i="3"/>
  <c r="BM10" i="3"/>
  <c r="BM11" i="3"/>
  <c r="BM14" i="3"/>
  <c r="BM15" i="3"/>
  <c r="BM16" i="3"/>
  <c r="BM17" i="3"/>
  <c r="BM18" i="3"/>
  <c r="BM19" i="3"/>
  <c r="BM20" i="3"/>
  <c r="BM21" i="3"/>
  <c r="BM24" i="3"/>
  <c r="BM25" i="3"/>
  <c r="BM26" i="3"/>
  <c r="BM27" i="3"/>
  <c r="BM28" i="3"/>
  <c r="BM29" i="3"/>
  <c r="BM30" i="3"/>
  <c r="BM31" i="3"/>
  <c r="BM33" i="3"/>
  <c r="BM34" i="3"/>
  <c r="BM35" i="3"/>
  <c r="BM36" i="3"/>
  <c r="BM37" i="3"/>
  <c r="BM38" i="3"/>
  <c r="BM39" i="3"/>
  <c r="BM41" i="3"/>
  <c r="BM42" i="3"/>
  <c r="BM43" i="3"/>
  <c r="BM44" i="3"/>
  <c r="BM45" i="3"/>
  <c r="BM46" i="3"/>
  <c r="BM47" i="3"/>
  <c r="BM48" i="3"/>
  <c r="BM50" i="3"/>
  <c r="BM61" i="3"/>
  <c r="BM62" i="3"/>
  <c r="BM63" i="3"/>
  <c r="BM64" i="3"/>
  <c r="BM65" i="3"/>
  <c r="BM66" i="3"/>
  <c r="BM67" i="3"/>
  <c r="BM68" i="3"/>
  <c r="BM71" i="3"/>
  <c r="BM72" i="3"/>
  <c r="BM73" i="3"/>
  <c r="BM74" i="3"/>
  <c r="BM75" i="3"/>
  <c r="BO95" i="3"/>
  <c r="BO93" i="3"/>
  <c r="BO88" i="3"/>
  <c r="BO87" i="3"/>
  <c r="BO91" i="3" s="1"/>
  <c r="BO86" i="3"/>
  <c r="BO90" i="3" s="1"/>
  <c r="BO84" i="3"/>
  <c r="BO83" i="3"/>
  <c r="BO82" i="3"/>
  <c r="BJ95" i="3"/>
  <c r="BJ93" i="3"/>
  <c r="BJ88" i="3"/>
  <c r="BJ87" i="3"/>
  <c r="BJ91" i="3" s="1"/>
  <c r="BJ86" i="3"/>
  <c r="BJ90" i="3" s="1"/>
  <c r="BJ84" i="3"/>
  <c r="BJ83" i="3"/>
  <c r="BJ82" i="3"/>
  <c r="BE95" i="3"/>
  <c r="BE93" i="3"/>
  <c r="BE88" i="3"/>
  <c r="BE87" i="3"/>
  <c r="BE91" i="3" s="1"/>
  <c r="BE86" i="3"/>
  <c r="BE90" i="3" s="1"/>
  <c r="BE84" i="3"/>
  <c r="BE83" i="3"/>
  <c r="BE82" i="3"/>
  <c r="AZ95" i="3"/>
  <c r="AZ93" i="3"/>
  <c r="AZ88" i="3"/>
  <c r="AZ87" i="3"/>
  <c r="AZ91" i="3" s="1"/>
  <c r="AZ86" i="3"/>
  <c r="AZ90" i="3" s="1"/>
  <c r="AZ84" i="3"/>
  <c r="AZ83" i="3"/>
  <c r="AZ82" i="3"/>
  <c r="AU93" i="3"/>
  <c r="AU87" i="3"/>
  <c r="AU91" i="3" s="1"/>
  <c r="AU86" i="3"/>
  <c r="AU90" i="3" s="1"/>
  <c r="AU84" i="3"/>
  <c r="AU83" i="3"/>
  <c r="AU82" i="3"/>
  <c r="AP95" i="3"/>
  <c r="AP93" i="3"/>
  <c r="AP88" i="3"/>
  <c r="AP87" i="3"/>
  <c r="AP91" i="3" s="1"/>
  <c r="AP86" i="3"/>
  <c r="AP90" i="3" s="1"/>
  <c r="AP84" i="3"/>
  <c r="AP83" i="3"/>
  <c r="AP82" i="3"/>
  <c r="AK95" i="3"/>
  <c r="AK93" i="3"/>
  <c r="AK88" i="3"/>
  <c r="AK87" i="3"/>
  <c r="AK91" i="3" s="1"/>
  <c r="AK86" i="3"/>
  <c r="AK90" i="3" s="1"/>
  <c r="AK84" i="3"/>
  <c r="AK83" i="3"/>
  <c r="AK82" i="3"/>
  <c r="AF95" i="3"/>
  <c r="AF93" i="3"/>
  <c r="AF88" i="3"/>
  <c r="AF87" i="3"/>
  <c r="AF91" i="3" s="1"/>
  <c r="AF86" i="3"/>
  <c r="AF90" i="3" s="1"/>
  <c r="AF84" i="3"/>
  <c r="AF83" i="3"/>
  <c r="AF82" i="3"/>
  <c r="AA95" i="3"/>
  <c r="AA93" i="3"/>
  <c r="AA88" i="3"/>
  <c r="AA87" i="3"/>
  <c r="AA91" i="3" s="1"/>
  <c r="AA86" i="3"/>
  <c r="AA90" i="3" s="1"/>
  <c r="AA84" i="3"/>
  <c r="AA83" i="3"/>
  <c r="AA82" i="3"/>
  <c r="V95" i="3"/>
  <c r="V93" i="3"/>
  <c r="V88" i="3"/>
  <c r="V87" i="3"/>
  <c r="V91" i="3" s="1"/>
  <c r="V86" i="3"/>
  <c r="V90" i="3" s="1"/>
  <c r="V84" i="3"/>
  <c r="V83" i="3"/>
  <c r="V82" i="3"/>
  <c r="Q95" i="3"/>
  <c r="Q93" i="3"/>
  <c r="Q88" i="3"/>
  <c r="Q87" i="3"/>
  <c r="Q91" i="3" s="1"/>
  <c r="Q86" i="3"/>
  <c r="Q90" i="3" s="1"/>
  <c r="Q84" i="3"/>
  <c r="Q83" i="3"/>
  <c r="Q82" i="3"/>
  <c r="L95" i="3"/>
  <c r="L93" i="3"/>
  <c r="L88" i="3"/>
  <c r="L87" i="3"/>
  <c r="L91" i="3" s="1"/>
  <c r="L86" i="3"/>
  <c r="L90" i="3" s="1"/>
  <c r="L84" i="3"/>
  <c r="L83" i="3"/>
  <c r="L82" i="3"/>
  <c r="J13" i="2" l="1"/>
  <c r="R13" i="2"/>
  <c r="N13" i="2"/>
  <c r="BY13" i="3"/>
  <c r="V13" i="2"/>
  <c r="AY13" i="2"/>
  <c r="AE22" i="4"/>
  <c r="AG22" i="4"/>
  <c r="AI22" i="4"/>
  <c r="AC22" i="4"/>
  <c r="AD22" i="4"/>
  <c r="AF22" i="4"/>
  <c r="BD22" i="2"/>
  <c r="AB22" i="4"/>
  <c r="AA22" i="4"/>
  <c r="X22" i="4"/>
  <c r="Y22" i="4"/>
  <c r="Z22" i="4"/>
  <c r="W22" i="4"/>
  <c r="V22" i="4"/>
  <c r="U22" i="4"/>
  <c r="BX13" i="3"/>
  <c r="BW13" i="3"/>
  <c r="BR13" i="3"/>
  <c r="BS13" i="3"/>
  <c r="BQ13" i="3"/>
  <c r="R22" i="4"/>
  <c r="S22" i="4"/>
  <c r="T22" i="4"/>
  <c r="Q22" i="4"/>
  <c r="E22" i="4"/>
  <c r="BN22" i="3"/>
  <c r="I22" i="4"/>
  <c r="K22" i="4"/>
  <c r="G22" i="4"/>
  <c r="L22" i="4"/>
  <c r="M22" i="4"/>
  <c r="H22" i="4"/>
  <c r="N22" i="4"/>
  <c r="O22" i="4"/>
  <c r="J22" i="4"/>
  <c r="P22" i="4"/>
  <c r="F22" i="4"/>
  <c r="C22" i="4"/>
  <c r="D22" i="4"/>
  <c r="BB22" i="2"/>
  <c r="Q59" i="2"/>
  <c r="P59" i="2"/>
  <c r="O59" i="2"/>
  <c r="L59" i="2"/>
  <c r="M59" i="2"/>
  <c r="K59" i="2"/>
  <c r="H59" i="2"/>
  <c r="I59" i="2"/>
  <c r="G59" i="2"/>
  <c r="D59" i="2"/>
  <c r="C59" i="2"/>
  <c r="E59" i="2"/>
  <c r="AW95" i="2"/>
  <c r="AW93" i="2"/>
  <c r="AW88" i="2"/>
  <c r="AW87" i="2"/>
  <c r="AW91" i="2" s="1"/>
  <c r="AW86" i="2"/>
  <c r="AW90" i="2" s="1"/>
  <c r="AW84" i="2"/>
  <c r="AW83" i="2"/>
  <c r="AW82" i="2"/>
  <c r="AV95" i="2"/>
  <c r="AV93" i="2"/>
  <c r="AV88" i="2"/>
  <c r="AV87" i="2"/>
  <c r="AV91" i="2" s="1"/>
  <c r="AV86" i="2"/>
  <c r="AV90" i="2" s="1"/>
  <c r="AV84" i="2"/>
  <c r="AV83" i="2"/>
  <c r="AV82" i="2"/>
  <c r="AU95" i="2"/>
  <c r="AU93" i="2"/>
  <c r="AU88" i="2"/>
  <c r="AU87" i="2"/>
  <c r="AU91" i="2" s="1"/>
  <c r="AU86" i="2"/>
  <c r="AU90" i="2" s="1"/>
  <c r="AU84" i="2"/>
  <c r="AU83" i="2"/>
  <c r="AU82" i="2"/>
  <c r="AS95" i="2"/>
  <c r="AS93" i="2"/>
  <c r="AS88" i="2"/>
  <c r="AS87" i="2"/>
  <c r="AS91" i="2" s="1"/>
  <c r="AS86" i="2"/>
  <c r="AS90" i="2" s="1"/>
  <c r="AS84" i="2"/>
  <c r="AS83" i="2"/>
  <c r="AS82" i="2"/>
  <c r="AR95" i="2"/>
  <c r="AR93" i="2"/>
  <c r="AR88" i="2"/>
  <c r="AR87" i="2"/>
  <c r="AR91" i="2" s="1"/>
  <c r="AR86" i="2"/>
  <c r="AR90" i="2" s="1"/>
  <c r="AR84" i="2"/>
  <c r="AR83" i="2"/>
  <c r="AR82" i="2"/>
  <c r="AQ95" i="2"/>
  <c r="AQ93" i="2"/>
  <c r="AQ88" i="2"/>
  <c r="AQ87" i="2"/>
  <c r="AQ91" i="2" s="1"/>
  <c r="AQ86" i="2"/>
  <c r="AQ90" i="2" s="1"/>
  <c r="AQ84" i="2"/>
  <c r="AQ83" i="2"/>
  <c r="AQ82" i="2"/>
  <c r="AO95" i="2"/>
  <c r="AO93" i="2"/>
  <c r="AO88" i="2"/>
  <c r="AO87" i="2"/>
  <c r="AO91" i="2" s="1"/>
  <c r="AO86" i="2"/>
  <c r="AO90" i="2" s="1"/>
  <c r="AO84" i="2"/>
  <c r="AO83" i="2"/>
  <c r="AO82" i="2"/>
  <c r="AN95" i="2"/>
  <c r="AN93" i="2"/>
  <c r="AN88" i="2"/>
  <c r="AN87" i="2"/>
  <c r="AN91" i="2" s="1"/>
  <c r="AN86" i="2"/>
  <c r="AN90" i="2" s="1"/>
  <c r="AN84" i="2"/>
  <c r="AN83" i="2"/>
  <c r="AN82" i="2"/>
  <c r="AM95" i="2"/>
  <c r="AM93" i="2"/>
  <c r="AM88" i="2"/>
  <c r="AM87" i="2"/>
  <c r="AM91" i="2" s="1"/>
  <c r="AM86" i="2"/>
  <c r="AM90" i="2" s="1"/>
  <c r="AM84" i="2"/>
  <c r="AM83" i="2"/>
  <c r="AM82" i="2"/>
  <c r="AK95" i="2"/>
  <c r="AK93" i="2"/>
  <c r="AK88" i="2"/>
  <c r="AK87" i="2"/>
  <c r="AK91" i="2" s="1"/>
  <c r="AK86" i="2"/>
  <c r="AK90" i="2" s="1"/>
  <c r="AK84" i="2"/>
  <c r="AK83" i="2"/>
  <c r="AK82" i="2"/>
  <c r="AJ95" i="2"/>
  <c r="AJ93" i="2"/>
  <c r="AJ88" i="2"/>
  <c r="AJ87" i="2"/>
  <c r="AJ86" i="2"/>
  <c r="AJ90" i="2" s="1"/>
  <c r="AJ84" i="2"/>
  <c r="AJ83" i="2"/>
  <c r="AJ82" i="2"/>
  <c r="AI95" i="2"/>
  <c r="AI93" i="2"/>
  <c r="AI88" i="2"/>
  <c r="AI87" i="2"/>
  <c r="AI91" i="2" s="1"/>
  <c r="AI86" i="2"/>
  <c r="AI90" i="2" s="1"/>
  <c r="AI84" i="2"/>
  <c r="AI83" i="2"/>
  <c r="AI82" i="2"/>
  <c r="AG95" i="2"/>
  <c r="AG93" i="2"/>
  <c r="AG88" i="2"/>
  <c r="AG87" i="2"/>
  <c r="AG91" i="2" s="1"/>
  <c r="AG86" i="2"/>
  <c r="AG90" i="2" s="1"/>
  <c r="AG84" i="2"/>
  <c r="AG83" i="2"/>
  <c r="AG82" i="2"/>
  <c r="AF95" i="2"/>
  <c r="AF93" i="2"/>
  <c r="AF88" i="2"/>
  <c r="AF87" i="2"/>
  <c r="AF91" i="2" s="1"/>
  <c r="AF90" i="2"/>
  <c r="AF84" i="2"/>
  <c r="AF83" i="2"/>
  <c r="AF82" i="2"/>
  <c r="AE95" i="2"/>
  <c r="AE93" i="2"/>
  <c r="AE88" i="2"/>
  <c r="AE87" i="2"/>
  <c r="AE91" i="2" s="1"/>
  <c r="AE86" i="2"/>
  <c r="AE90" i="2" s="1"/>
  <c r="AE84" i="2"/>
  <c r="AE83" i="2"/>
  <c r="AE82" i="2"/>
  <c r="AC87" i="2"/>
  <c r="AC91" i="2" s="1"/>
  <c r="AC86" i="2"/>
  <c r="AC90" i="2" s="1"/>
  <c r="AC83" i="2"/>
  <c r="AC82" i="2"/>
  <c r="AB87" i="2"/>
  <c r="AB91" i="2" s="1"/>
  <c r="AB90" i="2"/>
  <c r="AB83" i="2"/>
  <c r="AB82" i="2"/>
  <c r="AA87" i="2"/>
  <c r="AA91" i="2" s="1"/>
  <c r="AA86" i="2"/>
  <c r="AA90" i="2" s="1"/>
  <c r="AA83" i="2"/>
  <c r="AA82" i="2"/>
  <c r="Y87" i="2"/>
  <c r="Y91" i="2" s="1"/>
  <c r="Y83" i="2"/>
  <c r="X87" i="2"/>
  <c r="X91" i="2" s="1"/>
  <c r="X83" i="2"/>
  <c r="U87" i="2"/>
  <c r="U91" i="2" s="1"/>
  <c r="U83" i="2"/>
  <c r="Y76" i="3"/>
  <c r="X76" i="3"/>
  <c r="W76" i="3"/>
  <c r="Y69" i="3"/>
  <c r="X69" i="3"/>
  <c r="W69" i="3"/>
  <c r="Y59" i="3"/>
  <c r="X59" i="3"/>
  <c r="W59" i="3"/>
  <c r="X49" i="3"/>
  <c r="W49" i="3"/>
  <c r="Y32" i="3"/>
  <c r="X32" i="3"/>
  <c r="W32" i="3"/>
  <c r="Y23" i="3"/>
  <c r="X23" i="3"/>
  <c r="W23" i="3"/>
  <c r="Y12" i="3"/>
  <c r="X12" i="3"/>
  <c r="W12" i="3"/>
  <c r="Q87" i="2"/>
  <c r="Q91" i="2" s="1"/>
  <c r="Q83" i="2"/>
  <c r="M87" i="2"/>
  <c r="M91" i="2" s="1"/>
  <c r="M83" i="2"/>
  <c r="I87" i="2"/>
  <c r="I91" i="2" s="1"/>
  <c r="I83" i="2"/>
  <c r="BH95" i="3"/>
  <c r="BG95" i="3"/>
  <c r="BF95" i="3"/>
  <c r="BH93" i="3"/>
  <c r="BG93" i="3"/>
  <c r="BF93" i="3"/>
  <c r="BH88" i="3"/>
  <c r="BG88" i="3"/>
  <c r="BF88" i="3"/>
  <c r="BH87" i="3"/>
  <c r="BH91" i="3" s="1"/>
  <c r="BG87" i="3"/>
  <c r="BG91" i="3" s="1"/>
  <c r="BF87" i="3"/>
  <c r="BF91" i="3" s="1"/>
  <c r="BH86" i="3"/>
  <c r="BH90" i="3" s="1"/>
  <c r="BG86" i="3"/>
  <c r="BG90" i="3" s="1"/>
  <c r="BF86" i="3"/>
  <c r="BF90" i="3" s="1"/>
  <c r="BH84" i="3"/>
  <c r="BG84" i="3"/>
  <c r="BF84" i="3"/>
  <c r="BH83" i="3"/>
  <c r="BG83" i="3"/>
  <c r="BF83" i="3"/>
  <c r="BH82" i="3"/>
  <c r="BG82" i="3"/>
  <c r="BF82" i="3"/>
  <c r="BC95" i="3"/>
  <c r="BB95" i="3"/>
  <c r="BA95" i="3"/>
  <c r="BC93" i="3"/>
  <c r="BC88" i="3"/>
  <c r="BB88" i="3"/>
  <c r="BA88" i="3"/>
  <c r="BC87" i="3"/>
  <c r="BC91" i="3" s="1"/>
  <c r="BB87" i="3"/>
  <c r="BB91" i="3" s="1"/>
  <c r="BA87" i="3"/>
  <c r="BC86" i="3"/>
  <c r="BC90" i="3" s="1"/>
  <c r="BB86" i="3"/>
  <c r="BA86" i="3"/>
  <c r="BC84" i="3"/>
  <c r="BB84" i="3"/>
  <c r="BA84" i="3"/>
  <c r="BC83" i="3"/>
  <c r="BB83" i="3"/>
  <c r="BA83" i="3"/>
  <c r="BC82" i="3"/>
  <c r="BB82" i="3"/>
  <c r="BA82" i="3"/>
  <c r="AX95" i="3"/>
  <c r="AW95" i="3"/>
  <c r="AV95" i="3"/>
  <c r="AX93" i="3"/>
  <c r="AX88" i="3"/>
  <c r="AW88" i="3"/>
  <c r="AV88" i="3"/>
  <c r="AX87" i="3"/>
  <c r="AX91" i="3" s="1"/>
  <c r="AW87" i="3"/>
  <c r="AW91" i="3" s="1"/>
  <c r="AV87" i="3"/>
  <c r="AV91" i="3" s="1"/>
  <c r="AX86" i="3"/>
  <c r="AX90" i="3" s="1"/>
  <c r="AW86" i="3"/>
  <c r="AW90" i="3" s="1"/>
  <c r="AV86" i="3"/>
  <c r="AV90" i="3" s="1"/>
  <c r="AX84" i="3"/>
  <c r="AW84" i="3"/>
  <c r="AV84" i="3"/>
  <c r="AX83" i="3"/>
  <c r="AW83" i="3"/>
  <c r="AV83" i="3"/>
  <c r="AX82" i="3"/>
  <c r="AW82" i="3"/>
  <c r="AV82" i="3"/>
  <c r="AS93" i="3"/>
  <c r="AR93" i="3"/>
  <c r="AQ93" i="3"/>
  <c r="AS88" i="3"/>
  <c r="AR88" i="3"/>
  <c r="AQ88" i="3"/>
  <c r="AS87" i="3"/>
  <c r="AS91" i="3" s="1"/>
  <c r="AR87" i="3"/>
  <c r="AR91" i="3" s="1"/>
  <c r="AQ87" i="3"/>
  <c r="AQ91" i="3" s="1"/>
  <c r="AS86" i="3"/>
  <c r="AS90" i="3" s="1"/>
  <c r="AR86" i="3"/>
  <c r="AR90" i="3" s="1"/>
  <c r="AQ86" i="3"/>
  <c r="AQ90" i="3" s="1"/>
  <c r="AS84" i="3"/>
  <c r="AR84" i="3"/>
  <c r="AQ84" i="3"/>
  <c r="AS83" i="3"/>
  <c r="AR83" i="3"/>
  <c r="AQ83" i="3"/>
  <c r="AS82" i="3"/>
  <c r="AR82" i="3"/>
  <c r="AQ82" i="3"/>
  <c r="AN95" i="3"/>
  <c r="AM95" i="3"/>
  <c r="AL95" i="3"/>
  <c r="AN93" i="3"/>
  <c r="AM93" i="3"/>
  <c r="AL93" i="3"/>
  <c r="AN88" i="3"/>
  <c r="AM88" i="3"/>
  <c r="AL88" i="3"/>
  <c r="AN87" i="3"/>
  <c r="AN91" i="3" s="1"/>
  <c r="AM87" i="3"/>
  <c r="AM91" i="3" s="1"/>
  <c r="AL87" i="3"/>
  <c r="AL91" i="3" s="1"/>
  <c r="AN86" i="3"/>
  <c r="AN90" i="3" s="1"/>
  <c r="AM86" i="3"/>
  <c r="AM90" i="3" s="1"/>
  <c r="AL86" i="3"/>
  <c r="AL90" i="3" s="1"/>
  <c r="AN84" i="3"/>
  <c r="AM84" i="3"/>
  <c r="AL84" i="3"/>
  <c r="AN83" i="3"/>
  <c r="AM83" i="3"/>
  <c r="AL83" i="3"/>
  <c r="AN82" i="3"/>
  <c r="AM82" i="3"/>
  <c r="AL82" i="3"/>
  <c r="AI95" i="3"/>
  <c r="AH95" i="3"/>
  <c r="AG95" i="3"/>
  <c r="AH93" i="3"/>
  <c r="AI88" i="3"/>
  <c r="AH88" i="3"/>
  <c r="AG88" i="3"/>
  <c r="AI87" i="3"/>
  <c r="AI91" i="3" s="1"/>
  <c r="AH87" i="3"/>
  <c r="AG87" i="3"/>
  <c r="AI86" i="3"/>
  <c r="AI90" i="3" s="1"/>
  <c r="AH86" i="3"/>
  <c r="AG86" i="3"/>
  <c r="AI84" i="3"/>
  <c r="AH84" i="3"/>
  <c r="AG84" i="3"/>
  <c r="AI83" i="3"/>
  <c r="AH83" i="3"/>
  <c r="AG83" i="3"/>
  <c r="AI82" i="3"/>
  <c r="AH82" i="3"/>
  <c r="AG82" i="3"/>
  <c r="AD95" i="3"/>
  <c r="AC95" i="3"/>
  <c r="AB95" i="3"/>
  <c r="AD93" i="3"/>
  <c r="AC93" i="3"/>
  <c r="AD88" i="3"/>
  <c r="AC88" i="3"/>
  <c r="AB88" i="3"/>
  <c r="AD87" i="3"/>
  <c r="AD91" i="3" s="1"/>
  <c r="AC87" i="3"/>
  <c r="AC91" i="3" s="1"/>
  <c r="AB87" i="3"/>
  <c r="AB91" i="3" s="1"/>
  <c r="AD86" i="3"/>
  <c r="AD90" i="3" s="1"/>
  <c r="AC86" i="3"/>
  <c r="AC90" i="3" s="1"/>
  <c r="AB86" i="3"/>
  <c r="AD84" i="3"/>
  <c r="AC84" i="3"/>
  <c r="AB84" i="3"/>
  <c r="AD83" i="3"/>
  <c r="AC83" i="3"/>
  <c r="AD82" i="3"/>
  <c r="AC82" i="3"/>
  <c r="AB82" i="3"/>
  <c r="T76" i="3"/>
  <c r="S76" i="3"/>
  <c r="R76" i="3"/>
  <c r="T69" i="3"/>
  <c r="S69" i="3"/>
  <c r="R69" i="3"/>
  <c r="T59" i="3"/>
  <c r="S59" i="3"/>
  <c r="R59" i="3"/>
  <c r="T49" i="3"/>
  <c r="BY49" i="3" s="1"/>
  <c r="S49" i="3"/>
  <c r="R49" i="3"/>
  <c r="T32" i="3"/>
  <c r="S32" i="3"/>
  <c r="R32" i="3"/>
  <c r="T23" i="3"/>
  <c r="S23" i="3"/>
  <c r="R23" i="3"/>
  <c r="T12" i="3"/>
  <c r="S86" i="3"/>
  <c r="S90" i="3" s="1"/>
  <c r="R12" i="3"/>
  <c r="O76" i="3"/>
  <c r="O77" i="3" s="1"/>
  <c r="N76" i="3"/>
  <c r="N77" i="3" s="1"/>
  <c r="M76" i="3"/>
  <c r="M77" i="3" s="1"/>
  <c r="O69" i="3"/>
  <c r="N69" i="3"/>
  <c r="M69" i="3"/>
  <c r="O59" i="3"/>
  <c r="N59" i="3"/>
  <c r="M59" i="3"/>
  <c r="O49" i="3"/>
  <c r="N49" i="3"/>
  <c r="M49" i="3"/>
  <c r="O32" i="3"/>
  <c r="N32" i="3"/>
  <c r="M32" i="3"/>
  <c r="O23" i="3"/>
  <c r="N23" i="3"/>
  <c r="M23" i="3"/>
  <c r="O12" i="3"/>
  <c r="N12" i="3"/>
  <c r="M12" i="3"/>
  <c r="J76" i="3"/>
  <c r="J77" i="3" s="1"/>
  <c r="I76" i="3"/>
  <c r="I77" i="3" s="1"/>
  <c r="H76" i="3"/>
  <c r="H77" i="3" s="1"/>
  <c r="J69" i="3"/>
  <c r="I69" i="3"/>
  <c r="H69" i="3"/>
  <c r="J59" i="3"/>
  <c r="I59" i="3"/>
  <c r="H59" i="3"/>
  <c r="J49" i="3"/>
  <c r="I49" i="3"/>
  <c r="H49" i="3"/>
  <c r="J32" i="3"/>
  <c r="I32" i="3"/>
  <c r="H32" i="3"/>
  <c r="J23" i="3"/>
  <c r="I23" i="3"/>
  <c r="H23" i="3"/>
  <c r="J12" i="3"/>
  <c r="I12" i="3"/>
  <c r="H12" i="3"/>
  <c r="E32" i="2"/>
  <c r="E83" i="2" s="1"/>
  <c r="C32" i="2"/>
  <c r="D32" i="2"/>
  <c r="G95" i="3"/>
  <c r="G93" i="3"/>
  <c r="G88" i="3"/>
  <c r="G87" i="3"/>
  <c r="G91" i="3" s="1"/>
  <c r="G86" i="3"/>
  <c r="G90" i="3" s="1"/>
  <c r="G84" i="3"/>
  <c r="G83" i="3"/>
  <c r="G82" i="3"/>
  <c r="D76" i="3"/>
  <c r="E76" i="3"/>
  <c r="C76" i="3"/>
  <c r="D69" i="3"/>
  <c r="E69" i="3"/>
  <c r="C69" i="3"/>
  <c r="D59" i="3"/>
  <c r="E59" i="3"/>
  <c r="C59" i="3"/>
  <c r="D49" i="3"/>
  <c r="E49" i="3"/>
  <c r="C49" i="3"/>
  <c r="D32" i="3"/>
  <c r="E32" i="3"/>
  <c r="C32" i="3"/>
  <c r="D23" i="3"/>
  <c r="E23" i="3"/>
  <c r="D12" i="3"/>
  <c r="E12" i="3"/>
  <c r="C12" i="3"/>
  <c r="F6" i="3"/>
  <c r="F7" i="3"/>
  <c r="F8" i="3"/>
  <c r="F9" i="3"/>
  <c r="F10" i="3"/>
  <c r="F11" i="3"/>
  <c r="F14" i="3"/>
  <c r="F15" i="3"/>
  <c r="F16" i="3"/>
  <c r="F17" i="3"/>
  <c r="F18" i="3"/>
  <c r="F19" i="3"/>
  <c r="F20" i="3"/>
  <c r="F21" i="3"/>
  <c r="F24" i="3"/>
  <c r="F25" i="3"/>
  <c r="F26" i="3"/>
  <c r="F27" i="3"/>
  <c r="F28" i="3"/>
  <c r="F29" i="3"/>
  <c r="F30" i="3"/>
  <c r="F31" i="3"/>
  <c r="F33" i="3"/>
  <c r="F34" i="3"/>
  <c r="F35" i="3"/>
  <c r="F36" i="3"/>
  <c r="F37" i="3"/>
  <c r="F38" i="3"/>
  <c r="F39" i="3"/>
  <c r="F41" i="3"/>
  <c r="F42" i="3"/>
  <c r="F43" i="3"/>
  <c r="F44" i="3"/>
  <c r="F45" i="3"/>
  <c r="F46" i="3"/>
  <c r="F47" i="3"/>
  <c r="F48" i="3"/>
  <c r="F50" i="3"/>
  <c r="F51" i="3"/>
  <c r="F52" i="3"/>
  <c r="F53" i="3"/>
  <c r="F54" i="3"/>
  <c r="F55" i="3"/>
  <c r="F56" i="3"/>
  <c r="F57" i="3"/>
  <c r="F58" i="3"/>
  <c r="F61" i="3"/>
  <c r="F62" i="3"/>
  <c r="F63" i="3"/>
  <c r="F64" i="3"/>
  <c r="F65" i="3"/>
  <c r="F66" i="3"/>
  <c r="F67" i="3"/>
  <c r="F68" i="3"/>
  <c r="F71" i="3"/>
  <c r="F72" i="3"/>
  <c r="F73" i="3"/>
  <c r="F74" i="3"/>
  <c r="F75" i="3"/>
  <c r="F5" i="3"/>
  <c r="BZ13" i="3" l="1"/>
  <c r="X92" i="3"/>
  <c r="C87" i="3"/>
  <c r="C83" i="3"/>
  <c r="BL59" i="3"/>
  <c r="AF1" i="3"/>
  <c r="AL22" i="4"/>
  <c r="AJ22" i="4"/>
  <c r="AK22" i="4"/>
  <c r="BK12" i="3"/>
  <c r="R92" i="3"/>
  <c r="T92" i="3"/>
  <c r="S92" i="3"/>
  <c r="Y92" i="3"/>
  <c r="BA91" i="3"/>
  <c r="W92" i="3"/>
  <c r="BB90" i="3"/>
  <c r="BA90" i="3"/>
  <c r="H86" i="3"/>
  <c r="H90" i="3" s="1"/>
  <c r="H92" i="3"/>
  <c r="O86" i="3"/>
  <c r="O90" i="3" s="1"/>
  <c r="O92" i="3"/>
  <c r="C92" i="3"/>
  <c r="I86" i="3"/>
  <c r="I90" i="3" s="1"/>
  <c r="I92" i="3"/>
  <c r="BY32" i="3"/>
  <c r="M86" i="3"/>
  <c r="M90" i="3" s="1"/>
  <c r="M92" i="3"/>
  <c r="E92" i="3"/>
  <c r="J86" i="3"/>
  <c r="J90" i="3" s="1"/>
  <c r="J92" i="3"/>
  <c r="D92" i="3"/>
  <c r="N86" i="3"/>
  <c r="N90" i="3" s="1"/>
  <c r="N92" i="3"/>
  <c r="W77" i="3"/>
  <c r="X77" i="3"/>
  <c r="AJ91" i="2"/>
  <c r="AG90" i="3"/>
  <c r="BX49" i="3"/>
  <c r="AH91" i="3"/>
  <c r="AG91" i="3"/>
  <c r="AH90" i="3"/>
  <c r="AB90" i="3"/>
  <c r="BW59" i="3"/>
  <c r="BX59" i="3"/>
  <c r="BY59" i="3"/>
  <c r="BX32" i="3"/>
  <c r="BR76" i="3"/>
  <c r="BW32" i="3"/>
  <c r="BS59" i="3"/>
  <c r="BS32" i="3"/>
  <c r="BY23" i="3"/>
  <c r="BY69" i="3"/>
  <c r="T77" i="3"/>
  <c r="BY76" i="3"/>
  <c r="BW49" i="3"/>
  <c r="BZ49" i="3" s="1"/>
  <c r="BQ59" i="3"/>
  <c r="BQ12" i="3"/>
  <c r="S77" i="3"/>
  <c r="BX76" i="3"/>
  <c r="BQ69" i="3"/>
  <c r="BS69" i="3"/>
  <c r="BT13" i="3"/>
  <c r="BR59" i="3"/>
  <c r="BR69" i="3"/>
  <c r="BW23" i="3"/>
  <c r="BW69" i="3"/>
  <c r="BQ76" i="3"/>
  <c r="BX23" i="3"/>
  <c r="BX69" i="3"/>
  <c r="R77" i="3"/>
  <c r="BW77" i="3" s="1"/>
  <c r="BW76" i="3"/>
  <c r="BR12" i="3"/>
  <c r="E77" i="3"/>
  <c r="BS77" i="3" s="1"/>
  <c r="BS76" i="3"/>
  <c r="R82" i="3"/>
  <c r="BW12" i="3"/>
  <c r="BS12" i="3"/>
  <c r="BQ23" i="3"/>
  <c r="BS23" i="3"/>
  <c r="BR23" i="3"/>
  <c r="BQ32" i="3"/>
  <c r="BR32" i="3"/>
  <c r="T82" i="3"/>
  <c r="BY12" i="3"/>
  <c r="X82" i="3"/>
  <c r="BX12" i="3"/>
  <c r="BQ49" i="3"/>
  <c r="BS49" i="3"/>
  <c r="BR49" i="3"/>
  <c r="D86" i="3"/>
  <c r="D77" i="3"/>
  <c r="C77" i="3"/>
  <c r="BQ77" i="3" s="1"/>
  <c r="X86" i="3"/>
  <c r="X90" i="3" s="1"/>
  <c r="BM32" i="3"/>
  <c r="W82" i="3"/>
  <c r="W40" i="3"/>
  <c r="W86" i="3"/>
  <c r="W90" i="3" s="1"/>
  <c r="C82" i="3"/>
  <c r="BM59" i="3"/>
  <c r="BM49" i="3"/>
  <c r="BM69" i="3"/>
  <c r="BM13" i="3"/>
  <c r="BM23" i="3"/>
  <c r="Y77" i="3"/>
  <c r="BM76" i="3"/>
  <c r="Y86" i="3"/>
  <c r="Y90" i="3" s="1"/>
  <c r="BM12" i="3"/>
  <c r="Y83" i="3"/>
  <c r="Y82" i="3"/>
  <c r="F76" i="3"/>
  <c r="F23" i="3"/>
  <c r="O83" i="3"/>
  <c r="H87" i="3"/>
  <c r="H91" i="3" s="1"/>
  <c r="I87" i="3"/>
  <c r="I91" i="3" s="1"/>
  <c r="I82" i="3"/>
  <c r="W87" i="3"/>
  <c r="W91" i="3" s="1"/>
  <c r="Y87" i="3"/>
  <c r="Y91" i="3" s="1"/>
  <c r="W83" i="3"/>
  <c r="N87" i="3"/>
  <c r="N91" i="3" s="1"/>
  <c r="D82" i="3"/>
  <c r="F13" i="3"/>
  <c r="R40" i="3"/>
  <c r="I83" i="3"/>
  <c r="S87" i="3"/>
  <c r="S91" i="3" s="1"/>
  <c r="D83" i="3"/>
  <c r="M82" i="3"/>
  <c r="J87" i="3"/>
  <c r="J91" i="3" s="1"/>
  <c r="S82" i="3"/>
  <c r="H82" i="3"/>
  <c r="M87" i="3"/>
  <c r="M91" i="3" s="1"/>
  <c r="X83" i="3"/>
  <c r="J82" i="3"/>
  <c r="N83" i="3"/>
  <c r="Y40" i="3"/>
  <c r="R87" i="3"/>
  <c r="R91" i="3" s="1"/>
  <c r="F32" i="3"/>
  <c r="F12" i="3"/>
  <c r="H83" i="3"/>
  <c r="T87" i="3"/>
  <c r="T91" i="3" s="1"/>
  <c r="F69" i="3"/>
  <c r="J83" i="3"/>
  <c r="H40" i="3"/>
  <c r="H84" i="3" s="1"/>
  <c r="N82" i="3"/>
  <c r="O87" i="3"/>
  <c r="O91" i="3" s="1"/>
  <c r="R83" i="3"/>
  <c r="E87" i="3"/>
  <c r="E91" i="3" s="1"/>
  <c r="I40" i="3"/>
  <c r="I84" i="3" s="1"/>
  <c r="O82" i="3"/>
  <c r="S83" i="3"/>
  <c r="X87" i="3"/>
  <c r="X91" i="3" s="1"/>
  <c r="D87" i="3"/>
  <c r="J40" i="3"/>
  <c r="J84" i="3" s="1"/>
  <c r="S40" i="3"/>
  <c r="T83" i="3"/>
  <c r="X40" i="3"/>
  <c r="X84" i="3" s="1"/>
  <c r="C40" i="3"/>
  <c r="E83" i="3"/>
  <c r="M83" i="3"/>
  <c r="E40" i="3"/>
  <c r="M40" i="3"/>
  <c r="M84" i="3" s="1"/>
  <c r="D40" i="3"/>
  <c r="N40" i="3"/>
  <c r="N84" i="3" s="1"/>
  <c r="R86" i="3"/>
  <c r="R90" i="3" s="1"/>
  <c r="O40" i="3"/>
  <c r="O84" i="3" s="1"/>
  <c r="C86" i="3"/>
  <c r="C90" i="3" s="1"/>
  <c r="E86" i="3"/>
  <c r="E90" i="3" s="1"/>
  <c r="E82" i="3"/>
  <c r="T86" i="3"/>
  <c r="T90" i="3" s="1"/>
  <c r="T40" i="3"/>
  <c r="E87" i="2"/>
  <c r="E91" i="2" s="1"/>
  <c r="F59" i="3"/>
  <c r="F49" i="3"/>
  <c r="BY83" i="3" l="1"/>
  <c r="BR92" i="3"/>
  <c r="W84" i="3"/>
  <c r="BK40" i="3"/>
  <c r="BQ92" i="3"/>
  <c r="BZ32" i="3"/>
  <c r="BS92" i="3"/>
  <c r="BM92" i="3"/>
  <c r="BW92" i="3"/>
  <c r="BY87" i="3"/>
  <c r="BY91" i="3" s="1"/>
  <c r="BX92" i="3"/>
  <c r="BY92" i="3"/>
  <c r="F92" i="3"/>
  <c r="BX77" i="3"/>
  <c r="BR77" i="3"/>
  <c r="BZ59" i="3"/>
  <c r="BZ23" i="3"/>
  <c r="BZ69" i="3"/>
  <c r="BT59" i="3"/>
  <c r="BT77" i="3"/>
  <c r="BT32" i="3"/>
  <c r="BZ76" i="3"/>
  <c r="F77" i="3"/>
  <c r="BT69" i="3"/>
  <c r="BM77" i="3"/>
  <c r="BR40" i="3"/>
  <c r="BT76" i="3"/>
  <c r="BT12" i="3"/>
  <c r="BY77" i="3"/>
  <c r="BZ77" i="3" s="1"/>
  <c r="BY86" i="3"/>
  <c r="BY90" i="3" s="1"/>
  <c r="BY82" i="3"/>
  <c r="BQ40" i="3"/>
  <c r="T84" i="3"/>
  <c r="BY40" i="3"/>
  <c r="BY84" i="3" s="1"/>
  <c r="BT23" i="3"/>
  <c r="E84" i="3"/>
  <c r="BS40" i="3"/>
  <c r="S84" i="3"/>
  <c r="BX40" i="3"/>
  <c r="R84" i="3"/>
  <c r="BW40" i="3"/>
  <c r="BZ12" i="3"/>
  <c r="BT49" i="3"/>
  <c r="BW82" i="3"/>
  <c r="BW86" i="3"/>
  <c r="BW90" i="3" s="1"/>
  <c r="BW83" i="3"/>
  <c r="BW87" i="3"/>
  <c r="BW91" i="3" s="1"/>
  <c r="BR87" i="3"/>
  <c r="BR91" i="3" s="1"/>
  <c r="BR83" i="3"/>
  <c r="BR82" i="3"/>
  <c r="BR86" i="3"/>
  <c r="BR90" i="3" s="1"/>
  <c r="C91" i="3"/>
  <c r="D91" i="3"/>
  <c r="D90" i="3"/>
  <c r="C60" i="3"/>
  <c r="F86" i="3"/>
  <c r="F90" i="3" s="1"/>
  <c r="D84" i="3"/>
  <c r="Y84" i="3"/>
  <c r="BM40" i="3"/>
  <c r="F87" i="3"/>
  <c r="R60" i="3"/>
  <c r="W60" i="3"/>
  <c r="H60" i="3"/>
  <c r="H88" i="3" s="1"/>
  <c r="Y60" i="3"/>
  <c r="I60" i="3"/>
  <c r="I88" i="3" s="1"/>
  <c r="N60" i="3"/>
  <c r="N88" i="3" s="1"/>
  <c r="F83" i="3"/>
  <c r="D60" i="3"/>
  <c r="E60" i="3"/>
  <c r="F82" i="3"/>
  <c r="X60" i="3"/>
  <c r="S60" i="3"/>
  <c r="M60" i="3"/>
  <c r="J60" i="3"/>
  <c r="J70" i="3" s="1"/>
  <c r="J79" i="3" s="1"/>
  <c r="J95" i="3" s="1"/>
  <c r="O60" i="3"/>
  <c r="F40" i="3"/>
  <c r="C84" i="3"/>
  <c r="T60" i="3"/>
  <c r="AC49" i="2"/>
  <c r="AC92" i="2" s="1"/>
  <c r="AB49" i="2"/>
  <c r="AB92" i="2" s="1"/>
  <c r="AA49" i="2"/>
  <c r="AA92" i="2" s="1"/>
  <c r="Y49" i="2"/>
  <c r="X49" i="2"/>
  <c r="W49" i="2"/>
  <c r="U49" i="2"/>
  <c r="T49" i="2"/>
  <c r="S49" i="2"/>
  <c r="Q49" i="2"/>
  <c r="P49" i="2"/>
  <c r="O49" i="2"/>
  <c r="M49" i="2"/>
  <c r="L49" i="2"/>
  <c r="K49" i="2"/>
  <c r="I49" i="2"/>
  <c r="H49" i="2"/>
  <c r="G49" i="2"/>
  <c r="D49" i="2"/>
  <c r="E49" i="2"/>
  <c r="C49" i="2"/>
  <c r="AC40" i="2"/>
  <c r="AC84" i="2" s="1"/>
  <c r="AB40" i="2"/>
  <c r="AB84" i="2" s="1"/>
  <c r="AA40" i="2"/>
  <c r="AA84" i="2" s="1"/>
  <c r="T32" i="2"/>
  <c r="P32" i="2"/>
  <c r="L32" i="2"/>
  <c r="H32" i="2"/>
  <c r="BT86" i="3" l="1"/>
  <c r="BT90" i="3" s="1"/>
  <c r="BT92" i="3"/>
  <c r="BZ92" i="3"/>
  <c r="X88" i="3"/>
  <c r="W70" i="3"/>
  <c r="BT82" i="3"/>
  <c r="BR60" i="3"/>
  <c r="BZ40" i="3"/>
  <c r="BX60" i="3"/>
  <c r="BT83" i="3"/>
  <c r="BT87" i="3"/>
  <c r="BT91" i="3" s="1"/>
  <c r="BT40" i="3"/>
  <c r="BT84" i="3" s="1"/>
  <c r="BQ60" i="3"/>
  <c r="E88" i="3"/>
  <c r="BS60" i="3"/>
  <c r="BY60" i="3"/>
  <c r="BY88" i="3" s="1"/>
  <c r="R88" i="3"/>
  <c r="BW60" i="3"/>
  <c r="BR84" i="3"/>
  <c r="BW84" i="3"/>
  <c r="C88" i="3"/>
  <c r="F91" i="3"/>
  <c r="C70" i="3"/>
  <c r="R70" i="3"/>
  <c r="H70" i="3"/>
  <c r="H79" i="3" s="1"/>
  <c r="H95" i="3" s="1"/>
  <c r="I70" i="3"/>
  <c r="I93" i="3" s="1"/>
  <c r="N70" i="3"/>
  <c r="N93" i="3" s="1"/>
  <c r="BM60" i="3"/>
  <c r="F60" i="3"/>
  <c r="E70" i="3"/>
  <c r="W88" i="3"/>
  <c r="D88" i="3"/>
  <c r="D70" i="3"/>
  <c r="Y88" i="3"/>
  <c r="Y70" i="3"/>
  <c r="F84" i="3"/>
  <c r="X70" i="3"/>
  <c r="J88" i="3"/>
  <c r="O88" i="3"/>
  <c r="O70" i="3"/>
  <c r="M88" i="3"/>
  <c r="M70" i="3"/>
  <c r="J93" i="3"/>
  <c r="S88" i="3"/>
  <c r="S70" i="3"/>
  <c r="T88" i="3"/>
  <c r="T70" i="3"/>
  <c r="AC60" i="2"/>
  <c r="AA60" i="2"/>
  <c r="T83" i="2"/>
  <c r="T87" i="2"/>
  <c r="T91" i="2" s="1"/>
  <c r="AB60" i="2"/>
  <c r="P23" i="2"/>
  <c r="L23" i="2"/>
  <c r="H23" i="2"/>
  <c r="D23" i="2"/>
  <c r="CD70" i="3" l="1"/>
  <c r="W79" i="3"/>
  <c r="BK70" i="3"/>
  <c r="W93" i="3"/>
  <c r="W95" i="3"/>
  <c r="X93" i="3"/>
  <c r="BL70" i="3"/>
  <c r="BP70" i="3" s="1"/>
  <c r="BP71" i="3" s="1"/>
  <c r="BP73" i="3" s="1"/>
  <c r="BZ60" i="3"/>
  <c r="H93" i="3"/>
  <c r="BQ70" i="3"/>
  <c r="R93" i="3"/>
  <c r="BW70" i="3"/>
  <c r="BX70" i="3"/>
  <c r="BY70" i="3"/>
  <c r="BR70" i="3"/>
  <c r="E79" i="3"/>
  <c r="BS70" i="3"/>
  <c r="BT60" i="3"/>
  <c r="BT88" i="3" s="1"/>
  <c r="BR88" i="3"/>
  <c r="BW88" i="3"/>
  <c r="I79" i="3"/>
  <c r="I95" i="3" s="1"/>
  <c r="F88" i="3"/>
  <c r="C93" i="3"/>
  <c r="R79" i="3"/>
  <c r="C79" i="3"/>
  <c r="F70" i="3"/>
  <c r="N79" i="3"/>
  <c r="N95" i="3" s="1"/>
  <c r="E93" i="3"/>
  <c r="BM70" i="3"/>
  <c r="Y93" i="3"/>
  <c r="Y79" i="3"/>
  <c r="D93" i="3"/>
  <c r="D79" i="3"/>
  <c r="X79" i="3"/>
  <c r="S93" i="3"/>
  <c r="S79" i="3"/>
  <c r="M93" i="3"/>
  <c r="M79" i="3"/>
  <c r="M95" i="3" s="1"/>
  <c r="O93" i="3"/>
  <c r="O79" i="3"/>
  <c r="O95" i="3" s="1"/>
  <c r="T93" i="3"/>
  <c r="T79" i="3"/>
  <c r="D87" i="2"/>
  <c r="D91" i="2" s="1"/>
  <c r="D83" i="2"/>
  <c r="H87" i="2"/>
  <c r="H91" i="2" s="1"/>
  <c r="H83" i="2"/>
  <c r="P83" i="2"/>
  <c r="P87" i="2"/>
  <c r="P91" i="2" s="1"/>
  <c r="AA70" i="2"/>
  <c r="AA88" i="2"/>
  <c r="L83" i="2"/>
  <c r="L87" i="2"/>
  <c r="L91" i="2" s="1"/>
  <c r="AB70" i="2"/>
  <c r="AB88" i="2"/>
  <c r="AC70" i="2"/>
  <c r="AC88" i="2"/>
  <c r="W23" i="2"/>
  <c r="W92" i="2" s="1"/>
  <c r="O23" i="2"/>
  <c r="K23" i="2"/>
  <c r="G23" i="2"/>
  <c r="C23" i="2"/>
  <c r="C92" i="2" s="1"/>
  <c r="Y12" i="2"/>
  <c r="Y92" i="2" s="1"/>
  <c r="X12" i="2"/>
  <c r="X92" i="2" s="1"/>
  <c r="U12" i="2"/>
  <c r="U92" i="2" s="1"/>
  <c r="T12" i="2"/>
  <c r="T92" i="2" s="1"/>
  <c r="S12" i="2"/>
  <c r="Q12" i="2"/>
  <c r="Q92" i="2" s="1"/>
  <c r="P12" i="2"/>
  <c r="P92" i="2" s="1"/>
  <c r="O12" i="2"/>
  <c r="M12" i="2"/>
  <c r="M92" i="2" s="1"/>
  <c r="L12" i="2"/>
  <c r="L92" i="2" s="1"/>
  <c r="K12" i="2"/>
  <c r="I12" i="2"/>
  <c r="I92" i="2" s="1"/>
  <c r="H12" i="2"/>
  <c r="H92" i="2" s="1"/>
  <c r="G12" i="2"/>
  <c r="D12" i="2"/>
  <c r="D92" i="2" s="1"/>
  <c r="E12" i="2"/>
  <c r="E92" i="2" s="1"/>
  <c r="Y69" i="2"/>
  <c r="X69" i="2"/>
  <c r="W69" i="2"/>
  <c r="U69" i="2"/>
  <c r="T69" i="2"/>
  <c r="S69" i="2"/>
  <c r="Q69" i="2"/>
  <c r="P69" i="2"/>
  <c r="O69" i="2"/>
  <c r="M69" i="2"/>
  <c r="L69" i="2"/>
  <c r="K69" i="2"/>
  <c r="I69" i="2"/>
  <c r="H69" i="2"/>
  <c r="G69" i="2"/>
  <c r="D69" i="2"/>
  <c r="E69" i="2"/>
  <c r="C69" i="2"/>
  <c r="Y76" i="2"/>
  <c r="Y77" i="2" s="1"/>
  <c r="X76" i="2"/>
  <c r="X77" i="2" s="1"/>
  <c r="W76" i="2"/>
  <c r="W77" i="2" s="1"/>
  <c r="U76" i="2"/>
  <c r="U77" i="2" s="1"/>
  <c r="T76" i="2"/>
  <c r="T77" i="2" s="1"/>
  <c r="S76" i="2"/>
  <c r="S77" i="2" s="1"/>
  <c r="Q76" i="2"/>
  <c r="Q77" i="2" s="1"/>
  <c r="P76" i="2"/>
  <c r="P77" i="2" s="1"/>
  <c r="O76" i="2"/>
  <c r="O77" i="2" s="1"/>
  <c r="M76" i="2"/>
  <c r="M77" i="2" s="1"/>
  <c r="L76" i="2"/>
  <c r="L77" i="2" s="1"/>
  <c r="K76" i="2"/>
  <c r="K77" i="2" s="1"/>
  <c r="I76" i="2"/>
  <c r="I77" i="2" s="1"/>
  <c r="H76" i="2"/>
  <c r="H77" i="2" s="1"/>
  <c r="G76" i="2"/>
  <c r="G77" i="2" s="1"/>
  <c r="D76" i="2"/>
  <c r="D77" i="2" s="1"/>
  <c r="E76" i="2"/>
  <c r="E77" i="2" s="1"/>
  <c r="C76" i="2"/>
  <c r="C77" i="2" s="1"/>
  <c r="G92" i="2" l="1"/>
  <c r="BL79" i="3"/>
  <c r="O92" i="2"/>
  <c r="K92" i="2"/>
  <c r="S40" i="2"/>
  <c r="S92" i="2"/>
  <c r="X95" i="3"/>
  <c r="BT70" i="3"/>
  <c r="BT93" i="3" s="1"/>
  <c r="R95" i="3"/>
  <c r="BW79" i="3"/>
  <c r="S95" i="3"/>
  <c r="BX79" i="3"/>
  <c r="E95" i="3"/>
  <c r="BS79" i="3"/>
  <c r="BR79" i="3"/>
  <c r="BY93" i="3"/>
  <c r="T95" i="3"/>
  <c r="BY79" i="3"/>
  <c r="BY95" i="3" s="1"/>
  <c r="BZ70" i="3"/>
  <c r="BZ93" i="3" s="1"/>
  <c r="BQ79" i="3"/>
  <c r="BR93" i="3"/>
  <c r="BW93" i="3"/>
  <c r="C95" i="3"/>
  <c r="F93" i="3"/>
  <c r="F79" i="3"/>
  <c r="F95" i="3" s="1"/>
  <c r="D95" i="3"/>
  <c r="Y95" i="3"/>
  <c r="BM79" i="3"/>
  <c r="I40" i="2"/>
  <c r="I82" i="2"/>
  <c r="I86" i="2"/>
  <c r="I90" i="2" s="1"/>
  <c r="G86" i="2"/>
  <c r="G90" i="2" s="1"/>
  <c r="G82" i="2"/>
  <c r="O86" i="2"/>
  <c r="O90" i="2" s="1"/>
  <c r="O82" i="2"/>
  <c r="G87" i="2"/>
  <c r="G91" i="2" s="1"/>
  <c r="G83" i="2"/>
  <c r="P40" i="2"/>
  <c r="P82" i="2"/>
  <c r="P86" i="2"/>
  <c r="P90" i="2" s="1"/>
  <c r="AC79" i="2"/>
  <c r="AC95" i="2" s="1"/>
  <c r="AC93" i="2"/>
  <c r="L40" i="2"/>
  <c r="L86" i="2"/>
  <c r="L90" i="2" s="1"/>
  <c r="L82" i="2"/>
  <c r="Q40" i="2"/>
  <c r="Q86" i="2"/>
  <c r="Q90" i="2" s="1"/>
  <c r="Q82" i="2"/>
  <c r="AA79" i="2"/>
  <c r="AA95" i="2" s="1"/>
  <c r="AA93" i="2"/>
  <c r="M40" i="2"/>
  <c r="M86" i="2"/>
  <c r="M90" i="2" s="1"/>
  <c r="M82" i="2"/>
  <c r="S86" i="2"/>
  <c r="S90" i="2" s="1"/>
  <c r="S82" i="2"/>
  <c r="S87" i="2"/>
  <c r="S91" i="2" s="1"/>
  <c r="S83" i="2"/>
  <c r="W87" i="2"/>
  <c r="W91" i="2" s="1"/>
  <c r="W83" i="2"/>
  <c r="H40" i="2"/>
  <c r="H86" i="2"/>
  <c r="H90" i="2" s="1"/>
  <c r="H82" i="2"/>
  <c r="O87" i="2"/>
  <c r="O91" i="2" s="1"/>
  <c r="O83" i="2"/>
  <c r="AB79" i="2"/>
  <c r="AB95" i="2" s="1"/>
  <c r="AB93" i="2"/>
  <c r="U40" i="2"/>
  <c r="U86" i="2"/>
  <c r="U90" i="2" s="1"/>
  <c r="U82" i="2"/>
  <c r="W86" i="2"/>
  <c r="W90" i="2" s="1"/>
  <c r="W82" i="2"/>
  <c r="D40" i="2"/>
  <c r="D86" i="2"/>
  <c r="D90" i="2" s="1"/>
  <c r="D82" i="2"/>
  <c r="K87" i="2"/>
  <c r="K91" i="2" s="1"/>
  <c r="K83" i="2"/>
  <c r="K86" i="2"/>
  <c r="K90" i="2" s="1"/>
  <c r="K82" i="2"/>
  <c r="C82" i="2"/>
  <c r="C86" i="2"/>
  <c r="C90" i="2" s="1"/>
  <c r="X40" i="2"/>
  <c r="X86" i="2"/>
  <c r="X90" i="2" s="1"/>
  <c r="X82" i="2"/>
  <c r="C87" i="2"/>
  <c r="C91" i="2" s="1"/>
  <c r="C83" i="2"/>
  <c r="T40" i="2"/>
  <c r="T86" i="2"/>
  <c r="T90" i="2" s="1"/>
  <c r="T82" i="2"/>
  <c r="E40" i="2"/>
  <c r="E82" i="2"/>
  <c r="E86" i="2"/>
  <c r="E90" i="2" s="1"/>
  <c r="Y40" i="2"/>
  <c r="Y82" i="2"/>
  <c r="Y86" i="2"/>
  <c r="Y90" i="2" s="1"/>
  <c r="O40" i="2"/>
  <c r="W40" i="2"/>
  <c r="C40" i="2"/>
  <c r="K40" i="2"/>
  <c r="G40" i="2"/>
  <c r="BK6" i="3"/>
  <c r="BL6" i="3"/>
  <c r="BK7" i="3"/>
  <c r="BL7" i="3"/>
  <c r="BK8" i="3"/>
  <c r="BL8" i="3"/>
  <c r="BL9" i="3"/>
  <c r="BK10" i="3"/>
  <c r="BL10" i="3"/>
  <c r="BK11" i="3"/>
  <c r="BL11" i="3"/>
  <c r="BL12" i="3"/>
  <c r="BK13" i="3"/>
  <c r="BL13" i="3"/>
  <c r="BK14" i="3"/>
  <c r="BL14" i="3"/>
  <c r="BK15" i="3"/>
  <c r="BL15" i="3"/>
  <c r="BK16" i="3"/>
  <c r="BL16" i="3"/>
  <c r="BK17" i="3"/>
  <c r="BL17" i="3"/>
  <c r="BK18" i="3"/>
  <c r="BL18" i="3"/>
  <c r="BK19" i="3"/>
  <c r="BL19" i="3"/>
  <c r="BK20" i="3"/>
  <c r="BL20" i="3"/>
  <c r="BK21" i="3"/>
  <c r="BL21" i="3"/>
  <c r="BK23" i="3"/>
  <c r="BL23" i="3"/>
  <c r="BK24" i="3"/>
  <c r="BL24" i="3"/>
  <c r="BK25" i="3"/>
  <c r="BL25" i="3"/>
  <c r="BK26" i="3"/>
  <c r="BL26" i="3"/>
  <c r="BK27" i="3"/>
  <c r="BL27" i="3"/>
  <c r="BK28" i="3"/>
  <c r="BL28" i="3"/>
  <c r="BK29" i="3"/>
  <c r="BL29" i="3"/>
  <c r="BK30" i="3"/>
  <c r="BL30" i="3"/>
  <c r="BK31" i="3"/>
  <c r="BL31" i="3"/>
  <c r="BK32" i="3"/>
  <c r="BL32" i="3"/>
  <c r="BK33" i="3"/>
  <c r="BL33" i="3"/>
  <c r="BK34" i="3"/>
  <c r="BL34" i="3"/>
  <c r="BK35" i="3"/>
  <c r="BL35" i="3"/>
  <c r="BK36" i="3"/>
  <c r="BL36" i="3"/>
  <c r="BK37" i="3"/>
  <c r="BL37" i="3"/>
  <c r="BK38" i="3"/>
  <c r="BL38" i="3"/>
  <c r="BK39" i="3"/>
  <c r="BL39" i="3"/>
  <c r="BK84" i="3"/>
  <c r="BL40" i="3"/>
  <c r="BM84" i="3"/>
  <c r="BK41" i="3"/>
  <c r="BL41" i="3"/>
  <c r="BK42" i="3"/>
  <c r="BL42" i="3"/>
  <c r="BK43" i="3"/>
  <c r="BL43" i="3"/>
  <c r="BK44" i="3"/>
  <c r="BL44" i="3"/>
  <c r="BK45" i="3"/>
  <c r="BL45" i="3"/>
  <c r="BK46" i="3"/>
  <c r="BL46" i="3"/>
  <c r="BK47" i="3"/>
  <c r="BL47" i="3"/>
  <c r="BK48" i="3"/>
  <c r="BL48" i="3"/>
  <c r="BK49" i="3"/>
  <c r="BL49" i="3"/>
  <c r="BK59" i="3"/>
  <c r="BK60" i="3"/>
  <c r="BL60" i="3"/>
  <c r="BM88" i="3"/>
  <c r="BK61" i="3"/>
  <c r="BL61" i="3"/>
  <c r="BK62" i="3"/>
  <c r="BL62" i="3"/>
  <c r="BK63" i="3"/>
  <c r="BL63" i="3"/>
  <c r="BK64" i="3"/>
  <c r="BL64" i="3"/>
  <c r="BK65" i="3"/>
  <c r="BL65" i="3"/>
  <c r="BK66" i="3"/>
  <c r="BL66" i="3"/>
  <c r="BK67" i="3"/>
  <c r="BL67" i="3"/>
  <c r="BK68" i="3"/>
  <c r="BL68" i="3"/>
  <c r="BK69" i="3"/>
  <c r="BL69" i="3"/>
  <c r="BK93" i="3"/>
  <c r="BL93" i="3"/>
  <c r="BM93" i="3"/>
  <c r="BK71" i="3"/>
  <c r="BL71" i="3"/>
  <c r="BK72" i="3"/>
  <c r="BL72" i="3"/>
  <c r="BK73" i="3"/>
  <c r="BL73" i="3"/>
  <c r="BK74" i="3"/>
  <c r="BL74" i="3"/>
  <c r="BK75" i="3"/>
  <c r="BL75" i="3"/>
  <c r="BK76" i="3"/>
  <c r="BL76" i="3"/>
  <c r="BK77" i="3"/>
  <c r="BL77" i="3"/>
  <c r="BK79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84" i="3" s="1"/>
  <c r="BI41" i="3"/>
  <c r="BI42" i="3"/>
  <c r="BI43" i="3"/>
  <c r="BI44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88" i="3" s="1"/>
  <c r="BI61" i="3"/>
  <c r="BI62" i="3"/>
  <c r="BI63" i="3"/>
  <c r="BI64" i="3"/>
  <c r="BI65" i="3"/>
  <c r="BI66" i="3"/>
  <c r="BI67" i="3"/>
  <c r="BI68" i="3"/>
  <c r="BI69" i="3"/>
  <c r="BI70" i="3"/>
  <c r="BI93" i="3" s="1"/>
  <c r="BI71" i="3"/>
  <c r="BI72" i="3"/>
  <c r="BI73" i="3"/>
  <c r="BI74" i="3"/>
  <c r="BI75" i="3"/>
  <c r="BI76" i="3"/>
  <c r="BI77" i="3"/>
  <c r="BI79" i="3"/>
  <c r="BI95" i="3" s="1"/>
  <c r="BD6" i="3"/>
  <c r="BD7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84" i="3" s="1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93" i="3" s="1"/>
  <c r="BD71" i="3"/>
  <c r="BD72" i="3"/>
  <c r="BD73" i="3"/>
  <c r="BD74" i="3"/>
  <c r="BD75" i="3"/>
  <c r="BD76" i="3"/>
  <c r="BD77" i="3"/>
  <c r="BD79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9" i="3"/>
  <c r="AY95" i="3" s="1"/>
  <c r="BI5" i="3"/>
  <c r="BD5" i="3"/>
  <c r="AT6" i="3"/>
  <c r="AT7" i="3"/>
  <c r="AT8" i="3"/>
  <c r="AT9" i="3"/>
  <c r="AT10" i="3"/>
  <c r="AT12" i="3"/>
  <c r="AT13" i="3"/>
  <c r="AT14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84" i="3" s="1"/>
  <c r="AT41" i="3"/>
  <c r="AT42" i="3"/>
  <c r="AT43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U60" i="3" s="1"/>
  <c r="AU88" i="3" s="1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9" i="3"/>
  <c r="AT95" i="3" s="1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88" i="3"/>
  <c r="AO61" i="3"/>
  <c r="AO62" i="3"/>
  <c r="AO63" i="3"/>
  <c r="AO64" i="3"/>
  <c r="AO65" i="3"/>
  <c r="AO66" i="3"/>
  <c r="AO67" i="3"/>
  <c r="AO68" i="3"/>
  <c r="AO93" i="3"/>
  <c r="AO71" i="3"/>
  <c r="AO72" i="3"/>
  <c r="AO73" i="3"/>
  <c r="AO74" i="3"/>
  <c r="AO75" i="3"/>
  <c r="AO76" i="3"/>
  <c r="AO77" i="3"/>
  <c r="AO79" i="3"/>
  <c r="AO6" i="3"/>
  <c r="AO7" i="3"/>
  <c r="AY5" i="3"/>
  <c r="AT5" i="3"/>
  <c r="AO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84" i="3" s="1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9" i="3"/>
  <c r="AE6" i="3"/>
  <c r="AE7" i="3"/>
  <c r="AE8" i="3"/>
  <c r="AE9" i="3"/>
  <c r="AE10" i="3"/>
  <c r="AE12" i="3"/>
  <c r="AE13" i="3"/>
  <c r="AE14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50" i="3"/>
  <c r="AE51" i="3"/>
  <c r="AE52" i="3"/>
  <c r="AE54" i="3"/>
  <c r="AE55" i="3"/>
  <c r="AE56" i="3"/>
  <c r="AE57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9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9" i="3"/>
  <c r="AJ5" i="3"/>
  <c r="AE5" i="3"/>
  <c r="Z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84" i="3" s="1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88" i="3" s="1"/>
  <c r="U61" i="3"/>
  <c r="U62" i="3"/>
  <c r="U63" i="3"/>
  <c r="U64" i="3"/>
  <c r="U65" i="3"/>
  <c r="U66" i="3"/>
  <c r="U67" i="3"/>
  <c r="U68" i="3"/>
  <c r="U69" i="3"/>
  <c r="U70" i="3"/>
  <c r="U93" i="3" s="1"/>
  <c r="U71" i="3"/>
  <c r="U72" i="3"/>
  <c r="U73" i="3"/>
  <c r="U74" i="3"/>
  <c r="U75" i="3"/>
  <c r="U76" i="3"/>
  <c r="U77" i="3"/>
  <c r="U79" i="3"/>
  <c r="U95" i="3" s="1"/>
  <c r="U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84" i="3" s="1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88" i="3" s="1"/>
  <c r="P61" i="3"/>
  <c r="P62" i="3"/>
  <c r="P63" i="3"/>
  <c r="P64" i="3"/>
  <c r="P65" i="3"/>
  <c r="P66" i="3"/>
  <c r="P67" i="3"/>
  <c r="P68" i="3"/>
  <c r="P69" i="3"/>
  <c r="P70" i="3"/>
  <c r="P93" i="3" s="1"/>
  <c r="P71" i="3"/>
  <c r="P72" i="3"/>
  <c r="P73" i="3"/>
  <c r="P74" i="3"/>
  <c r="P75" i="3"/>
  <c r="P76" i="3"/>
  <c r="P77" i="3"/>
  <c r="P79" i="3"/>
  <c r="P95" i="3" s="1"/>
  <c r="P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9" i="3"/>
  <c r="K5" i="3"/>
  <c r="AY6" i="2"/>
  <c r="AZ6" i="2"/>
  <c r="BA6" i="2"/>
  <c r="AY7" i="2"/>
  <c r="AZ7" i="2"/>
  <c r="BA7" i="2"/>
  <c r="AY8" i="2"/>
  <c r="AZ8" i="2"/>
  <c r="BA8" i="2"/>
  <c r="AY9" i="2"/>
  <c r="AZ9" i="2"/>
  <c r="BA9" i="2"/>
  <c r="AY10" i="2"/>
  <c r="AZ10" i="2"/>
  <c r="BA10" i="2"/>
  <c r="AY11" i="2"/>
  <c r="AY12" i="2"/>
  <c r="AY82" i="2" s="1"/>
  <c r="AZ12" i="2"/>
  <c r="AZ82" i="2" s="1"/>
  <c r="BA12" i="2"/>
  <c r="BA82" i="2" s="1"/>
  <c r="AZ13" i="2"/>
  <c r="BA13" i="2"/>
  <c r="AY14" i="2"/>
  <c r="AZ14" i="2"/>
  <c r="BA14" i="2"/>
  <c r="AY15" i="2"/>
  <c r="AZ15" i="2"/>
  <c r="BA15" i="2"/>
  <c r="AY16" i="2"/>
  <c r="AZ16" i="2"/>
  <c r="BA16" i="2"/>
  <c r="AY17" i="2"/>
  <c r="AZ17" i="2"/>
  <c r="BA17" i="2"/>
  <c r="AY18" i="2"/>
  <c r="AZ18" i="2"/>
  <c r="BA18" i="2"/>
  <c r="AY19" i="2"/>
  <c r="AZ19" i="2"/>
  <c r="BA19" i="2"/>
  <c r="AY20" i="2"/>
  <c r="AZ20" i="2"/>
  <c r="BA20" i="2"/>
  <c r="AY21" i="2"/>
  <c r="AZ21" i="2"/>
  <c r="BA21" i="2"/>
  <c r="AY23" i="2"/>
  <c r="AZ23" i="2"/>
  <c r="BA23" i="2"/>
  <c r="AY24" i="2"/>
  <c r="AZ24" i="2"/>
  <c r="AY25" i="2"/>
  <c r="AZ25" i="2"/>
  <c r="BA25" i="2"/>
  <c r="AY26" i="2"/>
  <c r="AZ26" i="2"/>
  <c r="BA26" i="2"/>
  <c r="AY27" i="2"/>
  <c r="AZ27" i="2"/>
  <c r="BA27" i="2"/>
  <c r="AY28" i="2"/>
  <c r="AZ28" i="2"/>
  <c r="BA28" i="2"/>
  <c r="AY29" i="2"/>
  <c r="AZ29" i="2"/>
  <c r="BA29" i="2"/>
  <c r="AY30" i="2"/>
  <c r="AZ30" i="2"/>
  <c r="BA30" i="2"/>
  <c r="AY31" i="2"/>
  <c r="AZ31" i="2"/>
  <c r="BA31" i="2"/>
  <c r="AY32" i="2"/>
  <c r="AZ32" i="2"/>
  <c r="BA32" i="2"/>
  <c r="AY33" i="2"/>
  <c r="AZ33" i="2"/>
  <c r="BA33" i="2"/>
  <c r="AY34" i="2"/>
  <c r="AZ34" i="2"/>
  <c r="BA34" i="2"/>
  <c r="AY35" i="2"/>
  <c r="AZ35" i="2"/>
  <c r="BA35" i="2"/>
  <c r="AY36" i="2"/>
  <c r="AZ36" i="2"/>
  <c r="BA36" i="2"/>
  <c r="AY37" i="2"/>
  <c r="AZ37" i="2"/>
  <c r="BA37" i="2"/>
  <c r="AY38" i="2"/>
  <c r="AZ38" i="2"/>
  <c r="BA38" i="2"/>
  <c r="AY39" i="2"/>
  <c r="AZ39" i="2"/>
  <c r="BA39" i="2"/>
  <c r="AY41" i="2"/>
  <c r="AZ41" i="2"/>
  <c r="BA41" i="2"/>
  <c r="AY42" i="2"/>
  <c r="AZ42" i="2"/>
  <c r="BA42" i="2"/>
  <c r="AY43" i="2"/>
  <c r="AZ43" i="2"/>
  <c r="BA43" i="2"/>
  <c r="AY44" i="2"/>
  <c r="BA44" i="2"/>
  <c r="AY45" i="2"/>
  <c r="AZ45" i="2"/>
  <c r="BA45" i="2"/>
  <c r="AY46" i="2"/>
  <c r="AZ46" i="2"/>
  <c r="BA46" i="2"/>
  <c r="AY47" i="2"/>
  <c r="AZ47" i="2"/>
  <c r="BA47" i="2"/>
  <c r="AY48" i="2"/>
  <c r="AZ48" i="2"/>
  <c r="BA48" i="2"/>
  <c r="AY49" i="2"/>
  <c r="AZ49" i="2"/>
  <c r="BA49" i="2"/>
  <c r="AY50" i="2"/>
  <c r="AZ50" i="2"/>
  <c r="BA50" i="2"/>
  <c r="AY51" i="2"/>
  <c r="AZ51" i="2"/>
  <c r="BA51" i="2"/>
  <c r="AY52" i="2"/>
  <c r="AZ52" i="2"/>
  <c r="BA52" i="2"/>
  <c r="AY53" i="2"/>
  <c r="AZ53" i="2"/>
  <c r="BA53" i="2"/>
  <c r="AY54" i="2"/>
  <c r="AZ54" i="2"/>
  <c r="BA54" i="2"/>
  <c r="AY55" i="2"/>
  <c r="AZ55" i="2"/>
  <c r="BA55" i="2"/>
  <c r="AY56" i="2"/>
  <c r="AZ56" i="2"/>
  <c r="BA56" i="2"/>
  <c r="AY57" i="2"/>
  <c r="AZ57" i="2"/>
  <c r="BA57" i="2"/>
  <c r="AY58" i="2"/>
  <c r="AZ58" i="2"/>
  <c r="BA58" i="2"/>
  <c r="AY59" i="2"/>
  <c r="AZ59" i="2"/>
  <c r="BA59" i="2"/>
  <c r="AY61" i="2"/>
  <c r="AZ61" i="2"/>
  <c r="BA61" i="2"/>
  <c r="AY62" i="2"/>
  <c r="AZ62" i="2"/>
  <c r="BA62" i="2"/>
  <c r="AY63" i="2"/>
  <c r="AZ63" i="2"/>
  <c r="BA63" i="2"/>
  <c r="AY64" i="2"/>
  <c r="AZ64" i="2"/>
  <c r="BA64" i="2"/>
  <c r="AY65" i="2"/>
  <c r="AZ65" i="2"/>
  <c r="BA65" i="2"/>
  <c r="AY66" i="2"/>
  <c r="AZ66" i="2"/>
  <c r="BA66" i="2"/>
  <c r="AY67" i="2"/>
  <c r="AZ67" i="2"/>
  <c r="BA67" i="2"/>
  <c r="AY68" i="2"/>
  <c r="AZ68" i="2"/>
  <c r="BA68" i="2"/>
  <c r="AY69" i="2"/>
  <c r="AZ69" i="2"/>
  <c r="BA69" i="2"/>
  <c r="AY71" i="2"/>
  <c r="AZ71" i="2"/>
  <c r="BA71" i="2"/>
  <c r="AY72" i="2"/>
  <c r="AZ72" i="2"/>
  <c r="BA72" i="2"/>
  <c r="AZ73" i="2"/>
  <c r="BA73" i="2"/>
  <c r="AY74" i="2"/>
  <c r="AZ74" i="2"/>
  <c r="BA74" i="2"/>
  <c r="AY75" i="2"/>
  <c r="AZ75" i="2"/>
  <c r="BA75" i="2"/>
  <c r="AY76" i="2"/>
  <c r="AZ76" i="2"/>
  <c r="BA76" i="2"/>
  <c r="AY77" i="2"/>
  <c r="AZ77" i="2"/>
  <c r="BA77" i="2"/>
  <c r="BA5" i="2"/>
  <c r="AZ5" i="2"/>
  <c r="AY5" i="2"/>
  <c r="AX6" i="2"/>
  <c r="AX7" i="2"/>
  <c r="AX8" i="2"/>
  <c r="AX9" i="2"/>
  <c r="AX10" i="2"/>
  <c r="AX12" i="2"/>
  <c r="AX14" i="2"/>
  <c r="AX15" i="2"/>
  <c r="AX16" i="2"/>
  <c r="AX17" i="2"/>
  <c r="AX18" i="2"/>
  <c r="AX19" i="2"/>
  <c r="AX20" i="2"/>
  <c r="AX21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6" i="2"/>
  <c r="AX37" i="2"/>
  <c r="AX38" i="2"/>
  <c r="AX39" i="2"/>
  <c r="AX40" i="2"/>
  <c r="AX84" i="2" s="1"/>
  <c r="AX41" i="2"/>
  <c r="AX42" i="2"/>
  <c r="AX43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88" i="2" s="1"/>
  <c r="AX61" i="2"/>
  <c r="AX62" i="2"/>
  <c r="AX63" i="2"/>
  <c r="AX64" i="2"/>
  <c r="AX65" i="2"/>
  <c r="AX66" i="2"/>
  <c r="AX67" i="2"/>
  <c r="AX68" i="2"/>
  <c r="AX69" i="2"/>
  <c r="AX70" i="2"/>
  <c r="AX93" i="2" s="1"/>
  <c r="AX71" i="2"/>
  <c r="AX72" i="2"/>
  <c r="AX73" i="2"/>
  <c r="AX74" i="2"/>
  <c r="AX75" i="2"/>
  <c r="AX76" i="2"/>
  <c r="AX77" i="2"/>
  <c r="AX79" i="2"/>
  <c r="AX95" i="2" s="1"/>
  <c r="AX5" i="2"/>
  <c r="AT6" i="2"/>
  <c r="AT7" i="2"/>
  <c r="AT8" i="2"/>
  <c r="AT9" i="2"/>
  <c r="AT10" i="2"/>
  <c r="AT11" i="2"/>
  <c r="AT12" i="2"/>
  <c r="AT14" i="2"/>
  <c r="AT15" i="2"/>
  <c r="AT16" i="2"/>
  <c r="AT17" i="2"/>
  <c r="AT18" i="2"/>
  <c r="AT19" i="2"/>
  <c r="AT20" i="2"/>
  <c r="AT21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9" i="2"/>
  <c r="AT5" i="2"/>
  <c r="AP6" i="2"/>
  <c r="AP7" i="2"/>
  <c r="AP8" i="2"/>
  <c r="AP10" i="2"/>
  <c r="AP11" i="2"/>
  <c r="AP12" i="2"/>
  <c r="AP14" i="2"/>
  <c r="AP15" i="2"/>
  <c r="AP16" i="2"/>
  <c r="AP17" i="2"/>
  <c r="AP18" i="2"/>
  <c r="AP19" i="2"/>
  <c r="AP20" i="2"/>
  <c r="AP21" i="2"/>
  <c r="AP23" i="2"/>
  <c r="AP24" i="2"/>
  <c r="AP25" i="2"/>
  <c r="AP26" i="2"/>
  <c r="AP27" i="2"/>
  <c r="AP28" i="2"/>
  <c r="AP29" i="2"/>
  <c r="AP30" i="2"/>
  <c r="AP31" i="2"/>
  <c r="AP33" i="2"/>
  <c r="AP34" i="2"/>
  <c r="AP37" i="2"/>
  <c r="AP38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9" i="2"/>
  <c r="AP95" i="2" s="1"/>
  <c r="AP5" i="2"/>
  <c r="AL6" i="2"/>
  <c r="AL7" i="2"/>
  <c r="AL8" i="2"/>
  <c r="AL9" i="2"/>
  <c r="AL10" i="2"/>
  <c r="AL12" i="2"/>
  <c r="AL14" i="2"/>
  <c r="AL15" i="2"/>
  <c r="AL16" i="2"/>
  <c r="AL17" i="2"/>
  <c r="AL18" i="2"/>
  <c r="AL19" i="2"/>
  <c r="AL20" i="2"/>
  <c r="AL21" i="2"/>
  <c r="AL23" i="2"/>
  <c r="AL24" i="2"/>
  <c r="AL25" i="2"/>
  <c r="AL26" i="2"/>
  <c r="AL27" i="2"/>
  <c r="AL28" i="2"/>
  <c r="AL29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7" i="2"/>
  <c r="AL48" i="2"/>
  <c r="AL49" i="2"/>
  <c r="AL88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9" i="2"/>
  <c r="AL5" i="2"/>
  <c r="AH79" i="2"/>
  <c r="AH95" i="2" s="1"/>
  <c r="AH6" i="2"/>
  <c r="AH7" i="2"/>
  <c r="AH8" i="2"/>
  <c r="AH9" i="2"/>
  <c r="AH12" i="2"/>
  <c r="AH14" i="2"/>
  <c r="AH15" i="2"/>
  <c r="AH16" i="2"/>
  <c r="AH17" i="2"/>
  <c r="AH18" i="2"/>
  <c r="AH19" i="2"/>
  <c r="AH20" i="2"/>
  <c r="AH21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84" i="2" s="1"/>
  <c r="AH41" i="2"/>
  <c r="AH42" i="2"/>
  <c r="AH43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93" i="2"/>
  <c r="AH71" i="2"/>
  <c r="AH72" i="2"/>
  <c r="AH73" i="2"/>
  <c r="AH74" i="2"/>
  <c r="AH75" i="2"/>
  <c r="AH76" i="2"/>
  <c r="AH77" i="2"/>
  <c r="AH5" i="2"/>
  <c r="AD6" i="2"/>
  <c r="AD7" i="2"/>
  <c r="AD8" i="2"/>
  <c r="AD9" i="2"/>
  <c r="AD10" i="2"/>
  <c r="AD12" i="2"/>
  <c r="AD14" i="2"/>
  <c r="AD15" i="2"/>
  <c r="AD16" i="2"/>
  <c r="AD17" i="2"/>
  <c r="AD18" i="2"/>
  <c r="AD19" i="2"/>
  <c r="AD20" i="2"/>
  <c r="AD21" i="2"/>
  <c r="AD23" i="2"/>
  <c r="AD24" i="2"/>
  <c r="AD25" i="2"/>
  <c r="AD26" i="2"/>
  <c r="AD27" i="2"/>
  <c r="AD28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88" i="2" s="1"/>
  <c r="AD61" i="2"/>
  <c r="AD62" i="2"/>
  <c r="AD63" i="2"/>
  <c r="AD64" i="2"/>
  <c r="AD65" i="2"/>
  <c r="AD66" i="2"/>
  <c r="AD67" i="2"/>
  <c r="AD68" i="2"/>
  <c r="AD69" i="2"/>
  <c r="AD70" i="2"/>
  <c r="AD93" i="2" s="1"/>
  <c r="AD71" i="2"/>
  <c r="AD72" i="2"/>
  <c r="AD73" i="2"/>
  <c r="AD74" i="2"/>
  <c r="AD75" i="2"/>
  <c r="AD76" i="2"/>
  <c r="AD77" i="2"/>
  <c r="AD5" i="2"/>
  <c r="Z6" i="2"/>
  <c r="Z7" i="2"/>
  <c r="Z8" i="2"/>
  <c r="Z9" i="2"/>
  <c r="Z10" i="2"/>
  <c r="Z12" i="2"/>
  <c r="Z14" i="2"/>
  <c r="Z15" i="2"/>
  <c r="Z16" i="2"/>
  <c r="Z17" i="2"/>
  <c r="Z18" i="2"/>
  <c r="Z19" i="2"/>
  <c r="Z20" i="2"/>
  <c r="Z21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1" i="2"/>
  <c r="Z62" i="2"/>
  <c r="Z63" i="2"/>
  <c r="Z64" i="2"/>
  <c r="Z65" i="2"/>
  <c r="Z66" i="2"/>
  <c r="Z67" i="2"/>
  <c r="Z68" i="2"/>
  <c r="Z69" i="2"/>
  <c r="Z71" i="2"/>
  <c r="Z72" i="2"/>
  <c r="Z73" i="2"/>
  <c r="Z74" i="2"/>
  <c r="Z75" i="2"/>
  <c r="Z76" i="2"/>
  <c r="Z77" i="2"/>
  <c r="Z5" i="2"/>
  <c r="V6" i="2"/>
  <c r="V8" i="2"/>
  <c r="V9" i="2"/>
  <c r="V10" i="2"/>
  <c r="V12" i="2"/>
  <c r="V14" i="2"/>
  <c r="V15" i="2"/>
  <c r="V16" i="2"/>
  <c r="V17" i="2"/>
  <c r="V18" i="2"/>
  <c r="V19" i="2"/>
  <c r="V20" i="2"/>
  <c r="V21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1" i="2"/>
  <c r="V42" i="2"/>
  <c r="V43" i="2"/>
  <c r="V44" i="2"/>
  <c r="V47" i="2"/>
  <c r="V48" i="2"/>
  <c r="V49" i="2"/>
  <c r="V50" i="2"/>
  <c r="V51" i="2"/>
  <c r="V52" i="2"/>
  <c r="V53" i="2"/>
  <c r="V54" i="2"/>
  <c r="V55" i="2"/>
  <c r="V56" i="2"/>
  <c r="V57" i="2"/>
  <c r="V58" i="2"/>
  <c r="V61" i="2"/>
  <c r="V62" i="2"/>
  <c r="V63" i="2"/>
  <c r="V64" i="2"/>
  <c r="V65" i="2"/>
  <c r="V66" i="2"/>
  <c r="V67" i="2"/>
  <c r="V68" i="2"/>
  <c r="V69" i="2"/>
  <c r="V71" i="2"/>
  <c r="V72" i="2"/>
  <c r="V73" i="2"/>
  <c r="V74" i="2"/>
  <c r="V75" i="2"/>
  <c r="V76" i="2"/>
  <c r="V77" i="2"/>
  <c r="V5" i="2"/>
  <c r="R6" i="2"/>
  <c r="R7" i="2"/>
  <c r="R9" i="2"/>
  <c r="R10" i="2"/>
  <c r="R11" i="2"/>
  <c r="R12" i="2"/>
  <c r="R14" i="2"/>
  <c r="R15" i="2"/>
  <c r="R16" i="2"/>
  <c r="R17" i="2"/>
  <c r="R18" i="2"/>
  <c r="R19" i="2"/>
  <c r="R20" i="2"/>
  <c r="R21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1" i="2"/>
  <c r="R42" i="2"/>
  <c r="R43" i="2"/>
  <c r="R44" i="2"/>
  <c r="R47" i="2"/>
  <c r="R48" i="2"/>
  <c r="R49" i="2"/>
  <c r="R50" i="2"/>
  <c r="R51" i="2"/>
  <c r="R52" i="2"/>
  <c r="R53" i="2"/>
  <c r="R54" i="2"/>
  <c r="R55" i="2"/>
  <c r="R56" i="2"/>
  <c r="R57" i="2"/>
  <c r="R58" i="2"/>
  <c r="R61" i="2"/>
  <c r="R62" i="2"/>
  <c r="R63" i="2"/>
  <c r="R64" i="2"/>
  <c r="R65" i="2"/>
  <c r="R66" i="2"/>
  <c r="R67" i="2"/>
  <c r="R68" i="2"/>
  <c r="R69" i="2"/>
  <c r="R71" i="2"/>
  <c r="R72" i="2"/>
  <c r="R73" i="2"/>
  <c r="R74" i="2"/>
  <c r="R75" i="2"/>
  <c r="R76" i="2"/>
  <c r="R77" i="2"/>
  <c r="R5" i="2"/>
  <c r="N6" i="2"/>
  <c r="N7" i="2"/>
  <c r="N8" i="2"/>
  <c r="N9" i="2"/>
  <c r="N10" i="2"/>
  <c r="N11" i="2"/>
  <c r="N12" i="2"/>
  <c r="N14" i="2"/>
  <c r="N15" i="2"/>
  <c r="N16" i="2"/>
  <c r="N17" i="2"/>
  <c r="N18" i="2"/>
  <c r="N19" i="2"/>
  <c r="N20" i="2"/>
  <c r="N21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1" i="2"/>
  <c r="N42" i="2"/>
  <c r="N43" i="2"/>
  <c r="N44" i="2"/>
  <c r="N47" i="2"/>
  <c r="N48" i="2"/>
  <c r="N49" i="2"/>
  <c r="N50" i="2"/>
  <c r="N51" i="2"/>
  <c r="N52" i="2"/>
  <c r="N53" i="2"/>
  <c r="N54" i="2"/>
  <c r="N55" i="2"/>
  <c r="N56" i="2"/>
  <c r="N57" i="2"/>
  <c r="N58" i="2"/>
  <c r="N61" i="2"/>
  <c r="N62" i="2"/>
  <c r="N63" i="2"/>
  <c r="N64" i="2"/>
  <c r="N65" i="2"/>
  <c r="N66" i="2"/>
  <c r="N67" i="2"/>
  <c r="N68" i="2"/>
  <c r="N69" i="2"/>
  <c r="N71" i="2"/>
  <c r="N72" i="2"/>
  <c r="N73" i="2"/>
  <c r="N74" i="2"/>
  <c r="N75" i="2"/>
  <c r="N76" i="2"/>
  <c r="N77" i="2"/>
  <c r="N5" i="2"/>
  <c r="J6" i="2"/>
  <c r="J7" i="2"/>
  <c r="J8" i="2"/>
  <c r="J9" i="2"/>
  <c r="J10" i="2"/>
  <c r="J11" i="2"/>
  <c r="J12" i="2"/>
  <c r="J14" i="2"/>
  <c r="J15" i="2"/>
  <c r="J16" i="2"/>
  <c r="J17" i="2"/>
  <c r="J18" i="2"/>
  <c r="J19" i="2"/>
  <c r="J20" i="2"/>
  <c r="J21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1" i="2"/>
  <c r="J42" i="2"/>
  <c r="J43" i="2"/>
  <c r="J47" i="2"/>
  <c r="J48" i="2"/>
  <c r="J49" i="2"/>
  <c r="J50" i="2"/>
  <c r="J51" i="2"/>
  <c r="J52" i="2"/>
  <c r="J53" i="2"/>
  <c r="J54" i="2"/>
  <c r="J55" i="2"/>
  <c r="J56" i="2"/>
  <c r="J57" i="2"/>
  <c r="J58" i="2"/>
  <c r="J61" i="2"/>
  <c r="J62" i="2"/>
  <c r="J63" i="2"/>
  <c r="J64" i="2"/>
  <c r="J65" i="2"/>
  <c r="J66" i="2"/>
  <c r="J67" i="2"/>
  <c r="J68" i="2"/>
  <c r="J69" i="2"/>
  <c r="J71" i="2"/>
  <c r="J72" i="2"/>
  <c r="J73" i="2"/>
  <c r="J74" i="2"/>
  <c r="J75" i="2"/>
  <c r="J76" i="2"/>
  <c r="J77" i="2"/>
  <c r="J5" i="2"/>
  <c r="F6" i="2"/>
  <c r="F7" i="2"/>
  <c r="F8" i="2"/>
  <c r="F9" i="2"/>
  <c r="F10" i="2"/>
  <c r="F11" i="2"/>
  <c r="AH11" i="4" s="1"/>
  <c r="F12" i="2"/>
  <c r="C12" i="4" s="1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1" i="2"/>
  <c r="F42" i="2"/>
  <c r="F43" i="2"/>
  <c r="E45" i="4"/>
  <c r="E46" i="4"/>
  <c r="F47" i="2"/>
  <c r="F48" i="2"/>
  <c r="F49" i="2"/>
  <c r="F50" i="2"/>
  <c r="F51" i="2"/>
  <c r="F52" i="2"/>
  <c r="F53" i="2"/>
  <c r="F54" i="2"/>
  <c r="F55" i="2"/>
  <c r="F56" i="2"/>
  <c r="F57" i="2"/>
  <c r="F58" i="2"/>
  <c r="F61" i="2"/>
  <c r="F62" i="2"/>
  <c r="F63" i="2"/>
  <c r="F64" i="2"/>
  <c r="F65" i="2"/>
  <c r="F66" i="2"/>
  <c r="F67" i="2"/>
  <c r="F68" i="2"/>
  <c r="F69" i="2"/>
  <c r="F71" i="2"/>
  <c r="F72" i="2"/>
  <c r="F73" i="2"/>
  <c r="F74" i="2"/>
  <c r="F75" i="2"/>
  <c r="F76" i="2"/>
  <c r="F77" i="2"/>
  <c r="F5" i="2"/>
  <c r="C5" i="4" s="1"/>
  <c r="BN11" i="3" l="1"/>
  <c r="AH35" i="4"/>
  <c r="AH33" i="4"/>
  <c r="AH36" i="4"/>
  <c r="AH20" i="4"/>
  <c r="AH19" i="4"/>
  <c r="AH18" i="4"/>
  <c r="AD16" i="4"/>
  <c r="AH10" i="4"/>
  <c r="AH63" i="4"/>
  <c r="AH62" i="4"/>
  <c r="AH44" i="4"/>
  <c r="AH61" i="4"/>
  <c r="AH64" i="4"/>
  <c r="AH77" i="4"/>
  <c r="AH45" i="4"/>
  <c r="AH47" i="4"/>
  <c r="AH37" i="4"/>
  <c r="BK87" i="3"/>
  <c r="AI76" i="4"/>
  <c r="AH76" i="4"/>
  <c r="AI75" i="4"/>
  <c r="AH75" i="4"/>
  <c r="AI74" i="4"/>
  <c r="AH74" i="4"/>
  <c r="AI73" i="4"/>
  <c r="AH73" i="4"/>
  <c r="AI72" i="4"/>
  <c r="AH72" i="4"/>
  <c r="AD71" i="4"/>
  <c r="AH71" i="4"/>
  <c r="AI67" i="4"/>
  <c r="AH67" i="4"/>
  <c r="AI66" i="4"/>
  <c r="AH66" i="4"/>
  <c r="AG77" i="4"/>
  <c r="AG76" i="4"/>
  <c r="AG75" i="4"/>
  <c r="AG74" i="4"/>
  <c r="AG73" i="4"/>
  <c r="AG72" i="4"/>
  <c r="AG71" i="4"/>
  <c r="AG67" i="4"/>
  <c r="AG66" i="4"/>
  <c r="AG64" i="4"/>
  <c r="AG63" i="4"/>
  <c r="AG62" i="4"/>
  <c r="AG61" i="4"/>
  <c r="AG49" i="4"/>
  <c r="AI77" i="4"/>
  <c r="AI71" i="4"/>
  <c r="AI64" i="4"/>
  <c r="AI63" i="4"/>
  <c r="AG48" i="4"/>
  <c r="AG47" i="4"/>
  <c r="AG46" i="4"/>
  <c r="AG45" i="4"/>
  <c r="AG44" i="4"/>
  <c r="AH49" i="4"/>
  <c r="AG43" i="4"/>
  <c r="AD48" i="4"/>
  <c r="AH48" i="4"/>
  <c r="AG42" i="4"/>
  <c r="AG41" i="4"/>
  <c r="E42" i="4"/>
  <c r="AH42" i="4"/>
  <c r="AH46" i="4"/>
  <c r="E43" i="4"/>
  <c r="AH43" i="4"/>
  <c r="BB41" i="2"/>
  <c r="AK41" i="4" s="1"/>
  <c r="E41" i="4"/>
  <c r="AH41" i="4"/>
  <c r="AD34" i="4"/>
  <c r="AH34" i="4"/>
  <c r="AG11" i="4"/>
  <c r="AG10" i="4"/>
  <c r="AD32" i="4"/>
  <c r="AG9" i="4"/>
  <c r="AG8" i="4"/>
  <c r="AG39" i="4"/>
  <c r="I9" i="4"/>
  <c r="F9" i="4"/>
  <c r="AH9" i="4"/>
  <c r="AG38" i="4"/>
  <c r="AH8" i="4"/>
  <c r="AG37" i="4"/>
  <c r="AG36" i="4"/>
  <c r="BB7" i="2"/>
  <c r="BC7" i="2" s="1"/>
  <c r="AG35" i="4"/>
  <c r="AH39" i="4"/>
  <c r="AG34" i="4"/>
  <c r="AH38" i="4"/>
  <c r="AG33" i="4"/>
  <c r="AH21" i="4"/>
  <c r="AG15" i="4"/>
  <c r="AD17" i="4"/>
  <c r="AH17" i="4"/>
  <c r="AH15" i="4"/>
  <c r="AE19" i="4"/>
  <c r="AG21" i="4"/>
  <c r="AG20" i="4"/>
  <c r="AG19" i="4"/>
  <c r="AG18" i="4"/>
  <c r="AG17" i="4"/>
  <c r="AG27" i="4"/>
  <c r="AG26" i="4"/>
  <c r="AD30" i="4"/>
  <c r="AG25" i="4"/>
  <c r="AH27" i="4"/>
  <c r="AH26" i="4"/>
  <c r="AH25" i="4"/>
  <c r="AI61" i="4"/>
  <c r="AH28" i="4"/>
  <c r="AG28" i="4"/>
  <c r="AH14" i="4"/>
  <c r="AG14" i="4"/>
  <c r="AH24" i="4"/>
  <c r="AG24" i="4"/>
  <c r="E23" i="4"/>
  <c r="AG23" i="4"/>
  <c r="AH23" i="4"/>
  <c r="AH16" i="4"/>
  <c r="AG16" i="4"/>
  <c r="AH13" i="4"/>
  <c r="AG13" i="4"/>
  <c r="AG7" i="4"/>
  <c r="AH7" i="4"/>
  <c r="AH32" i="4"/>
  <c r="AG32" i="4"/>
  <c r="AH58" i="4"/>
  <c r="AG58" i="4"/>
  <c r="AH57" i="4"/>
  <c r="AG57" i="4"/>
  <c r="AH56" i="4"/>
  <c r="AG56" i="4"/>
  <c r="AH55" i="4"/>
  <c r="AG55" i="4"/>
  <c r="AH54" i="4"/>
  <c r="AG54" i="4"/>
  <c r="AH53" i="4"/>
  <c r="AG53" i="4"/>
  <c r="AH52" i="4"/>
  <c r="AG52" i="4"/>
  <c r="AH51" i="4"/>
  <c r="AG51" i="4"/>
  <c r="AH50" i="4"/>
  <c r="AG50" i="4"/>
  <c r="AE53" i="4"/>
  <c r="AH6" i="4"/>
  <c r="AG6" i="4"/>
  <c r="AH5" i="4"/>
  <c r="AG5" i="4"/>
  <c r="AH12" i="4"/>
  <c r="AG12" i="4"/>
  <c r="AI69" i="4"/>
  <c r="AH68" i="4"/>
  <c r="AG68" i="4"/>
  <c r="AI68" i="4"/>
  <c r="AI62" i="4"/>
  <c r="AG69" i="4"/>
  <c r="AH69" i="4"/>
  <c r="AG65" i="4"/>
  <c r="AH65" i="4"/>
  <c r="AI65" i="4"/>
  <c r="AI58" i="4"/>
  <c r="AI57" i="4"/>
  <c r="AI56" i="4"/>
  <c r="AI55" i="4"/>
  <c r="AI54" i="4"/>
  <c r="AI53" i="4"/>
  <c r="AI52" i="4"/>
  <c r="AI51" i="4"/>
  <c r="AI50" i="4"/>
  <c r="AI43" i="4"/>
  <c r="AI42" i="4"/>
  <c r="AI41" i="4"/>
  <c r="AI47" i="4"/>
  <c r="AI44" i="4"/>
  <c r="AI45" i="4"/>
  <c r="AI46" i="4"/>
  <c r="AI49" i="4"/>
  <c r="AI48" i="4"/>
  <c r="BL92" i="3"/>
  <c r="AI39" i="4"/>
  <c r="AI38" i="4"/>
  <c r="AI37" i="4"/>
  <c r="AI36" i="4"/>
  <c r="AI35" i="4"/>
  <c r="AI34" i="4"/>
  <c r="AI33" i="4"/>
  <c r="AI32" i="4"/>
  <c r="AI28" i="4"/>
  <c r="AI27" i="4"/>
  <c r="AI26" i="4"/>
  <c r="AI25" i="4"/>
  <c r="AI24" i="4"/>
  <c r="AI23" i="4"/>
  <c r="AI13" i="4"/>
  <c r="AI21" i="4"/>
  <c r="AI20" i="4"/>
  <c r="AI19" i="4"/>
  <c r="AI18" i="4"/>
  <c r="AI17" i="4"/>
  <c r="AI16" i="4"/>
  <c r="AI15" i="4"/>
  <c r="AI14" i="4"/>
  <c r="AI10" i="4"/>
  <c r="AI9" i="4"/>
  <c r="AI7" i="4"/>
  <c r="AI11" i="4"/>
  <c r="AI5" i="4"/>
  <c r="AI6" i="4"/>
  <c r="AI8" i="4"/>
  <c r="AI12" i="4"/>
  <c r="AT93" i="2"/>
  <c r="AG31" i="4"/>
  <c r="AH31" i="4"/>
  <c r="AI31" i="4"/>
  <c r="AH29" i="4"/>
  <c r="AI29" i="4"/>
  <c r="AG29" i="4"/>
  <c r="AT88" i="2"/>
  <c r="AH30" i="4"/>
  <c r="AI30" i="4"/>
  <c r="AG30" i="4"/>
  <c r="AT95" i="2"/>
  <c r="AT84" i="2"/>
  <c r="BD88" i="3"/>
  <c r="BD95" i="3"/>
  <c r="AE36" i="4"/>
  <c r="AD92" i="2"/>
  <c r="AE16" i="4"/>
  <c r="AD13" i="4"/>
  <c r="AD21" i="4"/>
  <c r="AD72" i="4"/>
  <c r="E53" i="4"/>
  <c r="AD53" i="4"/>
  <c r="AD35" i="4"/>
  <c r="AD18" i="4"/>
  <c r="BD45" i="2"/>
  <c r="AD45" i="4"/>
  <c r="AE32" i="4"/>
  <c r="AP93" i="2"/>
  <c r="AE54" i="4"/>
  <c r="AE37" i="4"/>
  <c r="AE20" i="4"/>
  <c r="AT92" i="2"/>
  <c r="AE18" i="4"/>
  <c r="AD50" i="4"/>
  <c r="AD15" i="4"/>
  <c r="AD67" i="4"/>
  <c r="AE67" i="4"/>
  <c r="AE51" i="4"/>
  <c r="AE34" i="4"/>
  <c r="AE17" i="4"/>
  <c r="AE35" i="4"/>
  <c r="AD14" i="4"/>
  <c r="AD66" i="4"/>
  <c r="AE66" i="4"/>
  <c r="AD43" i="4"/>
  <c r="AD65" i="4"/>
  <c r="AE65" i="4"/>
  <c r="E47" i="4"/>
  <c r="AD47" i="4"/>
  <c r="AD29" i="4"/>
  <c r="F92" i="2"/>
  <c r="C92" i="4" s="1"/>
  <c r="AD42" i="4"/>
  <c r="AD64" i="4"/>
  <c r="AE64" i="4"/>
  <c r="AE48" i="4"/>
  <c r="AD31" i="4"/>
  <c r="AE31" i="4"/>
  <c r="AE14" i="4"/>
  <c r="BA92" i="2"/>
  <c r="AE15" i="4"/>
  <c r="AD28" i="4"/>
  <c r="AD11" i="4"/>
  <c r="J82" i="2"/>
  <c r="J92" i="2"/>
  <c r="AD41" i="4"/>
  <c r="AE5" i="4"/>
  <c r="AD63" i="4"/>
  <c r="AE63" i="4"/>
  <c r="AE47" i="4"/>
  <c r="AE30" i="4"/>
  <c r="AE13" i="4"/>
  <c r="E52" i="4"/>
  <c r="AD52" i="4"/>
  <c r="AD69" i="4"/>
  <c r="AE69" i="4"/>
  <c r="E51" i="4"/>
  <c r="AD51" i="4"/>
  <c r="AE49" i="4"/>
  <c r="AD27" i="4"/>
  <c r="E10" i="4"/>
  <c r="AD10" i="4"/>
  <c r="AD62" i="4"/>
  <c r="AE62" i="4"/>
  <c r="AE46" i="4"/>
  <c r="AE29" i="4"/>
  <c r="AD12" i="4"/>
  <c r="AE12" i="4"/>
  <c r="AE50" i="4"/>
  <c r="AD26" i="4"/>
  <c r="AD9" i="4"/>
  <c r="N92" i="2"/>
  <c r="AE39" i="4"/>
  <c r="AE77" i="4"/>
  <c r="AD61" i="4"/>
  <c r="AE61" i="4"/>
  <c r="AE45" i="4"/>
  <c r="AE28" i="4"/>
  <c r="AE11" i="4"/>
  <c r="AE52" i="4"/>
  <c r="AD25" i="4"/>
  <c r="AD8" i="4"/>
  <c r="AE76" i="4"/>
  <c r="AE44" i="4"/>
  <c r="AE27" i="4"/>
  <c r="AE10" i="4"/>
  <c r="AX92" i="2"/>
  <c r="AF67" i="4"/>
  <c r="AF51" i="4"/>
  <c r="AF35" i="4"/>
  <c r="AF18" i="4"/>
  <c r="AD77" i="4"/>
  <c r="AD24" i="4"/>
  <c r="AD7" i="4"/>
  <c r="AD44" i="4"/>
  <c r="R92" i="2"/>
  <c r="AE75" i="4"/>
  <c r="AE43" i="4"/>
  <c r="AE26" i="4"/>
  <c r="AE9" i="4"/>
  <c r="E33" i="4"/>
  <c r="AD33" i="4"/>
  <c r="AD5" i="4"/>
  <c r="AD58" i="4"/>
  <c r="AD76" i="4"/>
  <c r="E57" i="4"/>
  <c r="AD57" i="4"/>
  <c r="AD39" i="4"/>
  <c r="AD6" i="4"/>
  <c r="V92" i="2"/>
  <c r="AE74" i="4"/>
  <c r="AE58" i="4"/>
  <c r="AE42" i="4"/>
  <c r="AE25" i="4"/>
  <c r="AE8" i="4"/>
  <c r="AD68" i="4"/>
  <c r="AE68" i="4"/>
  <c r="AE73" i="4"/>
  <c r="AE57" i="4"/>
  <c r="AE41" i="4"/>
  <c r="AE24" i="4"/>
  <c r="AE7" i="4"/>
  <c r="E38" i="4"/>
  <c r="AD38" i="4"/>
  <c r="AD74" i="4"/>
  <c r="E37" i="4"/>
  <c r="AD37" i="4"/>
  <c r="E20" i="4"/>
  <c r="AD20" i="4"/>
  <c r="AA5" i="4"/>
  <c r="AE72" i="4"/>
  <c r="AE56" i="4"/>
  <c r="AP84" i="2"/>
  <c r="AE23" i="4"/>
  <c r="AE6" i="4"/>
  <c r="AE33" i="4"/>
  <c r="AD75" i="4"/>
  <c r="E56" i="4"/>
  <c r="AD56" i="4"/>
  <c r="AD55" i="4"/>
  <c r="AD73" i="4"/>
  <c r="E54" i="4"/>
  <c r="AD54" i="4"/>
  <c r="AD36" i="4"/>
  <c r="AD19" i="4"/>
  <c r="AD46" i="4"/>
  <c r="Z92" i="2"/>
  <c r="AE71" i="4"/>
  <c r="AE55" i="4"/>
  <c r="AE38" i="4"/>
  <c r="AE21" i="4"/>
  <c r="AF17" i="4"/>
  <c r="AF65" i="4"/>
  <c r="AF32" i="4"/>
  <c r="AF31" i="4"/>
  <c r="K92" i="3"/>
  <c r="AF62" i="4"/>
  <c r="AF29" i="4"/>
  <c r="AF28" i="4"/>
  <c r="AF10" i="4"/>
  <c r="AF26" i="4"/>
  <c r="AF41" i="4"/>
  <c r="AF24" i="4"/>
  <c r="AF55" i="4"/>
  <c r="AF39" i="4"/>
  <c r="AF23" i="4"/>
  <c r="AF6" i="4"/>
  <c r="AF66" i="4"/>
  <c r="AF49" i="4"/>
  <c r="AF64" i="4"/>
  <c r="AF63" i="4"/>
  <c r="AF46" i="4"/>
  <c r="AF5" i="4"/>
  <c r="AF44" i="4"/>
  <c r="AF43" i="4"/>
  <c r="AF58" i="4"/>
  <c r="AO92" i="3"/>
  <c r="AF25" i="4"/>
  <c r="AT92" i="3"/>
  <c r="AY93" i="3"/>
  <c r="AF54" i="4"/>
  <c r="AF38" i="4"/>
  <c r="AF21" i="4"/>
  <c r="AF34" i="4"/>
  <c r="BK92" i="3"/>
  <c r="Z92" i="3"/>
  <c r="AF33" i="4"/>
  <c r="AF15" i="4"/>
  <c r="AF47" i="4"/>
  <c r="AF13" i="4"/>
  <c r="AF61" i="4"/>
  <c r="AF12" i="4"/>
  <c r="AY92" i="3"/>
  <c r="AE92" i="3"/>
  <c r="AY88" i="3"/>
  <c r="AF27" i="4"/>
  <c r="AF42" i="4"/>
  <c r="AF57" i="4"/>
  <c r="AF56" i="4"/>
  <c r="AY84" i="3"/>
  <c r="P82" i="3"/>
  <c r="P92" i="3"/>
  <c r="AJ92" i="3"/>
  <c r="AF69" i="4"/>
  <c r="AF53" i="4"/>
  <c r="AF37" i="4"/>
  <c r="AF20" i="4"/>
  <c r="BD92" i="3"/>
  <c r="AF50" i="4"/>
  <c r="AF16" i="4"/>
  <c r="AF48" i="4"/>
  <c r="AF14" i="4"/>
  <c r="AF30" i="4"/>
  <c r="AF45" i="4"/>
  <c r="BI92" i="3"/>
  <c r="U92" i="3"/>
  <c r="AF11" i="4"/>
  <c r="AF9" i="4"/>
  <c r="AF8" i="4"/>
  <c r="AF7" i="4"/>
  <c r="AF68" i="4"/>
  <c r="AF52" i="4"/>
  <c r="AF36" i="4"/>
  <c r="AF19" i="4"/>
  <c r="AF76" i="4"/>
  <c r="AF75" i="4"/>
  <c r="AF74" i="4"/>
  <c r="AF73" i="4"/>
  <c r="AF72" i="4"/>
  <c r="AF71" i="4"/>
  <c r="AF77" i="4"/>
  <c r="AZ92" i="2"/>
  <c r="AP88" i="2"/>
  <c r="AD49" i="4"/>
  <c r="AD23" i="4"/>
  <c r="AP92" i="2"/>
  <c r="AY92" i="2"/>
  <c r="AL92" i="2"/>
  <c r="AH92" i="2"/>
  <c r="BD7" i="2"/>
  <c r="E9" i="4"/>
  <c r="X9" i="4"/>
  <c r="Y9" i="4"/>
  <c r="BD29" i="2"/>
  <c r="AB31" i="4"/>
  <c r="AA31" i="4"/>
  <c r="AC31" i="4"/>
  <c r="AC8" i="4"/>
  <c r="AB11" i="4"/>
  <c r="AA11" i="4"/>
  <c r="AA44" i="4"/>
  <c r="AB44" i="4"/>
  <c r="AH88" i="2"/>
  <c r="AB58" i="4"/>
  <c r="AA58" i="4"/>
  <c r="AB57" i="4"/>
  <c r="AA57" i="4"/>
  <c r="AB56" i="4"/>
  <c r="AA56" i="4"/>
  <c r="AB55" i="4"/>
  <c r="AA55" i="4"/>
  <c r="AB54" i="4"/>
  <c r="AA54" i="4"/>
  <c r="AB53" i="4"/>
  <c r="AA53" i="4"/>
  <c r="AB52" i="4"/>
  <c r="AA52" i="4"/>
  <c r="AB51" i="4"/>
  <c r="AA51" i="4"/>
  <c r="AB50" i="4"/>
  <c r="AA50" i="4"/>
  <c r="AA46" i="4"/>
  <c r="AB46" i="4"/>
  <c r="AB45" i="4"/>
  <c r="AA45" i="4"/>
  <c r="AB5" i="4"/>
  <c r="AB77" i="4"/>
  <c r="AA77" i="4"/>
  <c r="AA76" i="4"/>
  <c r="AB76" i="4"/>
  <c r="AB75" i="4"/>
  <c r="AA75" i="4"/>
  <c r="AB74" i="4"/>
  <c r="AA74" i="4"/>
  <c r="AB73" i="4"/>
  <c r="AA73" i="4"/>
  <c r="AB72" i="4"/>
  <c r="AA72" i="4"/>
  <c r="AB71" i="4"/>
  <c r="AA71" i="4"/>
  <c r="AB48" i="4"/>
  <c r="AA48" i="4"/>
  <c r="AB47" i="4"/>
  <c r="AA47" i="4"/>
  <c r="AB36" i="4"/>
  <c r="AA36" i="4"/>
  <c r="AB35" i="4"/>
  <c r="AA35" i="4"/>
  <c r="AB34" i="4"/>
  <c r="AA34" i="4"/>
  <c r="AB29" i="4"/>
  <c r="AA29" i="4"/>
  <c r="AB19" i="4"/>
  <c r="AA19" i="4"/>
  <c r="AB8" i="4"/>
  <c r="AA8" i="4"/>
  <c r="AB7" i="4"/>
  <c r="AA7" i="4"/>
  <c r="AB6" i="4"/>
  <c r="AA6" i="4"/>
  <c r="AC5" i="4"/>
  <c r="AC77" i="4"/>
  <c r="AC76" i="4"/>
  <c r="AC75" i="4"/>
  <c r="AC74" i="4"/>
  <c r="AC73" i="4"/>
  <c r="AC72" i="4"/>
  <c r="AC71" i="4"/>
  <c r="AC48" i="4"/>
  <c r="AC47" i="4"/>
  <c r="AC46" i="4"/>
  <c r="AC45" i="4"/>
  <c r="AC44" i="4"/>
  <c r="AC36" i="4"/>
  <c r="AC35" i="4"/>
  <c r="AC34" i="4"/>
  <c r="AC28" i="4"/>
  <c r="AC27" i="4"/>
  <c r="AC26" i="4"/>
  <c r="AC25" i="4"/>
  <c r="AC24" i="4"/>
  <c r="AC21" i="4"/>
  <c r="AC20" i="4"/>
  <c r="AC19" i="4"/>
  <c r="AC18" i="4"/>
  <c r="AC17" i="4"/>
  <c r="AC16" i="4"/>
  <c r="AC15" i="4"/>
  <c r="AC14" i="4"/>
  <c r="W12" i="4"/>
  <c r="AC11" i="4"/>
  <c r="Z11" i="4"/>
  <c r="W11" i="4"/>
  <c r="AC7" i="4"/>
  <c r="AC6" i="4"/>
  <c r="AC23" i="4"/>
  <c r="AC57" i="4"/>
  <c r="AC56" i="4"/>
  <c r="AC55" i="4"/>
  <c r="AC54" i="4"/>
  <c r="AC53" i="4"/>
  <c r="AC52" i="4"/>
  <c r="AC51" i="4"/>
  <c r="AC50" i="4"/>
  <c r="AC29" i="4"/>
  <c r="AA12" i="4"/>
  <c r="AB12" i="4"/>
  <c r="AC30" i="4"/>
  <c r="AB30" i="4"/>
  <c r="AA30" i="4"/>
  <c r="AC37" i="4"/>
  <c r="AB37" i="4"/>
  <c r="AA37" i="4"/>
  <c r="AB32" i="4"/>
  <c r="AA32" i="4"/>
  <c r="AC32" i="4"/>
  <c r="AL84" i="2"/>
  <c r="AA39" i="4"/>
  <c r="AC39" i="4"/>
  <c r="AB39" i="4"/>
  <c r="AC49" i="4"/>
  <c r="AB49" i="4"/>
  <c r="AA49" i="4"/>
  <c r="AL95" i="2"/>
  <c r="AL93" i="2"/>
  <c r="AA69" i="4"/>
  <c r="AB69" i="4"/>
  <c r="AC69" i="4"/>
  <c r="AC65" i="4"/>
  <c r="AC67" i="4"/>
  <c r="AA67" i="4"/>
  <c r="AB67" i="4"/>
  <c r="AA66" i="4"/>
  <c r="AB66" i="4"/>
  <c r="AC66" i="4"/>
  <c r="AA65" i="4"/>
  <c r="AB65" i="4"/>
  <c r="AB64" i="4"/>
  <c r="AA64" i="4"/>
  <c r="AC64" i="4"/>
  <c r="AB63" i="4"/>
  <c r="AA63" i="4"/>
  <c r="AC63" i="4"/>
  <c r="AB62" i="4"/>
  <c r="AC62" i="4"/>
  <c r="AA62" i="4"/>
  <c r="AC68" i="4"/>
  <c r="AA68" i="4"/>
  <c r="AB68" i="4"/>
  <c r="AB61" i="4"/>
  <c r="AA61" i="4"/>
  <c r="AC61" i="4"/>
  <c r="AC13" i="4"/>
  <c r="AC12" i="4"/>
  <c r="AT93" i="3"/>
  <c r="AO84" i="3"/>
  <c r="AO95" i="3"/>
  <c r="AB43" i="4"/>
  <c r="AA43" i="4"/>
  <c r="AC43" i="4"/>
  <c r="AB42" i="4"/>
  <c r="AA42" i="4"/>
  <c r="AC42" i="4"/>
  <c r="AB41" i="4"/>
  <c r="AA41" i="4"/>
  <c r="AC41" i="4"/>
  <c r="AU59" i="3"/>
  <c r="AT88" i="3"/>
  <c r="AC58" i="4"/>
  <c r="BN58" i="3"/>
  <c r="AA38" i="4"/>
  <c r="AC38" i="4"/>
  <c r="AB38" i="4"/>
  <c r="AA33" i="4"/>
  <c r="AB33" i="4"/>
  <c r="AC33" i="4"/>
  <c r="AA10" i="4"/>
  <c r="AB10" i="4"/>
  <c r="AC10" i="4"/>
  <c r="AB9" i="4"/>
  <c r="AA9" i="4"/>
  <c r="AC9" i="4"/>
  <c r="AB28" i="4"/>
  <c r="AA28" i="4"/>
  <c r="AA27" i="4"/>
  <c r="AB27" i="4"/>
  <c r="AA26" i="4"/>
  <c r="AB26" i="4"/>
  <c r="AB25" i="4"/>
  <c r="AA25" i="4"/>
  <c r="AA24" i="4"/>
  <c r="AB24" i="4"/>
  <c r="AA23" i="4"/>
  <c r="AB23" i="4"/>
  <c r="AB16" i="4"/>
  <c r="AA16" i="4"/>
  <c r="AB15" i="4"/>
  <c r="AA15" i="4"/>
  <c r="AA17" i="4"/>
  <c r="AB17" i="4"/>
  <c r="AB14" i="4"/>
  <c r="AA14" i="4"/>
  <c r="AB13" i="4"/>
  <c r="AA13" i="4"/>
  <c r="AA21" i="4"/>
  <c r="AB21" i="4"/>
  <c r="AB18" i="4"/>
  <c r="AA18" i="4"/>
  <c r="AB20" i="4"/>
  <c r="AA20" i="4"/>
  <c r="BD5" i="2"/>
  <c r="Z5" i="4"/>
  <c r="W5" i="4"/>
  <c r="Y5" i="4"/>
  <c r="X5" i="4"/>
  <c r="E77" i="4"/>
  <c r="Z77" i="4"/>
  <c r="Y77" i="4"/>
  <c r="X77" i="4"/>
  <c r="Z76" i="4"/>
  <c r="Y76" i="4"/>
  <c r="X76" i="4"/>
  <c r="Z75" i="4"/>
  <c r="Y75" i="4"/>
  <c r="X75" i="4"/>
  <c r="Z74" i="4"/>
  <c r="Y74" i="4"/>
  <c r="X74" i="4"/>
  <c r="Z73" i="4"/>
  <c r="Y73" i="4"/>
  <c r="X73" i="4"/>
  <c r="Z72" i="4"/>
  <c r="Y72" i="4"/>
  <c r="X72" i="4"/>
  <c r="Z71" i="4"/>
  <c r="Y71" i="4"/>
  <c r="X71" i="4"/>
  <c r="E58" i="4"/>
  <c r="Z58" i="4"/>
  <c r="Y58" i="4"/>
  <c r="X58" i="4"/>
  <c r="E55" i="4"/>
  <c r="U55" i="4"/>
  <c r="BD11" i="2"/>
  <c r="Y11" i="4"/>
  <c r="X11" i="4"/>
  <c r="BB11" i="2"/>
  <c r="BK86" i="3"/>
  <c r="Y66" i="4"/>
  <c r="BD66" i="2"/>
  <c r="Z66" i="4"/>
  <c r="X66" i="4"/>
  <c r="BD32" i="2"/>
  <c r="Z32" i="4"/>
  <c r="X32" i="4"/>
  <c r="Y32" i="4"/>
  <c r="BD65" i="2"/>
  <c r="Z65" i="4"/>
  <c r="X65" i="4"/>
  <c r="Y65" i="4"/>
  <c r="BD31" i="2"/>
  <c r="Z31" i="4"/>
  <c r="X31" i="4"/>
  <c r="Y31" i="4"/>
  <c r="X13" i="4"/>
  <c r="BD13" i="2"/>
  <c r="Z13" i="4"/>
  <c r="Y13" i="4"/>
  <c r="BD15" i="2"/>
  <c r="Z15" i="4"/>
  <c r="X15" i="4"/>
  <c r="Y15" i="4"/>
  <c r="BD50" i="2"/>
  <c r="Z50" i="4"/>
  <c r="X50" i="4"/>
  <c r="Y50" i="4"/>
  <c r="BD14" i="2"/>
  <c r="Z14" i="4"/>
  <c r="X14" i="4"/>
  <c r="Y14" i="4"/>
  <c r="E49" i="4"/>
  <c r="BD49" i="2"/>
  <c r="X49" i="4"/>
  <c r="Y49" i="4"/>
  <c r="BD64" i="2"/>
  <c r="Z64" i="4"/>
  <c r="X64" i="4"/>
  <c r="Y64" i="4"/>
  <c r="BD48" i="2"/>
  <c r="Z48" i="4"/>
  <c r="Y48" i="4"/>
  <c r="X48" i="4"/>
  <c r="BD30" i="2"/>
  <c r="Z30" i="4"/>
  <c r="X30" i="4"/>
  <c r="Y30" i="4"/>
  <c r="BD12" i="2"/>
  <c r="Z12" i="4"/>
  <c r="X12" i="4"/>
  <c r="Y12" i="4"/>
  <c r="AJ93" i="3"/>
  <c r="BD63" i="2"/>
  <c r="Z63" i="4"/>
  <c r="X63" i="4"/>
  <c r="Y63" i="4"/>
  <c r="Z62" i="4"/>
  <c r="X62" i="4"/>
  <c r="BD62" i="2"/>
  <c r="Y62" i="4"/>
  <c r="BD61" i="2"/>
  <c r="Z61" i="4"/>
  <c r="X61" i="4"/>
  <c r="Y61" i="4"/>
  <c r="Y43" i="4"/>
  <c r="X43" i="4"/>
  <c r="BD43" i="2"/>
  <c r="X26" i="4"/>
  <c r="BD26" i="2"/>
  <c r="Y26" i="4"/>
  <c r="Z26" i="4"/>
  <c r="BD8" i="2"/>
  <c r="Y8" i="4"/>
  <c r="Z8" i="4"/>
  <c r="X8" i="4"/>
  <c r="Z27" i="4"/>
  <c r="X27" i="4"/>
  <c r="BD27" i="2"/>
  <c r="Y27" i="4"/>
  <c r="BD42" i="2"/>
  <c r="X42" i="4"/>
  <c r="Y42" i="4"/>
  <c r="Z25" i="4"/>
  <c r="Y25" i="4"/>
  <c r="BD25" i="2"/>
  <c r="X25" i="4"/>
  <c r="Y7" i="4"/>
  <c r="X7" i="4"/>
  <c r="Z7" i="4"/>
  <c r="Y51" i="4"/>
  <c r="BD51" i="2"/>
  <c r="Z51" i="4"/>
  <c r="X51" i="4"/>
  <c r="X41" i="4"/>
  <c r="Y41" i="4"/>
  <c r="BD41" i="2"/>
  <c r="Z24" i="4"/>
  <c r="Y24" i="4"/>
  <c r="X24" i="4"/>
  <c r="BD24" i="2"/>
  <c r="Y6" i="4"/>
  <c r="BD6" i="2"/>
  <c r="X6" i="4"/>
  <c r="Z6" i="4"/>
  <c r="X29" i="4"/>
  <c r="Z29" i="4"/>
  <c r="Y29" i="4"/>
  <c r="Z49" i="4"/>
  <c r="AD84" i="2"/>
  <c r="X45" i="4"/>
  <c r="Y45" i="4"/>
  <c r="BD10" i="2"/>
  <c r="Y10" i="4"/>
  <c r="Z10" i="4"/>
  <c r="X10" i="4"/>
  <c r="BD46" i="2"/>
  <c r="X46" i="4"/>
  <c r="Y46" i="4"/>
  <c r="X44" i="4"/>
  <c r="BD44" i="2"/>
  <c r="Y44" i="4"/>
  <c r="X57" i="4"/>
  <c r="Y57" i="4"/>
  <c r="BD57" i="2"/>
  <c r="Z57" i="4"/>
  <c r="X39" i="4"/>
  <c r="Z39" i="4"/>
  <c r="Y39" i="4"/>
  <c r="BD39" i="2"/>
  <c r="BD21" i="2"/>
  <c r="Y21" i="4"/>
  <c r="Z21" i="4"/>
  <c r="X21" i="4"/>
  <c r="Z43" i="4"/>
  <c r="BD33" i="2"/>
  <c r="Z33" i="4"/>
  <c r="Y33" i="4"/>
  <c r="X33" i="4"/>
  <c r="Y23" i="4"/>
  <c r="X23" i="4"/>
  <c r="Z23" i="4"/>
  <c r="BD23" i="2"/>
  <c r="U6" i="4"/>
  <c r="Z56" i="4"/>
  <c r="Y56" i="4"/>
  <c r="BD56" i="2"/>
  <c r="X56" i="4"/>
  <c r="Z38" i="4"/>
  <c r="BD38" i="2"/>
  <c r="Y38" i="4"/>
  <c r="X38" i="4"/>
  <c r="Y20" i="4"/>
  <c r="BD20" i="2"/>
  <c r="Z20" i="4"/>
  <c r="X20" i="4"/>
  <c r="AJ95" i="3"/>
  <c r="Z46" i="4"/>
  <c r="Z42" i="4"/>
  <c r="BD47" i="2"/>
  <c r="Z47" i="4"/>
  <c r="X47" i="4"/>
  <c r="Y47" i="4"/>
  <c r="X55" i="4"/>
  <c r="BD55" i="2"/>
  <c r="Z55" i="4"/>
  <c r="Y55" i="4"/>
  <c r="BD37" i="2"/>
  <c r="X37" i="4"/>
  <c r="Z37" i="4"/>
  <c r="Y37" i="4"/>
  <c r="Y19" i="4"/>
  <c r="BD19" i="2"/>
  <c r="X19" i="4"/>
  <c r="Z19" i="4"/>
  <c r="Z45" i="4"/>
  <c r="Z41" i="4"/>
  <c r="X36" i="4"/>
  <c r="Y36" i="4"/>
  <c r="BD36" i="2"/>
  <c r="Z36" i="4"/>
  <c r="AJ88" i="3"/>
  <c r="Z44" i="4"/>
  <c r="BD58" i="2"/>
  <c r="X54" i="4"/>
  <c r="Y54" i="4"/>
  <c r="BD54" i="2"/>
  <c r="Z54" i="4"/>
  <c r="X69" i="4"/>
  <c r="Y69" i="4"/>
  <c r="Z69" i="4"/>
  <c r="X53" i="4"/>
  <c r="Y53" i="4"/>
  <c r="BD53" i="2"/>
  <c r="Z53" i="4"/>
  <c r="BD35" i="2"/>
  <c r="Z35" i="4"/>
  <c r="Y35" i="4"/>
  <c r="X35" i="4"/>
  <c r="BD17" i="2"/>
  <c r="Z17" i="4"/>
  <c r="X17" i="4"/>
  <c r="Y17" i="4"/>
  <c r="Y67" i="4"/>
  <c r="BD67" i="2"/>
  <c r="X67" i="4"/>
  <c r="Z67" i="4"/>
  <c r="BD28" i="2"/>
  <c r="X28" i="4"/>
  <c r="Y28" i="4"/>
  <c r="Z28" i="4"/>
  <c r="BD9" i="2"/>
  <c r="Z9" i="4"/>
  <c r="BD18" i="2"/>
  <c r="Z18" i="4"/>
  <c r="X18" i="4"/>
  <c r="Y18" i="4"/>
  <c r="BD68" i="2"/>
  <c r="X68" i="4"/>
  <c r="Z68" i="4"/>
  <c r="Y68" i="4"/>
  <c r="Y52" i="4"/>
  <c r="BD52" i="2"/>
  <c r="Z52" i="4"/>
  <c r="X52" i="4"/>
  <c r="BD34" i="2"/>
  <c r="Z34" i="4"/>
  <c r="X34" i="4"/>
  <c r="Y34" i="4"/>
  <c r="BD16" i="2"/>
  <c r="Z16" i="4"/>
  <c r="X16" i="4"/>
  <c r="Y16" i="4"/>
  <c r="U5" i="4"/>
  <c r="V5" i="4"/>
  <c r="U7" i="4"/>
  <c r="V7" i="4"/>
  <c r="W7" i="4"/>
  <c r="E76" i="4"/>
  <c r="U76" i="4"/>
  <c r="V76" i="4"/>
  <c r="E75" i="4"/>
  <c r="V75" i="4"/>
  <c r="U75" i="4"/>
  <c r="E74" i="4"/>
  <c r="V74" i="4"/>
  <c r="U74" i="4"/>
  <c r="E73" i="4"/>
  <c r="V73" i="4"/>
  <c r="U73" i="4"/>
  <c r="E72" i="4"/>
  <c r="V72" i="4"/>
  <c r="U72" i="4"/>
  <c r="E71" i="4"/>
  <c r="V71" i="4"/>
  <c r="U71" i="4"/>
  <c r="E69" i="4"/>
  <c r="V69" i="4"/>
  <c r="U69" i="4"/>
  <c r="E68" i="4"/>
  <c r="V68" i="4"/>
  <c r="U68" i="4"/>
  <c r="E67" i="4"/>
  <c r="V67" i="4"/>
  <c r="U67" i="4"/>
  <c r="V66" i="4"/>
  <c r="U66" i="4"/>
  <c r="E65" i="4"/>
  <c r="V65" i="4"/>
  <c r="U65" i="4"/>
  <c r="E64" i="4"/>
  <c r="V64" i="4"/>
  <c r="U64" i="4"/>
  <c r="E63" i="4"/>
  <c r="V63" i="4"/>
  <c r="U63" i="4"/>
  <c r="E62" i="4"/>
  <c r="V62" i="4"/>
  <c r="U62" i="4"/>
  <c r="E61" i="4"/>
  <c r="V61" i="4"/>
  <c r="U61" i="4"/>
  <c r="E50" i="4"/>
  <c r="U50" i="4"/>
  <c r="E48" i="4"/>
  <c r="V48" i="4"/>
  <c r="U48" i="4"/>
  <c r="E36" i="4"/>
  <c r="V36" i="4"/>
  <c r="U36" i="4"/>
  <c r="E35" i="4"/>
  <c r="V35" i="4"/>
  <c r="U35" i="4"/>
  <c r="E34" i="4"/>
  <c r="V34" i="4"/>
  <c r="U34" i="4"/>
  <c r="V31" i="4"/>
  <c r="U31" i="4"/>
  <c r="V30" i="4"/>
  <c r="U30" i="4"/>
  <c r="V29" i="4"/>
  <c r="U29" i="4"/>
  <c r="V19" i="4"/>
  <c r="U19" i="4"/>
  <c r="L11" i="4"/>
  <c r="U11" i="4"/>
  <c r="E8" i="4"/>
  <c r="V8" i="4"/>
  <c r="U8" i="4"/>
  <c r="E6" i="4"/>
  <c r="V6" i="4"/>
  <c r="BB6" i="2"/>
  <c r="W75" i="4"/>
  <c r="W68" i="4"/>
  <c r="W67" i="4"/>
  <c r="W61" i="4"/>
  <c r="W45" i="4"/>
  <c r="W44" i="4"/>
  <c r="W36" i="4"/>
  <c r="W35" i="4"/>
  <c r="W34" i="4"/>
  <c r="W29" i="4"/>
  <c r="W28" i="4"/>
  <c r="U46" i="4"/>
  <c r="V46" i="4"/>
  <c r="U45" i="4"/>
  <c r="V45" i="4"/>
  <c r="U44" i="4"/>
  <c r="V44" i="4"/>
  <c r="V47" i="4"/>
  <c r="U47" i="4"/>
  <c r="V43" i="4"/>
  <c r="U43" i="4"/>
  <c r="V42" i="4"/>
  <c r="U42" i="4"/>
  <c r="V49" i="4"/>
  <c r="U49" i="4"/>
  <c r="V41" i="4"/>
  <c r="U41" i="4"/>
  <c r="V11" i="4"/>
  <c r="V39" i="4"/>
  <c r="U39" i="4"/>
  <c r="V38" i="4"/>
  <c r="U38" i="4"/>
  <c r="W38" i="4"/>
  <c r="U18" i="4"/>
  <c r="V18" i="4"/>
  <c r="V21" i="4"/>
  <c r="U21" i="4"/>
  <c r="U17" i="4"/>
  <c r="V17" i="4"/>
  <c r="V25" i="4"/>
  <c r="U25" i="4"/>
  <c r="U16" i="4"/>
  <c r="V16" i="4"/>
  <c r="U33" i="4"/>
  <c r="W33" i="4"/>
  <c r="V33" i="4"/>
  <c r="U15" i="4"/>
  <c r="V15" i="4"/>
  <c r="V28" i="4"/>
  <c r="U28" i="4"/>
  <c r="V24" i="4"/>
  <c r="U24" i="4"/>
  <c r="V20" i="4"/>
  <c r="U20" i="4"/>
  <c r="V27" i="4"/>
  <c r="U27" i="4"/>
  <c r="V10" i="4"/>
  <c r="U10" i="4"/>
  <c r="V14" i="4"/>
  <c r="U14" i="4"/>
  <c r="V26" i="4"/>
  <c r="U26" i="4"/>
  <c r="V9" i="4"/>
  <c r="U9" i="4"/>
  <c r="W39" i="4"/>
  <c r="W10" i="4"/>
  <c r="W74" i="4"/>
  <c r="W73" i="4"/>
  <c r="W72" i="4"/>
  <c r="W77" i="4"/>
  <c r="W76" i="4"/>
  <c r="W71" i="4"/>
  <c r="W69" i="4"/>
  <c r="W66" i="4"/>
  <c r="W65" i="4"/>
  <c r="W64" i="4"/>
  <c r="W63" i="4"/>
  <c r="W62" i="4"/>
  <c r="W27" i="4"/>
  <c r="W43" i="4"/>
  <c r="W19" i="4"/>
  <c r="W18" i="4"/>
  <c r="W21" i="4"/>
  <c r="W17" i="4"/>
  <c r="W16" i="4"/>
  <c r="W15" i="4"/>
  <c r="W14" i="4"/>
  <c r="W20" i="4"/>
  <c r="W9" i="4"/>
  <c r="W6" i="4"/>
  <c r="T5" i="4"/>
  <c r="W8" i="4"/>
  <c r="W26" i="4"/>
  <c r="W25" i="4"/>
  <c r="W31" i="4"/>
  <c r="W24" i="4"/>
  <c r="W30" i="4"/>
  <c r="W49" i="4"/>
  <c r="W41" i="4"/>
  <c r="W48" i="4"/>
  <c r="W47" i="4"/>
  <c r="W42" i="4"/>
  <c r="W46" i="4"/>
  <c r="W37" i="4"/>
  <c r="U37" i="4"/>
  <c r="V37" i="4"/>
  <c r="V77" i="4"/>
  <c r="U77" i="4"/>
  <c r="V52" i="4"/>
  <c r="U52" i="4"/>
  <c r="W52" i="4"/>
  <c r="U51" i="4"/>
  <c r="W51" i="4"/>
  <c r="V51" i="4"/>
  <c r="V54" i="4"/>
  <c r="U54" i="4"/>
  <c r="W54" i="4"/>
  <c r="W56" i="4"/>
  <c r="U56" i="4"/>
  <c r="V56" i="4"/>
  <c r="V55" i="4"/>
  <c r="W55" i="4"/>
  <c r="V53" i="4"/>
  <c r="U53" i="4"/>
  <c r="W53" i="4"/>
  <c r="V57" i="4"/>
  <c r="W57" i="4"/>
  <c r="U57" i="4"/>
  <c r="W50" i="4"/>
  <c r="V50" i="4"/>
  <c r="V58" i="4"/>
  <c r="W58" i="4"/>
  <c r="U58" i="4"/>
  <c r="W32" i="4"/>
  <c r="U32" i="4"/>
  <c r="V32" i="4"/>
  <c r="W23" i="4"/>
  <c r="V23" i="4"/>
  <c r="U23" i="4"/>
  <c r="W13" i="4"/>
  <c r="V13" i="4"/>
  <c r="U13" i="4"/>
  <c r="U12" i="4"/>
  <c r="V12" i="4"/>
  <c r="AE93" i="3"/>
  <c r="AE95" i="3"/>
  <c r="AE88" i="3"/>
  <c r="AE84" i="3"/>
  <c r="BT79" i="3"/>
  <c r="BT95" i="3" s="1"/>
  <c r="BZ79" i="3"/>
  <c r="BZ95" i="3" s="1"/>
  <c r="BZ83" i="3"/>
  <c r="BZ87" i="3"/>
  <c r="BZ91" i="3" s="1"/>
  <c r="BZ86" i="3"/>
  <c r="BZ90" i="3" s="1"/>
  <c r="BZ82" i="3"/>
  <c r="BK88" i="3"/>
  <c r="BZ88" i="3"/>
  <c r="BZ84" i="3"/>
  <c r="BK95" i="3"/>
  <c r="BQ93" i="3"/>
  <c r="BQ83" i="3"/>
  <c r="BQ87" i="3"/>
  <c r="BQ91" i="3" s="1"/>
  <c r="BL88" i="3"/>
  <c r="BQ88" i="3"/>
  <c r="BQ82" i="3"/>
  <c r="BQ86" i="3"/>
  <c r="BQ90" i="3" s="1"/>
  <c r="BM95" i="3"/>
  <c r="T11" i="4"/>
  <c r="BL84" i="3"/>
  <c r="BQ84" i="3"/>
  <c r="BL95" i="3"/>
  <c r="BQ95" i="3"/>
  <c r="T56" i="4"/>
  <c r="T57" i="4"/>
  <c r="T52" i="4"/>
  <c r="T53" i="4"/>
  <c r="T55" i="4"/>
  <c r="T54" i="4"/>
  <c r="T51" i="4"/>
  <c r="Q50" i="4"/>
  <c r="T50" i="4"/>
  <c r="R58" i="4"/>
  <c r="S58" i="4"/>
  <c r="R57" i="4"/>
  <c r="S57" i="4"/>
  <c r="R56" i="4"/>
  <c r="S56" i="4"/>
  <c r="R55" i="4"/>
  <c r="S55" i="4"/>
  <c r="R54" i="4"/>
  <c r="S54" i="4"/>
  <c r="R53" i="4"/>
  <c r="S53" i="4"/>
  <c r="S52" i="4"/>
  <c r="R52" i="4"/>
  <c r="S51" i="4"/>
  <c r="R51" i="4"/>
  <c r="S50" i="4"/>
  <c r="R50" i="4"/>
  <c r="E19" i="4"/>
  <c r="R19" i="4"/>
  <c r="S19" i="4"/>
  <c r="E18" i="4"/>
  <c r="S18" i="4"/>
  <c r="R18" i="4"/>
  <c r="S46" i="4"/>
  <c r="R46" i="4"/>
  <c r="E17" i="4"/>
  <c r="S17" i="4"/>
  <c r="R17" i="4"/>
  <c r="R45" i="4"/>
  <c r="S45" i="4"/>
  <c r="S16" i="4"/>
  <c r="R16" i="4"/>
  <c r="E32" i="4"/>
  <c r="S32" i="4"/>
  <c r="R32" i="4"/>
  <c r="E15" i="4"/>
  <c r="R15" i="4"/>
  <c r="S15" i="4"/>
  <c r="E31" i="4"/>
  <c r="R31" i="4"/>
  <c r="S31" i="4"/>
  <c r="E14" i="4"/>
  <c r="R14" i="4"/>
  <c r="S14" i="4"/>
  <c r="E30" i="4"/>
  <c r="R30" i="4"/>
  <c r="S30" i="4"/>
  <c r="E13" i="4"/>
  <c r="R13" i="4"/>
  <c r="S13" i="4"/>
  <c r="E29" i="4"/>
  <c r="R29" i="4"/>
  <c r="S29" i="4"/>
  <c r="E5" i="4"/>
  <c r="O5" i="4"/>
  <c r="E25" i="4"/>
  <c r="R25" i="4"/>
  <c r="S25" i="4"/>
  <c r="E28" i="4"/>
  <c r="S28" i="4"/>
  <c r="R28" i="4"/>
  <c r="P11" i="4"/>
  <c r="S11" i="4"/>
  <c r="R11" i="4"/>
  <c r="R44" i="4"/>
  <c r="S44" i="4"/>
  <c r="E27" i="4"/>
  <c r="S27" i="4"/>
  <c r="R27" i="4"/>
  <c r="E26" i="4"/>
  <c r="R26" i="4"/>
  <c r="S26" i="4"/>
  <c r="E24" i="4"/>
  <c r="S24" i="4"/>
  <c r="R24" i="4"/>
  <c r="L7" i="4"/>
  <c r="O7" i="4"/>
  <c r="E39" i="4"/>
  <c r="R39" i="4"/>
  <c r="S39" i="4"/>
  <c r="E21" i="4"/>
  <c r="R21" i="4"/>
  <c r="S21" i="4"/>
  <c r="R71" i="4"/>
  <c r="S71" i="4"/>
  <c r="R72" i="4"/>
  <c r="S72" i="4"/>
  <c r="S73" i="4"/>
  <c r="R73" i="4"/>
  <c r="R75" i="4"/>
  <c r="S75" i="4"/>
  <c r="S74" i="4"/>
  <c r="R74" i="4"/>
  <c r="S76" i="4"/>
  <c r="R76" i="4"/>
  <c r="R77" i="4"/>
  <c r="S77" i="4"/>
  <c r="S23" i="4"/>
  <c r="R23" i="4"/>
  <c r="R20" i="4"/>
  <c r="S20" i="4"/>
  <c r="R48" i="4"/>
  <c r="S48" i="4"/>
  <c r="R37" i="4"/>
  <c r="S37" i="4"/>
  <c r="T49" i="4"/>
  <c r="Q49" i="4"/>
  <c r="T16" i="4"/>
  <c r="Q16" i="4"/>
  <c r="Q32" i="4"/>
  <c r="T32" i="4"/>
  <c r="S35" i="4"/>
  <c r="R35" i="4"/>
  <c r="Q5" i="4"/>
  <c r="T31" i="4"/>
  <c r="Q31" i="4"/>
  <c r="S68" i="4"/>
  <c r="R68" i="4"/>
  <c r="S34" i="4"/>
  <c r="R34" i="4"/>
  <c r="T46" i="4"/>
  <c r="Q46" i="4"/>
  <c r="T13" i="4"/>
  <c r="Q13" i="4"/>
  <c r="S67" i="4"/>
  <c r="R67" i="4"/>
  <c r="S33" i="4"/>
  <c r="R33" i="4"/>
  <c r="Q77" i="4"/>
  <c r="T77" i="4"/>
  <c r="T61" i="4"/>
  <c r="Q61" i="4"/>
  <c r="T12" i="4"/>
  <c r="Q12" i="4"/>
  <c r="T76" i="4"/>
  <c r="Q76" i="4"/>
  <c r="T28" i="4"/>
  <c r="Q28" i="4"/>
  <c r="T27" i="4"/>
  <c r="Q27" i="4"/>
  <c r="R64" i="4"/>
  <c r="S64" i="4"/>
  <c r="T74" i="4"/>
  <c r="Q74" i="4"/>
  <c r="T42" i="4"/>
  <c r="Q42" i="4"/>
  <c r="S12" i="4"/>
  <c r="R12" i="4"/>
  <c r="Q41" i="4"/>
  <c r="T41" i="4"/>
  <c r="Q8" i="4"/>
  <c r="T8" i="4"/>
  <c r="S62" i="4"/>
  <c r="R62" i="4"/>
  <c r="T72" i="4"/>
  <c r="Q72" i="4"/>
  <c r="Q24" i="4"/>
  <c r="T24" i="4"/>
  <c r="S61" i="4"/>
  <c r="R61" i="4"/>
  <c r="T71" i="4"/>
  <c r="Q71" i="4"/>
  <c r="Q23" i="4"/>
  <c r="T23" i="4"/>
  <c r="R8" i="4"/>
  <c r="S8" i="4"/>
  <c r="T38" i="4"/>
  <c r="Q38" i="4"/>
  <c r="R42" i="4"/>
  <c r="S42" i="4"/>
  <c r="Q69" i="4"/>
  <c r="T69" i="4"/>
  <c r="T37" i="4"/>
  <c r="Q37" i="4"/>
  <c r="R41" i="4"/>
  <c r="S41" i="4"/>
  <c r="R6" i="4"/>
  <c r="S6" i="4"/>
  <c r="Q68" i="4"/>
  <c r="T68" i="4"/>
  <c r="Q52" i="4"/>
  <c r="Q36" i="4"/>
  <c r="T36" i="4"/>
  <c r="Q19" i="4"/>
  <c r="T19" i="4"/>
  <c r="Q33" i="4"/>
  <c r="T33" i="4"/>
  <c r="S36" i="4"/>
  <c r="R36" i="4"/>
  <c r="Q48" i="4"/>
  <c r="T48" i="4"/>
  <c r="R69" i="4"/>
  <c r="S69" i="4"/>
  <c r="T47" i="4"/>
  <c r="Q47" i="4"/>
  <c r="Q14" i="4"/>
  <c r="T14" i="4"/>
  <c r="BN7" i="3"/>
  <c r="Q62" i="4"/>
  <c r="T62" i="4"/>
  <c r="Q30" i="4"/>
  <c r="T30" i="4"/>
  <c r="R47" i="4"/>
  <c r="S47" i="4"/>
  <c r="T45" i="4"/>
  <c r="Q45" i="4"/>
  <c r="R66" i="4"/>
  <c r="S66" i="4"/>
  <c r="Q11" i="4"/>
  <c r="T75" i="4"/>
  <c r="Q75" i="4"/>
  <c r="T43" i="4"/>
  <c r="Q43" i="4"/>
  <c r="Q10" i="4"/>
  <c r="T10" i="4"/>
  <c r="Q58" i="4"/>
  <c r="T58" i="4"/>
  <c r="Q26" i="4"/>
  <c r="T26" i="4"/>
  <c r="S63" i="4"/>
  <c r="R63" i="4"/>
  <c r="Q57" i="4"/>
  <c r="Q25" i="4"/>
  <c r="T25" i="4"/>
  <c r="R10" i="4"/>
  <c r="S10" i="4"/>
  <c r="Q56" i="4"/>
  <c r="Q7" i="4"/>
  <c r="T7" i="4"/>
  <c r="S5" i="4"/>
  <c r="R5" i="4"/>
  <c r="Q55" i="4"/>
  <c r="T6" i="4"/>
  <c r="Q6" i="4"/>
  <c r="R43" i="4"/>
  <c r="S43" i="4"/>
  <c r="Q21" i="4"/>
  <c r="T21" i="4"/>
  <c r="R7" i="4"/>
  <c r="S7" i="4"/>
  <c r="Q53" i="4"/>
  <c r="Q20" i="4"/>
  <c r="T20" i="4"/>
  <c r="Q67" i="4"/>
  <c r="T67" i="4"/>
  <c r="Q51" i="4"/>
  <c r="Q35" i="4"/>
  <c r="T35" i="4"/>
  <c r="Q18" i="4"/>
  <c r="T18" i="4"/>
  <c r="Q65" i="4"/>
  <c r="T65" i="4"/>
  <c r="T64" i="4"/>
  <c r="Q64" i="4"/>
  <c r="T15" i="4"/>
  <c r="Q15" i="4"/>
  <c r="T63" i="4"/>
  <c r="Q63" i="4"/>
  <c r="T29" i="4"/>
  <c r="Q29" i="4"/>
  <c r="Q44" i="4"/>
  <c r="T44" i="4"/>
  <c r="S65" i="4"/>
  <c r="R65" i="4"/>
  <c r="Q9" i="4"/>
  <c r="T9" i="4"/>
  <c r="Q73" i="4"/>
  <c r="T73" i="4"/>
  <c r="R9" i="4"/>
  <c r="S9" i="4"/>
  <c r="T39" i="4"/>
  <c r="Q39" i="4"/>
  <c r="Q54" i="4"/>
  <c r="R49" i="4"/>
  <c r="S49" i="4"/>
  <c r="S38" i="4"/>
  <c r="R38" i="4"/>
  <c r="Q66" i="4"/>
  <c r="T66" i="4"/>
  <c r="T34" i="4"/>
  <c r="Q34" i="4"/>
  <c r="Q17" i="4"/>
  <c r="T17" i="4"/>
  <c r="E44" i="4"/>
  <c r="F44" i="4"/>
  <c r="E12" i="4"/>
  <c r="O12" i="4"/>
  <c r="E11" i="4"/>
  <c r="O11" i="4"/>
  <c r="E7" i="4"/>
  <c r="F7" i="4"/>
  <c r="BN69" i="3"/>
  <c r="BN64" i="3"/>
  <c r="BN76" i="3"/>
  <c r="BN75" i="3"/>
  <c r="BN77" i="3"/>
  <c r="BN74" i="3"/>
  <c r="BN73" i="3"/>
  <c r="BN72" i="3"/>
  <c r="BN71" i="3"/>
  <c r="BN68" i="3"/>
  <c r="BN67" i="3"/>
  <c r="BN66" i="3"/>
  <c r="BN65" i="3"/>
  <c r="BN63" i="3"/>
  <c r="BN62" i="3"/>
  <c r="BN61" i="3"/>
  <c r="BN54" i="3"/>
  <c r="BN53" i="3"/>
  <c r="BN52" i="3"/>
  <c r="BN51" i="3"/>
  <c r="BN50" i="3"/>
  <c r="BN57" i="3"/>
  <c r="BN59" i="3"/>
  <c r="BN56" i="3"/>
  <c r="BN55" i="3"/>
  <c r="BN48" i="3"/>
  <c r="BN47" i="3"/>
  <c r="BN49" i="3"/>
  <c r="BN46" i="3"/>
  <c r="BN45" i="3"/>
  <c r="BN44" i="3"/>
  <c r="BN43" i="3"/>
  <c r="BN42" i="3"/>
  <c r="BN41" i="3"/>
  <c r="BN23" i="3"/>
  <c r="BN38" i="3"/>
  <c r="BN37" i="3"/>
  <c r="BN36" i="3"/>
  <c r="BN35" i="3"/>
  <c r="BN34" i="3"/>
  <c r="BN33" i="3"/>
  <c r="BN32" i="3"/>
  <c r="BN39" i="3"/>
  <c r="BN31" i="3"/>
  <c r="BN30" i="3"/>
  <c r="BN29" i="3"/>
  <c r="BN28" i="3"/>
  <c r="BN27" i="3"/>
  <c r="BN26" i="3"/>
  <c r="BN25" i="3"/>
  <c r="BN24" i="3"/>
  <c r="BN18" i="3"/>
  <c r="BN19" i="3"/>
  <c r="BN17" i="3"/>
  <c r="BN16" i="3"/>
  <c r="BN15" i="3"/>
  <c r="BN14" i="3"/>
  <c r="BN20" i="3"/>
  <c r="BN13" i="3"/>
  <c r="BN21" i="3"/>
  <c r="BN5" i="3"/>
  <c r="BN10" i="3"/>
  <c r="BN12" i="3"/>
  <c r="BN9" i="3"/>
  <c r="BN8" i="3"/>
  <c r="BN6" i="3"/>
  <c r="Z84" i="3"/>
  <c r="BN40" i="3"/>
  <c r="Z93" i="3"/>
  <c r="BN70" i="3"/>
  <c r="Z95" i="3"/>
  <c r="BN79" i="3"/>
  <c r="Z88" i="3"/>
  <c r="BN60" i="3"/>
  <c r="V59" i="2"/>
  <c r="AD79" i="2"/>
  <c r="C66" i="4"/>
  <c r="E66" i="4"/>
  <c r="C16" i="4"/>
  <c r="E16" i="4"/>
  <c r="N59" i="2"/>
  <c r="R59" i="2"/>
  <c r="Z40" i="2"/>
  <c r="J40" i="2"/>
  <c r="N71" i="4"/>
  <c r="H71" i="4"/>
  <c r="K71" i="4"/>
  <c r="K23" i="4"/>
  <c r="H23" i="4"/>
  <c r="N23" i="4"/>
  <c r="K93" i="3"/>
  <c r="H54" i="4"/>
  <c r="K54" i="4"/>
  <c r="N54" i="4"/>
  <c r="H38" i="4"/>
  <c r="N38" i="4"/>
  <c r="K38" i="4"/>
  <c r="H21" i="4"/>
  <c r="K21" i="4"/>
  <c r="N21" i="4"/>
  <c r="K68" i="4"/>
  <c r="H68" i="4"/>
  <c r="N68" i="4"/>
  <c r="H52" i="4"/>
  <c r="K52" i="4"/>
  <c r="N52" i="4"/>
  <c r="H36" i="4"/>
  <c r="K36" i="4"/>
  <c r="N36" i="4"/>
  <c r="H19" i="4"/>
  <c r="N19" i="4"/>
  <c r="K19" i="4"/>
  <c r="K51" i="4"/>
  <c r="H51" i="4"/>
  <c r="N51" i="4"/>
  <c r="K50" i="4"/>
  <c r="H50" i="4"/>
  <c r="N50" i="4"/>
  <c r="H17" i="4"/>
  <c r="N17" i="4"/>
  <c r="K17" i="4"/>
  <c r="N65" i="4"/>
  <c r="H65" i="4"/>
  <c r="K65" i="4"/>
  <c r="H49" i="4"/>
  <c r="N49" i="4"/>
  <c r="K49" i="4"/>
  <c r="N33" i="4"/>
  <c r="H33" i="4"/>
  <c r="K33" i="4"/>
  <c r="N16" i="4"/>
  <c r="K16" i="4"/>
  <c r="H16" i="4"/>
  <c r="N67" i="4"/>
  <c r="K67" i="4"/>
  <c r="H67" i="4"/>
  <c r="H48" i="4"/>
  <c r="N48" i="4"/>
  <c r="K48" i="4"/>
  <c r="H47" i="4"/>
  <c r="N47" i="4"/>
  <c r="K47" i="4"/>
  <c r="K95" i="3"/>
  <c r="H62" i="4"/>
  <c r="N62" i="4"/>
  <c r="K62" i="4"/>
  <c r="K46" i="4"/>
  <c r="H46" i="4"/>
  <c r="N46" i="4"/>
  <c r="K30" i="4"/>
  <c r="H30" i="4"/>
  <c r="N30" i="4"/>
  <c r="N13" i="4"/>
  <c r="H13" i="4"/>
  <c r="K13" i="4"/>
  <c r="N6" i="4"/>
  <c r="K6" i="4"/>
  <c r="H6" i="4"/>
  <c r="H34" i="4"/>
  <c r="N34" i="4"/>
  <c r="K34" i="4"/>
  <c r="N64" i="4"/>
  <c r="K64" i="4"/>
  <c r="H64" i="4"/>
  <c r="H5" i="4"/>
  <c r="N5" i="4"/>
  <c r="K5" i="4"/>
  <c r="H77" i="4"/>
  <c r="N77" i="4"/>
  <c r="K77" i="4"/>
  <c r="K61" i="4"/>
  <c r="N61" i="4"/>
  <c r="H61" i="4"/>
  <c r="N45" i="4"/>
  <c r="K45" i="4"/>
  <c r="H45" i="4"/>
  <c r="N29" i="4"/>
  <c r="K29" i="4"/>
  <c r="H29" i="4"/>
  <c r="H12" i="4"/>
  <c r="N12" i="4"/>
  <c r="K12" i="4"/>
  <c r="H66" i="4"/>
  <c r="K66" i="4"/>
  <c r="N66" i="4"/>
  <c r="H63" i="4"/>
  <c r="N63" i="4"/>
  <c r="K63" i="4"/>
  <c r="N76" i="4"/>
  <c r="K76" i="4"/>
  <c r="H76" i="4"/>
  <c r="K88" i="3"/>
  <c r="N44" i="4"/>
  <c r="H44" i="4"/>
  <c r="K44" i="4"/>
  <c r="N28" i="4"/>
  <c r="H28" i="4"/>
  <c r="K28" i="4"/>
  <c r="N11" i="4"/>
  <c r="H11" i="4"/>
  <c r="K11" i="4"/>
  <c r="K35" i="4"/>
  <c r="H35" i="4"/>
  <c r="N35" i="4"/>
  <c r="K14" i="4"/>
  <c r="H14" i="4"/>
  <c r="N14" i="4"/>
  <c r="N75" i="4"/>
  <c r="K75" i="4"/>
  <c r="H75" i="4"/>
  <c r="N43" i="4"/>
  <c r="K43" i="4"/>
  <c r="H43" i="4"/>
  <c r="N27" i="4"/>
  <c r="K27" i="4"/>
  <c r="H27" i="4"/>
  <c r="N10" i="4"/>
  <c r="K10" i="4"/>
  <c r="H10" i="4"/>
  <c r="K15" i="4"/>
  <c r="N15" i="4"/>
  <c r="H15" i="4"/>
  <c r="N74" i="4"/>
  <c r="K74" i="4"/>
  <c r="H74" i="4"/>
  <c r="N58" i="4"/>
  <c r="K58" i="4"/>
  <c r="H58" i="4"/>
  <c r="N42" i="4"/>
  <c r="H42" i="4"/>
  <c r="K42" i="4"/>
  <c r="K26" i="4"/>
  <c r="N26" i="4"/>
  <c r="H26" i="4"/>
  <c r="N9" i="4"/>
  <c r="K9" i="4"/>
  <c r="H9" i="4"/>
  <c r="K18" i="4"/>
  <c r="H18" i="4"/>
  <c r="N18" i="4"/>
  <c r="K32" i="4"/>
  <c r="H32" i="4"/>
  <c r="N32" i="4"/>
  <c r="K31" i="4"/>
  <c r="H31" i="4"/>
  <c r="N31" i="4"/>
  <c r="K73" i="4"/>
  <c r="N73" i="4"/>
  <c r="H73" i="4"/>
  <c r="K57" i="4"/>
  <c r="H57" i="4"/>
  <c r="N57" i="4"/>
  <c r="K41" i="4"/>
  <c r="N41" i="4"/>
  <c r="H41" i="4"/>
  <c r="K25" i="4"/>
  <c r="H25" i="4"/>
  <c r="N25" i="4"/>
  <c r="K8" i="4"/>
  <c r="H8" i="4"/>
  <c r="N8" i="4"/>
  <c r="N72" i="4"/>
  <c r="K72" i="4"/>
  <c r="H72" i="4"/>
  <c r="K56" i="4"/>
  <c r="H56" i="4"/>
  <c r="N56" i="4"/>
  <c r="K84" i="3"/>
  <c r="N24" i="4"/>
  <c r="K24" i="4"/>
  <c r="H24" i="4"/>
  <c r="N7" i="4"/>
  <c r="K7" i="4"/>
  <c r="H7" i="4"/>
  <c r="K55" i="4"/>
  <c r="N55" i="4"/>
  <c r="H55" i="4"/>
  <c r="K39" i="4"/>
  <c r="H39" i="4"/>
  <c r="N39" i="4"/>
  <c r="N69" i="4"/>
  <c r="K69" i="4"/>
  <c r="H69" i="4"/>
  <c r="K53" i="4"/>
  <c r="H53" i="4"/>
  <c r="N53" i="4"/>
  <c r="K37" i="4"/>
  <c r="H37" i="4"/>
  <c r="N37" i="4"/>
  <c r="H20" i="4"/>
  <c r="K20" i="4"/>
  <c r="N20" i="4"/>
  <c r="P83" i="3"/>
  <c r="P87" i="3"/>
  <c r="P91" i="3" s="1"/>
  <c r="AO83" i="3"/>
  <c r="AO87" i="3"/>
  <c r="AO91" i="3" s="1"/>
  <c r="AY83" i="3"/>
  <c r="AY87" i="3"/>
  <c r="BI83" i="3"/>
  <c r="BI87" i="3"/>
  <c r="BI91" i="3" s="1"/>
  <c r="AO82" i="3"/>
  <c r="AO86" i="3"/>
  <c r="AO90" i="3" s="1"/>
  <c r="AY82" i="3"/>
  <c r="AY86" i="3"/>
  <c r="BI82" i="3"/>
  <c r="BI86" i="3"/>
  <c r="BI90" i="3" s="1"/>
  <c r="AE82" i="3"/>
  <c r="AE86" i="3"/>
  <c r="AJ83" i="3"/>
  <c r="AJ87" i="3"/>
  <c r="AJ86" i="3"/>
  <c r="AJ82" i="3"/>
  <c r="AE87" i="3"/>
  <c r="AE91" i="3" s="1"/>
  <c r="AE83" i="3"/>
  <c r="AT83" i="3"/>
  <c r="AT87" i="3"/>
  <c r="AT91" i="3" s="1"/>
  <c r="AT86" i="3"/>
  <c r="AT90" i="3" s="1"/>
  <c r="AT82" i="3"/>
  <c r="BD83" i="3"/>
  <c r="BD87" i="3"/>
  <c r="BD86" i="3"/>
  <c r="BD82" i="3"/>
  <c r="U87" i="3"/>
  <c r="U91" i="3" s="1"/>
  <c r="U83" i="3"/>
  <c r="U86" i="3"/>
  <c r="U90" i="3" s="1"/>
  <c r="U82" i="3"/>
  <c r="P86" i="3"/>
  <c r="P90" i="3" s="1"/>
  <c r="AZ40" i="2"/>
  <c r="AZ84" i="2" s="1"/>
  <c r="BA40" i="2"/>
  <c r="BA84" i="2" s="1"/>
  <c r="V40" i="2"/>
  <c r="R40" i="2"/>
  <c r="C63" i="4"/>
  <c r="G63" i="4"/>
  <c r="F63" i="4"/>
  <c r="D45" i="4"/>
  <c r="G45" i="4"/>
  <c r="F45" i="4"/>
  <c r="L77" i="4"/>
  <c r="J77" i="4"/>
  <c r="M77" i="4"/>
  <c r="I77" i="4"/>
  <c r="G77" i="4"/>
  <c r="F77" i="4"/>
  <c r="O77" i="4"/>
  <c r="D43" i="4"/>
  <c r="G43" i="4"/>
  <c r="F43" i="4"/>
  <c r="C26" i="4"/>
  <c r="G26" i="4"/>
  <c r="F26" i="4"/>
  <c r="G9" i="4"/>
  <c r="V86" i="2"/>
  <c r="V90" i="2" s="1"/>
  <c r="V82" i="2"/>
  <c r="L76" i="4"/>
  <c r="J76" i="4"/>
  <c r="G76" i="4"/>
  <c r="O76" i="4"/>
  <c r="M76" i="4"/>
  <c r="I76" i="4"/>
  <c r="F76" i="4"/>
  <c r="D42" i="4"/>
  <c r="G42" i="4"/>
  <c r="F42" i="4"/>
  <c r="D25" i="4"/>
  <c r="G25" i="4"/>
  <c r="F25" i="4"/>
  <c r="G8" i="4"/>
  <c r="F8" i="4"/>
  <c r="J83" i="2"/>
  <c r="AL86" i="2"/>
  <c r="AL82" i="2"/>
  <c r="T60" i="2"/>
  <c r="T84" i="2"/>
  <c r="G39" i="4"/>
  <c r="F39" i="4"/>
  <c r="C46" i="4"/>
  <c r="G46" i="4"/>
  <c r="F46" i="4"/>
  <c r="G28" i="4"/>
  <c r="F28" i="4"/>
  <c r="D75" i="4"/>
  <c r="L75" i="4"/>
  <c r="J75" i="4"/>
  <c r="O75" i="4"/>
  <c r="M75" i="4"/>
  <c r="I75" i="4"/>
  <c r="G75" i="4"/>
  <c r="F75" i="4"/>
  <c r="C41" i="4"/>
  <c r="G41" i="4"/>
  <c r="F41" i="4"/>
  <c r="C24" i="4"/>
  <c r="G24" i="4"/>
  <c r="F24" i="4"/>
  <c r="G7" i="4"/>
  <c r="AT87" i="2"/>
  <c r="AT91" i="2" s="1"/>
  <c r="AT83" i="2"/>
  <c r="W60" i="2"/>
  <c r="W70" i="2" s="1"/>
  <c r="W93" i="2" s="1"/>
  <c r="W84" i="2"/>
  <c r="D74" i="4"/>
  <c r="L74" i="4"/>
  <c r="J74" i="4"/>
  <c r="I74" i="4"/>
  <c r="F74" i="4"/>
  <c r="O74" i="4"/>
  <c r="M74" i="4"/>
  <c r="G74" i="4"/>
  <c r="Z83" i="2"/>
  <c r="Z87" i="2"/>
  <c r="Z91" i="2" s="1"/>
  <c r="P60" i="2"/>
  <c r="P84" i="2"/>
  <c r="O71" i="4"/>
  <c r="M71" i="4"/>
  <c r="I71" i="4"/>
  <c r="G71" i="4"/>
  <c r="F71" i="4"/>
  <c r="L71" i="4"/>
  <c r="J71" i="4"/>
  <c r="G36" i="4"/>
  <c r="F36" i="4"/>
  <c r="G19" i="4"/>
  <c r="F19" i="4"/>
  <c r="Z82" i="2"/>
  <c r="Z86" i="2"/>
  <c r="AH87" i="2"/>
  <c r="AH91" i="2" s="1"/>
  <c r="AH83" i="2"/>
  <c r="G60" i="2"/>
  <c r="G88" i="2" s="1"/>
  <c r="G84" i="2"/>
  <c r="X60" i="2"/>
  <c r="X84" i="2"/>
  <c r="G6" i="4"/>
  <c r="F6" i="4"/>
  <c r="G69" i="4"/>
  <c r="F69" i="4"/>
  <c r="G35" i="4"/>
  <c r="F35" i="4"/>
  <c r="G18" i="4"/>
  <c r="F18" i="4"/>
  <c r="AH86" i="2"/>
  <c r="AH90" i="2" s="1"/>
  <c r="AH82" i="2"/>
  <c r="M60" i="2"/>
  <c r="M84" i="2"/>
  <c r="O60" i="2"/>
  <c r="O84" i="2"/>
  <c r="G37" i="4"/>
  <c r="F37" i="4"/>
  <c r="G38" i="4"/>
  <c r="F38" i="4"/>
  <c r="C17" i="4"/>
  <c r="G17" i="4"/>
  <c r="F17" i="4"/>
  <c r="G67" i="4"/>
  <c r="F67" i="4"/>
  <c r="C50" i="4"/>
  <c r="F59" i="2"/>
  <c r="G33" i="4"/>
  <c r="F33" i="4"/>
  <c r="D16" i="4"/>
  <c r="G16" i="4"/>
  <c r="F16" i="4"/>
  <c r="AP87" i="2"/>
  <c r="AP83" i="2"/>
  <c r="G66" i="4"/>
  <c r="F66" i="4"/>
  <c r="G49" i="4"/>
  <c r="F49" i="4"/>
  <c r="G32" i="4"/>
  <c r="F32" i="4"/>
  <c r="C15" i="4"/>
  <c r="G15" i="4"/>
  <c r="F15" i="4"/>
  <c r="R83" i="2"/>
  <c r="R87" i="2"/>
  <c r="R91" i="2" s="1"/>
  <c r="AP82" i="2"/>
  <c r="AP86" i="2"/>
  <c r="K60" i="2"/>
  <c r="K88" i="2" s="1"/>
  <c r="K84" i="2"/>
  <c r="U60" i="2"/>
  <c r="U84" i="2"/>
  <c r="G34" i="4"/>
  <c r="F34" i="4"/>
  <c r="D65" i="4"/>
  <c r="G65" i="4"/>
  <c r="F65" i="4"/>
  <c r="C31" i="4"/>
  <c r="F31" i="4"/>
  <c r="G31" i="4"/>
  <c r="G14" i="4"/>
  <c r="F14" i="4"/>
  <c r="R82" i="2"/>
  <c r="R86" i="2"/>
  <c r="AX83" i="2"/>
  <c r="AX87" i="2"/>
  <c r="AX91" i="2" s="1"/>
  <c r="Y60" i="2"/>
  <c r="Y84" i="2"/>
  <c r="G21" i="4"/>
  <c r="F21" i="4"/>
  <c r="D20" i="4"/>
  <c r="G20" i="4"/>
  <c r="F20" i="4"/>
  <c r="G68" i="4"/>
  <c r="F68" i="4"/>
  <c r="J87" i="2"/>
  <c r="C48" i="4"/>
  <c r="G48" i="4"/>
  <c r="F48" i="4"/>
  <c r="D64" i="4"/>
  <c r="G64" i="4"/>
  <c r="F64" i="4"/>
  <c r="D47" i="4"/>
  <c r="G47" i="4"/>
  <c r="F47" i="4"/>
  <c r="C30" i="4"/>
  <c r="G30" i="4"/>
  <c r="F30" i="4"/>
  <c r="G13" i="4"/>
  <c r="F13" i="4"/>
  <c r="F83" i="2"/>
  <c r="E83" i="4" s="1"/>
  <c r="P69" i="4"/>
  <c r="P51" i="4"/>
  <c r="O16" i="4"/>
  <c r="AX82" i="2"/>
  <c r="AX86" i="2"/>
  <c r="AX90" i="2" s="1"/>
  <c r="Q60" i="2"/>
  <c r="Q84" i="2"/>
  <c r="G29" i="4"/>
  <c r="F29" i="4"/>
  <c r="F82" i="2"/>
  <c r="E82" i="4" s="1"/>
  <c r="G12" i="4"/>
  <c r="F12" i="4"/>
  <c r="J59" i="2"/>
  <c r="H60" i="2"/>
  <c r="H84" i="2"/>
  <c r="J73" i="4"/>
  <c r="O73" i="4"/>
  <c r="M73" i="4"/>
  <c r="I73" i="4"/>
  <c r="G73" i="4"/>
  <c r="F73" i="4"/>
  <c r="L73" i="4"/>
  <c r="J72" i="4"/>
  <c r="O72" i="4"/>
  <c r="M72" i="4"/>
  <c r="I72" i="4"/>
  <c r="G72" i="4"/>
  <c r="F72" i="4"/>
  <c r="L72" i="4"/>
  <c r="E60" i="2"/>
  <c r="E84" i="2"/>
  <c r="D5" i="4"/>
  <c r="L5" i="4"/>
  <c r="J5" i="4"/>
  <c r="M5" i="4"/>
  <c r="I5" i="4"/>
  <c r="G5" i="4"/>
  <c r="F5" i="4"/>
  <c r="G61" i="4"/>
  <c r="F61" i="4"/>
  <c r="C44" i="4"/>
  <c r="G44" i="4"/>
  <c r="C27" i="4"/>
  <c r="G27" i="4"/>
  <c r="F27" i="4"/>
  <c r="G10" i="4"/>
  <c r="F10" i="4"/>
  <c r="V83" i="2"/>
  <c r="V87" i="2"/>
  <c r="V91" i="2" s="1"/>
  <c r="AD86" i="2"/>
  <c r="AD90" i="2" s="1"/>
  <c r="AD82" i="2"/>
  <c r="AZ83" i="2"/>
  <c r="G23" i="4"/>
  <c r="F23" i="4"/>
  <c r="AT86" i="2"/>
  <c r="AT82" i="2"/>
  <c r="S60" i="2"/>
  <c r="S84" i="2"/>
  <c r="G62" i="4"/>
  <c r="F62" i="4"/>
  <c r="G11" i="4"/>
  <c r="F11" i="4"/>
  <c r="AD87" i="2"/>
  <c r="AD83" i="2"/>
  <c r="AL87" i="2"/>
  <c r="AL83" i="2"/>
  <c r="AY83" i="2"/>
  <c r="D60" i="2"/>
  <c r="D84" i="2"/>
  <c r="L60" i="2"/>
  <c r="L84" i="2"/>
  <c r="I60" i="2"/>
  <c r="I84" i="2"/>
  <c r="M38" i="4"/>
  <c r="L38" i="4"/>
  <c r="I38" i="4"/>
  <c r="J38" i="4"/>
  <c r="O38" i="4"/>
  <c r="L61" i="4"/>
  <c r="J61" i="4"/>
  <c r="I61" i="4"/>
  <c r="O61" i="4"/>
  <c r="M61" i="4"/>
  <c r="O43" i="4"/>
  <c r="M43" i="4"/>
  <c r="L43" i="4"/>
  <c r="J43" i="4"/>
  <c r="I43" i="4"/>
  <c r="O26" i="4"/>
  <c r="M26" i="4"/>
  <c r="L26" i="4"/>
  <c r="J26" i="4"/>
  <c r="I26" i="4"/>
  <c r="O9" i="4"/>
  <c r="M9" i="4"/>
  <c r="L9" i="4"/>
  <c r="J9" i="4"/>
  <c r="M42" i="4"/>
  <c r="L42" i="4"/>
  <c r="J42" i="4"/>
  <c r="I42" i="4"/>
  <c r="O42" i="4"/>
  <c r="M25" i="4"/>
  <c r="L25" i="4"/>
  <c r="J25" i="4"/>
  <c r="I25" i="4"/>
  <c r="O25" i="4"/>
  <c r="L8" i="4"/>
  <c r="J8" i="4"/>
  <c r="I8" i="4"/>
  <c r="O8" i="4"/>
  <c r="M8" i="4"/>
  <c r="M36" i="4"/>
  <c r="O36" i="4"/>
  <c r="L36" i="4"/>
  <c r="J36" i="4"/>
  <c r="I36" i="4"/>
  <c r="M41" i="4"/>
  <c r="L41" i="4"/>
  <c r="J41" i="4"/>
  <c r="I41" i="4"/>
  <c r="O41" i="4"/>
  <c r="I24" i="4"/>
  <c r="M24" i="4"/>
  <c r="J24" i="4"/>
  <c r="O24" i="4"/>
  <c r="L24" i="4"/>
  <c r="M7" i="4"/>
  <c r="J7" i="4"/>
  <c r="I7" i="4"/>
  <c r="L37" i="4"/>
  <c r="J37" i="4"/>
  <c r="I37" i="4"/>
  <c r="O37" i="4"/>
  <c r="M37" i="4"/>
  <c r="M39" i="4"/>
  <c r="J39" i="4"/>
  <c r="L39" i="4"/>
  <c r="O39" i="4"/>
  <c r="I39" i="4"/>
  <c r="J23" i="4"/>
  <c r="M23" i="4"/>
  <c r="L23" i="4"/>
  <c r="I23" i="4"/>
  <c r="O23" i="4"/>
  <c r="L6" i="4"/>
  <c r="I6" i="4"/>
  <c r="J6" i="4"/>
  <c r="O6" i="4"/>
  <c r="M6" i="4"/>
  <c r="BB45" i="2"/>
  <c r="M20" i="4"/>
  <c r="L20" i="4"/>
  <c r="J20" i="4"/>
  <c r="I20" i="4"/>
  <c r="O20" i="4"/>
  <c r="BA83" i="2"/>
  <c r="M19" i="4"/>
  <c r="L19" i="4"/>
  <c r="J19" i="4"/>
  <c r="I19" i="4"/>
  <c r="O19" i="4"/>
  <c r="O35" i="4"/>
  <c r="L35" i="4"/>
  <c r="J35" i="4"/>
  <c r="I35" i="4"/>
  <c r="M35" i="4"/>
  <c r="O18" i="4"/>
  <c r="L18" i="4"/>
  <c r="J18" i="4"/>
  <c r="I18" i="4"/>
  <c r="M18" i="4"/>
  <c r="M21" i="4"/>
  <c r="J21" i="4"/>
  <c r="I21" i="4"/>
  <c r="L21" i="4"/>
  <c r="O21" i="4"/>
  <c r="O69" i="4"/>
  <c r="M69" i="4"/>
  <c r="L69" i="4"/>
  <c r="J69" i="4"/>
  <c r="I69" i="4"/>
  <c r="L34" i="4"/>
  <c r="J34" i="4"/>
  <c r="I34" i="4"/>
  <c r="O34" i="4"/>
  <c r="M34" i="4"/>
  <c r="L17" i="4"/>
  <c r="J17" i="4"/>
  <c r="I17" i="4"/>
  <c r="O17" i="4"/>
  <c r="M17" i="4"/>
  <c r="M68" i="4"/>
  <c r="L68" i="4"/>
  <c r="J68" i="4"/>
  <c r="I68" i="4"/>
  <c r="O68" i="4"/>
  <c r="N86" i="2"/>
  <c r="N90" i="2" s="1"/>
  <c r="L33" i="4"/>
  <c r="J33" i="4"/>
  <c r="I33" i="4"/>
  <c r="O33" i="4"/>
  <c r="M33" i="4"/>
  <c r="L16" i="4"/>
  <c r="J16" i="4"/>
  <c r="I16" i="4"/>
  <c r="M16" i="4"/>
  <c r="M67" i="4"/>
  <c r="L67" i="4"/>
  <c r="J67" i="4"/>
  <c r="I67" i="4"/>
  <c r="O67" i="4"/>
  <c r="L49" i="4"/>
  <c r="J49" i="4"/>
  <c r="I49" i="4"/>
  <c r="O49" i="4"/>
  <c r="M49" i="4"/>
  <c r="L32" i="4"/>
  <c r="J32" i="4"/>
  <c r="I32" i="4"/>
  <c r="O32" i="4"/>
  <c r="M32" i="4"/>
  <c r="L15" i="4"/>
  <c r="J15" i="4"/>
  <c r="I15" i="4"/>
  <c r="O15" i="4"/>
  <c r="M15" i="4"/>
  <c r="I66" i="4"/>
  <c r="M66" i="4"/>
  <c r="O66" i="4"/>
  <c r="L66" i="4"/>
  <c r="J66" i="4"/>
  <c r="L48" i="4"/>
  <c r="J48" i="4"/>
  <c r="I48" i="4"/>
  <c r="O48" i="4"/>
  <c r="M48" i="4"/>
  <c r="L31" i="4"/>
  <c r="J31" i="4"/>
  <c r="I31" i="4"/>
  <c r="O31" i="4"/>
  <c r="M31" i="4"/>
  <c r="L14" i="4"/>
  <c r="J14" i="4"/>
  <c r="I14" i="4"/>
  <c r="M14" i="4"/>
  <c r="O14" i="4"/>
  <c r="M65" i="4"/>
  <c r="O65" i="4"/>
  <c r="L65" i="4"/>
  <c r="J65" i="4"/>
  <c r="I65" i="4"/>
  <c r="L47" i="4"/>
  <c r="J47" i="4"/>
  <c r="I47" i="4"/>
  <c r="M47" i="4"/>
  <c r="O47" i="4"/>
  <c r="L30" i="4"/>
  <c r="I30" i="4"/>
  <c r="O30" i="4"/>
  <c r="M30" i="4"/>
  <c r="J30" i="4"/>
  <c r="J13" i="4"/>
  <c r="N83" i="2"/>
  <c r="L13" i="4"/>
  <c r="I13" i="4"/>
  <c r="M13" i="4"/>
  <c r="O13" i="4"/>
  <c r="M64" i="4"/>
  <c r="L64" i="4"/>
  <c r="J64" i="4"/>
  <c r="I64" i="4"/>
  <c r="O64" i="4"/>
  <c r="O46" i="4"/>
  <c r="L46" i="4"/>
  <c r="J46" i="4"/>
  <c r="I46" i="4"/>
  <c r="M46" i="4"/>
  <c r="L29" i="4"/>
  <c r="J29" i="4"/>
  <c r="I29" i="4"/>
  <c r="M29" i="4"/>
  <c r="O29" i="4"/>
  <c r="L12" i="4"/>
  <c r="J12" i="4"/>
  <c r="I12" i="4"/>
  <c r="M12" i="4"/>
  <c r="N82" i="2"/>
  <c r="O63" i="4"/>
  <c r="L63" i="4"/>
  <c r="J63" i="4"/>
  <c r="I63" i="4"/>
  <c r="M63" i="4"/>
  <c r="L45" i="4"/>
  <c r="J45" i="4"/>
  <c r="I45" i="4"/>
  <c r="O45" i="4"/>
  <c r="M45" i="4"/>
  <c r="O28" i="4"/>
  <c r="M28" i="4"/>
  <c r="L28" i="4"/>
  <c r="J28" i="4"/>
  <c r="I28" i="4"/>
  <c r="M11" i="4"/>
  <c r="J11" i="4"/>
  <c r="I11" i="4"/>
  <c r="M62" i="4"/>
  <c r="O62" i="4"/>
  <c r="L62" i="4"/>
  <c r="J62" i="4"/>
  <c r="I62" i="4"/>
  <c r="M44" i="4"/>
  <c r="O44" i="4"/>
  <c r="L44" i="4"/>
  <c r="J44" i="4"/>
  <c r="I44" i="4"/>
  <c r="O27" i="4"/>
  <c r="M27" i="4"/>
  <c r="L27" i="4"/>
  <c r="J27" i="4"/>
  <c r="I27" i="4"/>
  <c r="O10" i="4"/>
  <c r="M10" i="4"/>
  <c r="L10" i="4"/>
  <c r="J10" i="4"/>
  <c r="I10" i="4"/>
  <c r="AZ87" i="2"/>
  <c r="AZ91" i="2" s="1"/>
  <c r="N87" i="2"/>
  <c r="N91" i="2" s="1"/>
  <c r="BB53" i="2"/>
  <c r="J86" i="2"/>
  <c r="J90" i="2" s="1"/>
  <c r="BB50" i="2"/>
  <c r="BB58" i="2"/>
  <c r="BB57" i="2"/>
  <c r="BB56" i="2"/>
  <c r="D57" i="4"/>
  <c r="G57" i="4"/>
  <c r="L57" i="4"/>
  <c r="F57" i="4"/>
  <c r="M57" i="4"/>
  <c r="J57" i="4"/>
  <c r="O57" i="4"/>
  <c r="I57" i="4"/>
  <c r="BB55" i="2"/>
  <c r="C56" i="4"/>
  <c r="L56" i="4"/>
  <c r="F56" i="4"/>
  <c r="M56" i="4"/>
  <c r="J56" i="4"/>
  <c r="O56" i="4"/>
  <c r="I56" i="4"/>
  <c r="G56" i="4"/>
  <c r="BB54" i="2"/>
  <c r="BA86" i="2"/>
  <c r="BA90" i="2" s="1"/>
  <c r="AZ86" i="2"/>
  <c r="AZ90" i="2" s="1"/>
  <c r="AY86" i="2"/>
  <c r="AY90" i="2" s="1"/>
  <c r="C53" i="4"/>
  <c r="M53" i="4"/>
  <c r="J53" i="4"/>
  <c r="O53" i="4"/>
  <c r="I53" i="4"/>
  <c r="L53" i="4"/>
  <c r="F53" i="4"/>
  <c r="G53" i="4"/>
  <c r="AY87" i="2"/>
  <c r="AY91" i="2" s="1"/>
  <c r="C52" i="4"/>
  <c r="M52" i="4"/>
  <c r="J52" i="4"/>
  <c r="O52" i="4"/>
  <c r="I52" i="4"/>
  <c r="G52" i="4"/>
  <c r="F52" i="4"/>
  <c r="L52" i="4"/>
  <c r="G58" i="4"/>
  <c r="L58" i="4"/>
  <c r="F58" i="4"/>
  <c r="M58" i="4"/>
  <c r="J58" i="4"/>
  <c r="O58" i="4"/>
  <c r="I58" i="4"/>
  <c r="D55" i="4"/>
  <c r="L55" i="4"/>
  <c r="F55" i="4"/>
  <c r="F87" i="2"/>
  <c r="M55" i="4"/>
  <c r="J55" i="4"/>
  <c r="O55" i="4"/>
  <c r="I55" i="4"/>
  <c r="G55" i="4"/>
  <c r="C54" i="4"/>
  <c r="F54" i="4"/>
  <c r="M54" i="4"/>
  <c r="J54" i="4"/>
  <c r="O54" i="4"/>
  <c r="I54" i="4"/>
  <c r="G54" i="4"/>
  <c r="L54" i="4"/>
  <c r="D51" i="4"/>
  <c r="M51" i="4"/>
  <c r="J51" i="4"/>
  <c r="L51" i="4"/>
  <c r="O51" i="4"/>
  <c r="I51" i="4"/>
  <c r="G51" i="4"/>
  <c r="F51" i="4"/>
  <c r="C51" i="4"/>
  <c r="BA87" i="2"/>
  <c r="BA91" i="2" s="1"/>
  <c r="BB52" i="2"/>
  <c r="D50" i="4"/>
  <c r="M50" i="4"/>
  <c r="J50" i="4"/>
  <c r="F86" i="2"/>
  <c r="O50" i="4"/>
  <c r="I50" i="4"/>
  <c r="F50" i="4"/>
  <c r="G50" i="4"/>
  <c r="L50" i="4"/>
  <c r="BB51" i="2"/>
  <c r="BM83" i="3"/>
  <c r="BM87" i="3"/>
  <c r="BM91" i="3" s="1"/>
  <c r="BL83" i="3"/>
  <c r="BL87" i="3"/>
  <c r="BL91" i="3" s="1"/>
  <c r="BK83" i="3"/>
  <c r="BK91" i="3"/>
  <c r="BM82" i="3"/>
  <c r="BM86" i="3"/>
  <c r="BM90" i="3" s="1"/>
  <c r="BL82" i="3"/>
  <c r="BL86" i="3"/>
  <c r="BK82" i="3"/>
  <c r="Z87" i="3"/>
  <c r="Z91" i="3" s="1"/>
  <c r="Z83" i="3"/>
  <c r="Z86" i="3"/>
  <c r="Z90" i="3" s="1"/>
  <c r="Z82" i="3"/>
  <c r="K83" i="3"/>
  <c r="K87" i="3"/>
  <c r="K82" i="3"/>
  <c r="K86" i="3"/>
  <c r="C60" i="2"/>
  <c r="C84" i="2"/>
  <c r="C45" i="4"/>
  <c r="P54" i="4"/>
  <c r="C58" i="4"/>
  <c r="D54" i="4"/>
  <c r="P53" i="4"/>
  <c r="BB35" i="2"/>
  <c r="C57" i="4"/>
  <c r="D53" i="4"/>
  <c r="P52" i="4"/>
  <c r="P57" i="4"/>
  <c r="BB16" i="2"/>
  <c r="N40" i="2"/>
  <c r="P30" i="4"/>
  <c r="AY40" i="2"/>
  <c r="AY84" i="2" s="1"/>
  <c r="C55" i="4"/>
  <c r="P50" i="4"/>
  <c r="D56" i="4"/>
  <c r="D52" i="4"/>
  <c r="P45" i="4"/>
  <c r="P58" i="4"/>
  <c r="D58" i="4"/>
  <c r="P56" i="4"/>
  <c r="P55" i="4"/>
  <c r="F40" i="2"/>
  <c r="BB49" i="2"/>
  <c r="C49" i="4"/>
  <c r="D49" i="4"/>
  <c r="P49" i="4"/>
  <c r="P32" i="4"/>
  <c r="C32" i="4"/>
  <c r="D32" i="4"/>
  <c r="D46" i="4"/>
  <c r="BB46" i="2"/>
  <c r="P46" i="4"/>
  <c r="P44" i="4"/>
  <c r="BB44" i="2"/>
  <c r="D44" i="4"/>
  <c r="C38" i="4"/>
  <c r="P38" i="4"/>
  <c r="BB38" i="2"/>
  <c r="D38" i="4"/>
  <c r="BB36" i="2"/>
  <c r="C36" i="4"/>
  <c r="P36" i="4"/>
  <c r="D36" i="4"/>
  <c r="C28" i="4"/>
  <c r="D28" i="4"/>
  <c r="D27" i="4"/>
  <c r="D21" i="4"/>
  <c r="C21" i="4"/>
  <c r="D19" i="4"/>
  <c r="BB19" i="2"/>
  <c r="C19" i="4"/>
  <c r="D18" i="4"/>
  <c r="BB18" i="2"/>
  <c r="AK18" i="4" s="1"/>
  <c r="C18" i="4"/>
  <c r="D17" i="4"/>
  <c r="D15" i="4"/>
  <c r="P15" i="4"/>
  <c r="D14" i="4"/>
  <c r="C14" i="4"/>
  <c r="BB14" i="2"/>
  <c r="P37" i="4"/>
  <c r="BB37" i="2"/>
  <c r="D37" i="4"/>
  <c r="C37" i="4"/>
  <c r="BB39" i="2"/>
  <c r="C39" i="4"/>
  <c r="D39" i="4"/>
  <c r="P39" i="4"/>
  <c r="C25" i="4"/>
  <c r="D24" i="4"/>
  <c r="BB33" i="2"/>
  <c r="C33" i="4"/>
  <c r="D33" i="4"/>
  <c r="P33" i="4"/>
  <c r="C35" i="4"/>
  <c r="D35" i="4"/>
  <c r="P35" i="4"/>
  <c r="BB34" i="2"/>
  <c r="P34" i="4"/>
  <c r="D34" i="4"/>
  <c r="C34" i="4"/>
  <c r="D48" i="4"/>
  <c r="BB48" i="2"/>
  <c r="P48" i="4"/>
  <c r="P47" i="4"/>
  <c r="BB47" i="2"/>
  <c r="BB42" i="2"/>
  <c r="C42" i="4"/>
  <c r="P42" i="4"/>
  <c r="C43" i="4"/>
  <c r="P43" i="4"/>
  <c r="BB43" i="2"/>
  <c r="D41" i="4"/>
  <c r="P41" i="4"/>
  <c r="D23" i="4"/>
  <c r="BB12" i="2"/>
  <c r="D12" i="4"/>
  <c r="P12" i="4"/>
  <c r="BB69" i="2"/>
  <c r="AK69" i="4" s="1"/>
  <c r="D69" i="4"/>
  <c r="C69" i="4"/>
  <c r="D77" i="4"/>
  <c r="C77" i="4"/>
  <c r="BB77" i="2"/>
  <c r="P77" i="4"/>
  <c r="D76" i="4"/>
  <c r="C76" i="4"/>
  <c r="BB76" i="2"/>
  <c r="P76" i="4"/>
  <c r="BB73" i="2"/>
  <c r="P73" i="4"/>
  <c r="D73" i="4"/>
  <c r="C73" i="4"/>
  <c r="P68" i="4"/>
  <c r="C68" i="4"/>
  <c r="D68" i="4"/>
  <c r="BB68" i="2"/>
  <c r="BB67" i="2"/>
  <c r="C67" i="4"/>
  <c r="D67" i="4"/>
  <c r="P67" i="4"/>
  <c r="BB66" i="2"/>
  <c r="D66" i="4"/>
  <c r="P66" i="4"/>
  <c r="P64" i="4"/>
  <c r="C64" i="4"/>
  <c r="C65" i="4"/>
  <c r="P65" i="4"/>
  <c r="BB65" i="2"/>
  <c r="AK65" i="4" s="1"/>
  <c r="BB64" i="2"/>
  <c r="P62" i="4"/>
  <c r="D62" i="4"/>
  <c r="BB62" i="2"/>
  <c r="C62" i="4"/>
  <c r="D63" i="4"/>
  <c r="P63" i="4"/>
  <c r="BB63" i="2"/>
  <c r="AK63" i="4" s="1"/>
  <c r="P61" i="4"/>
  <c r="D61" i="4"/>
  <c r="BB61" i="2"/>
  <c r="AJ61" i="4" s="1"/>
  <c r="C61" i="4"/>
  <c r="BB25" i="2"/>
  <c r="P23" i="4"/>
  <c r="P28" i="4"/>
  <c r="P25" i="4"/>
  <c r="P24" i="4"/>
  <c r="BB29" i="2"/>
  <c r="AK29" i="4" s="1"/>
  <c r="BB32" i="2"/>
  <c r="BB28" i="2"/>
  <c r="BB27" i="2"/>
  <c r="BB24" i="2"/>
  <c r="P19" i="4"/>
  <c r="BB15" i="2"/>
  <c r="P18" i="4"/>
  <c r="P21" i="4"/>
  <c r="P16" i="4"/>
  <c r="BB21" i="2"/>
  <c r="BB17" i="2"/>
  <c r="AJ17" i="4" s="1"/>
  <c r="D72" i="4"/>
  <c r="P72" i="4"/>
  <c r="C72" i="4"/>
  <c r="BB72" i="2"/>
  <c r="P71" i="4"/>
  <c r="D71" i="4"/>
  <c r="C71" i="4"/>
  <c r="BB71" i="2"/>
  <c r="C75" i="4"/>
  <c r="BB75" i="2"/>
  <c r="P75" i="4"/>
  <c r="BB74" i="2"/>
  <c r="P74" i="4"/>
  <c r="C74" i="4"/>
  <c r="P31" i="4"/>
  <c r="D31" i="4"/>
  <c r="BB31" i="2"/>
  <c r="D30" i="4"/>
  <c r="BB30" i="2"/>
  <c r="AJ30" i="4" s="1"/>
  <c r="C29" i="4"/>
  <c r="D29" i="4"/>
  <c r="P29" i="4"/>
  <c r="C23" i="4"/>
  <c r="BB23" i="2"/>
  <c r="P13" i="4"/>
  <c r="C13" i="4"/>
  <c r="D13" i="4"/>
  <c r="BB13" i="2"/>
  <c r="BB9" i="2"/>
  <c r="AJ9" i="4" s="1"/>
  <c r="D9" i="4"/>
  <c r="C11" i="4"/>
  <c r="P9" i="4"/>
  <c r="C10" i="4"/>
  <c r="P10" i="4"/>
  <c r="C9" i="4"/>
  <c r="D10" i="4"/>
  <c r="BB10" i="2"/>
  <c r="AK10" i="4" s="1"/>
  <c r="D11" i="4"/>
  <c r="C47" i="4"/>
  <c r="D7" i="4"/>
  <c r="C7" i="4"/>
  <c r="P7" i="4"/>
  <c r="C8" i="4"/>
  <c r="BB8" i="2"/>
  <c r="AK8" i="4" s="1"/>
  <c r="P8" i="4"/>
  <c r="D8" i="4"/>
  <c r="P5" i="4"/>
  <c r="BB5" i="2"/>
  <c r="C6" i="4"/>
  <c r="P6" i="4"/>
  <c r="D6" i="4"/>
  <c r="P17" i="4"/>
  <c r="P27" i="4"/>
  <c r="BB26" i="2"/>
  <c r="P26" i="4"/>
  <c r="D26" i="4"/>
  <c r="P14" i="4"/>
  <c r="BB20" i="2"/>
  <c r="C20" i="4"/>
  <c r="P20" i="4"/>
  <c r="AL11" i="4" l="1"/>
  <c r="AL74" i="4"/>
  <c r="AK74" i="4"/>
  <c r="AJ74" i="4"/>
  <c r="AL75" i="4"/>
  <c r="AK75" i="4"/>
  <c r="AJ75" i="4"/>
  <c r="AK71" i="4"/>
  <c r="AJ71" i="4"/>
  <c r="AL72" i="4"/>
  <c r="AK72" i="4"/>
  <c r="AJ72" i="4"/>
  <c r="AK62" i="4"/>
  <c r="AJ62" i="4"/>
  <c r="AL73" i="4"/>
  <c r="AK73" i="4"/>
  <c r="AJ73" i="4"/>
  <c r="AL76" i="4"/>
  <c r="AK76" i="4"/>
  <c r="AJ76" i="4"/>
  <c r="AK77" i="4"/>
  <c r="AJ77" i="4"/>
  <c r="F1" i="2"/>
  <c r="AF59" i="4"/>
  <c r="BB59" i="2"/>
  <c r="AL10" i="4"/>
  <c r="AL65" i="4"/>
  <c r="AL71" i="4"/>
  <c r="AL77" i="4"/>
  <c r="AJ41" i="4"/>
  <c r="AL41" i="4"/>
  <c r="AK43" i="4"/>
  <c r="AL43" i="4"/>
  <c r="AJ43" i="4"/>
  <c r="AK9" i="4"/>
  <c r="AL8" i="4"/>
  <c r="AJ8" i="4"/>
  <c r="AL66" i="4"/>
  <c r="AJ66" i="4"/>
  <c r="AK66" i="4"/>
  <c r="AJ10" i="4"/>
  <c r="AL46" i="4"/>
  <c r="AJ46" i="4"/>
  <c r="AK46" i="4"/>
  <c r="AL63" i="4"/>
  <c r="AJ63" i="4"/>
  <c r="AJ65" i="4"/>
  <c r="AK36" i="4"/>
  <c r="AL36" i="4"/>
  <c r="AJ36" i="4"/>
  <c r="AK42" i="4"/>
  <c r="AL42" i="4"/>
  <c r="AJ42" i="4"/>
  <c r="AL33" i="4"/>
  <c r="AJ33" i="4"/>
  <c r="AJ7" i="4"/>
  <c r="AL68" i="4"/>
  <c r="AJ68" i="4"/>
  <c r="AK68" i="4"/>
  <c r="AJ69" i="4"/>
  <c r="AK38" i="4"/>
  <c r="AL38" i="4"/>
  <c r="AJ38" i="4"/>
  <c r="AK35" i="4"/>
  <c r="AL35" i="4"/>
  <c r="AJ35" i="4"/>
  <c r="AL45" i="4"/>
  <c r="AJ45" i="4"/>
  <c r="AK45" i="4"/>
  <c r="AL48" i="4"/>
  <c r="AJ48" i="4"/>
  <c r="AK48" i="4"/>
  <c r="AL47" i="4"/>
  <c r="AJ47" i="4"/>
  <c r="AK47" i="4"/>
  <c r="AL64" i="4"/>
  <c r="AJ64" i="4"/>
  <c r="AK64" i="4"/>
  <c r="AL69" i="4"/>
  <c r="AK37" i="4"/>
  <c r="AL37" i="4"/>
  <c r="AJ37" i="4"/>
  <c r="AL9" i="4"/>
  <c r="AL61" i="4"/>
  <c r="AK61" i="4"/>
  <c r="AK34" i="4"/>
  <c r="AL34" i="4"/>
  <c r="AJ34" i="4"/>
  <c r="AL67" i="4"/>
  <c r="AJ67" i="4"/>
  <c r="AK67" i="4"/>
  <c r="AL62" i="4"/>
  <c r="AK33" i="4"/>
  <c r="AJ21" i="4"/>
  <c r="AK21" i="4"/>
  <c r="AL21" i="4"/>
  <c r="AJ20" i="4"/>
  <c r="AK20" i="4"/>
  <c r="AL20" i="4"/>
  <c r="AK17" i="4"/>
  <c r="AL17" i="4"/>
  <c r="AJ15" i="4"/>
  <c r="AK15" i="4"/>
  <c r="AL15" i="4"/>
  <c r="AD40" i="4"/>
  <c r="AJ18" i="4"/>
  <c r="AL18" i="4"/>
  <c r="AJ19" i="4"/>
  <c r="AK19" i="4"/>
  <c r="AL19" i="4"/>
  <c r="AJ27" i="4"/>
  <c r="AK27" i="4"/>
  <c r="AL27" i="4"/>
  <c r="AL26" i="4"/>
  <c r="AJ26" i="4"/>
  <c r="AK26" i="4"/>
  <c r="AL29" i="4"/>
  <c r="AL25" i="4"/>
  <c r="AK25" i="4"/>
  <c r="AJ25" i="4"/>
  <c r="AL30" i="4"/>
  <c r="AK30" i="4"/>
  <c r="AJ29" i="4"/>
  <c r="AL28" i="4"/>
  <c r="AK28" i="4"/>
  <c r="AJ28" i="4"/>
  <c r="AL14" i="4"/>
  <c r="AK14" i="4"/>
  <c r="AJ14" i="4"/>
  <c r="AL24" i="4"/>
  <c r="AK24" i="4"/>
  <c r="AJ24" i="4"/>
  <c r="AL31" i="4"/>
  <c r="AK31" i="4"/>
  <c r="AJ31" i="4"/>
  <c r="AL23" i="4"/>
  <c r="AK23" i="4"/>
  <c r="AJ23" i="4"/>
  <c r="AL16" i="4"/>
  <c r="AK16" i="4"/>
  <c r="AJ16" i="4"/>
  <c r="AL13" i="4"/>
  <c r="AJ13" i="4"/>
  <c r="AK13" i="4"/>
  <c r="AL7" i="4"/>
  <c r="AK7" i="4"/>
  <c r="AL44" i="4"/>
  <c r="AK44" i="4"/>
  <c r="AJ44" i="4"/>
  <c r="AL49" i="4"/>
  <c r="AK49" i="4"/>
  <c r="AJ49" i="4"/>
  <c r="AG83" i="4"/>
  <c r="AH83" i="4"/>
  <c r="AI40" i="4"/>
  <c r="AG40" i="4"/>
  <c r="AH40" i="4"/>
  <c r="V92" i="4"/>
  <c r="AD59" i="4"/>
  <c r="U92" i="4"/>
  <c r="Y92" i="4"/>
  <c r="AL51" i="4"/>
  <c r="AK51" i="4"/>
  <c r="AJ51" i="4"/>
  <c r="AL52" i="4"/>
  <c r="AK52" i="4"/>
  <c r="AJ52" i="4"/>
  <c r="E87" i="4"/>
  <c r="AH87" i="4"/>
  <c r="AG87" i="4"/>
  <c r="AL54" i="4"/>
  <c r="AK54" i="4"/>
  <c r="AJ54" i="4"/>
  <c r="AL55" i="4"/>
  <c r="AK55" i="4"/>
  <c r="AJ55" i="4"/>
  <c r="AL56" i="4"/>
  <c r="AK56" i="4"/>
  <c r="AJ56" i="4"/>
  <c r="AL57" i="4"/>
  <c r="AK57" i="4"/>
  <c r="AJ57" i="4"/>
  <c r="AL58" i="4"/>
  <c r="AK58" i="4"/>
  <c r="AJ58" i="4"/>
  <c r="AL50" i="4"/>
  <c r="AK50" i="4"/>
  <c r="AJ50" i="4"/>
  <c r="AL53" i="4"/>
  <c r="AK53" i="4"/>
  <c r="AJ53" i="4"/>
  <c r="AH59" i="4"/>
  <c r="AG59" i="4"/>
  <c r="AI59" i="4"/>
  <c r="AE59" i="4"/>
  <c r="AL6" i="4"/>
  <c r="AK6" i="4"/>
  <c r="AJ6" i="4"/>
  <c r="AL5" i="4"/>
  <c r="AK5" i="4"/>
  <c r="AJ5" i="4"/>
  <c r="AG82" i="4"/>
  <c r="AH82" i="4"/>
  <c r="AT90" i="2"/>
  <c r="AH86" i="4"/>
  <c r="AG86" i="4"/>
  <c r="AL32" i="4"/>
  <c r="AK32" i="4"/>
  <c r="AJ32" i="4"/>
  <c r="AL39" i="4"/>
  <c r="AK39" i="4"/>
  <c r="AJ39" i="4"/>
  <c r="AK12" i="4"/>
  <c r="AJ12" i="4"/>
  <c r="AL12" i="4"/>
  <c r="AK11" i="4"/>
  <c r="AJ11" i="4"/>
  <c r="BL90" i="3"/>
  <c r="BN95" i="3"/>
  <c r="BK90" i="3"/>
  <c r="W92" i="4"/>
  <c r="BD91" i="3"/>
  <c r="AI87" i="4"/>
  <c r="AI83" i="4"/>
  <c r="AI82" i="4"/>
  <c r="AG92" i="4"/>
  <c r="AH92" i="4"/>
  <c r="AI92" i="4"/>
  <c r="BD90" i="3"/>
  <c r="AI86" i="4"/>
  <c r="AE40" i="4"/>
  <c r="X92" i="4"/>
  <c r="AE92" i="4"/>
  <c r="AF40" i="4"/>
  <c r="AE83" i="4"/>
  <c r="AE87" i="4"/>
  <c r="S92" i="4"/>
  <c r="D92" i="4"/>
  <c r="L92" i="4"/>
  <c r="G92" i="4"/>
  <c r="J92" i="4"/>
  <c r="F92" i="4"/>
  <c r="R92" i="4"/>
  <c r="P92" i="4"/>
  <c r="O92" i="4"/>
  <c r="I92" i="4"/>
  <c r="M92" i="4"/>
  <c r="E92" i="4"/>
  <c r="AE86" i="4"/>
  <c r="AD82" i="4"/>
  <c r="AE82" i="4"/>
  <c r="Z92" i="4"/>
  <c r="AC40" i="4"/>
  <c r="AA92" i="4"/>
  <c r="AY91" i="3"/>
  <c r="AF87" i="4"/>
  <c r="AF92" i="4"/>
  <c r="AF82" i="4"/>
  <c r="AF83" i="4"/>
  <c r="AY90" i="3"/>
  <c r="AF86" i="4"/>
  <c r="K92" i="4"/>
  <c r="Q92" i="4"/>
  <c r="T92" i="4"/>
  <c r="H92" i="4"/>
  <c r="N92" i="4"/>
  <c r="BN92" i="3"/>
  <c r="AC92" i="4"/>
  <c r="AB92" i="4"/>
  <c r="AD83" i="4"/>
  <c r="AD92" i="4"/>
  <c r="AP91" i="2"/>
  <c r="AD87" i="4"/>
  <c r="AP90" i="2"/>
  <c r="AD86" i="4"/>
  <c r="BB92" i="2"/>
  <c r="AC59" i="4"/>
  <c r="AA40" i="4"/>
  <c r="AB40" i="4"/>
  <c r="AD95" i="2"/>
  <c r="AA59" i="4"/>
  <c r="AB59" i="4"/>
  <c r="AA82" i="4"/>
  <c r="AB82" i="4"/>
  <c r="AC82" i="4"/>
  <c r="AC83" i="4"/>
  <c r="AC87" i="4"/>
  <c r="AL90" i="2"/>
  <c r="AB86" i="4"/>
  <c r="AA86" i="4"/>
  <c r="AC86" i="4"/>
  <c r="AA83" i="4"/>
  <c r="AB83" i="4"/>
  <c r="AL91" i="2"/>
  <c r="AB87" i="4"/>
  <c r="AA87" i="4"/>
  <c r="X40" i="4"/>
  <c r="Z40" i="4"/>
  <c r="Y40" i="4"/>
  <c r="BD40" i="2"/>
  <c r="BD59" i="2"/>
  <c r="Z59" i="4"/>
  <c r="Y59" i="4"/>
  <c r="X59" i="4"/>
  <c r="Y83" i="4"/>
  <c r="X83" i="4"/>
  <c r="Z83" i="4"/>
  <c r="AJ90" i="3"/>
  <c r="Z86" i="4"/>
  <c r="X87" i="4"/>
  <c r="Y87" i="4"/>
  <c r="Z87" i="4"/>
  <c r="E86" i="4"/>
  <c r="X86" i="4"/>
  <c r="Y86" i="4"/>
  <c r="Y82" i="4"/>
  <c r="Z82" i="4"/>
  <c r="X82" i="4"/>
  <c r="V59" i="4"/>
  <c r="W59" i="4"/>
  <c r="U59" i="4"/>
  <c r="W40" i="4"/>
  <c r="BB82" i="2"/>
  <c r="AD91" i="2"/>
  <c r="V87" i="4"/>
  <c r="U87" i="4"/>
  <c r="W83" i="4"/>
  <c r="U83" i="4"/>
  <c r="V83" i="4"/>
  <c r="U82" i="4"/>
  <c r="V82" i="4"/>
  <c r="Z90" i="2"/>
  <c r="U86" i="4"/>
  <c r="V86" i="4"/>
  <c r="V40" i="4"/>
  <c r="U40" i="4"/>
  <c r="AJ91" i="3"/>
  <c r="W87" i="4"/>
  <c r="W82" i="4"/>
  <c r="AE90" i="3"/>
  <c r="W86" i="4"/>
  <c r="T59" i="4"/>
  <c r="BX82" i="3"/>
  <c r="BX86" i="3"/>
  <c r="BX90" i="3" s="1"/>
  <c r="BS95" i="3"/>
  <c r="BX95" i="3"/>
  <c r="BR95" i="3"/>
  <c r="BW95" i="3"/>
  <c r="BN93" i="3"/>
  <c r="BN87" i="3"/>
  <c r="BN91" i="3" s="1"/>
  <c r="BN83" i="3"/>
  <c r="BN84" i="3"/>
  <c r="BN88" i="3"/>
  <c r="BS86" i="3"/>
  <c r="BS90" i="3" s="1"/>
  <c r="BS82" i="3"/>
  <c r="V60" i="2"/>
  <c r="V70" i="2" s="1"/>
  <c r="D59" i="4"/>
  <c r="R59" i="4"/>
  <c r="S59" i="4"/>
  <c r="Q59" i="4"/>
  <c r="S83" i="4"/>
  <c r="R83" i="4"/>
  <c r="Q40" i="4"/>
  <c r="T40" i="4"/>
  <c r="J91" i="2"/>
  <c r="R87" i="4"/>
  <c r="S87" i="4"/>
  <c r="R82" i="4"/>
  <c r="S82" i="4"/>
  <c r="Z84" i="2"/>
  <c r="S40" i="4"/>
  <c r="R40" i="4"/>
  <c r="Q82" i="4"/>
  <c r="T82" i="4"/>
  <c r="R90" i="2"/>
  <c r="R86" i="4"/>
  <c r="S86" i="4"/>
  <c r="Q87" i="4"/>
  <c r="T87" i="4"/>
  <c r="Q86" i="4"/>
  <c r="T86" i="4"/>
  <c r="Q83" i="4"/>
  <c r="T83" i="4"/>
  <c r="R60" i="2"/>
  <c r="R88" i="2" s="1"/>
  <c r="K70" i="2"/>
  <c r="K93" i="2" s="1"/>
  <c r="J84" i="2"/>
  <c r="G40" i="4"/>
  <c r="E40" i="4"/>
  <c r="H40" i="4"/>
  <c r="N60" i="2"/>
  <c r="N70" i="2" s="1"/>
  <c r="K40" i="4"/>
  <c r="K59" i="4"/>
  <c r="E59" i="4"/>
  <c r="N59" i="4"/>
  <c r="H59" i="4"/>
  <c r="R84" i="2"/>
  <c r="N40" i="4"/>
  <c r="V84" i="2"/>
  <c r="K90" i="3"/>
  <c r="H86" i="4"/>
  <c r="N86" i="4"/>
  <c r="K86" i="4"/>
  <c r="H82" i="4"/>
  <c r="K82" i="4"/>
  <c r="N82" i="4"/>
  <c r="K91" i="3"/>
  <c r="N87" i="4"/>
  <c r="H87" i="4"/>
  <c r="K87" i="4"/>
  <c r="H83" i="4"/>
  <c r="N83" i="4"/>
  <c r="K83" i="4"/>
  <c r="P59" i="4"/>
  <c r="X88" i="2"/>
  <c r="AZ60" i="2"/>
  <c r="AZ88" i="2" s="1"/>
  <c r="X70" i="2"/>
  <c r="J60" i="2"/>
  <c r="G83" i="4"/>
  <c r="F83" i="4"/>
  <c r="D83" i="4"/>
  <c r="C83" i="4"/>
  <c r="Y88" i="2"/>
  <c r="Y70" i="2"/>
  <c r="BA60" i="2"/>
  <c r="BA88" i="2" s="1"/>
  <c r="Z60" i="2"/>
  <c r="W88" i="2"/>
  <c r="G70" i="2"/>
  <c r="G79" i="2" s="1"/>
  <c r="G95" i="2" s="1"/>
  <c r="G82" i="4"/>
  <c r="F82" i="4"/>
  <c r="D82" i="4"/>
  <c r="C82" i="4"/>
  <c r="P88" i="2"/>
  <c r="P70" i="2"/>
  <c r="U88" i="2"/>
  <c r="U70" i="2"/>
  <c r="T88" i="2"/>
  <c r="T70" i="2"/>
  <c r="I88" i="2"/>
  <c r="I70" i="2"/>
  <c r="F60" i="2"/>
  <c r="O59" i="4"/>
  <c r="M59" i="4"/>
  <c r="I59" i="4"/>
  <c r="L59" i="4"/>
  <c r="J59" i="4"/>
  <c r="G59" i="4"/>
  <c r="F59" i="4"/>
  <c r="C59" i="4"/>
  <c r="S70" i="2"/>
  <c r="S88" i="2"/>
  <c r="O88" i="2"/>
  <c r="O70" i="2"/>
  <c r="L88" i="2"/>
  <c r="L70" i="2"/>
  <c r="H88" i="2"/>
  <c r="H70" i="2"/>
  <c r="F40" i="4"/>
  <c r="F84" i="2"/>
  <c r="Q88" i="2"/>
  <c r="Q70" i="2"/>
  <c r="M88" i="2"/>
  <c r="M70" i="2"/>
  <c r="D88" i="2"/>
  <c r="D70" i="2"/>
  <c r="E88" i="2"/>
  <c r="E70" i="2"/>
  <c r="BB83" i="2"/>
  <c r="BB40" i="2"/>
  <c r="N84" i="2"/>
  <c r="M40" i="4"/>
  <c r="L40" i="4"/>
  <c r="I40" i="4"/>
  <c r="J40" i="4"/>
  <c r="O40" i="4"/>
  <c r="L82" i="4"/>
  <c r="J82" i="4"/>
  <c r="I82" i="4"/>
  <c r="M82" i="4"/>
  <c r="P82" i="4"/>
  <c r="O82" i="4"/>
  <c r="M83" i="4"/>
  <c r="L83" i="4"/>
  <c r="J83" i="4"/>
  <c r="I83" i="4"/>
  <c r="P83" i="4"/>
  <c r="O83" i="4"/>
  <c r="BB86" i="2"/>
  <c r="BB87" i="2"/>
  <c r="F90" i="2"/>
  <c r="P86" i="4"/>
  <c r="J86" i="4"/>
  <c r="I86" i="4"/>
  <c r="M86" i="4"/>
  <c r="L86" i="4"/>
  <c r="G86" i="4"/>
  <c r="D86" i="4"/>
  <c r="C86" i="4"/>
  <c r="F86" i="4"/>
  <c r="O86" i="4"/>
  <c r="P87" i="4"/>
  <c r="J87" i="4"/>
  <c r="F91" i="2"/>
  <c r="I87" i="4"/>
  <c r="M87" i="4"/>
  <c r="D87" i="4"/>
  <c r="C87" i="4"/>
  <c r="G87" i="4"/>
  <c r="L87" i="4"/>
  <c r="F87" i="4"/>
  <c r="O87" i="4"/>
  <c r="BN82" i="3"/>
  <c r="BN86" i="3"/>
  <c r="D40" i="4"/>
  <c r="C40" i="4"/>
  <c r="C70" i="2"/>
  <c r="C88" i="2"/>
  <c r="AY60" i="2"/>
  <c r="AY88" i="2" s="1"/>
  <c r="W79" i="2"/>
  <c r="W95" i="2" s="1"/>
  <c r="P40" i="4"/>
  <c r="AF84" i="4" l="1"/>
  <c r="AL82" i="4"/>
  <c r="AH84" i="4"/>
  <c r="AG84" i="4"/>
  <c r="AI84" i="4"/>
  <c r="E91" i="4"/>
  <c r="AH91" i="4"/>
  <c r="AG91" i="4"/>
  <c r="AH60" i="4"/>
  <c r="AG60" i="4"/>
  <c r="AI60" i="4"/>
  <c r="AL59" i="4"/>
  <c r="AK59" i="4"/>
  <c r="AJ59" i="4"/>
  <c r="AG90" i="4"/>
  <c r="AH90" i="4"/>
  <c r="BB91" i="2"/>
  <c r="AL87" i="4"/>
  <c r="AK87" i="4"/>
  <c r="AJ87" i="4"/>
  <c r="AL83" i="4"/>
  <c r="AK83" i="4"/>
  <c r="AJ83" i="4"/>
  <c r="BB90" i="2"/>
  <c r="AJ90" i="4" s="1"/>
  <c r="AK86" i="4"/>
  <c r="AJ86" i="4"/>
  <c r="AJ40" i="4"/>
  <c r="AK40" i="4"/>
  <c r="AL40" i="4"/>
  <c r="AJ82" i="4"/>
  <c r="AK82" i="4"/>
  <c r="AJ92" i="4"/>
  <c r="AK92" i="4"/>
  <c r="AL92" i="4"/>
  <c r="BN90" i="3"/>
  <c r="AL86" i="4"/>
  <c r="AI91" i="4"/>
  <c r="AI90" i="4"/>
  <c r="AC90" i="4"/>
  <c r="C90" i="4"/>
  <c r="AE60" i="4"/>
  <c r="AE84" i="4"/>
  <c r="AE90" i="4"/>
  <c r="AD84" i="4"/>
  <c r="AE91" i="4"/>
  <c r="AF60" i="4"/>
  <c r="AD60" i="4"/>
  <c r="AF90" i="4"/>
  <c r="AF91" i="4"/>
  <c r="AD90" i="4"/>
  <c r="AD91" i="4"/>
  <c r="AC60" i="4"/>
  <c r="V88" i="2"/>
  <c r="AC84" i="4"/>
  <c r="AB60" i="4"/>
  <c r="AA60" i="4"/>
  <c r="AB84" i="4"/>
  <c r="AA84" i="4"/>
  <c r="AC91" i="4"/>
  <c r="AA90" i="4"/>
  <c r="AB90" i="4"/>
  <c r="AB91" i="4"/>
  <c r="AA91" i="4"/>
  <c r="X84" i="4"/>
  <c r="Z84" i="4"/>
  <c r="Y84" i="4"/>
  <c r="X91" i="4"/>
  <c r="Y91" i="4"/>
  <c r="Z91" i="4"/>
  <c r="BD60" i="2"/>
  <c r="Y60" i="4"/>
  <c r="X60" i="4"/>
  <c r="Z60" i="4"/>
  <c r="Z90" i="4"/>
  <c r="E90" i="4"/>
  <c r="Y90" i="4"/>
  <c r="X90" i="4"/>
  <c r="W84" i="4"/>
  <c r="W91" i="4"/>
  <c r="BB84" i="2"/>
  <c r="W90" i="4"/>
  <c r="U91" i="4"/>
  <c r="V91" i="4"/>
  <c r="Z88" i="2"/>
  <c r="V60" i="4"/>
  <c r="U60" i="4"/>
  <c r="W60" i="4"/>
  <c r="U90" i="4"/>
  <c r="V90" i="4"/>
  <c r="V84" i="4"/>
  <c r="U84" i="4"/>
  <c r="BS84" i="3"/>
  <c r="BX84" i="3"/>
  <c r="BS93" i="3"/>
  <c r="BX93" i="3"/>
  <c r="BX83" i="3"/>
  <c r="BX87" i="3"/>
  <c r="BX91" i="3" s="1"/>
  <c r="BS88" i="3"/>
  <c r="BX88" i="3"/>
  <c r="BS87" i="3"/>
  <c r="BS91" i="3" s="1"/>
  <c r="BS83" i="3"/>
  <c r="R70" i="2"/>
  <c r="R79" i="2" s="1"/>
  <c r="Q84" i="4"/>
  <c r="S90" i="4"/>
  <c r="R90" i="4"/>
  <c r="R84" i="4"/>
  <c r="S84" i="4"/>
  <c r="Q91" i="4"/>
  <c r="T91" i="4"/>
  <c r="S91" i="4"/>
  <c r="R91" i="4"/>
  <c r="Q90" i="4"/>
  <c r="T90" i="4"/>
  <c r="K79" i="2"/>
  <c r="K95" i="2" s="1"/>
  <c r="T84" i="4"/>
  <c r="R60" i="4"/>
  <c r="S60" i="4"/>
  <c r="Q60" i="4"/>
  <c r="T60" i="4"/>
  <c r="G93" i="2"/>
  <c r="K84" i="4"/>
  <c r="Z70" i="2"/>
  <c r="O60" i="4"/>
  <c r="N88" i="2"/>
  <c r="L60" i="4"/>
  <c r="I60" i="4"/>
  <c r="M60" i="4"/>
  <c r="J60" i="4"/>
  <c r="E84" i="4"/>
  <c r="N84" i="4"/>
  <c r="H84" i="4"/>
  <c r="E60" i="4"/>
  <c r="H60" i="4"/>
  <c r="N60" i="4"/>
  <c r="K60" i="4"/>
  <c r="H91" i="4"/>
  <c r="N91" i="4"/>
  <c r="K91" i="4"/>
  <c r="N90" i="4"/>
  <c r="K90" i="4"/>
  <c r="H90" i="4"/>
  <c r="T93" i="2"/>
  <c r="T79" i="2"/>
  <c r="T95" i="2" s="1"/>
  <c r="Y93" i="2"/>
  <c r="Y79" i="2"/>
  <c r="BA70" i="2"/>
  <c r="BA93" i="2" s="1"/>
  <c r="D79" i="2"/>
  <c r="D95" i="2" s="1"/>
  <c r="D93" i="2"/>
  <c r="S93" i="2"/>
  <c r="S79" i="2"/>
  <c r="S95" i="2" s="1"/>
  <c r="U93" i="2"/>
  <c r="U79" i="2"/>
  <c r="U95" i="2" s="1"/>
  <c r="O79" i="2"/>
  <c r="O95" i="2" s="1"/>
  <c r="O93" i="2"/>
  <c r="M93" i="2"/>
  <c r="M79" i="2"/>
  <c r="M95" i="2" s="1"/>
  <c r="G84" i="4"/>
  <c r="F84" i="4"/>
  <c r="D84" i="4"/>
  <c r="C84" i="4"/>
  <c r="P79" i="2"/>
  <c r="P95" i="2" s="1"/>
  <c r="P93" i="2"/>
  <c r="AY70" i="2"/>
  <c r="AY93" i="2" s="1"/>
  <c r="J70" i="2"/>
  <c r="J88" i="2"/>
  <c r="X93" i="2"/>
  <c r="X79" i="2"/>
  <c r="AZ70" i="2"/>
  <c r="AZ93" i="2" s="1"/>
  <c r="H79" i="2"/>
  <c r="H95" i="2" s="1"/>
  <c r="H93" i="2"/>
  <c r="Q93" i="2"/>
  <c r="Q79" i="2"/>
  <c r="Q95" i="2" s="1"/>
  <c r="L93" i="2"/>
  <c r="L79" i="2"/>
  <c r="L95" i="2" s="1"/>
  <c r="F88" i="2"/>
  <c r="G60" i="4"/>
  <c r="F60" i="4"/>
  <c r="F70" i="2"/>
  <c r="E93" i="2"/>
  <c r="E79" i="2"/>
  <c r="E95" i="2" s="1"/>
  <c r="V93" i="2"/>
  <c r="V79" i="2"/>
  <c r="I79" i="2"/>
  <c r="I95" i="2" s="1"/>
  <c r="I93" i="2"/>
  <c r="M84" i="4"/>
  <c r="L84" i="4"/>
  <c r="J84" i="4"/>
  <c r="I84" i="4"/>
  <c r="P84" i="4"/>
  <c r="O84" i="4"/>
  <c r="N93" i="2"/>
  <c r="N79" i="2"/>
  <c r="I91" i="4"/>
  <c r="D91" i="4"/>
  <c r="C91" i="4"/>
  <c r="M91" i="4"/>
  <c r="G91" i="4"/>
  <c r="L91" i="4"/>
  <c r="F91" i="4"/>
  <c r="P91" i="4"/>
  <c r="J91" i="4"/>
  <c r="O91" i="4"/>
  <c r="I90" i="4"/>
  <c r="D90" i="4"/>
  <c r="M90" i="4"/>
  <c r="G90" i="4"/>
  <c r="L90" i="4"/>
  <c r="F90" i="4"/>
  <c r="P90" i="4"/>
  <c r="J90" i="4"/>
  <c r="O90" i="4"/>
  <c r="P60" i="4"/>
  <c r="BB60" i="2"/>
  <c r="D60" i="4"/>
  <c r="C60" i="4"/>
  <c r="C93" i="2"/>
  <c r="C79" i="2"/>
  <c r="R93" i="2" l="1"/>
  <c r="AL90" i="4"/>
  <c r="AK90" i="4"/>
  <c r="AH70" i="4"/>
  <c r="AG70" i="4"/>
  <c r="AI70" i="4"/>
  <c r="AG88" i="4"/>
  <c r="AH88" i="4"/>
  <c r="AI88" i="4"/>
  <c r="AL91" i="4"/>
  <c r="AK91" i="4"/>
  <c r="AJ91" i="4"/>
  <c r="BB88" i="2"/>
  <c r="AK60" i="4"/>
  <c r="AJ60" i="4"/>
  <c r="AL60" i="4"/>
  <c r="AJ84" i="4"/>
  <c r="AK84" i="4"/>
  <c r="AL84" i="4"/>
  <c r="AE88" i="4"/>
  <c r="AC70" i="4"/>
  <c r="AF70" i="4"/>
  <c r="AD70" i="4"/>
  <c r="AD88" i="4"/>
  <c r="AF88" i="4"/>
  <c r="AE70" i="4"/>
  <c r="J88" i="4"/>
  <c r="AC88" i="4"/>
  <c r="AA70" i="4"/>
  <c r="AB70" i="4"/>
  <c r="AB88" i="4"/>
  <c r="AA88" i="4"/>
  <c r="Y70" i="4"/>
  <c r="X70" i="4"/>
  <c r="Z70" i="4"/>
  <c r="Y88" i="4"/>
  <c r="X88" i="4"/>
  <c r="Z88" i="4"/>
  <c r="Z93" i="2"/>
  <c r="V70" i="4"/>
  <c r="U70" i="4"/>
  <c r="W70" i="4"/>
  <c r="V88" i="4"/>
  <c r="U88" i="4"/>
  <c r="W88" i="4"/>
  <c r="R88" i="4"/>
  <c r="S88" i="4"/>
  <c r="Q88" i="4"/>
  <c r="T88" i="4"/>
  <c r="R70" i="4"/>
  <c r="S70" i="4"/>
  <c r="T70" i="4"/>
  <c r="Q70" i="4"/>
  <c r="Z79" i="2"/>
  <c r="M88" i="4"/>
  <c r="P70" i="4"/>
  <c r="P88" i="4"/>
  <c r="E70" i="4"/>
  <c r="H70" i="4"/>
  <c r="N70" i="4"/>
  <c r="E88" i="4"/>
  <c r="H88" i="4"/>
  <c r="N88" i="4"/>
  <c r="L88" i="4"/>
  <c r="K88" i="4"/>
  <c r="K70" i="4"/>
  <c r="R95" i="2"/>
  <c r="V95" i="2"/>
  <c r="O88" i="4"/>
  <c r="M70" i="4"/>
  <c r="I70" i="4"/>
  <c r="L70" i="4"/>
  <c r="J93" i="2"/>
  <c r="J79" i="2"/>
  <c r="J70" i="4"/>
  <c r="G70" i="4"/>
  <c r="F79" i="2"/>
  <c r="F70" i="4"/>
  <c r="F93" i="2"/>
  <c r="X95" i="2"/>
  <c r="AZ79" i="2"/>
  <c r="AZ95" i="2" s="1"/>
  <c r="O70" i="4"/>
  <c r="AY79" i="2"/>
  <c r="AY95" i="2" s="1"/>
  <c r="D88" i="4"/>
  <c r="G88" i="4"/>
  <c r="C88" i="4"/>
  <c r="F88" i="4"/>
  <c r="Y95" i="2"/>
  <c r="BA79" i="2"/>
  <c r="BA95" i="2" s="1"/>
  <c r="I88" i="4"/>
  <c r="N95" i="2"/>
  <c r="C95" i="2"/>
  <c r="C70" i="4"/>
  <c r="D70" i="4"/>
  <c r="BB70" i="2"/>
  <c r="AI93" i="4" l="1"/>
  <c r="AH93" i="4"/>
  <c r="AG93" i="4"/>
  <c r="AH79" i="4"/>
  <c r="AG79" i="4"/>
  <c r="AI79" i="4"/>
  <c r="BB93" i="2"/>
  <c r="AJ70" i="4"/>
  <c r="AK70" i="4"/>
  <c r="AL70" i="4"/>
  <c r="AK88" i="4"/>
  <c r="AJ88" i="4"/>
  <c r="AL88" i="4"/>
  <c r="AF79" i="4"/>
  <c r="AD79" i="4"/>
  <c r="AF93" i="4"/>
  <c r="AD93" i="4"/>
  <c r="AE79" i="4"/>
  <c r="AE93" i="4"/>
  <c r="AC93" i="4"/>
  <c r="AC79" i="4"/>
  <c r="AA79" i="4"/>
  <c r="AB79" i="4"/>
  <c r="AA93" i="4"/>
  <c r="AB93" i="4"/>
  <c r="Y79" i="4"/>
  <c r="X79" i="4"/>
  <c r="Z79" i="4"/>
  <c r="Y93" i="4"/>
  <c r="X93" i="4"/>
  <c r="Z93" i="4"/>
  <c r="Z95" i="2"/>
  <c r="V79" i="4"/>
  <c r="U79" i="4"/>
  <c r="W79" i="4"/>
  <c r="V93" i="4"/>
  <c r="U93" i="4"/>
  <c r="W93" i="4"/>
  <c r="S79" i="4"/>
  <c r="R79" i="4"/>
  <c r="Q79" i="4"/>
  <c r="T79" i="4"/>
  <c r="R93" i="4"/>
  <c r="S93" i="4"/>
  <c r="T93" i="4"/>
  <c r="Q93" i="4"/>
  <c r="M93" i="4"/>
  <c r="I93" i="4"/>
  <c r="P93" i="4"/>
  <c r="E93" i="4"/>
  <c r="H93" i="4"/>
  <c r="N93" i="4"/>
  <c r="E79" i="4"/>
  <c r="H79" i="4"/>
  <c r="N79" i="4"/>
  <c r="J95" i="2"/>
  <c r="K79" i="4"/>
  <c r="O93" i="4"/>
  <c r="K93" i="4"/>
  <c r="J93" i="4"/>
  <c r="J79" i="4"/>
  <c r="I79" i="4"/>
  <c r="G79" i="4"/>
  <c r="F79" i="4"/>
  <c r="F95" i="2"/>
  <c r="D93" i="4"/>
  <c r="G93" i="4"/>
  <c r="F93" i="4"/>
  <c r="C93" i="4"/>
  <c r="L79" i="4"/>
  <c r="L93" i="4"/>
  <c r="M79" i="4"/>
  <c r="O79" i="4"/>
  <c r="D79" i="4"/>
  <c r="C79" i="4"/>
  <c r="P79" i="4"/>
  <c r="BB79" i="2"/>
  <c r="AJ79" i="4" s="1"/>
  <c r="AH95" i="4" l="1"/>
  <c r="AG95" i="4"/>
  <c r="AI95" i="4"/>
  <c r="BB95" i="2"/>
  <c r="AK79" i="4"/>
  <c r="AL79" i="4"/>
  <c r="AK93" i="4"/>
  <c r="AJ93" i="4"/>
  <c r="AL93" i="4"/>
  <c r="AC95" i="4"/>
  <c r="AF95" i="4"/>
  <c r="AD95" i="4"/>
  <c r="AE95" i="4"/>
  <c r="AB95" i="4"/>
  <c r="AA95" i="4"/>
  <c r="Y95" i="4"/>
  <c r="X95" i="4"/>
  <c r="Z95" i="4"/>
  <c r="U95" i="4"/>
  <c r="V95" i="4"/>
  <c r="W95" i="4"/>
  <c r="R95" i="4"/>
  <c r="S95" i="4"/>
  <c r="T95" i="4"/>
  <c r="Q95" i="4"/>
  <c r="J95" i="4"/>
  <c r="H95" i="4"/>
  <c r="E95" i="4"/>
  <c r="N95" i="4"/>
  <c r="K95" i="4"/>
  <c r="O95" i="4"/>
  <c r="P95" i="4"/>
  <c r="G95" i="4"/>
  <c r="F95" i="4"/>
  <c r="C95" i="4"/>
  <c r="D95" i="4"/>
  <c r="L95" i="4"/>
  <c r="I95" i="4"/>
  <c r="M95" i="4"/>
  <c r="AK95" i="4" l="1"/>
  <c r="AJ95" i="4"/>
  <c r="AL9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tc={010AA230-84E7-497B-B240-A0C7B50B8B8D}</author>
    <author>tc={E1BCE686-9A55-4922-85C2-28285077F0F2}</author>
  </authors>
  <commentList>
    <comment ref="B20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 CD Ransa Gambeta DELTA 2</t>
      </text>
    </comment>
    <comment ref="BB59" authorId="1" shapeId="0" xr:uid="{E1BCE686-9A55-4922-85C2-28285077F0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21778 HH de Ventanilla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tc={6D2D1108-8D00-4B7A-AD54-8514BF920980}</author>
  </authors>
  <commentList>
    <comment ref="E7" authorId="0" shapeId="0" xr:uid="{6D2D1108-8D00-4B7A-AD54-8514BF9209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 DÍAS DE DM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1" description="Conexión a la consulta 'Tabla1' en el libro." type="5" refreshedVersion="0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<sst xmlns="http://schemas.openxmlformats.org/spreadsheetml/2006/main" count="1452" uniqueCount="236">
  <si>
    <t>INDICADORES DE ACCIDENTABILIDAD</t>
  </si>
  <si>
    <t>Acumulado</t>
  </si>
  <si>
    <t>OBJETIVO 2024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</si>
  <si>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</si>
  <si>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</si>
  <si>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</si>
  <si>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</si>
  <si>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</si>
  <si>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</si>
  <si>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</si>
  <si>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</si>
  <si>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</si>
  <si>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</si>
  <si>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</si>
  <si>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</si>
  <si>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OBJETIVOS 2024</t>
  </si>
  <si>
    <t>RESULTADO 2023</t>
  </si>
  <si>
    <t>IF</t>
  </si>
  <si>
    <t>IS</t>
  </si>
  <si>
    <t>TIR</t>
  </si>
  <si>
    <t>SOCIEDAD</t>
  </si>
  <si>
    <t>PLANTAS</t>
  </si>
  <si>
    <t>MAX</t>
  </si>
  <si>
    <t>ESP.</t>
  </si>
  <si>
    <t>MIN</t>
  </si>
  <si>
    <t>ALICORP SAA</t>
  </si>
  <si>
    <t xml:space="preserve">MOL. FAUCETT </t>
  </si>
  <si>
    <t>MOL. CALLAO</t>
  </si>
  <si>
    <t>GALLETERIA&amp;INSTANT.</t>
  </si>
  <si>
    <t>un</t>
  </si>
  <si>
    <t>FIDEERIA LIMA</t>
  </si>
  <si>
    <t>COPSA</t>
  </si>
  <si>
    <t>DETERGENTES</t>
  </si>
  <si>
    <t xml:space="preserve">SIDSUR </t>
  </si>
  <si>
    <t>MANUFACTURA ALICORP</t>
  </si>
  <si>
    <t>DISTRBUCION LIMA</t>
  </si>
  <si>
    <t>CD Huachipa</t>
  </si>
  <si>
    <t>CD Latam 600</t>
  </si>
  <si>
    <t>CD Latam 400</t>
  </si>
  <si>
    <t>CD Central</t>
  </si>
  <si>
    <t>APT Molino Callao</t>
  </si>
  <si>
    <t>APT MSR</t>
  </si>
  <si>
    <t>CD Agustino</t>
  </si>
  <si>
    <t xml:space="preserve">APT Farináceos </t>
  </si>
  <si>
    <t>APUDEX</t>
  </si>
  <si>
    <t>DISTRBUCION PROVINCIAS</t>
  </si>
  <si>
    <t>CD Arequipa</t>
  </si>
  <si>
    <t>CD Cusco</t>
  </si>
  <si>
    <t>CD Chiclayo</t>
  </si>
  <si>
    <t>CD Trujillo</t>
  </si>
  <si>
    <t>CD Piura</t>
  </si>
  <si>
    <t>ADMINISTRACION (Of. + SSGG+ Proy. Inf)</t>
  </si>
  <si>
    <t>RELACIONES LABORALES (Comedores)</t>
  </si>
  <si>
    <t>DESARROLLO TECNOLÓGICO</t>
  </si>
  <si>
    <t>ALMACEN INSUMOS-ENVASES (TOTAL)</t>
  </si>
  <si>
    <t>ALMACEN INSUMOS-ENVASES - COPSA</t>
  </si>
  <si>
    <t>ALMACEN INSUMOS-ENVASES - MCA</t>
  </si>
  <si>
    <t>ALMACEN INSUMOS-ENVASES - MFA</t>
  </si>
  <si>
    <t>ALMACEN INSUMOS-ENVASES - F. LIMA</t>
  </si>
  <si>
    <t>ALMACEN INSUMOS-ENVASES - GALLETAS</t>
  </si>
  <si>
    <t>ALMACEN INSUMOS-ENVASES - DETER</t>
  </si>
  <si>
    <t>ALMACEN INSUMOS-ENVASES - SIDSUR</t>
  </si>
  <si>
    <t>TOTAL ALICORP</t>
  </si>
  <si>
    <t>MASTERBREAD</t>
  </si>
  <si>
    <t>TEAL PLANTA</t>
  </si>
  <si>
    <t>TEAL - DISTRIBUCIÓN</t>
  </si>
  <si>
    <t>TEAL - INSUMOS</t>
  </si>
  <si>
    <t>GLOBAL PLANTA</t>
  </si>
  <si>
    <t>GLOBAL - DISTRIBUCIÓN</t>
  </si>
  <si>
    <t>GLOBAL - INSUMOS</t>
  </si>
  <si>
    <t>MOLINO PAITA</t>
  </si>
  <si>
    <t>MOLINO PAITA - DIST</t>
  </si>
  <si>
    <t>INTRADEVCO SA</t>
  </si>
  <si>
    <t>CHORRILLOS</t>
  </si>
  <si>
    <t>LURIN 1 Y 3</t>
  </si>
  <si>
    <t>LURIN 2</t>
  </si>
  <si>
    <t>LURIN 4</t>
  </si>
  <si>
    <t>LURIN 5</t>
  </si>
  <si>
    <t>ALMACEN INS&amp;ENV ITDC</t>
  </si>
  <si>
    <t>DISTRIBUCION ITDC</t>
  </si>
  <si>
    <t>ADMINISTRACION</t>
  </si>
  <si>
    <t>RELACIONES LABORALES</t>
  </si>
  <si>
    <t>INTRADEVCO</t>
  </si>
  <si>
    <t>ALICORP + SUBSIDIARIAS</t>
  </si>
  <si>
    <t>ALICORP BOLIVIA</t>
  </si>
  <si>
    <t>Planta Don Felipe (IASA)</t>
  </si>
  <si>
    <t>Planta Cochabamba</t>
  </si>
  <si>
    <t>Planta Parque Industrial (IASA)</t>
  </si>
  <si>
    <t>Centros de Acopio (IASA)</t>
  </si>
  <si>
    <t>Centros de Distribución (8 CD +1 APT)</t>
  </si>
  <si>
    <t>Parqueos</t>
  </si>
  <si>
    <t>Almacen de Insumos</t>
  </si>
  <si>
    <t>Oficinas SCZ</t>
  </si>
  <si>
    <t xml:space="preserve"> ALICORP BOLIVIA</t>
  </si>
  <si>
    <t>ALICORP + SUB + BOLIVIA</t>
  </si>
  <si>
    <t>VITAPRÓ</t>
  </si>
  <si>
    <t>VITAPRO TRUJILLO</t>
  </si>
  <si>
    <t>Honduras</t>
  </si>
  <si>
    <t>Chile</t>
  </si>
  <si>
    <t>Ecuador</t>
  </si>
  <si>
    <t>Ecuador Proyecto</t>
  </si>
  <si>
    <t>Total Ecuador</t>
  </si>
  <si>
    <t>VITAPRÓ (Perú + Países)</t>
  </si>
  <si>
    <t>OTROS</t>
  </si>
  <si>
    <t xml:space="preserve">TOTAL ORGANIZACIÓN </t>
  </si>
  <si>
    <t>ALICORP</t>
  </si>
  <si>
    <t>TOTAL MANUFACTURA</t>
  </si>
  <si>
    <t>ND</t>
  </si>
  <si>
    <t>TOTAL PLANEAMIENTO Y DISTRIBUCIÓN</t>
  </si>
  <si>
    <t>Incluye Administración + RRLL</t>
  </si>
  <si>
    <t>ALICORP + SUB</t>
  </si>
  <si>
    <t>63.4</t>
  </si>
  <si>
    <t>TOTAL ALICORP + SUB</t>
  </si>
  <si>
    <t>ALICORP + SUB + BOL</t>
  </si>
  <si>
    <t>TOTAL (SUPPLY)</t>
  </si>
  <si>
    <t>TOTAL ALICORP + SUB + BOL</t>
  </si>
  <si>
    <t>TOTAL ORGANIZACIÓN</t>
  </si>
  <si>
    <t>ALICORP + SUB + BOL + VITAPRÓ</t>
  </si>
  <si>
    <t>TOTAL ALICORP PERU</t>
  </si>
  <si>
    <t>Parqueos (1)</t>
  </si>
  <si>
    <t>Almacen de Insumos (1)</t>
  </si>
  <si>
    <t>SEGUIMIENTO ACCIDENTES</t>
  </si>
  <si>
    <t>ACUMULADO</t>
  </si>
  <si>
    <t>1Q</t>
  </si>
  <si>
    <t>2Q</t>
  </si>
  <si>
    <t>N° Accidentes Incapacitantes</t>
  </si>
  <si>
    <t>Días Perdidos</t>
  </si>
  <si>
    <t>N° Accidentes Menores</t>
  </si>
  <si>
    <t>Total Accidentes</t>
  </si>
  <si>
    <t>Accidentes Daño Material</t>
  </si>
  <si>
    <t>2.7</t>
  </si>
  <si>
    <t>65.2</t>
  </si>
  <si>
    <t>TOTAL MANUFACTURA (prod. Cal. Mtto.Seg)</t>
  </si>
  <si>
    <t>CONTROL DE HORAS HOMBRE 2024</t>
  </si>
  <si>
    <t>HH Propios 
EMPLEADOS + PRACTICANTES</t>
  </si>
  <si>
    <t>HH Propios 
OPERARIOS</t>
  </si>
  <si>
    <t>HH NO ALICORP</t>
  </si>
  <si>
    <t>TOTAL HH</t>
  </si>
  <si>
    <t>19337.5</t>
  </si>
  <si>
    <t>259.5</t>
  </si>
  <si>
    <t>437.5</t>
  </si>
  <si>
    <t>DÍAS SIN ACCIDENTES</t>
  </si>
  <si>
    <t>HOY</t>
  </si>
  <si>
    <t>ULTIMO ACC. INCAPACITANTE</t>
  </si>
  <si>
    <t>Detalle</t>
  </si>
  <si>
    <t>Partícula en vista</t>
  </si>
  <si>
    <t>Caída de escalera</t>
  </si>
  <si>
    <t>Corte en la mano</t>
  </si>
  <si>
    <t>Herida de dedo de la mano con daño de la uña en Clean Work</t>
  </si>
  <si>
    <t>FIDEERIA LIMA - GESTION DE RESIDUOS</t>
  </si>
  <si>
    <t>Contacto con hidrolina por fuga en válvula en Transvida</t>
  </si>
  <si>
    <t>COPSA - REFINERIA</t>
  </si>
  <si>
    <t>Onda expansiva por liberación intempestiva de presión</t>
  </si>
  <si>
    <t>COPSA - ACEITES</t>
  </si>
  <si>
    <t>Contusión en ojo derecho</t>
  </si>
  <si>
    <t>COPSA - MARGARINAS Y MANTECAS</t>
  </si>
  <si>
    <t>Contacto con mordaza caliente</t>
  </si>
  <si>
    <t>COPSA - SALSAS 1</t>
  </si>
  <si>
    <t>Contacto borde con rebaba de estante</t>
  </si>
  <si>
    <t>COPSA - SALSAS 2</t>
  </si>
  <si>
    <t>Golpe con guarda de encajonadora</t>
  </si>
  <si>
    <t>COPSA - SALSAS 3</t>
  </si>
  <si>
    <t>Caida al mismo nivel</t>
  </si>
  <si>
    <t>COPSA - JABONERIA</t>
  </si>
  <si>
    <t>Atricción de mano en envasadora</t>
  </si>
  <si>
    <t>COPSA - MANTENIMIENTO</t>
  </si>
  <si>
    <t>Herida de otras partes del antebrazo</t>
  </si>
  <si>
    <t>Golpe con mango de comba</t>
  </si>
  <si>
    <t>MCA - caída de escalera</t>
  </si>
  <si>
    <t>Golpe contra escalera (Piso 9)</t>
  </si>
  <si>
    <t>Comedor Copsa</t>
  </si>
  <si>
    <t>COPSA Caída de camión</t>
  </si>
  <si>
    <t>Caída de camión</t>
  </si>
  <si>
    <t>Traumatismo tobillo (Atrapado entre ETV y pared)</t>
  </si>
  <si>
    <t>Caida de Escalera</t>
  </si>
  <si>
    <t>Linea Panetones</t>
  </si>
  <si>
    <t>GLOBAL PLANTA ÑAÑA</t>
  </si>
  <si>
    <t>GLOBAL PLANTA CAJAMARQUILLA</t>
  </si>
  <si>
    <t>Tercero RRLL</t>
  </si>
  <si>
    <t>Planta Caramelos</t>
  </si>
  <si>
    <t>Pasta Dental</t>
  </si>
  <si>
    <t>LURIN 1</t>
  </si>
  <si>
    <t>LURIN 3</t>
  </si>
  <si>
    <t>Golpe con Transpaleta</t>
  </si>
  <si>
    <t>Comedor Chorrillos</t>
  </si>
  <si>
    <t>L2 Golpe con Traspaleta</t>
  </si>
  <si>
    <t>Golpe en el Torax por bandeja</t>
  </si>
  <si>
    <t>Corte de dedo con objeto cortopunzante</t>
  </si>
  <si>
    <t>Sobreesfuerzo en el muslo gemelo</t>
  </si>
  <si>
    <t>Golpe con Puerta de Camión</t>
  </si>
  <si>
    <t>Caída durante el desmontaje de Racks</t>
  </si>
  <si>
    <t>Atrapamiento exclusa</t>
  </si>
  <si>
    <t>ITDC L2 Golpe con Traspaleta</t>
  </si>
  <si>
    <t>Centros de Acopio</t>
  </si>
  <si>
    <t>LURIN 3 - Sulfonación</t>
  </si>
  <si>
    <t>Atrapado entre la cadena y el mástil lateral del montacargas</t>
  </si>
  <si>
    <t>Contusión en el dedo por golpe contra estructura</t>
  </si>
  <si>
    <t>LURIN 1 - Hipoclorito</t>
  </si>
  <si>
    <t>Polvo de ayuda filtrante en ojo</t>
  </si>
  <si>
    <t>Golpe con cubierta de motor</t>
  </si>
  <si>
    <t>FINO (Cochabambas)</t>
  </si>
  <si>
    <t>Golpe con canaleta</t>
  </si>
  <si>
    <t>PPI</t>
  </si>
  <si>
    <t>Estirón</t>
  </si>
  <si>
    <t>Comedor Miraflores</t>
  </si>
  <si>
    <t>Atrapamiento envasadora</t>
  </si>
  <si>
    <t xml:space="preserve">Oficina Miraflores - Piso 9 </t>
  </si>
  <si>
    <t>Centros de Distribución</t>
  </si>
  <si>
    <t>Golpe con Traspaleta</t>
  </si>
  <si>
    <t>En Base a la Nueva Asignación de Accidentes</t>
  </si>
  <si>
    <t>HH Sep 2024</t>
  </si>
  <si>
    <t>HH Proy. 25</t>
  </si>
  <si>
    <t>N° Acc.</t>
  </si>
  <si>
    <t>N° DM</t>
  </si>
  <si>
    <t>MANUFACTURA</t>
  </si>
  <si>
    <t>DISTRIBUCIÓN</t>
  </si>
  <si>
    <t>TOTAL</t>
  </si>
  <si>
    <t>Con la antigua asignación</t>
  </si>
  <si>
    <t>YTD IF</t>
  </si>
  <si>
    <t>YTD IS</t>
  </si>
  <si>
    <t>OBJETIVO</t>
  </si>
  <si>
    <t>DIRECCIÓN</t>
  </si>
  <si>
    <t>Semáforo IF</t>
  </si>
  <si>
    <t>Semáforo IS</t>
  </si>
  <si>
    <t>ALMACEN EEIIRR COPSA</t>
  </si>
  <si>
    <t>DISTRIBUCIÓN BOLIVIA</t>
  </si>
  <si>
    <t>ALMACEN EEIIRR ITDC</t>
  </si>
  <si>
    <t>ALMACEN EEIIRR MCA</t>
  </si>
  <si>
    <t>ALMACEN EEIIRR MFA</t>
  </si>
  <si>
    <t>ALMACEN EEIIRR F. LIMA</t>
  </si>
  <si>
    <t>ALMACEN EEIIRR GALLETAS</t>
  </si>
  <si>
    <t>ALMACEN EEIIRR DETER</t>
  </si>
  <si>
    <t>ALMACEN EEIIRR SIDSUR</t>
  </si>
  <si>
    <t>PLANTA COCHABAMBA</t>
  </si>
  <si>
    <t>PARQUEOS BOLIVIA</t>
  </si>
  <si>
    <t>ALMACEN EEIIRR - 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</si>
</sst>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5" formatCode="#,##0.0"/>
    <numFmt numFmtId="166" formatCode="0.0"/>
    <numFmt numFmtId="167" formatCode="_-* #,##0.0_-;\-* #,##0.0_-;_-* &quot;-&quot;??_-;_-@_-"/>
    <numFmt numFmtId="168" formatCode="_-* #,##0_-;\-* #,##0_-;_-* &quot;-&quot;??_-;_-@_-"/>
    <numFmt numFmtId="169" formatCode="0.00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 Nova"/>
      <family val="2"/>
    </font>
    <font>
      <b/>
      <sz val="9"/>
      <name val="Arial Nova"/>
      <family val="2"/>
    </font>
    <font>
      <sz val="9"/>
      <name val="Arial Nova"/>
      <family val="2"/>
    </font>
    <font>
      <sz val="10"/>
      <name val="Arial Nova"/>
      <family val="2"/>
    </font>
    <font>
      <sz val="11"/>
      <color rgb="FF000000"/>
      <name val="Aptos Narrow"/>
      <family val="2"/>
    </font>
    <font>
      <b/>
      <sz val="9"/>
      <color theme="0"/>
      <name val="Arial Nov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 Nov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ptos Narrow"/>
      <family val="2"/>
      <scheme val="minor"/>
    </font>
    <font>
      <b/>
      <sz val="10"/>
      <color theme="0"/>
      <name val="Arial Nova"/>
      <family val="2"/>
    </font>
    <font>
      <sz val="10"/>
      <name val="Aptos Narrow"/>
      <family val="2"/>
      <scheme val="minor"/>
    </font>
    <font>
      <sz val="9"/>
      <color theme="1"/>
      <name val="Arial Nova"/>
      <family val="2"/>
    </font>
    <font>
      <sz val="10"/>
      <name val="Verdana"/>
      <family val="2"/>
    </font>
    <font>
      <sz val="11"/>
      <color theme="1"/>
      <name val="Verdana"/>
      <family val="2"/>
    </font>
    <font>
      <sz val="10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 Nova"/>
      <family val="2"/>
    </font>
    <font>
      <sz val="10"/>
      <color rgb="FF000000"/>
      <name val="Arial Nova"/>
      <family val="2"/>
    </font>
    <font>
      <sz val="10"/>
      <color theme="1"/>
      <name val="Arial Nova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347"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 applyProtection="1">
      <alignment vertical="center"/>
      <protection locked="0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 applyProtection="1">
      <alignment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vertical="center"/>
      <protection locked="0"/>
    </xf>
    <xf numFmtId="0" fontId="9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3" fontId="8" fillId="4" borderId="3" xfId="0" applyNumberFormat="1" applyFont="1" applyFill="1" applyBorder="1" applyAlignment="1" applyProtection="1">
      <alignment horizontal="center" vertical="center"/>
      <protection locked="0"/>
    </xf>
    <xf numFmtId="4" fontId="7" fillId="3" borderId="3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 applyProtection="1">
      <alignment vertical="center"/>
      <protection locked="0"/>
    </xf>
    <xf numFmtId="3" fontId="8" fillId="0" borderId="2" xfId="0" applyNumberFormat="1" applyFont="1" applyBorder="1" applyAlignment="1" applyProtection="1">
      <alignment horizontal="center" vertical="center"/>
      <protection locked="0"/>
    </xf>
    <xf numFmtId="3" fontId="8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4" borderId="3" xfId="0" applyFill="1" applyBorder="1"/>
    <xf numFmtId="0" fontId="0" fillId="4" borderId="0" xfId="0" applyFill="1"/>
    <xf numFmtId="0" fontId="3" fillId="0" borderId="0" xfId="0" applyFont="1"/>
    <xf numFmtId="3" fontId="7" fillId="0" borderId="1" xfId="0" applyNumberFormat="1" applyFont="1" applyBorder="1" applyAlignment="1" applyProtection="1">
      <alignment horizontal="center" vertical="center" wrapText="1"/>
      <protection locked="0"/>
    </xf>
    <xf numFmtId="3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8" fillId="7" borderId="3" xfId="0" applyNumberFormat="1" applyFont="1" applyFill="1" applyBorder="1" applyAlignment="1" applyProtection="1">
      <alignment horizontal="center" vertical="center"/>
      <protection locked="0"/>
    </xf>
    <xf numFmtId="0" fontId="0" fillId="7" borderId="0" xfId="0" applyFill="1"/>
    <xf numFmtId="3" fontId="8" fillId="8" borderId="3" xfId="0" applyNumberFormat="1" applyFont="1" applyFill="1" applyBorder="1" applyAlignment="1" applyProtection="1">
      <alignment horizontal="center" vertical="center"/>
      <protection locked="0"/>
    </xf>
    <xf numFmtId="0" fontId="0" fillId="8" borderId="3" xfId="0" applyFill="1" applyBorder="1"/>
    <xf numFmtId="0" fontId="0" fillId="8" borderId="0" xfId="0" applyFill="1"/>
    <xf numFmtId="3" fontId="8" fillId="9" borderId="3" xfId="0" applyNumberFormat="1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0" fillId="9" borderId="0" xfId="0" applyFill="1"/>
    <xf numFmtId="0" fontId="4" fillId="6" borderId="3" xfId="0" applyFont="1" applyFill="1" applyBorder="1"/>
    <xf numFmtId="0" fontId="4" fillId="6" borderId="0" xfId="0" applyFont="1" applyFill="1"/>
    <xf numFmtId="3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165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166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165" fontId="6" fillId="8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8" borderId="1" xfId="0" applyNumberFormat="1" applyFont="1" applyFill="1" applyBorder="1" applyAlignment="1" applyProtection="1">
      <alignment horizontal="center" vertical="center" wrapText="1"/>
      <protection locked="0"/>
    </xf>
    <xf numFmtId="166" fontId="6" fillId="8" borderId="1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" xfId="1" applyFont="1" applyFill="1" applyBorder="1" applyAlignment="1" applyProtection="1">
      <alignment horizontal="center" vertical="center"/>
      <protection locked="0"/>
    </xf>
    <xf numFmtId="167" fontId="8" fillId="0" borderId="2" xfId="1" applyNumberFormat="1" applyFont="1" applyFill="1" applyBorder="1" applyAlignment="1" applyProtection="1">
      <alignment horizontal="center" vertical="center"/>
      <protection locked="0"/>
    </xf>
    <xf numFmtId="164" fontId="13" fillId="0" borderId="2" xfId="1" applyFont="1" applyFill="1" applyBorder="1" applyAlignment="1" applyProtection="1">
      <alignment horizontal="center" vertical="center"/>
      <protection locked="0"/>
    </xf>
    <xf numFmtId="167" fontId="5" fillId="0" borderId="2" xfId="1" applyNumberFormat="1" applyFont="1" applyFill="1" applyBorder="1" applyAlignment="1" applyProtection="1">
      <alignment horizontal="center" vertical="center"/>
      <protection locked="0"/>
    </xf>
    <xf numFmtId="3" fontId="0" fillId="0" borderId="0" xfId="0" applyNumberFormat="1"/>
    <xf numFmtId="3" fontId="0" fillId="5" borderId="2" xfId="0" applyNumberFormat="1" applyFill="1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4" borderId="3" xfId="0" applyNumberFormat="1" applyFill="1" applyBorder="1"/>
    <xf numFmtId="3" fontId="0" fillId="4" borderId="3" xfId="0" applyNumberFormat="1" applyFill="1" applyBorder="1" applyAlignment="1">
      <alignment horizontal="center"/>
    </xf>
    <xf numFmtId="3" fontId="0" fillId="9" borderId="3" xfId="0" applyNumberFormat="1" applyFill="1" applyBorder="1" applyAlignment="1">
      <alignment horizontal="center"/>
    </xf>
    <xf numFmtId="3" fontId="4" fillId="6" borderId="3" xfId="0" applyNumberFormat="1" applyFont="1" applyFill="1" applyBorder="1"/>
    <xf numFmtId="0" fontId="6" fillId="3" borderId="3" xfId="0" applyFont="1" applyFill="1" applyBorder="1" applyAlignment="1" applyProtection="1">
      <alignment vertical="center"/>
      <protection locked="0"/>
    </xf>
    <xf numFmtId="0" fontId="0" fillId="0" borderId="5" xfId="0" applyBorder="1"/>
    <xf numFmtId="0" fontId="0" fillId="4" borderId="3" xfId="0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3" xfId="0" applyFill="1" applyBorder="1" applyAlignment="1">
      <alignment horizontal="center"/>
    </xf>
    <xf numFmtId="167" fontId="8" fillId="0" borderId="2" xfId="1" applyNumberFormat="1" applyFont="1" applyBorder="1" applyAlignment="1" applyProtection="1">
      <alignment horizontal="center" vertical="center"/>
      <protection locked="0"/>
    </xf>
    <xf numFmtId="167" fontId="0" fillId="0" borderId="2" xfId="1" applyNumberFormat="1" applyFont="1" applyBorder="1"/>
    <xf numFmtId="167" fontId="0" fillId="0" borderId="3" xfId="1" applyNumberFormat="1" applyFont="1" applyBorder="1"/>
    <xf numFmtId="3" fontId="8" fillId="10" borderId="3" xfId="0" applyNumberFormat="1" applyFont="1" applyFill="1" applyBorder="1" applyAlignment="1" applyProtection="1">
      <alignment horizontal="center" vertical="center"/>
      <protection locked="0"/>
    </xf>
    <xf numFmtId="167" fontId="8" fillId="0" borderId="3" xfId="1" applyNumberFormat="1" applyFont="1" applyBorder="1" applyAlignment="1" applyProtection="1">
      <alignment horizontal="center" vertical="center"/>
      <protection locked="0"/>
    </xf>
    <xf numFmtId="167" fontId="0" fillId="3" borderId="0" xfId="1" applyNumberFormat="1" applyFont="1" applyFill="1"/>
    <xf numFmtId="3" fontId="0" fillId="8" borderId="3" xfId="0" applyNumberFormat="1" applyFill="1" applyBorder="1"/>
    <xf numFmtId="0" fontId="3" fillId="3" borderId="0" xfId="0" applyFont="1" applyFill="1"/>
    <xf numFmtId="167" fontId="8" fillId="4" borderId="2" xfId="1" applyNumberFormat="1" applyFont="1" applyFill="1" applyBorder="1" applyAlignment="1" applyProtection="1">
      <alignment horizontal="center" vertical="center"/>
      <protection locked="0"/>
    </xf>
    <xf numFmtId="167" fontId="0" fillId="4" borderId="2" xfId="1" applyNumberFormat="1" applyFont="1" applyFill="1" applyBorder="1"/>
    <xf numFmtId="167" fontId="0" fillId="4" borderId="3" xfId="1" applyNumberFormat="1" applyFont="1" applyFill="1" applyBorder="1"/>
    <xf numFmtId="164" fontId="8" fillId="4" borderId="2" xfId="1" applyFont="1" applyFill="1" applyBorder="1" applyAlignment="1" applyProtection="1">
      <alignment horizontal="center" vertical="center"/>
      <protection locked="0"/>
    </xf>
    <xf numFmtId="167" fontId="8" fillId="9" borderId="2" xfId="1" applyNumberFormat="1" applyFont="1" applyFill="1" applyBorder="1" applyAlignment="1" applyProtection="1">
      <alignment horizontal="center" vertical="center"/>
      <protection locked="0"/>
    </xf>
    <xf numFmtId="167" fontId="0" fillId="9" borderId="2" xfId="1" applyNumberFormat="1" applyFont="1" applyFill="1" applyBorder="1"/>
    <xf numFmtId="167" fontId="0" fillId="9" borderId="3" xfId="1" applyNumberFormat="1" applyFont="1" applyFill="1" applyBorder="1"/>
    <xf numFmtId="164" fontId="13" fillId="9" borderId="2" xfId="1" applyFont="1" applyFill="1" applyBorder="1" applyAlignment="1" applyProtection="1">
      <alignment horizontal="center" vertical="center"/>
      <protection locked="0"/>
    </xf>
    <xf numFmtId="164" fontId="13" fillId="4" borderId="2" xfId="1" applyFont="1" applyFill="1" applyBorder="1" applyAlignment="1" applyProtection="1">
      <alignment horizontal="center" vertical="center"/>
      <protection locked="0"/>
    </xf>
    <xf numFmtId="167" fontId="8" fillId="2" borderId="2" xfId="1" applyNumberFormat="1" applyFont="1" applyFill="1" applyBorder="1" applyAlignment="1" applyProtection="1">
      <alignment horizontal="center" vertical="center"/>
      <protection locked="0"/>
    </xf>
    <xf numFmtId="167" fontId="0" fillId="2" borderId="2" xfId="1" applyNumberFormat="1" applyFont="1" applyFill="1" applyBorder="1"/>
    <xf numFmtId="167" fontId="0" fillId="2" borderId="3" xfId="1" applyNumberFormat="1" applyFont="1" applyFill="1" applyBorder="1"/>
    <xf numFmtId="167" fontId="5" fillId="2" borderId="2" xfId="1" applyNumberFormat="1" applyFont="1" applyFill="1" applyBorder="1" applyAlignment="1" applyProtection="1">
      <alignment horizontal="center" vertical="center"/>
      <protection locked="0"/>
    </xf>
    <xf numFmtId="167" fontId="17" fillId="6" borderId="2" xfId="1" applyNumberFormat="1" applyFont="1" applyFill="1" applyBorder="1" applyAlignment="1" applyProtection="1">
      <alignment horizontal="center" vertical="center"/>
      <protection locked="0"/>
    </xf>
    <xf numFmtId="167" fontId="2" fillId="6" borderId="2" xfId="1" applyNumberFormat="1" applyFont="1" applyFill="1" applyBorder="1"/>
    <xf numFmtId="167" fontId="2" fillId="6" borderId="3" xfId="1" applyNumberFormat="1" applyFont="1" applyFill="1" applyBorder="1"/>
    <xf numFmtId="0" fontId="2" fillId="6" borderId="0" xfId="0" applyFont="1" applyFill="1"/>
    <xf numFmtId="0" fontId="2" fillId="6" borderId="3" xfId="0" applyFont="1" applyFill="1" applyBorder="1"/>
    <xf numFmtId="3" fontId="7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3" fontId="0" fillId="8" borderId="3" xfId="0" applyNumberFormat="1" applyFill="1" applyBorder="1" applyAlignment="1">
      <alignment horizontal="center" vertical="center"/>
    </xf>
    <xf numFmtId="3" fontId="0" fillId="9" borderId="3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18" fillId="0" borderId="2" xfId="0" applyNumberFormat="1" applyFont="1" applyBorder="1" applyAlignment="1" applyProtection="1">
      <alignment horizontal="center" vertical="center"/>
      <protection locked="0"/>
    </xf>
    <xf numFmtId="3" fontId="18" fillId="0" borderId="3" xfId="0" applyNumberFormat="1" applyFont="1" applyBorder="1" applyAlignment="1" applyProtection="1">
      <alignment horizontal="center" vertical="center"/>
      <protection locked="0"/>
    </xf>
    <xf numFmtId="3" fontId="18" fillId="4" borderId="3" xfId="0" applyNumberFormat="1" applyFont="1" applyFill="1" applyBorder="1" applyAlignment="1" applyProtection="1">
      <alignment horizontal="center" vertical="center"/>
      <protection locked="0"/>
    </xf>
    <xf numFmtId="3" fontId="18" fillId="7" borderId="3" xfId="0" applyNumberFormat="1" applyFont="1" applyFill="1" applyBorder="1" applyAlignment="1" applyProtection="1">
      <alignment horizontal="center" vertical="center"/>
      <protection locked="0"/>
    </xf>
    <xf numFmtId="3" fontId="18" fillId="8" borderId="3" xfId="0" applyNumberFormat="1" applyFont="1" applyFill="1" applyBorder="1" applyAlignment="1" applyProtection="1">
      <alignment horizontal="center" vertical="center"/>
      <protection locked="0"/>
    </xf>
    <xf numFmtId="3" fontId="18" fillId="9" borderId="3" xfId="0" applyNumberFormat="1" applyFont="1" applyFill="1" applyBorder="1" applyAlignment="1" applyProtection="1">
      <alignment horizontal="center" vertical="center"/>
      <protection locked="0"/>
    </xf>
    <xf numFmtId="0" fontId="19" fillId="10" borderId="3" xfId="0" applyFont="1" applyFill="1" applyBorder="1" applyAlignment="1" applyProtection="1">
      <alignment vertical="center"/>
      <protection locked="0"/>
    </xf>
    <xf numFmtId="3" fontId="0" fillId="0" borderId="0" xfId="0" applyNumberFormat="1" applyAlignment="1">
      <alignment horizontal="center" vertical="center"/>
    </xf>
    <xf numFmtId="3" fontId="20" fillId="0" borderId="3" xfId="0" applyNumberFormat="1" applyFont="1" applyBorder="1" applyAlignment="1" applyProtection="1">
      <alignment horizontal="center" vertical="center"/>
      <protection locked="0"/>
    </xf>
    <xf numFmtId="1" fontId="21" fillId="0" borderId="3" xfId="0" applyNumberFormat="1" applyFont="1" applyBorder="1"/>
    <xf numFmtId="3" fontId="21" fillId="5" borderId="2" xfId="0" applyNumberFormat="1" applyFont="1" applyFill="1" applyBorder="1"/>
    <xf numFmtId="0" fontId="21" fillId="0" borderId="3" xfId="0" applyFont="1" applyBorder="1"/>
    <xf numFmtId="3" fontId="20" fillId="0" borderId="2" xfId="0" applyNumberFormat="1" applyFont="1" applyBorder="1" applyAlignment="1" applyProtection="1">
      <alignment horizontal="center" vertical="center"/>
      <protection locked="0"/>
    </xf>
    <xf numFmtId="3" fontId="1" fillId="5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3" fontId="4" fillId="6" borderId="3" xfId="0" applyNumberFormat="1" applyFont="1" applyFill="1" applyBorder="1" applyAlignment="1">
      <alignment horizontal="center"/>
    </xf>
    <xf numFmtId="0" fontId="1" fillId="0" borderId="0" xfId="0" applyFont="1"/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3" fontId="10" fillId="6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>
      <alignment horizontal="center"/>
    </xf>
    <xf numFmtId="167" fontId="0" fillId="3" borderId="3" xfId="1" applyNumberFormat="1" applyFont="1" applyFill="1" applyBorder="1"/>
    <xf numFmtId="167" fontId="22" fillId="3" borderId="3" xfId="1" applyNumberFormat="1" applyFont="1" applyFill="1" applyBorder="1"/>
    <xf numFmtId="167" fontId="22" fillId="0" borderId="3" xfId="1" applyNumberFormat="1" applyFont="1" applyBorder="1"/>
    <xf numFmtId="0" fontId="2" fillId="3" borderId="0" xfId="0" applyFont="1" applyFill="1"/>
    <xf numFmtId="167" fontId="2" fillId="3" borderId="0" xfId="1" applyNumberFormat="1" applyFont="1" applyFill="1"/>
    <xf numFmtId="167" fontId="0" fillId="3" borderId="0" xfId="1" applyNumberFormat="1" applyFont="1" applyFill="1" applyBorder="1"/>
    <xf numFmtId="9" fontId="0" fillId="3" borderId="0" xfId="2" applyFont="1" applyFill="1"/>
    <xf numFmtId="9" fontId="12" fillId="3" borderId="0" xfId="2" applyFont="1" applyFill="1"/>
    <xf numFmtId="9" fontId="0" fillId="3" borderId="0" xfId="2" applyFont="1" applyFill="1" applyAlignment="1">
      <alignment vertical="center"/>
    </xf>
    <xf numFmtId="9" fontId="11" fillId="3" borderId="0" xfId="2" applyFont="1" applyFill="1"/>
    <xf numFmtId="3" fontId="14" fillId="3" borderId="0" xfId="0" applyNumberFormat="1" applyFont="1" applyFill="1"/>
    <xf numFmtId="9" fontId="15" fillId="3" borderId="0" xfId="2" applyFont="1" applyFill="1"/>
    <xf numFmtId="0" fontId="14" fillId="3" borderId="0" xfId="0" applyFont="1" applyFill="1"/>
    <xf numFmtId="3" fontId="0" fillId="3" borderId="0" xfId="0" applyNumberFormat="1" applyFill="1"/>
    <xf numFmtId="167" fontId="8" fillId="0" borderId="0" xfId="1" applyNumberFormat="1" applyFont="1" applyFill="1" applyBorder="1" applyAlignment="1" applyProtection="1">
      <alignment horizontal="center" vertical="center"/>
      <protection locked="0"/>
    </xf>
    <xf numFmtId="167" fontId="8" fillId="0" borderId="3" xfId="1" applyNumberFormat="1" applyFont="1" applyFill="1" applyBorder="1" applyAlignment="1" applyProtection="1">
      <alignment horizontal="center" vertical="center"/>
      <protection locked="0"/>
    </xf>
    <xf numFmtId="164" fontId="13" fillId="0" borderId="3" xfId="1" applyFont="1" applyFill="1" applyBorder="1" applyAlignment="1" applyProtection="1">
      <alignment horizontal="center" vertical="center"/>
      <protection locked="0"/>
    </xf>
    <xf numFmtId="167" fontId="8" fillId="2" borderId="3" xfId="1" applyNumberFormat="1" applyFont="1" applyFill="1" applyBorder="1" applyAlignment="1" applyProtection="1">
      <alignment horizontal="center" vertical="center"/>
      <protection locked="0"/>
    </xf>
    <xf numFmtId="164" fontId="13" fillId="2" borderId="3" xfId="1" applyFont="1" applyFill="1" applyBorder="1" applyAlignment="1" applyProtection="1">
      <alignment horizontal="center" vertical="center"/>
      <protection locked="0"/>
    </xf>
    <xf numFmtId="167" fontId="8" fillId="4" borderId="3" xfId="1" applyNumberFormat="1" applyFont="1" applyFill="1" applyBorder="1" applyAlignment="1" applyProtection="1">
      <alignment horizontal="center" vertical="center"/>
      <protection locked="0"/>
    </xf>
    <xf numFmtId="167" fontId="17" fillId="6" borderId="3" xfId="1" applyNumberFormat="1" applyFont="1" applyFill="1" applyBorder="1" applyAlignment="1" applyProtection="1">
      <alignment horizontal="center" vertical="center"/>
      <protection locked="0"/>
    </xf>
    <xf numFmtId="167" fontId="8" fillId="3" borderId="0" xfId="1" applyNumberFormat="1" applyFont="1" applyFill="1" applyBorder="1" applyAlignment="1" applyProtection="1">
      <alignment horizontal="center" vertical="center"/>
      <protection locked="0"/>
    </xf>
    <xf numFmtId="0" fontId="22" fillId="0" borderId="3" xfId="0" applyFont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0" fillId="10" borderId="3" xfId="0" applyFill="1" applyBorder="1"/>
    <xf numFmtId="0" fontId="0" fillId="10" borderId="0" xfId="0" applyFill="1"/>
    <xf numFmtId="3" fontId="8" fillId="3" borderId="3" xfId="0" applyNumberFormat="1" applyFont="1" applyFill="1" applyBorder="1" applyAlignment="1" applyProtection="1">
      <alignment horizontal="center" vertical="center"/>
      <protection locked="0"/>
    </xf>
    <xf numFmtId="3" fontId="8" fillId="3" borderId="2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167" fontId="0" fillId="0" borderId="5" xfId="1" applyNumberFormat="1" applyFont="1" applyBorder="1"/>
    <xf numFmtId="167" fontId="0" fillId="0" borderId="9" xfId="1" applyNumberFormat="1" applyFont="1" applyBorder="1"/>
    <xf numFmtId="3" fontId="0" fillId="5" borderId="11" xfId="0" applyNumberFormat="1" applyFill="1" applyBorder="1" applyAlignment="1">
      <alignment horizontal="center" vertical="center"/>
    </xf>
    <xf numFmtId="3" fontId="0" fillId="5" borderId="10" xfId="0" applyNumberFormat="1" applyFill="1" applyBorder="1"/>
    <xf numFmtId="3" fontId="0" fillId="9" borderId="8" xfId="0" applyNumberFormat="1" applyFill="1" applyBorder="1" applyAlignment="1">
      <alignment horizontal="center" vertical="center"/>
    </xf>
    <xf numFmtId="3" fontId="0" fillId="9" borderId="8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/>
    <xf numFmtId="0" fontId="0" fillId="0" borderId="9" xfId="0" applyBorder="1"/>
    <xf numFmtId="0" fontId="5" fillId="2" borderId="3" xfId="0" applyFont="1" applyFill="1" applyBorder="1" applyAlignment="1">
      <alignment vertical="center"/>
    </xf>
    <xf numFmtId="3" fontId="0" fillId="0" borderId="2" xfId="0" applyNumberFormat="1" applyBorder="1" applyAlignment="1">
      <alignment horizontal="center"/>
    </xf>
    <xf numFmtId="167" fontId="8" fillId="10" borderId="3" xfId="1" applyNumberFormat="1" applyFont="1" applyFill="1" applyBorder="1" applyAlignment="1" applyProtection="1">
      <alignment horizontal="center" vertical="center"/>
      <protection locked="0"/>
    </xf>
    <xf numFmtId="167" fontId="0" fillId="10" borderId="3" xfId="1" applyNumberFormat="1" applyFont="1" applyFill="1" applyBorder="1"/>
    <xf numFmtId="167" fontId="0" fillId="10" borderId="5" xfId="1" applyNumberFormat="1" applyFont="1" applyFill="1" applyBorder="1"/>
    <xf numFmtId="167" fontId="0" fillId="10" borderId="2" xfId="1" applyNumberFormat="1" applyFont="1" applyFill="1" applyBorder="1"/>
    <xf numFmtId="0" fontId="22" fillId="10" borderId="3" xfId="0" applyFont="1" applyFill="1" applyBorder="1" applyAlignment="1">
      <alignment horizontal="center"/>
    </xf>
    <xf numFmtId="167" fontId="0" fillId="10" borderId="0" xfId="1" applyNumberFormat="1" applyFont="1" applyFill="1"/>
    <xf numFmtId="14" fontId="8" fillId="0" borderId="2" xfId="0" applyNumberFormat="1" applyFont="1" applyBorder="1" applyAlignment="1" applyProtection="1">
      <alignment horizontal="center" vertical="center"/>
      <protection locked="0"/>
    </xf>
    <xf numFmtId="14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3" fillId="10" borderId="0" xfId="0" applyFont="1" applyFill="1" applyAlignment="1">
      <alignment horizontal="center"/>
    </xf>
    <xf numFmtId="3" fontId="7" fillId="0" borderId="2" xfId="0" applyNumberFormat="1" applyFont="1" applyBorder="1" applyAlignment="1" applyProtection="1">
      <alignment horizontal="center" vertical="center"/>
      <protection locked="0"/>
    </xf>
    <xf numFmtId="14" fontId="23" fillId="0" borderId="3" xfId="0" applyNumberFormat="1" applyFont="1" applyBorder="1" applyAlignment="1">
      <alignment horizontal="center" vertical="center"/>
    </xf>
    <xf numFmtId="0" fontId="6" fillId="7" borderId="5" xfId="0" applyFont="1" applyFill="1" applyBorder="1" applyAlignment="1" applyProtection="1">
      <alignment vertical="center"/>
      <protection locked="0"/>
    </xf>
    <xf numFmtId="0" fontId="6" fillId="8" borderId="5" xfId="0" applyFont="1" applyFill="1" applyBorder="1" applyAlignment="1">
      <alignment vertical="center"/>
    </xf>
    <xf numFmtId="0" fontId="6" fillId="8" borderId="5" xfId="0" applyFont="1" applyFill="1" applyBorder="1" applyAlignment="1" applyProtection="1">
      <alignment vertical="center"/>
      <protection locked="0"/>
    </xf>
    <xf numFmtId="0" fontId="6" fillId="9" borderId="5" xfId="0" applyFont="1" applyFill="1" applyBorder="1" applyAlignment="1" applyProtection="1">
      <alignment vertical="center"/>
      <protection locked="0"/>
    </xf>
    <xf numFmtId="0" fontId="6" fillId="4" borderId="5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6" fillId="4" borderId="5" xfId="0" applyFont="1" applyFill="1" applyBorder="1" applyAlignment="1" applyProtection="1">
      <alignment vertical="center"/>
      <protection locked="0"/>
    </xf>
    <xf numFmtId="0" fontId="10" fillId="6" borderId="5" xfId="0" applyFont="1" applyFill="1" applyBorder="1" applyAlignment="1">
      <alignment vertical="center"/>
    </xf>
    <xf numFmtId="0" fontId="10" fillId="6" borderId="6" xfId="0" applyFont="1" applyFill="1" applyBorder="1" applyAlignment="1">
      <alignment vertical="center"/>
    </xf>
    <xf numFmtId="3" fontId="21" fillId="5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 applyProtection="1">
      <alignment horizontal="center" vertical="center" wrapText="1"/>
      <protection locked="0"/>
    </xf>
    <xf numFmtId="3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14" fontId="8" fillId="5" borderId="2" xfId="0" applyNumberFormat="1" applyFont="1" applyFill="1" applyBorder="1" applyAlignment="1" applyProtection="1">
      <alignment horizontal="center" vertical="center"/>
      <protection locked="0"/>
    </xf>
    <xf numFmtId="3" fontId="8" fillId="5" borderId="2" xfId="0" applyNumberFormat="1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vertical="center"/>
      <protection locked="0"/>
    </xf>
    <xf numFmtId="0" fontId="7" fillId="11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 applyProtection="1">
      <alignment vertical="center"/>
      <protection locked="0"/>
    </xf>
    <xf numFmtId="14" fontId="8" fillId="11" borderId="2" xfId="0" applyNumberFormat="1" applyFont="1" applyFill="1" applyBorder="1" applyAlignment="1" applyProtection="1">
      <alignment horizontal="center" vertical="center"/>
      <protection locked="0"/>
    </xf>
    <xf numFmtId="3" fontId="8" fillId="11" borderId="2" xfId="0" applyNumberFormat="1" applyFont="1" applyFill="1" applyBorder="1" applyAlignment="1" applyProtection="1">
      <alignment horizontal="center" vertical="center"/>
      <protection locked="0"/>
    </xf>
    <xf numFmtId="167" fontId="8" fillId="0" borderId="2" xfId="1" applyNumberFormat="1" applyFont="1" applyBorder="1" applyAlignment="1" applyProtection="1">
      <alignment vertical="center"/>
      <protection locked="0"/>
    </xf>
    <xf numFmtId="167" fontId="0" fillId="0" borderId="2" xfId="1" applyNumberFormat="1" applyFont="1" applyBorder="1" applyAlignment="1"/>
    <xf numFmtId="167" fontId="0" fillId="0" borderId="3" xfId="1" applyNumberFormat="1" applyFont="1" applyBorder="1" applyAlignment="1"/>
    <xf numFmtId="167" fontId="8" fillId="0" borderId="2" xfId="1" applyNumberFormat="1" applyFont="1" applyFill="1" applyBorder="1" applyAlignment="1" applyProtection="1">
      <alignment vertical="center"/>
      <protection locked="0"/>
    </xf>
    <xf numFmtId="164" fontId="8" fillId="0" borderId="2" xfId="1" applyFont="1" applyFill="1" applyBorder="1" applyAlignment="1" applyProtection="1">
      <alignment vertical="center"/>
      <protection locked="0"/>
    </xf>
    <xf numFmtId="9" fontId="0" fillId="3" borderId="0" xfId="2" applyFont="1" applyFill="1" applyAlignment="1"/>
    <xf numFmtId="167" fontId="0" fillId="3" borderId="3" xfId="1" applyNumberFormat="1" applyFont="1" applyFill="1" applyBorder="1" applyAlignment="1"/>
    <xf numFmtId="167" fontId="0" fillId="3" borderId="0" xfId="1" applyNumberFormat="1" applyFont="1" applyFill="1" applyAlignment="1"/>
    <xf numFmtId="167" fontId="22" fillId="3" borderId="3" xfId="1" applyNumberFormat="1" applyFont="1" applyFill="1" applyBorder="1" applyAlignment="1"/>
    <xf numFmtId="167" fontId="22" fillId="0" borderId="3" xfId="1" applyNumberFormat="1" applyFont="1" applyBorder="1" applyAlignment="1"/>
    <xf numFmtId="3" fontId="1" fillId="7" borderId="3" xfId="0" applyNumberFormat="1" applyFont="1" applyFill="1" applyBorder="1" applyAlignment="1">
      <alignment horizontal="center"/>
    </xf>
    <xf numFmtId="3" fontId="1" fillId="7" borderId="2" xfId="0" applyNumberFormat="1" applyFont="1" applyFill="1" applyBorder="1" applyAlignment="1">
      <alignment horizontal="center"/>
    </xf>
    <xf numFmtId="3" fontId="0" fillId="7" borderId="3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3" fontId="8" fillId="7" borderId="2" xfId="0" applyNumberFormat="1" applyFont="1" applyFill="1" applyBorder="1" applyAlignment="1" applyProtection="1">
      <alignment horizontal="center" vertical="center"/>
      <protection locked="0"/>
    </xf>
    <xf numFmtId="167" fontId="0" fillId="0" borderId="4" xfId="1" applyNumberFormat="1" applyFont="1" applyBorder="1"/>
    <xf numFmtId="167" fontId="0" fillId="0" borderId="12" xfId="1" applyNumberFormat="1" applyFont="1" applyBorder="1"/>
    <xf numFmtId="167" fontId="0" fillId="12" borderId="2" xfId="1" applyNumberFormat="1" applyFont="1" applyFill="1" applyBorder="1"/>
    <xf numFmtId="167" fontId="8" fillId="10" borderId="2" xfId="1" applyNumberFormat="1" applyFont="1" applyFill="1" applyBorder="1" applyAlignment="1" applyProtection="1">
      <alignment horizontal="center" vertical="center"/>
      <protection locked="0"/>
    </xf>
    <xf numFmtId="164" fontId="8" fillId="10" borderId="2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7" fontId="0" fillId="0" borderId="0" xfId="1" applyNumberFormat="1" applyFont="1"/>
    <xf numFmtId="164" fontId="0" fillId="0" borderId="0" xfId="0" applyNumberFormat="1"/>
    <xf numFmtId="167" fontId="0" fillId="0" borderId="0" xfId="0" applyNumberFormat="1"/>
    <xf numFmtId="0" fontId="24" fillId="0" borderId="0" xfId="0" applyFont="1" applyAlignment="1">
      <alignment horizontal="center"/>
    </xf>
    <xf numFmtId="0" fontId="26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 applyProtection="1">
      <alignment horizontal="center" vertical="center"/>
      <protection locked="0"/>
    </xf>
    <xf numFmtId="167" fontId="26" fillId="6" borderId="0" xfId="1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 vertical="center"/>
    </xf>
    <xf numFmtId="167" fontId="0" fillId="4" borderId="0" xfId="1" applyNumberFormat="1" applyFont="1" applyFill="1" applyBorder="1"/>
    <xf numFmtId="0" fontId="0" fillId="15" borderId="3" xfId="0" applyFill="1" applyBorder="1"/>
    <xf numFmtId="0" fontId="3" fillId="15" borderId="3" xfId="0" applyFont="1" applyFill="1" applyBorder="1"/>
    <xf numFmtId="167" fontId="8" fillId="15" borderId="3" xfId="1" applyNumberFormat="1" applyFont="1" applyFill="1" applyBorder="1" applyAlignment="1" applyProtection="1">
      <alignment horizontal="center" vertical="center"/>
      <protection locked="0"/>
    </xf>
    <xf numFmtId="167" fontId="0" fillId="15" borderId="3" xfId="1" applyNumberFormat="1" applyFont="1" applyFill="1" applyBorder="1"/>
    <xf numFmtId="167" fontId="0" fillId="15" borderId="2" xfId="1" applyNumberFormat="1" applyFont="1" applyFill="1" applyBorder="1"/>
    <xf numFmtId="167" fontId="0" fillId="15" borderId="5" xfId="1" applyNumberFormat="1" applyFont="1" applyFill="1" applyBorder="1"/>
    <xf numFmtId="167" fontId="0" fillId="15" borderId="9" xfId="1" applyNumberFormat="1" applyFont="1" applyFill="1" applyBorder="1"/>
    <xf numFmtId="167" fontId="0" fillId="15" borderId="12" xfId="1" applyNumberFormat="1" applyFont="1" applyFill="1" applyBorder="1"/>
    <xf numFmtId="0" fontId="0" fillId="15" borderId="0" xfId="0" applyFill="1"/>
    <xf numFmtId="167" fontId="8" fillId="15" borderId="2" xfId="1" applyNumberFormat="1" applyFont="1" applyFill="1" applyBorder="1" applyAlignment="1" applyProtection="1">
      <alignment horizontal="center" vertical="center"/>
      <protection locked="0"/>
    </xf>
    <xf numFmtId="0" fontId="22" fillId="15" borderId="3" xfId="0" applyFont="1" applyFill="1" applyBorder="1" applyAlignment="1">
      <alignment horizontal="center"/>
    </xf>
    <xf numFmtId="167" fontId="0" fillId="15" borderId="0" xfId="1" applyNumberFormat="1" applyFont="1" applyFill="1"/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3" fontId="28" fillId="0" borderId="3" xfId="0" applyNumberFormat="1" applyFont="1" applyBorder="1" applyAlignment="1" applyProtection="1">
      <alignment horizontal="center" vertical="center"/>
      <protection locked="0"/>
    </xf>
    <xf numFmtId="0" fontId="27" fillId="0" borderId="3" xfId="0" applyFont="1" applyBorder="1"/>
    <xf numFmtId="0" fontId="27" fillId="0" borderId="3" xfId="0" applyFont="1" applyBorder="1" applyAlignment="1">
      <alignment horizontal="center" vertical="center"/>
    </xf>
    <xf numFmtId="3" fontId="29" fillId="0" borderId="3" xfId="0" applyNumberFormat="1" applyFont="1" applyBorder="1" applyAlignment="1" applyProtection="1">
      <alignment horizontal="center" vertical="center"/>
      <protection locked="0"/>
    </xf>
    <xf numFmtId="3" fontId="30" fillId="0" borderId="3" xfId="0" applyNumberFormat="1" applyFont="1" applyBorder="1" applyAlignment="1" applyProtection="1">
      <alignment horizontal="center" vertical="center"/>
      <protection locked="0"/>
    </xf>
    <xf numFmtId="3" fontId="0" fillId="10" borderId="3" xfId="0" applyNumberFormat="1" applyFill="1" applyBorder="1" applyAlignment="1">
      <alignment horizontal="center"/>
    </xf>
    <xf numFmtId="0" fontId="0" fillId="2" borderId="0" xfId="0" applyFill="1"/>
    <xf numFmtId="3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18" fillId="2" borderId="2" xfId="0" applyNumberFormat="1" applyFont="1" applyFill="1" applyBorder="1" applyAlignment="1" applyProtection="1">
      <alignment horizontal="center" vertical="center"/>
      <protection locked="0"/>
    </xf>
    <xf numFmtId="3" fontId="18" fillId="2" borderId="3" xfId="0" applyNumberFormat="1" applyFont="1" applyFill="1" applyBorder="1" applyAlignment="1" applyProtection="1">
      <alignment horizontal="center" vertical="center"/>
      <protection locked="0"/>
    </xf>
    <xf numFmtId="3" fontId="8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3" xfId="0" applyFont="1" applyFill="1" applyBorder="1"/>
    <xf numFmtId="3" fontId="0" fillId="2" borderId="3" xfId="0" applyNumberFormat="1" applyFill="1" applyBorder="1" applyAlignment="1">
      <alignment horizontal="center"/>
    </xf>
    <xf numFmtId="3" fontId="8" fillId="2" borderId="2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16" borderId="3" xfId="0" applyFill="1" applyBorder="1"/>
    <xf numFmtId="167" fontId="8" fillId="16" borderId="3" xfId="1" applyNumberFormat="1" applyFont="1" applyFill="1" applyBorder="1" applyAlignment="1" applyProtection="1">
      <alignment horizontal="center" vertical="center"/>
      <protection locked="0"/>
    </xf>
    <xf numFmtId="167" fontId="0" fillId="16" borderId="3" xfId="1" applyNumberFormat="1" applyFont="1" applyFill="1" applyBorder="1"/>
    <xf numFmtId="167" fontId="0" fillId="16" borderId="2" xfId="1" applyNumberFormat="1" applyFont="1" applyFill="1" applyBorder="1"/>
    <xf numFmtId="167" fontId="0" fillId="16" borderId="5" xfId="1" applyNumberFormat="1" applyFont="1" applyFill="1" applyBorder="1"/>
    <xf numFmtId="167" fontId="0" fillId="16" borderId="9" xfId="1" applyNumberFormat="1" applyFont="1" applyFill="1" applyBorder="1"/>
    <xf numFmtId="167" fontId="0" fillId="16" borderId="12" xfId="1" applyNumberFormat="1" applyFont="1" applyFill="1" applyBorder="1"/>
    <xf numFmtId="0" fontId="0" fillId="16" borderId="0" xfId="0" applyFill="1"/>
    <xf numFmtId="167" fontId="8" fillId="16" borderId="2" xfId="1" applyNumberFormat="1" applyFont="1" applyFill="1" applyBorder="1" applyAlignment="1" applyProtection="1">
      <alignment horizontal="center" vertical="center"/>
      <protection locked="0"/>
    </xf>
    <xf numFmtId="0" fontId="22" fillId="16" borderId="3" xfId="0" applyFont="1" applyFill="1" applyBorder="1" applyAlignment="1">
      <alignment horizontal="center"/>
    </xf>
    <xf numFmtId="167" fontId="0" fillId="16" borderId="0" xfId="1" applyNumberFormat="1" applyFont="1" applyFill="1"/>
    <xf numFmtId="3" fontId="31" fillId="2" borderId="3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0" fillId="13" borderId="0" xfId="0" applyFill="1"/>
    <xf numFmtId="0" fontId="0" fillId="14" borderId="0" xfId="0" applyFill="1"/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32" fillId="0" borderId="3" xfId="0" applyFont="1" applyBorder="1"/>
    <xf numFmtId="3" fontId="28" fillId="12" borderId="3" xfId="0" applyNumberFormat="1" applyFont="1" applyFill="1" applyBorder="1" applyAlignment="1" applyProtection="1">
      <alignment horizontal="center" vertical="center"/>
      <protection locked="0"/>
    </xf>
    <xf numFmtId="0" fontId="0" fillId="17" borderId="3" xfId="0" applyFill="1" applyBorder="1"/>
    <xf numFmtId="167" fontId="8" fillId="17" borderId="3" xfId="1" applyNumberFormat="1" applyFont="1" applyFill="1" applyBorder="1" applyAlignment="1" applyProtection="1">
      <alignment horizontal="center" vertical="center"/>
      <protection locked="0"/>
    </xf>
    <xf numFmtId="167" fontId="0" fillId="17" borderId="3" xfId="1" applyNumberFormat="1" applyFont="1" applyFill="1" applyBorder="1"/>
    <xf numFmtId="167" fontId="0" fillId="17" borderId="2" xfId="1" applyNumberFormat="1" applyFont="1" applyFill="1" applyBorder="1"/>
    <xf numFmtId="167" fontId="0" fillId="17" borderId="5" xfId="1" applyNumberFormat="1" applyFont="1" applyFill="1" applyBorder="1"/>
    <xf numFmtId="167" fontId="0" fillId="17" borderId="9" xfId="1" applyNumberFormat="1" applyFont="1" applyFill="1" applyBorder="1"/>
    <xf numFmtId="167" fontId="0" fillId="17" borderId="12" xfId="1" applyNumberFormat="1" applyFont="1" applyFill="1" applyBorder="1"/>
    <xf numFmtId="0" fontId="0" fillId="17" borderId="0" xfId="0" applyFill="1"/>
    <xf numFmtId="0" fontId="22" fillId="17" borderId="3" xfId="0" applyFont="1" applyFill="1" applyBorder="1" applyAlignment="1">
      <alignment horizontal="center"/>
    </xf>
    <xf numFmtId="167" fontId="0" fillId="17" borderId="0" xfId="1" applyNumberFormat="1" applyFont="1" applyFill="1" applyBorder="1"/>
    <xf numFmtId="168" fontId="8" fillId="0" borderId="3" xfId="1" applyNumberFormat="1" applyFont="1" applyFill="1" applyBorder="1" applyAlignment="1" applyProtection="1">
      <alignment horizontal="center" vertical="center"/>
      <protection locked="0"/>
    </xf>
    <xf numFmtId="168" fontId="0" fillId="0" borderId="3" xfId="1" applyNumberFormat="1" applyFont="1" applyFill="1" applyBorder="1" applyAlignment="1">
      <alignment horizontal="center"/>
    </xf>
    <xf numFmtId="3" fontId="0" fillId="7" borderId="0" xfId="0" applyNumberFormat="1" applyFill="1"/>
    <xf numFmtId="169" fontId="0" fillId="0" borderId="0" xfId="0" applyNumberFormat="1"/>
    <xf numFmtId="14" fontId="8" fillId="3" borderId="2" xfId="0" applyNumberFormat="1" applyFont="1" applyFill="1" applyBorder="1" applyAlignment="1" applyProtection="1">
      <alignment horizontal="center" vertical="center"/>
      <protection locked="0"/>
    </xf>
    <xf numFmtId="3" fontId="7" fillId="3" borderId="2" xfId="0" applyNumberFormat="1" applyFont="1" applyFill="1" applyBorder="1" applyAlignment="1" applyProtection="1">
      <alignment horizontal="center" vertical="center"/>
      <protection locked="0"/>
    </xf>
    <xf numFmtId="3" fontId="7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17" borderId="5" xfId="0" applyFill="1" applyBorder="1"/>
    <xf numFmtId="3" fontId="1" fillId="17" borderId="3" xfId="0" applyNumberFormat="1" applyFont="1" applyFill="1" applyBorder="1" applyAlignment="1">
      <alignment horizontal="center"/>
    </xf>
    <xf numFmtId="3" fontId="0" fillId="17" borderId="3" xfId="0" applyNumberForma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167" fontId="27" fillId="10" borderId="3" xfId="1" applyNumberFormat="1" applyFont="1" applyFill="1" applyBorder="1"/>
    <xf numFmtId="167" fontId="27" fillId="10" borderId="9" xfId="1" applyNumberFormat="1" applyFont="1" applyFill="1" applyBorder="1"/>
    <xf numFmtId="167" fontId="27" fillId="10" borderId="12" xfId="1" applyNumberFormat="1" applyFont="1" applyFill="1" applyBorder="1"/>
    <xf numFmtId="167" fontId="27" fillId="10" borderId="2" xfId="1" applyNumberFormat="1" applyFont="1" applyFill="1" applyBorder="1"/>
    <xf numFmtId="4" fontId="0" fillId="7" borderId="0" xfId="0" applyNumberFormat="1" applyFill="1"/>
    <xf numFmtId="4" fontId="8" fillId="0" borderId="4" xfId="0" applyNumberFormat="1" applyFont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 applyProtection="1">
      <alignment vertical="center"/>
      <protection locked="0"/>
    </xf>
    <xf numFmtId="14" fontId="8" fillId="10" borderId="2" xfId="0" applyNumberFormat="1" applyFont="1" applyFill="1" applyBorder="1" applyAlignment="1" applyProtection="1">
      <alignment horizontal="center" vertical="center"/>
      <protection locked="0"/>
    </xf>
    <xf numFmtId="3" fontId="8" fillId="10" borderId="2" xfId="0" applyNumberFormat="1" applyFont="1" applyFill="1" applyBorder="1" applyAlignment="1" applyProtection="1">
      <alignment horizontal="center" vertical="center"/>
      <protection locked="0"/>
    </xf>
    <xf numFmtId="3" fontId="7" fillId="10" borderId="2" xfId="0" applyNumberFormat="1" applyFont="1" applyFill="1" applyBorder="1" applyAlignment="1" applyProtection="1">
      <alignment horizontal="center" vertical="center"/>
      <protection locked="0"/>
    </xf>
    <xf numFmtId="3" fontId="7" fillId="1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3" xfId="0" applyFont="1" applyFill="1" applyBorder="1" applyAlignment="1">
      <alignment horizontal="center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7" borderId="6" xfId="0" applyFont="1" applyFill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6" fillId="8" borderId="6" xfId="0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/>
    </xf>
    <xf numFmtId="0" fontId="16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Porcentaje" xfId="2" builtinId="5"/>
    <cellStyle name="Vírgula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3</xdr:row>
      <xdr:rowOff>561975</xdr:rowOff>
    </xdr:from>
    <xdr:to>
      <xdr:col>15</xdr:col>
      <xdr:colOff>0</xdr:colOff>
      <xdr:row>22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BCC9A7-E592-EC1C-1459-8B0B649A3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1104900"/>
          <a:ext cx="6877050" cy="3705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en Shuan Huanca" id="{FC1D4F4F-F579-4497-9E0A-3F8FB1EF669F}" userId="S::kshuanh@alicorp.com.pe::344e9014-c92d-4a73-a5a7-49d16c756e14" providerId="AD"/>
  <person displayName="Miguel Angel Monzon Rebaza" id="{487262D1-EB42-4D97-BD9D-07411B94B65E}" userId="S::MMONZONR@intradevco.com::07ab9c02-a1b0-4bc2-8301-13500d9b76af" providerId="AD"/>
  <person displayName="Patricia Puescas Delgado" id="{24CB336B-5EAC-4B3F-BA32-F6FD2053E179}" userId="S::ppuescasd@alicorp.com.pe::6116f2c4-f371-45fd-bc4a-6ff6b0f0af5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4-08-08T23:00:58.71" personId="{24CB336B-5EAC-4B3F-BA32-F6FD2053E179}" id="{010AA230-84E7-497B-B240-A0C7B50B8B8D}">
    <text>Actual CD Ransa Gambeta DELTA 2</text>
  </threadedComment>
  <threadedComment ref="BB59" dT="2025-01-13T14:12:18.44" personId="{487262D1-EB42-4D97-BD9D-07411B94B65E}" id="{E1BCE686-9A55-4922-85C2-28285077F0F2}">
    <text>Se suman 21778 HH de Ventanilla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4-11-13T22:29:02.84" personId="{FC1D4F4F-F579-4497-9E0A-3F8FB1EF669F}" id="{6D2D1108-8D00-4B7A-AD54-8514BF920980}">
    <text>22 DÍAS DE DM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M100"/>
  <sheetViews>
    <sheetView zoomScale="70" zoomScaleNormal="70" workbookViewId="0">
      <pane xSplit="2" ySplit="4" topLeftCell="C73" activePane="bottomRight" state="frozen"/>
      <selection pane="topRight"/>
      <selection pane="bottomLeft"/>
      <selection pane="bottomRight" activeCell="I25" sqref="I25"/>
    </sheetView>
  </sheetViews>
  <sheetFormatPr baseColWidth="10" defaultColWidth="11.44140625" defaultRowHeight="14.4" outlineLevelRow="3" x14ac:dyDescent="0.3"/>
  <cols>
    <col min="1" max="1" width="21.109375" customWidth="1"/>
    <col min="2" max="2" width="38.5546875" customWidth="1"/>
    <col min="3" max="5" width="9" customWidth="1"/>
    <col min="6" max="6" width="8.109375" customWidth="1"/>
    <col min="7" max="7" width="8.5546875" customWidth="1"/>
    <col min="8" max="9" width="8.109375" customWidth="1"/>
    <col min="10" max="10" width="9.109375" customWidth="1"/>
    <col min="11" max="12" width="8.109375" customWidth="1"/>
    <col min="13" max="13" width="9.5546875" customWidth="1"/>
    <col min="14" max="14" width="8.109375" customWidth="1"/>
    <col min="15" max="15" width="8.5546875" customWidth="1"/>
    <col min="16" max="17" width="8.44140625" customWidth="1"/>
    <col min="18" max="18" width="9.88671875" customWidth="1"/>
    <col min="19" max="19" width="9.44140625" customWidth="1"/>
    <col min="20" max="28" width="8.44140625" customWidth="1"/>
    <col min="29" max="29" width="10.44140625" customWidth="1"/>
    <col min="30" max="38" width="8.44140625" customWidth="1"/>
    <col min="39" max="39" width="1.109375" style="36" customWidth="1"/>
    <col min="40" max="42" width="8.44140625" customWidth="1"/>
    <col min="43" max="43" width="2.88671875" style="36" customWidth="1"/>
    <col min="44" max="46" width="8.5546875" customWidth="1"/>
    <col min="47" max="47" width="0.5546875" style="36" customWidth="1"/>
    <col min="48" max="48" width="6" style="36" customWidth="1"/>
    <col min="49" max="50" width="6" customWidth="1"/>
    <col min="51" max="51" width="0.5546875" style="36" customWidth="1"/>
    <col min="52" max="52" width="8.88671875" style="36" customWidth="1"/>
    <col min="53" max="54" width="6.5546875" customWidth="1"/>
    <col min="55" max="55" width="0.5546875" style="36" customWidth="1"/>
    <col min="56" max="56" width="6.5546875" style="36" customWidth="1"/>
    <col min="57" max="58" width="6.5546875" customWidth="1"/>
    <col min="59" max="65" width="11.44140625" style="36"/>
  </cols>
  <sheetData>
    <row r="1" spans="1:65" s="36" customFormat="1" x14ac:dyDescent="0.3"/>
    <row r="2" spans="1:65" s="36" customFormat="1" x14ac:dyDescent="0.3">
      <c r="A2" s="65" t="s">
        <v>0</v>
      </c>
      <c r="F2" s="36" t="s">
        <v>1</v>
      </c>
      <c r="I2" s="36" t="s">
        <v>1</v>
      </c>
      <c r="L2" s="36" t="s">
        <v>1</v>
      </c>
      <c r="O2" s="36" t="s">
        <v>1</v>
      </c>
      <c r="AV2" s="337" t="s">
        <v>2</v>
      </c>
      <c r="AW2" s="337"/>
      <c r="AX2" s="337"/>
      <c r="AY2" s="337"/>
      <c r="AZ2" s="337"/>
      <c r="BA2" s="337"/>
      <c r="BB2" s="337"/>
      <c r="BC2" s="117"/>
      <c r="BD2" s="117"/>
      <c r="BE2" s="117"/>
      <c r="BF2" s="117"/>
    </row>
    <row r="3" spans="1:65" x14ac:dyDescent="0.3">
      <c r="A3" s="158"/>
      <c r="B3" s="14"/>
      <c r="C3" s="325" t="s">
        <v>3</v>
      </c>
      <c r="D3" s="325"/>
      <c r="E3" s="325"/>
      <c r="F3" s="325" t="s">
        <v>4</v>
      </c>
      <c r="G3" s="325"/>
      <c r="H3" s="325"/>
      <c r="I3" s="325" t="s">
        <v>5</v>
      </c>
      <c r="J3" s="325"/>
      <c r="K3" s="325"/>
      <c r="L3" s="325" t="s">
        <v>6</v>
      </c>
      <c r="M3" s="325"/>
      <c r="N3" s="325"/>
      <c r="O3" s="325" t="s">
        <v>7</v>
      </c>
      <c r="P3" s="325"/>
      <c r="Q3" s="325"/>
      <c r="R3" s="325" t="s">
        <v>8</v>
      </c>
      <c r="S3" s="325"/>
      <c r="T3" s="325"/>
      <c r="U3" s="325" t="s">
        <v>9</v>
      </c>
      <c r="V3" s="325"/>
      <c r="W3" s="325"/>
      <c r="X3" s="325" t="s">
        <v>10</v>
      </c>
      <c r="Y3" s="325"/>
      <c r="Z3" s="325"/>
      <c r="AA3" s="325" t="s">
        <v>11</v>
      </c>
      <c r="AB3" s="325"/>
      <c r="AC3" s="325"/>
      <c r="AD3" s="325" t="s">
        <v>12</v>
      </c>
      <c r="AE3" s="325"/>
      <c r="AF3" s="325"/>
      <c r="AG3" s="325" t="s">
        <v>13</v>
      </c>
      <c r="AH3" s="325"/>
      <c r="AI3" s="325"/>
      <c r="AJ3" s="325" t="s">
        <v>14</v>
      </c>
      <c r="AK3" s="325"/>
      <c r="AL3" s="325"/>
      <c r="AN3" s="325" t="s">
        <v>15</v>
      </c>
      <c r="AO3" s="325"/>
      <c r="AP3" s="325"/>
      <c r="AR3" s="338" t="s">
        <v>16</v>
      </c>
      <c r="AS3" s="338"/>
      <c r="AT3" s="338"/>
      <c r="AV3" s="325" t="s">
        <v>17</v>
      </c>
      <c r="AW3" s="325"/>
      <c r="AX3" s="325"/>
      <c r="AZ3" s="325" t="s">
        <v>18</v>
      </c>
      <c r="BA3" s="325"/>
      <c r="BB3" s="325"/>
      <c r="BD3" s="325" t="s">
        <v>19</v>
      </c>
      <c r="BE3" s="325"/>
      <c r="BF3" s="325"/>
    </row>
    <row r="4" spans="1:65" ht="45" customHeight="1" thickBot="1" x14ac:dyDescent="0.35">
      <c r="A4" s="142" t="s">
        <v>20</v>
      </c>
      <c r="B4" s="143" t="s">
        <v>21</v>
      </c>
      <c r="C4" s="33" t="s">
        <v>17</v>
      </c>
      <c r="D4" s="33" t="s">
        <v>18</v>
      </c>
      <c r="E4" s="33" t="s">
        <v>19</v>
      </c>
      <c r="F4" s="33" t="s">
        <v>17</v>
      </c>
      <c r="G4" s="33" t="s">
        <v>18</v>
      </c>
      <c r="H4" s="33" t="s">
        <v>19</v>
      </c>
      <c r="I4" s="33" t="s">
        <v>17</v>
      </c>
      <c r="J4" s="33" t="s">
        <v>18</v>
      </c>
      <c r="K4" s="33" t="s">
        <v>19</v>
      </c>
      <c r="L4" s="33" t="s">
        <v>17</v>
      </c>
      <c r="M4" s="33" t="s">
        <v>18</v>
      </c>
      <c r="N4" s="33" t="s">
        <v>19</v>
      </c>
      <c r="O4" s="33" t="s">
        <v>17</v>
      </c>
      <c r="P4" s="33" t="s">
        <v>18</v>
      </c>
      <c r="Q4" s="33" t="s">
        <v>19</v>
      </c>
      <c r="R4" s="33" t="s">
        <v>17</v>
      </c>
      <c r="S4" s="33" t="s">
        <v>18</v>
      </c>
      <c r="T4" s="33" t="s">
        <v>19</v>
      </c>
      <c r="U4" s="33" t="s">
        <v>17</v>
      </c>
      <c r="V4" s="33" t="s">
        <v>18</v>
      </c>
      <c r="W4" s="33" t="s">
        <v>19</v>
      </c>
      <c r="X4" s="33" t="s">
        <v>17</v>
      </c>
      <c r="Y4" s="33" t="s">
        <v>18</v>
      </c>
      <c r="Z4" s="33" t="s">
        <v>19</v>
      </c>
      <c r="AA4" s="33" t="s">
        <v>17</v>
      </c>
      <c r="AB4" s="33" t="s">
        <v>18</v>
      </c>
      <c r="AC4" s="33" t="s">
        <v>19</v>
      </c>
      <c r="AD4" s="33" t="s">
        <v>17</v>
      </c>
      <c r="AE4" s="33" t="s">
        <v>18</v>
      </c>
      <c r="AF4" s="33" t="s">
        <v>19</v>
      </c>
      <c r="AG4" s="33" t="s">
        <v>17</v>
      </c>
      <c r="AH4" s="33" t="s">
        <v>18</v>
      </c>
      <c r="AI4" s="33" t="s">
        <v>19</v>
      </c>
      <c r="AJ4" s="33" t="s">
        <v>17</v>
      </c>
      <c r="AK4" s="33" t="s">
        <v>18</v>
      </c>
      <c r="AL4" s="33" t="s">
        <v>19</v>
      </c>
      <c r="AN4" s="34" t="s">
        <v>17</v>
      </c>
      <c r="AO4" s="33" t="s">
        <v>18</v>
      </c>
      <c r="AP4" s="35" t="s">
        <v>19</v>
      </c>
      <c r="AR4" s="37" t="s">
        <v>17</v>
      </c>
      <c r="AS4" s="38" t="s">
        <v>18</v>
      </c>
      <c r="AT4" s="39" t="s">
        <v>19</v>
      </c>
      <c r="AV4" s="116" t="s">
        <v>22</v>
      </c>
      <c r="AW4" s="116" t="s">
        <v>23</v>
      </c>
      <c r="AX4" s="116" t="s">
        <v>24</v>
      </c>
      <c r="AZ4" s="116" t="s">
        <v>22</v>
      </c>
      <c r="BA4" s="116" t="s">
        <v>23</v>
      </c>
      <c r="BB4" s="116" t="s">
        <v>24</v>
      </c>
      <c r="BD4" s="116" t="s">
        <v>22</v>
      </c>
      <c r="BE4" s="116" t="s">
        <v>23</v>
      </c>
      <c r="BF4" s="116" t="s">
        <v>24</v>
      </c>
    </row>
    <row r="5" spans="1:65" outlineLevel="2" x14ac:dyDescent="0.3">
      <c r="A5" s="1" t="s">
        <v>25</v>
      </c>
      <c r="B5" s="2" t="s">
        <v>26</v>
      </c>
      <c r="C5" s="58">
        <f>(ACCIDENTES!C5/HH!F5)*1000000</f>
        <v>0</v>
      </c>
      <c r="D5" s="59">
        <f>(ACCIDENTES!D5/HH!F5)*1000000</f>
        <v>0</v>
      </c>
      <c r="E5" s="59">
        <f>(ACCIDENTES!F5/HH!F5)*1000000</f>
        <v>0</v>
      </c>
      <c r="F5" s="59">
        <f>((ACCIDENTES!C5+ACCIDENTES!H5)/(HH!F5+HH!J5))*1000000</f>
        <v>0</v>
      </c>
      <c r="G5" s="59">
        <f>((ACCIDENTES!D5+ACCIDENTES!I5)/(HH!F5+HH!J5))*1000000</f>
        <v>0</v>
      </c>
      <c r="H5" s="59">
        <f>((ACCIDENTES!F5+ACCIDENTES!K5)/(HH!F5+HH!J5))*1000000</f>
        <v>0</v>
      </c>
      <c r="I5" s="59">
        <f>((ACCIDENTES!C5+ACCIDENTES!H5+ACCIDENTES!M5)/(HH!F5+HH!J5+HH!N5))*1000000</f>
        <v>0</v>
      </c>
      <c r="J5" s="59">
        <f>((ACCIDENTES!D5+ACCIDENTES!I5+ACCIDENTES!N5)/(HH!F5+HH!J5+HH!N5))*1000000</f>
        <v>0</v>
      </c>
      <c r="K5" s="59">
        <f>((ACCIDENTES!F5+ACCIDENTES!K5+ACCIDENTES!P5)/(HH!J5+HH!N5+HH!F5))*1000000</f>
        <v>0</v>
      </c>
      <c r="L5" s="59">
        <f>((ACCIDENTES!C5+ACCIDENTES!H5+ACCIDENTES!M5+ACCIDENTES!R5)/(HH!F5+HH!J5+HH!N5+HH!R5))*1000000</f>
        <v>0</v>
      </c>
      <c r="M5" s="59">
        <f>((ACCIDENTES!D5+ACCIDENTES!I5+ACCIDENTES!N5+ACCIDENTES!S5)/(HH!F5+HH!J5+HH!N5+HH!R5))*1000000</f>
        <v>0</v>
      </c>
      <c r="N5" s="59">
        <f>((ACCIDENTES!F5+ACCIDENTES!K5+ACCIDENTES!P5+ACCIDENTES!U5)/(HH!F5+HH!J5+HH!N5+HH!R5))*1000000</f>
        <v>0</v>
      </c>
      <c r="O5" s="59">
        <f>((ACCIDENTES!C5+ACCIDENTES!H5+ACCIDENTES!M5+ACCIDENTES!R5+ACCIDENTES!W5)/(HH!F5+HH!J5+HH!N5+HH!R5+HH!V5))*1000000</f>
        <v>5.3313145422266768</v>
      </c>
      <c r="P5" s="59">
        <f>(((ACCIDENTES!D5+ACCIDENTES!I5+ACCIDENTES!N5+ACCIDENTES!S5+ACCIDENTES!X5)/(HH!F5+HH!J5+HH!N5+HH!R5+HH!V5))*1000000)</f>
        <v>5.3313145422266768</v>
      </c>
      <c r="Q5" s="59">
        <f>((ACCIDENTES!F5+ACCIDENTES!K5+ACCIDENTES!P5+ACCIDENTES!U5+ACCIDENTES!Z5)/(HH!F5+HH!J5+HH!N5+HH!R5+HH!V5))*1000000</f>
        <v>5.3313145422266768</v>
      </c>
      <c r="R5" s="59">
        <f>(ACCIDENTES!C5+ACCIDENTES!H5+ACCIDENTES!M5+ACCIDENTES!R5+ACCIDENTES!W5+ACCIDENTES!AB5)*1000000/(HH!F5+HH!J5+HH!N5+HH!R5+HH!V5+HH!Z5)</f>
        <v>4.4452445884703691</v>
      </c>
      <c r="S5" s="59">
        <f>(ACCIDENTES!D5+ACCIDENTES!I5+ACCIDENTES!N5+ACCIDENTES!S5+ACCIDENTES!X5+ACCIDENTES!AC5)*1000000/(HH!F5+HH!J5+HH!N5+HH!R5+HH!V5+HH!Z5)</f>
        <v>4.4452445884703691</v>
      </c>
      <c r="T5" s="59">
        <f>(ACCIDENTES!F5+ACCIDENTES!K5+ACCIDENTES!P5+ACCIDENTES!U5+ACCIDENTES!Z5+ACCIDENTES!AE5)*1000000/(HH!F5+HH!J5+HH!N5+HH!R5+HH!V5+HH!Z5)</f>
        <v>4.4452445884703691</v>
      </c>
      <c r="U5" s="59">
        <f>((ACCIDENTES!C5+ACCIDENTES!H5+ACCIDENTES!M5+ACCIDENTES!R5+ACCIDENTES!W5+ACCIDENTES!AB5+ACCIDENTES!AG5)/(HH!F5+HH!J5+HH!N5+HH!R5+HH!V5+HH!Z5+HH!AD5))*1000000</f>
        <v>3.8092263270868369</v>
      </c>
      <c r="V5" s="59">
        <f>((ACCIDENTES!D5+ACCIDENTES!I5+ACCIDENTES!N5+ACCIDENTES!S5+ACCIDENTES!X5+ACCIDENTES!AC5+ACCIDENTES!AH5)/(HH!F5+HH!J5+HH!N5+HH!R5+HH!V5+HH!Z5+HH!AD5))*1000000</f>
        <v>3.8092263270868369</v>
      </c>
      <c r="W5" s="59">
        <f>((ACCIDENTES!F5+ACCIDENTES!K5+ACCIDENTES!P5+ACCIDENTES!U5+ACCIDENTES!Z5+ACCIDENTES!AE5+ACCIDENTES!AJ5)/(HH!F5+HH!J5+HH!N5+HH!R5+HH!V5+HH!Z5+HH!AD5))*1000000</f>
        <v>3.8092263270868369</v>
      </c>
      <c r="X5" s="59">
        <f>((ACCIDENTES!C5+ACCIDENTES!H5+ACCIDENTES!M5+ACCIDENTES!R5+ACCIDENTES!W5+ACCIDENTES!AB5+ACCIDENTES!AG5+ACCIDENTES!AL5)/(HH!F5+HH!J5+HH!N5+HH!R5+HH!V5+HH!Z5+HH!AD5+HH!AH5))*1000000</f>
        <v>3.3293990934046271</v>
      </c>
      <c r="Y5" s="59">
        <f>((ACCIDENTES!D5+ACCIDENTES!I5+ACCIDENTES!N5+ACCIDENTES!S5+ACCIDENTES!X5+ACCIDENTES!AC5+ACCIDENTES!AH5+ACCIDENTES!AM5)/(HH!F5+HH!J5+HH!N5+HH!R5+HH!V5+HH!Z5+HH!AD5+HH!AH5))*1000000</f>
        <v>3.3293990934046271</v>
      </c>
      <c r="Z5" s="59">
        <f>((ACCIDENTES!F5+ACCIDENTES!K5+ACCIDENTES!P5+ACCIDENTES!U5+ACCIDENTES!Z5+ACCIDENTES!AE5+ACCIDENTES!AJ5+ACCIDENTES!AO5)/(HH!F5+HH!J5+HH!N5+HH!R5+HH!V5+HH!Z5+HH!AD5+HH!AH5))*1000000</f>
        <v>3.3293990934046271</v>
      </c>
      <c r="AA5" s="59">
        <f>((ACCIDENTES!AQ5+ACCIDENTES!AL5+ACCIDENTES!AG5+ACCIDENTES!AB5+ACCIDENTES!W5+ACCIDENTES!R5+ACCIDENTES!M5+ACCIDENTES!H5+ACCIDENTES!C5)/(HH!AL5+HH!AH5+HH!AD5+HH!Z5+HH!V5+HH!R5+HH!N5+HH!J5+HH!F5))*1000000</f>
        <v>2.9500396042816872</v>
      </c>
      <c r="AB5" s="59">
        <f>((ACCIDENTES!AR5+ACCIDENTES!AM5+ACCIDENTES!AH5+ACCIDENTES!AC5+ACCIDENTES!X5+ACCIDENTES!S5+ACCIDENTES!N5+ACCIDENTES!I5+ACCIDENTES!D5)/(HH!AL5+HH!AH5+HH!AD5+HH!Z5+HH!V5+HH!R5+HH!N5+HH!J5+HH!F5))*1000000</f>
        <v>2.9500396042816872</v>
      </c>
      <c r="AC5" s="59">
        <f>((ACCIDENTES!F5+ACCIDENTES!K5+ACCIDENTES!P5+ACCIDENTES!U5+ACCIDENTES!Z5+ACCIDENTES!AE5+ACCIDENTES!AJ5+ACCIDENTES!AO5+ACCIDENTES!AT5)/(HH!F5+HH!J5+HH!N5+HH!R5+HH!V5+HH!Z5+HH!AD5+HH!AH5+HH!AL5))*1000000</f>
        <v>2.9500396042816872</v>
      </c>
      <c r="AD5" s="59">
        <f>((ACCIDENTES!AV5+ACCIDENTES!AQ5+ACCIDENTES!AL5+ACCIDENTES!AG5+ACCIDENTES!AB5+ACCIDENTES!W5+ACCIDENTES!R5+ACCIDENTES!M5+ACCIDENTES!H5+ACCIDENTES!C5)/(HH!F5+HH!J5+HH!N5+HH!R5+HH!V5+HH!Z5+HH!AD5+HH!AH5+HH!AL5+HH!AP5))*1000000</f>
        <v>2.642542019721291</v>
      </c>
      <c r="AE5" s="59">
        <f>((ACCIDENTES!D5+ACCIDENTES!I5+ACCIDENTES!N5+ACCIDENTES!S5+ACCIDENTES!X5+ACCIDENTES!AC5+ACCIDENTES!AH5+ACCIDENTES!AM5+ACCIDENTES!AR5+ACCIDENTES!AW5)/(HH!AP5+HH!AL5+HH!AH5+HH!AD5+HH!Z5+HH!V5+HH!R5+HH!N5+HH!J5+HH!F5))*1000000</f>
        <v>2.642542019721291</v>
      </c>
      <c r="AF5" s="59">
        <f>((ACCIDENTES!AY5+ACCIDENTES!AT5+ACCIDENTES!AO5+ACCIDENTES!AJ5+ACCIDENTES!AE5+ACCIDENTES!Z5+ACCIDENTES!U5+ACCIDENTES!P5+ACCIDENTES!K5+ACCIDENTES!F5)/(HH!F5+HH!J5+HH!N5+HH!R5+HH!V5+HH!Z5+HH!AD5+HH!AH5+HH!AL5+HH!AP5))*1000000</f>
        <v>2.642542019721291</v>
      </c>
      <c r="AG5" s="59">
        <f>((ACCIDENTES!BA5+ACCIDENTES!AV5+ACCIDENTES!AQ5+ACCIDENTES!AL5+ACCIDENTES!AG5+ACCIDENTES!AB5+ACCIDENTES!W5+ACCIDENTES!R5+ACCIDENTES!M5+ACCIDENTES!H5+ACCIDENTES!C5)/(HH!AT5+HH!AP5+HH!AL5+HH!AH5+HH!AD5+HH!Z5+HH!V5+HH!R5+HH!N5+HH!J5+HH!F5))*1000000</f>
        <v>2.5192692607582248</v>
      </c>
      <c r="AH5" s="59">
        <f>((ACCIDENTES!D5+ACCIDENTES!I5+ACCIDENTES!N5+ACCIDENTES!S5+ACCIDENTES!X5+ACCIDENTES!AC5+ACCIDENTES!AH5+ACCIDENTES!AM5+ACCIDENTES!AR5+ACCIDENTES!AW5+ACCIDENTES!BB5)/(HH!F5+HH!J5+HH!N5+HH!R5+HH!V5+HH!Z5+HH!AD5+HH!AH5+HH!AL5+HH!AP5+HH!AT5))*1000000</f>
        <v>2.5192692607582248</v>
      </c>
      <c r="AI5" s="59">
        <f>((ACCIDENTES!BD5+ACCIDENTES!AY5+ACCIDENTES!AT5+ACCIDENTES!AO5+ACCIDENTES!AJ5+ACCIDENTES!AE5+ACCIDENTES!Z5+ACCIDENTES!U5+ACCIDENTES!P5+ACCIDENTES!K5+ACCIDENTES!F5)/(HH!F5+HH!J5+HH!N5+HH!R5+HH!V5+HH!Z5+HH!AD5+HH!AH5+HH!AL5+HH!AP5+HH!AT5))*1000000</f>
        <v>2.5192692607582248</v>
      </c>
      <c r="AJ5" s="59">
        <f>(ACCIDENTES!BK5/HH!BB5)*1000000</f>
        <v>2.2915518503708303</v>
      </c>
      <c r="AK5" s="59">
        <f>(ACCIDENTES!BL5/HH!BB5)*1000000</f>
        <v>2.2915518503708303</v>
      </c>
      <c r="AL5" s="59">
        <f>(ACCIDENTES!BN5/HH!BB5)*1000000</f>
        <v>2.2915518503708303</v>
      </c>
      <c r="AN5" s="41">
        <f>AW5</f>
        <v>6.7726259476463815</v>
      </c>
      <c r="AO5" s="41">
        <f>BA5</f>
        <v>169.31564869115957</v>
      </c>
      <c r="AP5" s="40"/>
      <c r="AQ5" s="124"/>
      <c r="AR5" s="41">
        <v>9.6751799252091182</v>
      </c>
      <c r="AS5" s="41">
        <v>2875.9472327684107</v>
      </c>
      <c r="AT5" s="41">
        <v>2.9</v>
      </c>
      <c r="AV5" s="118">
        <v>5.8051079551254698</v>
      </c>
      <c r="AW5" s="60">
        <v>6.7726259476463815</v>
      </c>
      <c r="AX5" s="60">
        <v>7.7401439401672949</v>
      </c>
      <c r="AY5" s="63"/>
      <c r="AZ5" s="119">
        <v>145.12769887813675</v>
      </c>
      <c r="BA5" s="120">
        <v>169.31564869115957</v>
      </c>
      <c r="BB5" s="120">
        <v>193.50359850418235</v>
      </c>
      <c r="BC5" s="63"/>
      <c r="BD5" s="119"/>
      <c r="BE5" s="120"/>
      <c r="BF5" s="120"/>
    </row>
    <row r="6" spans="1:65" outlineLevel="2" x14ac:dyDescent="0.3">
      <c r="A6" s="3" t="s">
        <v>25</v>
      </c>
      <c r="B6" s="4" t="s">
        <v>27</v>
      </c>
      <c r="C6" s="58">
        <f>(ACCIDENTES!C6/HH!F6)*1000000</f>
        <v>0</v>
      </c>
      <c r="D6" s="59">
        <f>(ACCIDENTES!D6/HH!F6)*1000000</f>
        <v>0</v>
      </c>
      <c r="E6" s="59">
        <f>(ACCIDENTES!F6/HH!F6)*1000000</f>
        <v>0</v>
      </c>
      <c r="F6" s="59">
        <f>((ACCIDENTES!C6+ACCIDENTES!H6)/(HH!F6+HH!J6))*1000000</f>
        <v>0</v>
      </c>
      <c r="G6" s="59">
        <f>((ACCIDENTES!D6+ACCIDENTES!I6)/(HH!F6+HH!J6))*1000000</f>
        <v>0</v>
      </c>
      <c r="H6" s="59">
        <f>((ACCIDENTES!F6+ACCIDENTES!K6)/(HH!F6+HH!J6))*1000000</f>
        <v>0</v>
      </c>
      <c r="I6" s="59">
        <f>((ACCIDENTES!C6+ACCIDENTES!H6+ACCIDENTES!M6)/(HH!F6+HH!J6+HH!N6))*1000000</f>
        <v>0</v>
      </c>
      <c r="J6" s="59">
        <f>((ACCIDENTES!D6+ACCIDENTES!I6+ACCIDENTES!N6)/(HH!F6+HH!J6+HH!N6))*1000000</f>
        <v>0</v>
      </c>
      <c r="K6" s="59">
        <f>((ACCIDENTES!F6+ACCIDENTES!K6+ACCIDENTES!P6)/(HH!J6+HH!N6+HH!F6))*1000000</f>
        <v>0</v>
      </c>
      <c r="L6" s="59">
        <f>((ACCIDENTES!C6+ACCIDENTES!H6+ACCIDENTES!M6+ACCIDENTES!R6)/(HH!F6+HH!J6+HH!N6+HH!R6))*1000000</f>
        <v>0</v>
      </c>
      <c r="M6" s="59">
        <f>((ACCIDENTES!D6+ACCIDENTES!I6+ACCIDENTES!N6+ACCIDENTES!S6)/(HH!F6+HH!J6+HH!N6+HH!R6))*1000000</f>
        <v>0</v>
      </c>
      <c r="N6" s="59">
        <f>((ACCIDENTES!F6+ACCIDENTES!K6+ACCIDENTES!P6+ACCIDENTES!U6)/(HH!F6+HH!J6+HH!N6+HH!R6))*1000000</f>
        <v>5.5433908922087634</v>
      </c>
      <c r="O6" s="59">
        <f>((ACCIDENTES!C6+ACCIDENTES!H6+ACCIDENTES!M6+ACCIDENTES!R6+ACCIDENTES!W6)/(HH!F6+HH!J6+HH!N6+HH!R6+HH!V6))*1000000</f>
        <v>0</v>
      </c>
      <c r="P6" s="59">
        <f>(((ACCIDENTES!D6+ACCIDENTES!I6+ACCIDENTES!N6+ACCIDENTES!S6+ACCIDENTES!X6)/(HH!F6+HH!J6+HH!N6+HH!R6+HH!V6))*1000000)</f>
        <v>0</v>
      </c>
      <c r="Q6" s="59">
        <f>((ACCIDENTES!F6+ACCIDENTES!K6+ACCIDENTES!P6+ACCIDENTES!U6+ACCIDENTES!Z6)/(HH!F6+HH!J6+HH!N6+HH!R6+HH!V6))*1000000</f>
        <v>4.3877161498668329</v>
      </c>
      <c r="R6" s="59">
        <f>(ACCIDENTES!C6+ACCIDENTES!H6+ACCIDENTES!M6+ACCIDENTES!R6+ACCIDENTES!W6+ACCIDENTES!AB6)*1000000/(HH!F6+HH!J6+HH!N6+HH!R6+HH!V6+HH!Z6)</f>
        <v>3.6430336998832407</v>
      </c>
      <c r="S6" s="59">
        <f>(ACCIDENTES!D6+ACCIDENTES!I6+ACCIDENTES!N6+ACCIDENTES!S6+ACCIDENTES!X6+ACCIDENTES!AC6)*1000000/(HH!F6+HH!J6+HH!N6+HH!R6+HH!V6+HH!Z6)</f>
        <v>94.71887619696426</v>
      </c>
      <c r="T6" s="59">
        <f>(ACCIDENTES!F6+ACCIDENTES!K6+ACCIDENTES!P6+ACCIDENTES!U6+ACCIDENTES!Z6+ACCIDENTES!AE6)*1000000/(HH!F6+HH!J6+HH!N6+HH!R6+HH!V6+HH!Z6)</f>
        <v>7.2860673997664813</v>
      </c>
      <c r="U6" s="59">
        <f>((ACCIDENTES!C6+ACCIDENTES!H6+ACCIDENTES!M6+ACCIDENTES!R6+ACCIDENTES!W6+ACCIDENTES!AB6+ACCIDENTES!AG6)/(HH!F6+HH!J6+HH!N6+HH!R6+HH!V6+HH!Z6+HH!AD6))*1000000</f>
        <v>3.1203097843553906</v>
      </c>
      <c r="V6" s="59">
        <f>((ACCIDENTES!D6+ACCIDENTES!I6+ACCIDENTES!N6+ACCIDENTES!S6+ACCIDENTES!X6+ACCIDENTES!AC6+ACCIDENTES!AH6)/(HH!F6+HH!J6+HH!N6+HH!R6+HH!V6+HH!Z6+HH!AD6))*1000000</f>
        <v>81.128054393240163</v>
      </c>
      <c r="W6" s="59">
        <f>((ACCIDENTES!F6+ACCIDENTES!K6+ACCIDENTES!P6+ACCIDENTES!U6+ACCIDENTES!Z6+ACCIDENTES!AE6+ACCIDENTES!AJ6)/(HH!F6+HH!J6+HH!N6+HH!R6+HH!V6+HH!Z6+HH!AD6))*1000000</f>
        <v>6.2406195687107813</v>
      </c>
      <c r="X6" s="59">
        <f>((ACCIDENTES!C6+ACCIDENTES!H6+ACCIDENTES!M6+ACCIDENTES!R6+ACCIDENTES!W6+ACCIDENTES!AB6+ACCIDENTES!AG6+ACCIDENTES!AL6)/(HH!F6+HH!J6+HH!N6+HH!R6+HH!V6+HH!Z6+HH!AD6+HH!AH6))*1000000</f>
        <v>2.7276198788936772</v>
      </c>
      <c r="Y6" s="59">
        <f>((ACCIDENTES!D6+ACCIDENTES!I6+ACCIDENTES!N6+ACCIDENTES!S6+ACCIDENTES!X6+ACCIDENTES!AC6+ACCIDENTES!AH6+ACCIDENTES!AM6)/(HH!F6+HH!J6+HH!N6+HH!R6+HH!V6+HH!Z6+HH!AD6+HH!AH6))*1000000</f>
        <v>70.918116851235609</v>
      </c>
      <c r="Z6" s="59">
        <f>((ACCIDENTES!F6+ACCIDENTES!K6+ACCIDENTES!P6+ACCIDENTES!U6+ACCIDENTES!Z6+ACCIDENTES!AE6+ACCIDENTES!AJ6+ACCIDENTES!AO6)/(HH!F6+HH!J6+HH!N6+HH!R6+HH!V6+HH!Z6+HH!AD6+HH!AH6))*1000000</f>
        <v>8.182859636681032</v>
      </c>
      <c r="AA6" s="59">
        <f>((ACCIDENTES!AQ6+ACCIDENTES!AL6+ACCIDENTES!AG6+ACCIDENTES!AB6+ACCIDENTES!W6+ACCIDENTES!R6+ACCIDENTES!M6+ACCIDENTES!H6+ACCIDENTES!C6)/(HH!AL6+HH!AH6+HH!AD6+HH!Z6+HH!V6+HH!R6+HH!N6+HH!J6+HH!F6))*1000000</f>
        <v>2.4167037731391834</v>
      </c>
      <c r="AB6" s="59">
        <f>((ACCIDENTES!AR6+ACCIDENTES!AM6+ACCIDENTES!AH6+ACCIDENTES!AC6+ACCIDENTES!X6+ACCIDENTES!S6+ACCIDENTES!N6+ACCIDENTES!I6+ACCIDENTES!D6)/(HH!AL6+HH!AH6+HH!AD6+HH!Z6+HH!V6+HH!R6+HH!N6+HH!J6+HH!F6))*1000000</f>
        <v>62.834298101618764</v>
      </c>
      <c r="AC6" s="59">
        <f>((ACCIDENTES!F6+ACCIDENTES!K6+ACCIDENTES!P6+ACCIDENTES!U6+ACCIDENTES!Z6+ACCIDENTES!AE6+ACCIDENTES!AJ6+ACCIDENTES!AO6+ACCIDENTES!AT6)/(HH!F6+HH!J6+HH!N6+HH!R6+HH!V6+HH!Z6+HH!AD6+HH!AH6+HH!AL6))*1000000</f>
        <v>7.2501113194175506</v>
      </c>
      <c r="AD6" s="59">
        <f>((ACCIDENTES!AV6+ACCIDENTES!AQ6+ACCIDENTES!AL6+ACCIDENTES!AG6+ACCIDENTES!AB6+ACCIDENTES!W6+ACCIDENTES!R6+ACCIDENTES!M6+ACCIDENTES!H6+ACCIDENTES!C6)/(HH!F6+HH!J6+HH!N6+HH!R6+HH!V6+HH!Z6+HH!AD6+HH!AH6+HH!AL6+HH!AP6))*1000000</f>
        <v>2.1645291039877663</v>
      </c>
      <c r="AE6" s="59">
        <f>((ACCIDENTES!D6+ACCIDENTES!I6+ACCIDENTES!N6+ACCIDENTES!S6+ACCIDENTES!X6+ACCIDENTES!AC6+ACCIDENTES!AH6+ACCIDENTES!AM6+ACCIDENTES!AR6+ACCIDENTES!AW6)/(HH!AP6+HH!AL6+HH!AH6+HH!AD6+HH!Z6+HH!V6+HH!R6+HH!N6+HH!J6+HH!F6))*1000000</f>
        <v>56.277756703681916</v>
      </c>
      <c r="AF6" s="59">
        <f>((ACCIDENTES!AY6+ACCIDENTES!AT6+ACCIDENTES!AO6+ACCIDENTES!AJ6+ACCIDENTES!AE6+ACCIDENTES!Z6+ACCIDENTES!U6+ACCIDENTES!P6+ACCIDENTES!K6+ACCIDENTES!F6)/(HH!F6+HH!J6+HH!N6+HH!R6+HH!V6+HH!Z6+HH!AD6+HH!AH6+HH!AL6+HH!AP6))*1000000</f>
        <v>6.4935873119632985</v>
      </c>
      <c r="AG6" s="59">
        <f>((ACCIDENTES!BA6+ACCIDENTES!AV6+ACCIDENTES!AQ6+ACCIDENTES!AL6+ACCIDENTES!AG6+ACCIDENTES!AB6+ACCIDENTES!W6+ACCIDENTES!R6+ACCIDENTES!M6+ACCIDENTES!H6+ACCIDENTES!C6)/(HH!AT6+HH!AP6+HH!AL6+HH!AH6+HH!AD6+HH!Z6+HH!V6+HH!R6+HH!N6+HH!J6+HH!F6))*1000000</f>
        <v>1.963044701963192</v>
      </c>
      <c r="AH6" s="59">
        <f>((ACCIDENTES!D6+ACCIDENTES!I6+ACCIDENTES!N6+ACCIDENTES!S6+ACCIDENTES!X6+ACCIDENTES!AC6+ACCIDENTES!AH6+ACCIDENTES!AM6+ACCIDENTES!AR6+ACCIDENTES!AW6+ACCIDENTES!BB6)/(HH!F6+HH!J6+HH!N6+HH!R6+HH!V6+HH!Z6+HH!AD6+HH!AH6+HH!AL6+HH!AP6+HH!AT6))*1000000</f>
        <v>51.039162251042988</v>
      </c>
      <c r="AI6" s="59">
        <f>((ACCIDENTES!BD6+ACCIDENTES!AY6+ACCIDENTES!AT6+ACCIDENTES!AO6+ACCIDENTES!AJ6+ACCIDENTES!AE6+ACCIDENTES!Z6+ACCIDENTES!U6+ACCIDENTES!P6+ACCIDENTES!K6+ACCIDENTES!F6)/(HH!F6+HH!J6+HH!N6+HH!R6+HH!V6+HH!Z6+HH!AD6+HH!AH6+HH!AL6+HH!AP6+HH!AT6))*1000000</f>
        <v>7.8521788078527681</v>
      </c>
      <c r="AJ6" s="59">
        <f>(ACCIDENTES!BK6/HH!BB6)*1000000</f>
        <v>1.8000309605325211</v>
      </c>
      <c r="AK6" s="59">
        <f>(ACCIDENTES!BL6/HH!BB6)*1000000</f>
        <v>46.800804973845551</v>
      </c>
      <c r="AL6" s="59">
        <f>(ACCIDENTES!BN6/HH!BB6)*1000000</f>
        <v>7.2001238421300844</v>
      </c>
      <c r="AN6" s="41">
        <f t="shared" ref="AN6:AN69" si="0">AW6</f>
        <v>13.169766673177874</v>
      </c>
      <c r="AO6" s="41">
        <f t="shared" ref="AO6:AO69" si="1">BA6</f>
        <v>147.35403270688528</v>
      </c>
      <c r="AP6" s="40"/>
      <c r="AQ6" s="125"/>
      <c r="AR6" s="41">
        <v>20.261179497196729</v>
      </c>
      <c r="AS6" s="41">
        <v>327.86272277281978</v>
      </c>
      <c r="AT6" s="41">
        <v>4.8</v>
      </c>
      <c r="AV6" s="118">
        <v>10.130589748598362</v>
      </c>
      <c r="AW6" s="60">
        <v>13.169766673177874</v>
      </c>
      <c r="AX6" s="60">
        <v>14.182825648037706</v>
      </c>
      <c r="AY6" s="63"/>
      <c r="AZ6" s="119">
        <v>128.9347786185246</v>
      </c>
      <c r="BA6" s="120">
        <v>147.35403270688528</v>
      </c>
      <c r="BB6" s="120">
        <v>165.77328679524595</v>
      </c>
      <c r="BC6" s="63"/>
      <c r="BD6" s="119"/>
      <c r="BE6" s="120"/>
      <c r="BF6" s="120"/>
    </row>
    <row r="7" spans="1:65" outlineLevel="2" x14ac:dyDescent="0.3">
      <c r="A7" s="3" t="s">
        <v>25</v>
      </c>
      <c r="B7" s="4" t="s">
        <v>28</v>
      </c>
      <c r="C7" s="58">
        <f>(ACCIDENTES!C7/HH!F7)*1000000</f>
        <v>0</v>
      </c>
      <c r="D7" s="59">
        <f>(ACCIDENTES!D7/HH!F7)*1000000</f>
        <v>0</v>
      </c>
      <c r="E7" s="59">
        <f>(ACCIDENTES!F7/HH!F7)*1000000</f>
        <v>38.287287127469483</v>
      </c>
      <c r="F7" s="59">
        <f>((ACCIDENTES!C7+ACCIDENTES!H7)/(HH!F7+HH!J7))*1000000</f>
        <v>12.982615758195147</v>
      </c>
      <c r="G7" s="59">
        <f>((ACCIDENTES!D7+ACCIDENTES!I7)/(HH!F7+HH!J7))*1000000</f>
        <v>207.72185213112235</v>
      </c>
      <c r="H7" s="59">
        <f>((ACCIDENTES!F7+ACCIDENTES!K7)/(HH!F7+HH!J7))*1000000</f>
        <v>32.456539395487866</v>
      </c>
      <c r="I7" s="59">
        <f>((ACCIDENTES!C7+ACCIDENTES!H7+ACCIDENTES!M7)/(HH!F7+HH!J7+HH!N7))*1000000</f>
        <v>12.909625093729257</v>
      </c>
      <c r="J7" s="59">
        <f>((ACCIDENTES!D7+ACCIDENTES!I7+ACCIDENTES!N7)/(HH!F7+HH!J7+HH!N7))*1000000</f>
        <v>172.12833458305676</v>
      </c>
      <c r="K7" s="59">
        <f>((ACCIDENTES!F7+ACCIDENTES!K7+ACCIDENTES!P7)/(HH!J7+HH!N7+HH!F7))*1000000</f>
        <v>25.819250187458515</v>
      </c>
      <c r="L7" s="59">
        <f>((ACCIDENTES!C7+ACCIDENTES!H7+ACCIDENTES!M7+ACCIDENTES!R7)/(HH!F7+HH!J7+HH!N7+HH!R7))*1000000</f>
        <v>9.5502020377075088</v>
      </c>
      <c r="M7" s="59">
        <f>((ACCIDENTES!D7+ACCIDENTES!I7+ACCIDENTES!N7+ACCIDENTES!S7)/(HH!F7+HH!J7+HH!N7+HH!R7))*1000000</f>
        <v>127.33602716943345</v>
      </c>
      <c r="N7" s="59">
        <f>((ACCIDENTES!F7+ACCIDENTES!K7+ACCIDENTES!P7+ACCIDENTES!U7)/(HH!F7+HH!J7+HH!N7+HH!R7))*1000000</f>
        <v>22.283804754650856</v>
      </c>
      <c r="O7" s="59">
        <f>((ACCIDENTES!C7+ACCIDENTES!H7+ACCIDENTES!M7+ACCIDENTES!R7+ACCIDENTES!W7)/(HH!F7+HH!J7+HH!N7+HH!R7+HH!V7))*1000000</f>
        <v>7.7560569116705089</v>
      </c>
      <c r="P7" s="59">
        <f>(((ACCIDENTES!D7+ACCIDENTES!I7+ACCIDENTES!N7+ACCIDENTES!S7+ACCIDENTES!X7)/(HH!F7+HH!J7+HH!N7+HH!R7+HH!V7))*1000000)</f>
        <v>103.41409215560678</v>
      </c>
      <c r="Q7" s="59">
        <f>((ACCIDENTES!F7+ACCIDENTES!K7+ACCIDENTES!P7+ACCIDENTES!U7+ACCIDENTES!Z7)/(HH!F7+HH!J7+HH!N7+HH!R7+HH!V7))*1000000</f>
        <v>20.682818431121355</v>
      </c>
      <c r="R7" s="59">
        <f>(ACCIDENTES!C7+ACCIDENTES!H7+ACCIDENTES!M7+ACCIDENTES!R7+ACCIDENTES!W7+ACCIDENTES!AB7)*1000000/(HH!F7+HH!J7+HH!N7+HH!R7+HH!V7+HH!Z7)</f>
        <v>6.582924840903873</v>
      </c>
      <c r="S7" s="59">
        <f>(ACCIDENTES!D7+ACCIDENTES!I7+ACCIDENTES!N7+ACCIDENTES!S7+ACCIDENTES!X7+ACCIDENTES!AC7)*1000000/(HH!F7+HH!J7+HH!N7+HH!R7+HH!V7+HH!Z7)</f>
        <v>87.77233121205164</v>
      </c>
      <c r="T7" s="59">
        <f>(ACCIDENTES!F7+ACCIDENTES!K7+ACCIDENTES!P7+ACCIDENTES!U7+ACCIDENTES!Z7+ACCIDENTES!AE7)*1000000/(HH!F7+HH!J7+HH!N7+HH!R7+HH!V7+HH!Z7)</f>
        <v>21.94308280301291</v>
      </c>
      <c r="U7" s="59">
        <f>((ACCIDENTES!C7+ACCIDENTES!H7+ACCIDENTES!M7+ACCIDENTES!R7+ACCIDENTES!W7+ACCIDENTES!AB7+ACCIDENTES!AG7)/(HH!F7+HH!J7+HH!N7+HH!R7+HH!V7+HH!Z7+HH!AD7))*1000000</f>
        <v>5.6781781255077233</v>
      </c>
      <c r="V7" s="59">
        <f>((ACCIDENTES!D7+ACCIDENTES!I7+ACCIDENTES!N7+ACCIDENTES!S7+ACCIDENTES!X7+ACCIDENTES!AC7+ACCIDENTES!AH7)/(HH!F7+HH!J7+HH!N7+HH!R7+HH!V7+HH!Z7+HH!AD7))*1000000</f>
        <v>75.709041673436332</v>
      </c>
      <c r="W7" s="59">
        <f>((ACCIDENTES!F7+ACCIDENTES!K7+ACCIDENTES!P7+ACCIDENTES!U7+ACCIDENTES!Z7+ACCIDENTES!AE7+ACCIDENTES!AJ7)/(HH!F7+HH!J7+HH!N7+HH!R7+HH!V7+HH!Z7+HH!AD7))*1000000</f>
        <v>20.819986460194986</v>
      </c>
      <c r="X7" s="59">
        <f>((ACCIDENTES!C7+ACCIDENTES!H7+ACCIDENTES!M7+ACCIDENTES!R7+ACCIDENTES!W7+ACCIDENTES!AB7+ACCIDENTES!AG7+ACCIDENTES!AL7)/(HH!F7+HH!J7+HH!N7+HH!R7+HH!V7+HH!Z7+HH!AD7+HH!AH7))*1000000</f>
        <v>4.9995460412194577</v>
      </c>
      <c r="Y7" s="59">
        <f>((ACCIDENTES!D7+ACCIDENTES!I7+ACCIDENTES!N7+ACCIDENTES!S7+ACCIDENTES!X7+ACCIDENTES!AC7+ACCIDENTES!AH7+ACCIDENTES!AM7)/(HH!F7+HH!J7+HH!N7+HH!R7+HH!V7+HH!Z7+HH!AD7+HH!AH7))*1000000</f>
        <v>66.6606138829261</v>
      </c>
      <c r="Z7" s="59">
        <f>((ACCIDENTES!F7+ACCIDENTES!K7+ACCIDENTES!P7+ACCIDENTES!U7+ACCIDENTES!Z7+ACCIDENTES!AE7+ACCIDENTES!AJ7+ACCIDENTES!AO7)/(HH!F7+HH!J7+HH!N7+HH!R7+HH!V7+HH!Z7+HH!AD7+HH!AH7))*1000000</f>
        <v>21.664699511950982</v>
      </c>
      <c r="AA7" s="59">
        <f>((ACCIDENTES!AQ7+ACCIDENTES!AL7+ACCIDENTES!AG7+ACCIDENTES!AB7+ACCIDENTES!W7+ACCIDENTES!R7+ACCIDENTES!M7+ACCIDENTES!H7+ACCIDENTES!C7)/(HH!AL7+HH!AH7+HH!AD7+HH!Z7+HH!V7+HH!R7+HH!N7+HH!J7+HH!F7))*1000000</f>
        <v>7.3893939260482462</v>
      </c>
      <c r="AB7" s="59">
        <f>((ACCIDENTES!AR7+ACCIDENTES!AM7+ACCIDENTES!AH7+ACCIDENTES!AC7+ACCIDENTES!X7+ACCIDENTES!S7+ACCIDENTES!N7+ACCIDENTES!I7+ACCIDENTES!D7)/(HH!AL7+HH!AH7+HH!AD7+HH!Z7+HH!V7+HH!R7+HH!N7+HH!J7+HH!F7))*1000000</f>
        <v>96.062121038627197</v>
      </c>
      <c r="AC7" s="59">
        <f>((ACCIDENTES!F7+ACCIDENTES!K7+ACCIDENTES!P7+ACCIDENTES!U7+ACCIDENTES!Z7+ACCIDENTES!AE7+ACCIDENTES!AJ7+ACCIDENTES!AO7+ACCIDENTES!AT7)/(HH!F7+HH!J7+HH!N7+HH!R7+HH!V7+HH!Z7+HH!AD7+HH!AH7+HH!AL7))*1000000</f>
        <v>26.601818133773687</v>
      </c>
      <c r="AD7" s="59">
        <f>((ACCIDENTES!AV7+ACCIDENTES!AQ7+ACCIDENTES!AL7+ACCIDENTES!AG7+ACCIDENTES!AB7+ACCIDENTES!W7+ACCIDENTES!R7+ACCIDENTES!M7+ACCIDENTES!H7+ACCIDENTES!C7)/(HH!F7+HH!J7+HH!N7+HH!R7+HH!V7+HH!Z7+HH!AD7+HH!AH7+HH!AL7+HH!AP7))*1000000</f>
        <v>9.3181822175324847</v>
      </c>
      <c r="AE7" s="59">
        <f>((ACCIDENTES!D7+ACCIDENTES!I7+ACCIDENTES!N7+ACCIDENTES!S7+ACCIDENTES!X7+ACCIDENTES!AC7+ACCIDENTES!AH7+ACCIDENTES!AM7+ACCIDENTES!AR7+ACCIDENTES!AW7)/(HH!AP7+HH!AL7+HH!AH7+HH!AD7+HH!Z7+HH!V7+HH!R7+HH!N7+HH!J7+HH!F7))*1000000</f>
        <v>126.46104438079801</v>
      </c>
      <c r="AF7" s="59">
        <f>((ACCIDENTES!AY7+ACCIDENTES!AT7+ACCIDENTES!AO7+ACCIDENTES!AJ7+ACCIDENTES!AE7+ACCIDENTES!Z7+ACCIDENTES!U7+ACCIDENTES!P7+ACCIDENTES!K7+ACCIDENTES!F7)/(HH!F7+HH!J7+HH!N7+HH!R7+HH!V7+HH!Z7+HH!AD7+HH!AH7+HH!AL7+HH!AP7))*1000000</f>
        <v>30.616884429035306</v>
      </c>
      <c r="AG7" s="59">
        <f>((ACCIDENTES!BA7+ACCIDENTES!AV7+ACCIDENTES!AQ7+ACCIDENTES!AL7+ACCIDENTES!AG7+ACCIDENTES!AB7+ACCIDENTES!W7+ACCIDENTES!R7+ACCIDENTES!M7+ACCIDENTES!H7+ACCIDENTES!C7)/(HH!AT7+HH!AP7+HH!AL7+HH!AH7+HH!AD7+HH!Z7+HH!V7+HH!R7+HH!N7+HH!J7+HH!F7))*1000000</f>
        <v>8.4877962707727299</v>
      </c>
      <c r="AH7" s="59">
        <f>((ACCIDENTES!D7+ACCIDENTES!I7+ACCIDENTES!N7+ACCIDENTES!S7+ACCIDENTES!X7+ACCIDENTES!AC7+ACCIDENTES!AH7+ACCIDENTES!AM7+ACCIDENTES!AR7+ACCIDENTES!AW7+ACCIDENTES!BB7)/(HH!F7+HH!J7+HH!N7+HH!R7+HH!V7+HH!Z7+HH!AD7+HH!AH7+HH!AL7+HH!AP7+HH!AT7))*1000000</f>
        <v>115.19152081762989</v>
      </c>
      <c r="AI7" s="59">
        <f>((ACCIDENTES!BD7+ACCIDENTES!AY7+ACCIDENTES!AT7+ACCIDENTES!AO7+ACCIDENTES!AJ7+ACCIDENTES!AE7+ACCIDENTES!Z7+ACCIDENTES!U7+ACCIDENTES!P7+ACCIDENTES!K7+ACCIDENTES!F7)/(HH!F7+HH!J7+HH!N7+HH!R7+HH!V7+HH!Z7+HH!AD7+HH!AH7+HH!AL7+HH!AP7+HH!AT7))*1000000</f>
        <v>29.101015785506501</v>
      </c>
      <c r="AJ7" s="59">
        <f>(ACCIDENTES!BK7/HH!BB7)*1000000</f>
        <v>7.9250383753001108</v>
      </c>
      <c r="AK7" s="59">
        <f>(ACCIDENTES!BL7/HH!BB7)*1000000</f>
        <v>107.55409223621578</v>
      </c>
      <c r="AL7" s="59">
        <f>(ACCIDENTES!BN7/HH!BB7)*1000000</f>
        <v>28.303708483214677</v>
      </c>
      <c r="AN7" s="41">
        <f t="shared" si="0"/>
        <v>7.833854884939595</v>
      </c>
      <c r="AO7" s="41">
        <f t="shared" si="1"/>
        <v>44.866623431926762</v>
      </c>
      <c r="AP7" s="42"/>
      <c r="AQ7" s="125"/>
      <c r="AR7" s="41">
        <v>11.19122126419942</v>
      </c>
      <c r="AS7" s="41" t="s">
        <v>29</v>
      </c>
      <c r="AT7" s="41">
        <v>3.3</v>
      </c>
      <c r="AV7" s="118">
        <v>6.7147327585196521</v>
      </c>
      <c r="AW7" s="60">
        <v>7.833854884939595</v>
      </c>
      <c r="AX7" s="60">
        <v>8.9529770113595379</v>
      </c>
      <c r="AY7" s="63"/>
      <c r="AZ7" s="119">
        <v>38.457105798794366</v>
      </c>
      <c r="BA7" s="120">
        <v>44.866623431926762</v>
      </c>
      <c r="BB7" s="120">
        <v>51.276141065059171</v>
      </c>
      <c r="BC7" s="63"/>
      <c r="BD7" s="119"/>
      <c r="BE7" s="120"/>
      <c r="BF7" s="120"/>
    </row>
    <row r="8" spans="1:65" outlineLevel="2" x14ac:dyDescent="0.3">
      <c r="A8" s="3" t="s">
        <v>25</v>
      </c>
      <c r="B8" s="4" t="s">
        <v>30</v>
      </c>
      <c r="C8" s="58">
        <f>(ACCIDENTES!C8/HH!F8)*1000000</f>
        <v>0</v>
      </c>
      <c r="D8" s="59">
        <f>(ACCIDENTES!D8/HH!F8)*1000000</f>
        <v>0</v>
      </c>
      <c r="E8" s="59">
        <f>(ACCIDENTES!F8/HH!F8)*1000000</f>
        <v>0</v>
      </c>
      <c r="F8" s="59">
        <f>((ACCIDENTES!C8+ACCIDENTES!H8)/(HH!F8+HH!J8))*1000000</f>
        <v>0</v>
      </c>
      <c r="G8" s="59">
        <f>((ACCIDENTES!D8+ACCIDENTES!I8)/(HH!F8+HH!J8))*1000000</f>
        <v>0</v>
      </c>
      <c r="H8" s="59">
        <f>((ACCIDENTES!F8+ACCIDENTES!K8)/(HH!F8+HH!J8))*1000000</f>
        <v>0</v>
      </c>
      <c r="I8" s="59">
        <f>((ACCIDENTES!C8+ACCIDENTES!H8+ACCIDENTES!M8)/(HH!F8+HH!J8+HH!N8))*1000000</f>
        <v>0</v>
      </c>
      <c r="J8" s="59">
        <f>((ACCIDENTES!D8+ACCIDENTES!I8+ACCIDENTES!N8)/(HH!F8+HH!J8+HH!N8))*1000000</f>
        <v>0</v>
      </c>
      <c r="K8" s="59">
        <f>((ACCIDENTES!F8+ACCIDENTES!K8+ACCIDENTES!P8)/(HH!J8+HH!N8+HH!F8))*1000000</f>
        <v>0</v>
      </c>
      <c r="L8" s="59">
        <f>((ACCIDENTES!C8+ACCIDENTES!H8+ACCIDENTES!M8+ACCIDENTES!R8)/(HH!F8+HH!J8+HH!N8+HH!R8))*1000000</f>
        <v>0</v>
      </c>
      <c r="M8" s="59">
        <f>((ACCIDENTES!D8+ACCIDENTES!I8+ACCIDENTES!N8+ACCIDENTES!S8)/(HH!F8+HH!J8+HH!N8+HH!R8))*1000000</f>
        <v>0</v>
      </c>
      <c r="N8" s="59">
        <f>((ACCIDENTES!F8+ACCIDENTES!K8+ACCIDENTES!P8+ACCIDENTES!U8)/(HH!F8+HH!J8+HH!N8+HH!R8))*1000000</f>
        <v>0</v>
      </c>
      <c r="O8" s="59">
        <f>((ACCIDENTES!C8+ACCIDENTES!H8+ACCIDENTES!M8+ACCIDENTES!R8+ACCIDENTES!W8)/(HH!F8+HH!J8+HH!N8+HH!R8+HH!V8))*1000000</f>
        <v>0</v>
      </c>
      <c r="P8" s="59">
        <f>(((ACCIDENTES!D8+ACCIDENTES!I8+ACCIDENTES!N8+ACCIDENTES!S8+ACCIDENTES!X8)/(HH!F8+HH!J8+HH!N8+HH!R8+HH!V8))*1000000)</f>
        <v>0</v>
      </c>
      <c r="Q8" s="59">
        <f>((ACCIDENTES!F8+ACCIDENTES!K8+ACCIDENTES!P8+ACCIDENTES!U8+ACCIDENTES!Z8)/(HH!F8+HH!J8+HH!N8+HH!R8+HH!V8))*1000000</f>
        <v>0</v>
      </c>
      <c r="R8" s="59">
        <f>(ACCIDENTES!C8+ACCIDENTES!H8+ACCIDENTES!M8+ACCIDENTES!R8+ACCIDENTES!W8+ACCIDENTES!AB8)*1000000/(HH!F8+HH!J8+HH!N8+HH!R8+HH!V8+HH!Z8)</f>
        <v>0</v>
      </c>
      <c r="S8" s="59">
        <f>(ACCIDENTES!D8+ACCIDENTES!I8+ACCIDENTES!N8+ACCIDENTES!S8+ACCIDENTES!X8+ACCIDENTES!AC8)*1000000/(HH!F8+HH!J8+HH!N8+HH!R8+HH!V8+HH!Z8)</f>
        <v>0</v>
      </c>
      <c r="T8" s="59">
        <f>(ACCIDENTES!F8+ACCIDENTES!K8+ACCIDENTES!P8+ACCIDENTES!U8+ACCIDENTES!Z8+ACCIDENTES!AE8)*1000000/(HH!F8+HH!J8+HH!N8+HH!R8+HH!V8+HH!Z8)</f>
        <v>0</v>
      </c>
      <c r="U8" s="59">
        <f>((ACCIDENTES!C8+ACCIDENTES!H8+ACCIDENTES!M8+ACCIDENTES!R8+ACCIDENTES!W8+ACCIDENTES!AB8+ACCIDENTES!AG8)/(HH!F8+HH!J8+HH!N8+HH!R8+HH!V8+HH!Z8+HH!AD8))*1000000</f>
        <v>0</v>
      </c>
      <c r="V8" s="59">
        <f>((ACCIDENTES!D8+ACCIDENTES!I8+ACCIDENTES!N8+ACCIDENTES!S8+ACCIDENTES!X8+ACCIDENTES!AC8+ACCIDENTES!AH8)/(HH!F8+HH!J8+HH!N8+HH!R8+HH!V8+HH!Z8+HH!AD8))*1000000</f>
        <v>0</v>
      </c>
      <c r="W8" s="59">
        <f>((ACCIDENTES!F8+ACCIDENTES!K8+ACCIDENTES!P8+ACCIDENTES!U8+ACCIDENTES!Z8+ACCIDENTES!AE8+ACCIDENTES!AJ8)/(HH!F8+HH!J8+HH!N8+HH!R8+HH!V8+HH!Z8+HH!AD8))*1000000</f>
        <v>0</v>
      </c>
      <c r="X8" s="59">
        <f>((ACCIDENTES!C8+ACCIDENTES!H8+ACCIDENTES!M8+ACCIDENTES!R8+ACCIDENTES!W8+ACCIDENTES!AB8+ACCIDENTES!AG8+ACCIDENTES!AL8)/(HH!F8+HH!J8+HH!N8+HH!R8+HH!V8+HH!Z8+HH!AD8+HH!AH8))*1000000</f>
        <v>3.5616023649039703</v>
      </c>
      <c r="Y8" s="59">
        <f>((ACCIDENTES!D8+ACCIDENTES!I8+ACCIDENTES!N8+ACCIDENTES!S8+ACCIDENTES!X8+ACCIDENTES!AC8+ACCIDENTES!AH8+ACCIDENTES!AM8)/(HH!F8+HH!J8+HH!N8+HH!R8+HH!V8+HH!Z8+HH!AD8+HH!AH8))*1000000</f>
        <v>334.79062230097321</v>
      </c>
      <c r="Z8" s="59">
        <f>((ACCIDENTES!F8+ACCIDENTES!K8+ACCIDENTES!P8+ACCIDENTES!U8+ACCIDENTES!Z8+ACCIDENTES!AE8+ACCIDENTES!AJ8+ACCIDENTES!AO8)/(HH!F8+HH!J8+HH!N8+HH!R8+HH!V8+HH!Z8+HH!AD8+HH!AH8))*1000000</f>
        <v>3.5616023649039703</v>
      </c>
      <c r="AA8" s="59">
        <f>((ACCIDENTES!AQ8+ACCIDENTES!AL8+ACCIDENTES!AG8+ACCIDENTES!AB8+ACCIDENTES!W8+ACCIDENTES!R8+ACCIDENTES!M8+ACCIDENTES!H8+ACCIDENTES!C8)/(HH!AL8+HH!AH8+HH!AD8+HH!Z8+HH!V8+HH!R8+HH!N8+HH!J8+HH!F8))*1000000</f>
        <v>3.1662102046954899</v>
      </c>
      <c r="AB8" s="59">
        <f>((ACCIDENTES!AR8+ACCIDENTES!AM8+ACCIDENTES!AH8+ACCIDENTES!AC8+ACCIDENTES!X8+ACCIDENTES!S8+ACCIDENTES!N8+ACCIDENTES!I8+ACCIDENTES!D8)/(HH!AL8+HH!AH8+HH!AD8+HH!Z8+HH!V8+HH!R8+HH!N8+HH!J8+HH!F8))*1000000</f>
        <v>297.62375924137604</v>
      </c>
      <c r="AC8" s="59">
        <f>((ACCIDENTES!F8+ACCIDENTES!K8+ACCIDENTES!P8+ACCIDENTES!U8+ACCIDENTES!Z8+ACCIDENTES!AE8+ACCIDENTES!AJ8+ACCIDENTES!AO8+ACCIDENTES!AT8)/(HH!F8+HH!J8+HH!N8+HH!R8+HH!V8+HH!Z8+HH!AD8+HH!AH8+HH!AL8))*1000000</f>
        <v>3.1662102046954899</v>
      </c>
      <c r="AD8" s="59">
        <f>((ACCIDENTES!AV8+ACCIDENTES!AQ8+ACCIDENTES!AL8+ACCIDENTES!AG8+ACCIDENTES!AB8+ACCIDENTES!W8+ACCIDENTES!R8+ACCIDENTES!M8+ACCIDENTES!H8+ACCIDENTES!C8)/(HH!F8+HH!J8+HH!N8+HH!R8+HH!V8+HH!Z8+HH!AD8+HH!AH8+HH!AL8+HH!AP8))*1000000</f>
        <v>5.6870043420278158</v>
      </c>
      <c r="AE8" s="59">
        <f>((ACCIDENTES!D8+ACCIDENTES!I8+ACCIDENTES!N8+ACCIDENTES!S8+ACCIDENTES!X8+ACCIDENTES!AC8+ACCIDENTES!AH8+ACCIDENTES!AM8+ACCIDENTES!AR8+ACCIDENTES!AW8)/(HH!AP8+HH!AL8+HH!AH8+HH!AD8+HH!Z8+HH!V8+HH!R8+HH!N8+HH!J8+HH!F8))*1000000</f>
        <v>272.9762084173351</v>
      </c>
      <c r="AF8" s="59">
        <f>((ACCIDENTES!AY8+ACCIDENTES!AT8+ACCIDENTES!AO8+ACCIDENTES!AJ8+ACCIDENTES!AE8+ACCIDENTES!Z8+ACCIDENTES!U8+ACCIDENTES!P8+ACCIDENTES!K8+ACCIDENTES!F8)/(HH!F8+HH!J8+HH!N8+HH!R8+HH!V8+HH!Z8+HH!AD8+HH!AH8+HH!AL8+HH!AP8))*1000000</f>
        <v>5.6870043420278158</v>
      </c>
      <c r="AG8" s="59">
        <f>((ACCIDENTES!BA8+ACCIDENTES!AV8+ACCIDENTES!AQ8+ACCIDENTES!AL8+ACCIDENTES!AG8+ACCIDENTES!AB8+ACCIDENTES!W8+ACCIDENTES!R8+ACCIDENTES!M8+ACCIDENTES!H8+ACCIDENTES!C8)/(HH!AT8+HH!AP8+HH!AL8+HH!AH8+HH!AD8+HH!Z8+HH!V8+HH!R8+HH!N8+HH!J8+HH!F8))*1000000</f>
        <v>7.7352183200910698</v>
      </c>
      <c r="AH8" s="59">
        <f>((ACCIDENTES!D8+ACCIDENTES!I8+ACCIDENTES!N8+ACCIDENTES!S8+ACCIDENTES!X8+ACCIDENTES!AC8+ACCIDENTES!AH8+ACCIDENTES!AM8+ACCIDENTES!AR8+ACCIDENTES!AW8+ACCIDENTES!BB8)/(HH!F8+HH!J8+HH!N8+HH!R8+HH!V8+HH!Z8+HH!AD8+HH!AH8+HH!AL8+HH!AP8+HH!AT8))*1000000</f>
        <v>252.68379845630824</v>
      </c>
      <c r="AI8" s="59">
        <f>((ACCIDENTES!BD8+ACCIDENTES!AY8+ACCIDENTES!AT8+ACCIDENTES!AO8+ACCIDENTES!AJ8+ACCIDENTES!AE8+ACCIDENTES!Z8+ACCIDENTES!U8+ACCIDENTES!P8+ACCIDENTES!K8+ACCIDENTES!F8)/(HH!F8+HH!J8+HH!N8+HH!R8+HH!V8+HH!Z8+HH!AD8+HH!AH8+HH!AL8+HH!AP8+HH!AT8))*1000000</f>
        <v>7.7352183200910698</v>
      </c>
      <c r="AJ8" s="59">
        <f>(ACCIDENTES!BK8/HH!BB8)*1000000</f>
        <v>9.5233220204203839</v>
      </c>
      <c r="AK8" s="59">
        <f>(ACCIDENTES!BL8/HH!BB8)*1000000</f>
        <v>235.70222000540448</v>
      </c>
      <c r="AL8" s="59">
        <f>(ACCIDENTES!BN8/HH!BB8)*1000000</f>
        <v>9.5233220204203839</v>
      </c>
      <c r="AN8" s="41">
        <f t="shared" si="0"/>
        <v>0</v>
      </c>
      <c r="AO8" s="41">
        <f t="shared" si="1"/>
        <v>0</v>
      </c>
      <c r="AP8" s="40"/>
      <c r="AQ8" s="124"/>
      <c r="AR8" s="41">
        <v>0</v>
      </c>
      <c r="AS8" s="41">
        <v>0</v>
      </c>
      <c r="AT8" s="41">
        <v>0.5</v>
      </c>
      <c r="AV8" s="118">
        <v>0</v>
      </c>
      <c r="AW8" s="60">
        <v>0</v>
      </c>
      <c r="AX8" s="60">
        <v>2.4706815950848857</v>
      </c>
      <c r="AY8" s="63"/>
      <c r="AZ8" s="119">
        <v>0</v>
      </c>
      <c r="BA8" s="120">
        <v>0</v>
      </c>
      <c r="BB8" s="120">
        <v>61.76703987712213</v>
      </c>
      <c r="BC8" s="63"/>
      <c r="BD8" s="119"/>
      <c r="BE8" s="120"/>
      <c r="BF8" s="120"/>
    </row>
    <row r="9" spans="1:65" outlineLevel="2" x14ac:dyDescent="0.3">
      <c r="A9" s="3" t="s">
        <v>25</v>
      </c>
      <c r="B9" s="4" t="s">
        <v>31</v>
      </c>
      <c r="C9" s="58">
        <f>(ACCIDENTES!C9/HH!F9)*1000000</f>
        <v>6.1688449886462404</v>
      </c>
      <c r="D9" s="59">
        <f>(ACCIDENTES!D9/HH!F9)*1000000</f>
        <v>1110.3920979563234</v>
      </c>
      <c r="E9" s="59">
        <f>(ACCIDENTES!F9/HH!F9)*1000000</f>
        <v>6.1688449886462404</v>
      </c>
      <c r="F9" s="59">
        <f>((ACCIDENTES!C9+ACCIDENTES!H9)/(HH!F9+HH!J9))*1000000</f>
        <v>3.155679615840187</v>
      </c>
      <c r="G9" s="59">
        <f>((ACCIDENTES!D9+ACCIDENTES!I9)/(HH!F9+HH!J9))*1000000</f>
        <v>568.02233085123362</v>
      </c>
      <c r="H9" s="59">
        <f>((ACCIDENTES!F9+ACCIDENTES!K9)/(HH!F9+HH!J9))*1000000</f>
        <v>3.155679615840187</v>
      </c>
      <c r="I9" s="59">
        <f>((ACCIDENTES!C9+ACCIDENTES!H9+ACCIDENTES!M9)/(HH!F9+HH!J9+HH!N9))*1000000</f>
        <v>2.1133979603384945</v>
      </c>
      <c r="J9" s="59">
        <f>((ACCIDENTES!D9+ACCIDENTES!I9+ACCIDENTES!N9)/(HH!F9+HH!J9+HH!N9))*1000000</f>
        <v>380.41163286092899</v>
      </c>
      <c r="K9" s="59">
        <f>((ACCIDENTES!F9+ACCIDENTES!K9+ACCIDENTES!P9)/(HH!J9+HH!N9+HH!F9))*1000000</f>
        <v>2.1133979603384945</v>
      </c>
      <c r="L9" s="59">
        <f>((ACCIDENTES!C9+ACCIDENTES!H9+ACCIDENTES!M9+ACCIDENTES!R9)/(HH!F9+HH!J9+HH!N9+HH!R9))*1000000</f>
        <v>1.5618309750596679</v>
      </c>
      <c r="M9" s="59">
        <f>((ACCIDENTES!D9+ACCIDENTES!I9+ACCIDENTES!N9+ACCIDENTES!S9)/(HH!F9+HH!J9+HH!N9+HH!R9))*1000000</f>
        <v>281.12957551074027</v>
      </c>
      <c r="N9" s="59">
        <f>((ACCIDENTES!F9+ACCIDENTES!K9+ACCIDENTES!P9+ACCIDENTES!U9)/(HH!F9+HH!J9+HH!N9+HH!R9))*1000000</f>
        <v>4.6854929251790045</v>
      </c>
      <c r="O9" s="59">
        <f>((ACCIDENTES!C9+ACCIDENTES!H9+ACCIDENTES!M9+ACCIDENTES!R9+ACCIDENTES!W9)/(HH!F9+HH!J9+HH!N9+HH!R9+HH!V9))*1000000</f>
        <v>1.2359177217438775</v>
      </c>
      <c r="P9" s="59">
        <f>(((ACCIDENTES!D9+ACCIDENTES!I9+ACCIDENTES!N9+ACCIDENTES!S9+ACCIDENTES!X9)/(HH!F9+HH!J9+HH!N9+HH!R9+HH!V9))*1000000)</f>
        <v>222.46518991389797</v>
      </c>
      <c r="Q9" s="59">
        <f>((ACCIDENTES!F9+ACCIDENTES!K9+ACCIDENTES!P9+ACCIDENTES!U9+ACCIDENTES!Z9)/(HH!F9+HH!J9+HH!N9+HH!R9+HH!V9))*1000000</f>
        <v>3.7077531652316327</v>
      </c>
      <c r="R9" s="59">
        <f>(ACCIDENTES!C9+ACCIDENTES!H9+ACCIDENTES!M9+ACCIDENTES!R9+ACCIDENTES!W9+ACCIDENTES!AB9)*1000000/(HH!F9+HH!J9+HH!N9+HH!R9+HH!V9+HH!Z9)</f>
        <v>1.0301838193045221</v>
      </c>
      <c r="S9" s="59">
        <f>(ACCIDENTES!D9+ACCIDENTES!I9+ACCIDENTES!N9+ACCIDENTES!S9+ACCIDENTES!X9+ACCIDENTES!AC9)*1000000/(HH!F9+HH!J9+HH!N9+HH!R9+HH!V9+HH!Z9)</f>
        <v>185.43308747481396</v>
      </c>
      <c r="T9" s="59">
        <f>(ACCIDENTES!F9+ACCIDENTES!K9+ACCIDENTES!P9+ACCIDENTES!U9+ACCIDENTES!Z9+ACCIDENTES!AE9)*1000000/(HH!F9+HH!J9+HH!N9+HH!R9+HH!V9+HH!Z9)</f>
        <v>3.0905514579135662</v>
      </c>
      <c r="U9" s="59">
        <f>((ACCIDENTES!C9+ACCIDENTES!H9+ACCIDENTES!M9+ACCIDENTES!R9+ACCIDENTES!W9+ACCIDENTES!AB9+ACCIDENTES!AG9)/(HH!F9+HH!J9+HH!N9+HH!R9+HH!V9+HH!Z9+HH!AD9))*1000000</f>
        <v>0.88413182741516871</v>
      </c>
      <c r="V9" s="59">
        <f>((ACCIDENTES!D9+ACCIDENTES!I9+ACCIDENTES!N9+ACCIDENTES!S9+ACCIDENTES!X9+ACCIDENTES!AC9+ACCIDENTES!AH9)/(HH!F9+HH!J9+HH!N9+HH!R9+HH!V9+HH!Z9+HH!AD9))*1000000</f>
        <v>159.14372893473035</v>
      </c>
      <c r="W9" s="59">
        <f>((ACCIDENTES!F9+ACCIDENTES!K9+ACCIDENTES!P9+ACCIDENTES!U9+ACCIDENTES!Z9+ACCIDENTES!AE9+ACCIDENTES!AJ9)/(HH!F9+HH!J9+HH!N9+HH!R9+HH!V9+HH!Z9+HH!AD9))*1000000</f>
        <v>3.5365273096606749</v>
      </c>
      <c r="X9" s="59">
        <f>((ACCIDENTES!C9+ACCIDENTES!H9+ACCIDENTES!M9+ACCIDENTES!R9+ACCIDENTES!W9+ACCIDENTES!AB9+ACCIDENTES!AG9+ACCIDENTES!AL9)/(HH!F9+HH!J9+HH!N9+HH!R9+HH!V9+HH!Z9+HH!AD9+HH!AH9))*1000000</f>
        <v>1.5491452184606525</v>
      </c>
      <c r="Y9" s="59">
        <f>((ACCIDENTES!D9+ACCIDENTES!I9+ACCIDENTES!N9+ACCIDENTES!S9+ACCIDENTES!X9+ACCIDENTES!AC9+ACCIDENTES!AH9+ACCIDENTES!AM9)/(HH!F9+HH!J9+HH!N9+HH!R9+HH!V9+HH!Z9+HH!AD9+HH!AH9))*1000000</f>
        <v>244.76494451678312</v>
      </c>
      <c r="Z9" s="59">
        <f>((ACCIDENTES!F9+ACCIDENTES!K9+ACCIDENTES!P9+ACCIDENTES!U9+ACCIDENTES!Z9+ACCIDENTES!AE9+ACCIDENTES!AJ9+ACCIDENTES!AO9)/(HH!F9+HH!J9+HH!N9+HH!R9+HH!V9+HH!Z9+HH!AD9+HH!AH9))*1000000</f>
        <v>3.8728630461516316</v>
      </c>
      <c r="AA9" s="59">
        <f>((ACCIDENTES!AQ9+ACCIDENTES!AL9+ACCIDENTES!AG9+ACCIDENTES!AB9+ACCIDENTES!W9+ACCIDENTES!R9+ACCIDENTES!M9+ACCIDENTES!H9+ACCIDENTES!C9)/(HH!AL9+HH!AH9+HH!AD9+HH!Z9+HH!V9+HH!R9+HH!N9+HH!J9+HH!F9))*1000000</f>
        <v>4.1290470338371286</v>
      </c>
      <c r="AB9" s="59">
        <f>((ACCIDENTES!AR9+ACCIDENTES!AM9+ACCIDENTES!AH9+ACCIDENTES!AC9+ACCIDENTES!X9+ACCIDENTES!S9+ACCIDENTES!N9+ACCIDENTES!I9+ACCIDENTES!D9)/(HH!AL9+HH!AH9+HH!AD9+HH!Z9+HH!V9+HH!R9+HH!N9+HH!J9+HH!F9))*1000000</f>
        <v>227.78576136668158</v>
      </c>
      <c r="AC9" s="59">
        <f>((ACCIDENTES!F9+ACCIDENTES!K9+ACCIDENTES!P9+ACCIDENTES!U9+ACCIDENTES!Z9+ACCIDENTES!AE9+ACCIDENTES!AJ9+ACCIDENTES!AO9+ACCIDENTES!AT9)/(HH!F9+HH!J9+HH!N9+HH!R9+HH!V9+HH!Z9+HH!AD9+HH!AH9+HH!AL9))*1000000</f>
        <v>7.5699195620347348</v>
      </c>
      <c r="AD9" s="59">
        <f>((ACCIDENTES!AV9+ACCIDENTES!AQ9+ACCIDENTES!AL9+ACCIDENTES!AG9+ACCIDENTES!AB9+ACCIDENTES!W9+ACCIDENTES!R9+ACCIDENTES!M9+ACCIDENTES!H9+ACCIDENTES!C9)/(HH!F9+HH!J9+HH!N9+HH!R9+HH!V9+HH!Z9+HH!AD9+HH!AH9+HH!AL9+HH!AP9))*1000000</f>
        <v>4.3202921406232884</v>
      </c>
      <c r="AE9" s="59">
        <f>((ACCIDENTES!D9+ACCIDENTES!I9+ACCIDENTES!N9+ACCIDENTES!S9+ACCIDENTES!X9+ACCIDENTES!AC9+ACCIDENTES!AH9+ACCIDENTES!AM9+ACCIDENTES!AR9+ACCIDENTES!AW9)/(HH!AP9+HH!AL9+HH!AH9+HH!AD9+HH!Z9+HH!V9+HH!R9+HH!N9+HH!J9+HH!F9))*1000000</f>
        <v>209.22557652447065</v>
      </c>
      <c r="AF9" s="59">
        <f>((ACCIDENTES!AY9+ACCIDENTES!AT9+ACCIDENTES!AO9+ACCIDENTES!AJ9+ACCIDENTES!AE9+ACCIDENTES!Z9+ACCIDENTES!U9+ACCIDENTES!P9+ACCIDENTES!K9+ACCIDENTES!F9)/(HH!F9+HH!J9+HH!N9+HH!R9+HH!V9+HH!Z9+HH!AD9+HH!AH9+HH!AL9+HH!AP9))*1000000</f>
        <v>7.4062150982113506</v>
      </c>
      <c r="AG9" s="59">
        <f>((ACCIDENTES!BA9+ACCIDENTES!AV9+ACCIDENTES!AQ9+ACCIDENTES!AL9+ACCIDENTES!AG9+ACCIDENTES!AB9+ACCIDENTES!W9+ACCIDENTES!R9+ACCIDENTES!M9+ACCIDENTES!H9+ACCIDENTES!C9)/(HH!AT9+HH!AP9+HH!AL9+HH!AH9+HH!AD9+HH!Z9+HH!V9+HH!R9+HH!N9+HH!J9+HH!F9))*1000000</f>
        <v>3.9204950487507961</v>
      </c>
      <c r="AH9" s="59">
        <f>((ACCIDENTES!D9+ACCIDENTES!I9+ACCIDENTES!N9+ACCIDENTES!S9+ACCIDENTES!X9+ACCIDENTES!AC9+ACCIDENTES!AH9+ACCIDENTES!AM9+ACCIDENTES!AR9+ACCIDENTES!AW9+ACCIDENTES!BB9)/(HH!F9+HH!J9+HH!N9+HH!R9+HH!V9+HH!Z9+HH!AD9+HH!AH9+HH!AL9+HH!AP9+HH!AT9))*1000000</f>
        <v>189.86397450378857</v>
      </c>
      <c r="AI9" s="59">
        <f>((ACCIDENTES!BD9+ACCIDENTES!AY9+ACCIDENTES!AT9+ACCIDENTES!AO9+ACCIDENTES!AJ9+ACCIDENTES!AE9+ACCIDENTES!Z9+ACCIDENTES!U9+ACCIDENTES!P9+ACCIDENTES!K9+ACCIDENTES!F9)/(HH!F9+HH!J9+HH!N9+HH!R9+HH!V9+HH!Z9+HH!AD9+HH!AH9+HH!AL9+HH!AP9+HH!AT9))*1000000</f>
        <v>7.8409900975015923</v>
      </c>
      <c r="AJ9" s="59">
        <f>(ACCIDENTES!BK9/HH!BB9)*1000000</f>
        <v>3.584975021430469</v>
      </c>
      <c r="AK9" s="59">
        <f>(ACCIDENTES!BL9/HH!BB9)*1000000</f>
        <v>173.61521889498985</v>
      </c>
      <c r="AL9" s="59">
        <f>(ACCIDENTES!BN9/HH!BB9)*1000000</f>
        <v>7.6820893316367194</v>
      </c>
      <c r="AN9" s="41">
        <f t="shared" si="0"/>
        <v>2.4177655025904348</v>
      </c>
      <c r="AO9" s="41">
        <f t="shared" si="1"/>
        <v>20.8532274598425</v>
      </c>
      <c r="AP9" s="42"/>
      <c r="AQ9" s="125"/>
      <c r="AR9" s="41">
        <v>3.6236356655017756</v>
      </c>
      <c r="AS9" s="41">
        <v>31.253857614952814</v>
      </c>
      <c r="AT9" s="41">
        <v>1.3</v>
      </c>
      <c r="AV9" s="118">
        <v>2.0723704307918012</v>
      </c>
      <c r="AW9" s="60">
        <v>2.4177655025904348</v>
      </c>
      <c r="AX9" s="60">
        <v>2.7631605743890688</v>
      </c>
      <c r="AY9" s="63"/>
      <c r="AZ9" s="119">
        <v>17.874194965579285</v>
      </c>
      <c r="BA9" s="120">
        <v>20.8532274598425</v>
      </c>
      <c r="BB9" s="120">
        <v>23.832259954105719</v>
      </c>
      <c r="BC9" s="63"/>
      <c r="BD9" s="119"/>
      <c r="BE9" s="120"/>
      <c r="BF9" s="120"/>
    </row>
    <row r="10" spans="1:65" outlineLevel="2" x14ac:dyDescent="0.3">
      <c r="A10" s="3" t="s">
        <v>25</v>
      </c>
      <c r="B10" s="4" t="s">
        <v>32</v>
      </c>
      <c r="C10" s="58">
        <f>(ACCIDENTES!C10/HH!F10)*1000000</f>
        <v>28.675479597396269</v>
      </c>
      <c r="D10" s="59">
        <f>(ACCIDENTES!D10/HH!F10)*1000000</f>
        <v>5161.5863275313277</v>
      </c>
      <c r="E10" s="59">
        <f>(ACCIDENTES!F10/HH!F10)*1000000</f>
        <v>28.675479597396269</v>
      </c>
      <c r="F10" s="59">
        <f>((ACCIDENTES!C10+ACCIDENTES!H10)/(HH!F10+HH!J10))*1000000</f>
        <v>14.166111827286764</v>
      </c>
      <c r="G10" s="59">
        <f>((ACCIDENTES!D10+ACCIDENTES!I10)/(HH!F10+HH!J10))*1000000</f>
        <v>2549.9001289116177</v>
      </c>
      <c r="H10" s="59">
        <f>((ACCIDENTES!F10+ACCIDENTES!K10)/(HH!F10+HH!J10))*1000000</f>
        <v>14.166111827286764</v>
      </c>
      <c r="I10" s="59">
        <f>((ACCIDENTES!C10+ACCIDENTES!H10+ACCIDENTES!M10)/(HH!F10+HH!J10+HH!N10))*1000000</f>
        <v>18.585287886109356</v>
      </c>
      <c r="J10" s="59">
        <f>((ACCIDENTES!D10+ACCIDENTES!I10+ACCIDENTES!N10)/(HH!F10+HH!J10+HH!N10))*1000000</f>
        <v>1728.4317734081701</v>
      </c>
      <c r="K10" s="59">
        <f>((ACCIDENTES!F10+ACCIDENTES!K10+ACCIDENTES!P10)/(HH!J10+HH!N10+HH!F10))*1000000</f>
        <v>18.585287886109356</v>
      </c>
      <c r="L10" s="59">
        <f>((ACCIDENTES!C10+ACCIDENTES!H10+ACCIDENTES!M10+ACCIDENTES!R10)/(HH!F10+HH!J10+HH!N10+HH!R10))*1000000</f>
        <v>13.849840034347602</v>
      </c>
      <c r="M10" s="59">
        <f>((ACCIDENTES!D10+ACCIDENTES!I10+ACCIDENTES!N10+ACCIDENTES!S10)/(HH!F10+HH!J10+HH!N10+HH!R10))*1000000</f>
        <v>1288.0351231943271</v>
      </c>
      <c r="N10" s="59">
        <f>((ACCIDENTES!F10+ACCIDENTES!K10+ACCIDENTES!P10+ACCIDENTES!U10)/(HH!F10+HH!J10+HH!N10+HH!R10))*1000000</f>
        <v>20.774760051521405</v>
      </c>
      <c r="O10" s="59">
        <f>((ACCIDENTES!C10+ACCIDENTES!H10+ACCIDENTES!M10+ACCIDENTES!R10+ACCIDENTES!W10)/(HH!F10+HH!J10+HH!N10+HH!R10+HH!V10))*1000000</f>
        <v>11.189718886287279</v>
      </c>
      <c r="P10" s="59">
        <f>(((ACCIDENTES!D10+ACCIDENTES!I10+ACCIDENTES!N10+ACCIDENTES!S10+ACCIDENTES!X10)/(HH!F10+HH!J10+HH!N10+HH!R10+HH!V10))*1000000)</f>
        <v>1040.6438564247169</v>
      </c>
      <c r="Q10" s="59">
        <f>((ACCIDENTES!F10+ACCIDENTES!K10+ACCIDENTES!P10+ACCIDENTES!U10+ACCIDENTES!Z10)/(HH!F10+HH!J10+HH!N10+HH!R10+HH!V10))*1000000</f>
        <v>16.784578329430918</v>
      </c>
      <c r="R10" s="59">
        <f>(ACCIDENTES!C10+ACCIDENTES!H10+ACCIDENTES!M10+ACCIDENTES!R10+ACCIDENTES!W10+ACCIDENTES!AB10)*1000000/(HH!F10+HH!J10+HH!N10+HH!R10+HH!V10+HH!Z10)</f>
        <v>9.4057007952520024</v>
      </c>
      <c r="S10" s="59">
        <f>(ACCIDENTES!D10+ACCIDENTES!I10+ACCIDENTES!N10+ACCIDENTES!S10+ACCIDENTES!X10+ACCIDENTES!AC10)*1000000/(HH!F10+HH!J10+HH!N10+HH!R10+HH!V10+HH!Z10)</f>
        <v>874.73017395843624</v>
      </c>
      <c r="T10" s="59">
        <f>(ACCIDENTES!F10+ACCIDENTES!K10+ACCIDENTES!P10+ACCIDENTES!U10+ACCIDENTES!Z10+ACCIDENTES!AE10)*1000000/(HH!F10+HH!J10+HH!N10+HH!R10+HH!V10+HH!Z10)</f>
        <v>14.108551192878004</v>
      </c>
      <c r="U10" s="59">
        <f>((ACCIDENTES!C10+ACCIDENTES!H10+ACCIDENTES!M10+ACCIDENTES!R10+ACCIDENTES!W10+ACCIDENTES!AB10+ACCIDENTES!AG10)/(HH!F10+HH!J10+HH!N10+HH!R10+HH!V10+HH!Z10+HH!AD10))*1000000</f>
        <v>8.0772018957192859</v>
      </c>
      <c r="V10" s="59">
        <f>((ACCIDENTES!D10+ACCIDENTES!I10+ACCIDENTES!N10+ACCIDENTES!S10+ACCIDENTES!X10+ACCIDENTES!AC10+ACCIDENTES!AH10)/(HH!F10+HH!J10+HH!N10+HH!R10+HH!V10+HH!Z10+HH!AD10))*1000000</f>
        <v>751.17977630189341</v>
      </c>
      <c r="W10" s="59">
        <f>((ACCIDENTES!F10+ACCIDENTES!K10+ACCIDENTES!P10+ACCIDENTES!U10+ACCIDENTES!Z10+ACCIDENTES!AE10+ACCIDENTES!AJ10)/(HH!F10+HH!J10+HH!N10+HH!R10+HH!V10+HH!Z10+HH!AD10))*1000000</f>
        <v>12.115802843578926</v>
      </c>
      <c r="X10" s="59">
        <f>((ACCIDENTES!C10+ACCIDENTES!H10+ACCIDENTES!M10+ACCIDENTES!R10+ACCIDENTES!W10+ACCIDENTES!AB10+ACCIDENTES!AG10+ACCIDENTES!AL10)/(HH!F10+HH!J10+HH!N10+HH!R10+HH!V10+HH!Z10+HH!AD10+HH!AH10))*1000000</f>
        <v>7.1067270501575033</v>
      </c>
      <c r="Y10" s="59">
        <f>((ACCIDENTES!D10+ACCIDENTES!I10+ACCIDENTES!N10+ACCIDENTES!S10+ACCIDENTES!X10+ACCIDENTES!AC10+ACCIDENTES!AH10+ACCIDENTES!AM10)/(HH!F10+HH!J10+HH!N10+HH!R10+HH!V10+HH!Z10+HH!AD10+HH!AH10))*1000000</f>
        <v>660.92561566464781</v>
      </c>
      <c r="Z10" s="59">
        <f>((ACCIDENTES!F10+ACCIDENTES!K10+ACCIDENTES!P10+ACCIDENTES!U10+ACCIDENTES!Z10+ACCIDENTES!AE10+ACCIDENTES!AJ10+ACCIDENTES!AO10)/(HH!F10+HH!J10+HH!N10+HH!R10+HH!V10+HH!Z10+HH!AD10+HH!AH10))*1000000</f>
        <v>10.660090575236254</v>
      </c>
      <c r="AA10" s="59">
        <f>((ACCIDENTES!AQ10+ACCIDENTES!AL10+ACCIDENTES!AG10+ACCIDENTES!AB10+ACCIDENTES!W10+ACCIDENTES!R10+ACCIDENTES!M10+ACCIDENTES!H10+ACCIDENTES!C10)/(HH!AL10+HH!AH10+HH!AD10+HH!Z10+HH!V10+HH!R10+HH!N10+HH!J10+HH!F10))*1000000</f>
        <v>6.3459427215209958</v>
      </c>
      <c r="AB10" s="59">
        <f>((ACCIDENTES!AR10+ACCIDENTES!AM10+ACCIDENTES!AH10+ACCIDENTES!AC10+ACCIDENTES!X10+ACCIDENTES!S10+ACCIDENTES!N10+ACCIDENTES!I10+ACCIDENTES!D10)/(HH!AL10+HH!AH10+HH!AD10+HH!Z10+HH!V10+HH!R10+HH!N10+HH!J10+HH!F10))*1000000</f>
        <v>590.17267310145257</v>
      </c>
      <c r="AC10" s="59">
        <f>((ACCIDENTES!F10+ACCIDENTES!K10+ACCIDENTES!P10+ACCIDENTES!U10+ACCIDENTES!Z10+ACCIDENTES!AE10+ACCIDENTES!AJ10+ACCIDENTES!AO10+ACCIDENTES!AT10)/(HH!F10+HH!J10+HH!N10+HH!R10+HH!V10+HH!Z10+HH!AD10+HH!AH10+HH!AL10))*1000000</f>
        <v>9.5189140822814942</v>
      </c>
      <c r="AD10" s="59">
        <f>((ACCIDENTES!AV10+ACCIDENTES!AQ10+ACCIDENTES!AL10+ACCIDENTES!AG10+ACCIDENTES!AB10+ACCIDENTES!W10+ACCIDENTES!R10+ACCIDENTES!M10+ACCIDENTES!H10+ACCIDENTES!C10)/(HH!F10+HH!J10+HH!N10+HH!R10+HH!V10+HH!Z10+HH!AD10+HH!AH10+HH!AL10+HH!AP10))*1000000</f>
        <v>5.6945176031775402</v>
      </c>
      <c r="AE10" s="59">
        <f>((ACCIDENTES!D10+ACCIDENTES!I10+ACCIDENTES!N10+ACCIDENTES!S10+ACCIDENTES!X10+ACCIDENTES!AC10+ACCIDENTES!AH10+ACCIDENTES!AM10+ACCIDENTES!AR10+ACCIDENTES!AW10)/(HH!AP10+HH!AL10+HH!AH10+HH!AD10+HH!Z10+HH!V10+HH!R10+HH!N10+HH!J10+HH!F10))*1000000</f>
        <v>529.5901370955113</v>
      </c>
      <c r="AF10" s="59">
        <f>((ACCIDENTES!AY10+ACCIDENTES!AT10+ACCIDENTES!AO10+ACCIDENTES!AJ10+ACCIDENTES!AE10+ACCIDENTES!Z10+ACCIDENTES!U10+ACCIDENTES!P10+ACCIDENTES!K10+ACCIDENTES!F10)/(HH!F10+HH!J10+HH!N10+HH!R10+HH!V10+HH!Z10+HH!AD10+HH!AH10+HH!AL10+HH!AP10))*1000000</f>
        <v>8.5417764047663116</v>
      </c>
      <c r="AG10" s="59">
        <f>((ACCIDENTES!BA10+ACCIDENTES!AV10+ACCIDENTES!AQ10+ACCIDENTES!AL10+ACCIDENTES!AG10+ACCIDENTES!AB10+ACCIDENTES!W10+ACCIDENTES!R10+ACCIDENTES!M10+ACCIDENTES!H10+ACCIDENTES!C10)/(HH!AT10+HH!AP10+HH!AL10+HH!AH10+HH!AD10+HH!Z10+HH!V10+HH!R10+HH!N10+HH!J10+HH!F10))*1000000</f>
        <v>5.1820318228574243</v>
      </c>
      <c r="AH10" s="59">
        <f>((ACCIDENTES!D10+ACCIDENTES!I10+ACCIDENTES!N10+ACCIDENTES!S10+ACCIDENTES!X10+ACCIDENTES!AC10+ACCIDENTES!AH10+ACCIDENTES!AM10+ACCIDENTES!AR10+ACCIDENTES!AW10+ACCIDENTES!BB10)/(HH!F10+HH!J10+HH!N10+HH!R10+HH!V10+HH!Z10+HH!AD10+HH!AH10+HH!AL10+HH!AP10+HH!AT10))*1000000</f>
        <v>481.92895952574042</v>
      </c>
      <c r="AI10" s="59">
        <f>((ACCIDENTES!BD10+ACCIDENTES!AY10+ACCIDENTES!AT10+ACCIDENTES!AO10+ACCIDENTES!AJ10+ACCIDENTES!AE10+ACCIDENTES!Z10+ACCIDENTES!U10+ACCIDENTES!P10+ACCIDENTES!K10+ACCIDENTES!F10)/(HH!F10+HH!J10+HH!N10+HH!R10+HH!V10+HH!Z10+HH!AD10+HH!AH10+HH!AL10+HH!AP10+HH!AT10))*1000000</f>
        <v>7.7730477342861368</v>
      </c>
      <c r="AJ10" s="59">
        <f>(ACCIDENTES!BK10/HH!BB10)*1000000</f>
        <v>4.7549760824703053</v>
      </c>
      <c r="AK10" s="59">
        <f>(ACCIDENTES!BL10/HH!BB10)*1000000</f>
        <v>442.21277566973839</v>
      </c>
      <c r="AL10" s="59">
        <f>(ACCIDENTES!BN10/HH!BB10)*1000000</f>
        <v>7.132464123705458</v>
      </c>
      <c r="AN10" s="41">
        <f t="shared" si="0"/>
        <v>7.4660139047753988</v>
      </c>
      <c r="AO10" s="41">
        <f t="shared" si="1"/>
        <v>99.546852063672006</v>
      </c>
      <c r="AP10" s="40"/>
      <c r="AQ10" s="125"/>
      <c r="AR10" s="41">
        <v>10.665734149679146</v>
      </c>
      <c r="AS10" s="41">
        <v>142.2097886623886</v>
      </c>
      <c r="AT10" s="41">
        <v>2.1</v>
      </c>
      <c r="AV10" s="118">
        <v>6.3994404898074855</v>
      </c>
      <c r="AW10" s="60">
        <v>7.4660139047753988</v>
      </c>
      <c r="AX10" s="60">
        <v>8.5325873197433157</v>
      </c>
      <c r="AY10" s="63"/>
      <c r="AZ10" s="119">
        <v>85.32587319743314</v>
      </c>
      <c r="BA10" s="120">
        <v>99.546852063672006</v>
      </c>
      <c r="BB10" s="120">
        <v>113.76783092991087</v>
      </c>
      <c r="BC10" s="63"/>
      <c r="BD10" s="119"/>
      <c r="BE10" s="120"/>
      <c r="BF10" s="120"/>
    </row>
    <row r="11" spans="1:65" ht="15.6" customHeight="1" outlineLevel="2" x14ac:dyDescent="0.3">
      <c r="A11" s="3" t="s">
        <v>25</v>
      </c>
      <c r="B11" s="5" t="s">
        <v>33</v>
      </c>
      <c r="C11" s="196">
        <f>(ACCIDENTES!C11/HH!F11)*1000000</f>
        <v>0</v>
      </c>
      <c r="D11" s="197">
        <f>(ACCIDENTES!D11/HH!F11)*1000000</f>
        <v>0</v>
      </c>
      <c r="E11" s="197">
        <f>(ACCIDENTES!F11/HH!F11)*1000000</f>
        <v>0</v>
      </c>
      <c r="F11" s="197">
        <f>((ACCIDENTES!C11+ACCIDENTES!H11)/(HH!F11+HH!J11))*1000000</f>
        <v>0</v>
      </c>
      <c r="G11" s="197">
        <f>((ACCIDENTES!D11+ACCIDENTES!I11)/(HH!F11+HH!J11))*1000000</f>
        <v>0</v>
      </c>
      <c r="H11" s="197">
        <f>((ACCIDENTES!F11+ACCIDENTES!K11)/(HH!F11+HH!J11))*1000000</f>
        <v>0</v>
      </c>
      <c r="I11" s="197">
        <f>((ACCIDENTES!C11+ACCIDENTES!H11+ACCIDENTES!M11)/(HH!F11+HH!J11+HH!N11))*1000000</f>
        <v>0</v>
      </c>
      <c r="J11" s="197">
        <f>((ACCIDENTES!D11+ACCIDENTES!I11+ACCIDENTES!N11)/(HH!F11+HH!J11+HH!N11))*1000000</f>
        <v>0</v>
      </c>
      <c r="K11" s="197">
        <f>((ACCIDENTES!F11+ACCIDENTES!K11+ACCIDENTES!P11)/(HH!J11+HH!N11+HH!F11))*1000000</f>
        <v>26.161163229961858</v>
      </c>
      <c r="L11" s="197">
        <f>((ACCIDENTES!C11+ACCIDENTES!H11+ACCIDENTES!M11+ACCIDENTES!R11)/(HH!F11+HH!J11+HH!N11+HH!R11))*1000000</f>
        <v>3.9100684261974581</v>
      </c>
      <c r="M11" s="197">
        <f>((ACCIDENTES!D11+ACCIDENTES!I11+ACCIDENTES!N11+ACCIDENTES!S11)/(HH!F11+HH!J11+HH!N11+HH!R11))*1000000</f>
        <v>465.29814271749757</v>
      </c>
      <c r="N11" s="197">
        <f>((ACCIDENTES!F11+ACCIDENTES!K11+ACCIDENTES!P11+ACCIDENTES!U11)/(HH!F11+HH!J11+HH!N11+HH!R11))*1000000</f>
        <v>23.460410557184751</v>
      </c>
      <c r="O11" s="197">
        <f>((ACCIDENTES!C11+ACCIDENTES!H11+ACCIDENTES!M11+ACCIDENTES!R11+ACCIDENTES!W11)/(HH!F11+HH!J11+HH!N11+HH!R11+HH!V11))*1000000</f>
        <v>9.3479056796316922</v>
      </c>
      <c r="P11" s="197">
        <f>(((ACCIDENTES!D11+ACCIDENTES!I11+ACCIDENTES!N11+ACCIDENTES!S11+ACCIDENTES!X11)/(HH!F11+HH!J11+HH!N11+HH!R11+HH!V11))*1000000)</f>
        <v>414.42381846367169</v>
      </c>
      <c r="Q11" s="197">
        <f>((ACCIDENTES!F11+ACCIDENTES!K11+ACCIDENTES!P11+ACCIDENTES!U11+ACCIDENTES!Z11)/(HH!F11+HH!J11+HH!N11+HH!R11+HH!V11))*1000000</f>
        <v>24.927748479017847</v>
      </c>
      <c r="R11" s="197">
        <f>(ACCIDENTES!C11+ACCIDENTES!H11+ACCIDENTES!M11+ACCIDENTES!R11+ACCIDENTES!W11+ACCIDENTES!AB11)*1000000/(HH!F11+HH!J11+HH!N11+HH!R11+HH!V11+HH!Z11)</f>
        <v>7.8560252440277845</v>
      </c>
      <c r="S11" s="197">
        <f>(ACCIDENTES!D11+ACCIDENTES!I11+ACCIDENTES!N11+ACCIDENTES!S11+ACCIDENTES!X11+ACCIDENTES!AC11)*1000000/(HH!F11+HH!J11+HH!N11+HH!R11+HH!V11+HH!Z11)</f>
        <v>348.28378581856509</v>
      </c>
      <c r="T11" s="197">
        <f>(ACCIDENTES!F11+ACCIDENTES!K11+ACCIDENTES!P11+ACCIDENTES!U11+ACCIDENTES!Z11+ACCIDENTES!AE11)*1000000/(HH!F11+HH!J11+HH!N11+HH!R11+HH!V11+HH!Z11)</f>
        <v>20.949400650740756</v>
      </c>
      <c r="U11" s="59">
        <f>((ACCIDENTES!C11+ACCIDENTES!H11+ACCIDENTES!M11+ACCIDENTES!R11+ACCIDENTES!W11+ACCIDENTES!AB11+ACCIDENTES!AG11)/(HH!F11+HH!J11+HH!N11+HH!R11+HH!V11+HH!Z11+HH!AD11))*1000000</f>
        <v>6.7009756620563952</v>
      </c>
      <c r="V11" s="59">
        <f>((ACCIDENTES!D11+ACCIDENTES!I11+ACCIDENTES!N11+ACCIDENTES!S11+ACCIDENTES!X11+ACCIDENTES!AC11+ACCIDENTES!AH11)/(HH!F11+HH!J11+HH!N11+HH!R11+HH!V11+HH!Z11+HH!AD11))*1000000</f>
        <v>297.07658768450023</v>
      </c>
      <c r="W11" s="59">
        <f>((ACCIDENTES!F11+ACCIDENTES!K11+ACCIDENTES!P11+ACCIDENTES!U11+ACCIDENTES!Z11+ACCIDENTES!AE11+ACCIDENTES!AJ11)/(HH!F11+HH!J11+HH!N11+HH!R11+HH!V11+HH!Z11+HH!AD11))*1000000</f>
        <v>24.570244094206782</v>
      </c>
      <c r="X11" s="59">
        <f>((ACCIDENTES!C11+ACCIDENTES!H11+ACCIDENTES!M11+ACCIDENTES!R11+ACCIDENTES!W11+ACCIDENTES!AB11+ACCIDENTES!AG11+ACCIDENTES!AL11)/(HH!F11+HH!J11+HH!N11+HH!R11+HH!V11+HH!Z11+HH!AD11+HH!AH11))*1000000</f>
        <v>5.8743362000093988</v>
      </c>
      <c r="Y11" s="59">
        <f>((ACCIDENTES!D11+ACCIDENTES!I11+ACCIDENTES!N11+ACCIDENTES!S11+ACCIDENTES!X11+ACCIDENTES!AC11+ACCIDENTES!AH11+ACCIDENTES!AM11)/(HH!F11+HH!J11+HH!N11+HH!R11+HH!V11+HH!Z11+HH!AD11+HH!AH11))*1000000</f>
        <v>260.4289048670833</v>
      </c>
      <c r="Z11" s="59">
        <f>((ACCIDENTES!F11+ACCIDENTES!K11+ACCIDENTES!P11+ACCIDENTES!U11+ACCIDENTES!Z11+ACCIDENTES!AE11+ACCIDENTES!AJ11+ACCIDENTES!AO11)/(HH!F11+HH!J11+HH!N11+HH!R11+HH!V11+HH!Z11+HH!AD11+HH!AH11))*1000000</f>
        <v>23.497344800037595</v>
      </c>
      <c r="AA11" s="59">
        <f>((ACCIDENTES!AQ11+ACCIDENTES!AL11+ACCIDENTES!AG11+ACCIDENTES!AB11+ACCIDENTES!W11+ACCIDENTES!R11+ACCIDENTES!M11+ACCIDENTES!H11+ACCIDENTES!C11)/(HH!AL11+HH!AH11+HH!AD11+HH!Z11+HH!V11+HH!R11+HH!N11+HH!J11+HH!F11))*1000000</f>
        <v>5.2037209935485302</v>
      </c>
      <c r="AB11" s="59">
        <f>((ACCIDENTES!AR11+ACCIDENTES!AM11+ACCIDENTES!AH11+ACCIDENTES!AC11+ACCIDENTES!X11+ACCIDENTES!S11+ACCIDENTES!N11+ACCIDENTES!I11+ACCIDENTES!D11)/(HH!AL11+HH!AH11+HH!AD11+HH!Z11+HH!V11+HH!R11+HH!N11+HH!J11+HH!F11))*1000000</f>
        <v>230.6982973806515</v>
      </c>
      <c r="AC11" s="59">
        <f>((ACCIDENTES!F11+ACCIDENTES!K11+ACCIDENTES!P11+ACCIDENTES!U11+ACCIDENTES!Z11+ACCIDENTES!AE11+ACCIDENTES!AJ11+ACCIDENTES!AO11+ACCIDENTES!AT11)/(HH!F11+HH!J11+HH!N11+HH!R11+HH!V11+HH!Z11+HH!AD11+HH!AH11+HH!AL11))*1000000</f>
        <v>20.814883974194121</v>
      </c>
      <c r="AD11" s="59">
        <f>((ACCIDENTES!AV11+ACCIDENTES!AQ11+ACCIDENTES!AL11+ACCIDENTES!AG11+ACCIDENTES!AB11+ACCIDENTES!W11+ACCIDENTES!R11+ACCIDENTES!M11+ACCIDENTES!H11+ACCIDENTES!C11)/(HH!F11+HH!J11+HH!N11+HH!R11+HH!V11+HH!Z11+HH!AD11+HH!AH11+HH!AL11+HH!AP11))*1000000</f>
        <v>4.672827758914611</v>
      </c>
      <c r="AE11" s="59">
        <f>((ACCIDENTES!D11+ACCIDENTES!I11+ACCIDENTES!N11+ACCIDENTES!S11+ACCIDENTES!X11+ACCIDENTES!AC11+ACCIDENTES!AH11+ACCIDENTES!AM11+ACCIDENTES!AR11+ACCIDENTES!AW11)/(HH!AP11+HH!AL11+HH!AH11+HH!AD11+HH!Z11+HH!V11+HH!R11+HH!N11+HH!J11+HH!F11))*1000000</f>
        <v>207.16203064521437</v>
      </c>
      <c r="AF11" s="59">
        <f>((ACCIDENTES!AY11+ACCIDENTES!AT11+ACCIDENTES!AO11+ACCIDENTES!AJ11+ACCIDENTES!AE11+ACCIDENTES!Z11+ACCIDENTES!U11+ACCIDENTES!P11+ACCIDENTES!K11+ACCIDENTES!F11)/(HH!F11+HH!J11+HH!N11+HH!R11+HH!V11+HH!Z11+HH!AD11+HH!AH11+HH!AL11+HH!AP11))*1000000</f>
        <v>20.248920288629975</v>
      </c>
      <c r="AG11" s="59">
        <f>((ACCIDENTES!BA11+ACCIDENTES!AV11+ACCIDENTES!AQ11+ACCIDENTES!AL11+ACCIDENTES!AG11+ACCIDENTES!AB11+ACCIDENTES!W11+ACCIDENTES!R11+ACCIDENTES!M11+ACCIDENTES!H11+ACCIDENTES!C11)/(HH!AT11+HH!AP11+HH!AL11+HH!AH11+HH!AD11+HH!Z11+HH!V11+HH!R11+HH!N11+HH!J11+HH!F11))*1000000</f>
        <v>4.2546158398156422</v>
      </c>
      <c r="AH11" s="59">
        <f>((ACCIDENTES!D11+ACCIDENTES!I11+ACCIDENTES!N11+ACCIDENTES!S11+ACCIDENTES!X11+ACCIDENTES!AC11+ACCIDENTES!AH11+ACCIDENTES!AM11+ACCIDENTES!AR11+ACCIDENTES!AW11+ACCIDENTES!BB11)/(HH!F11+HH!J11+HH!N11+HH!R11+HH!V11+HH!Z11+HH!AD11+HH!AH11+HH!AL11+HH!AP11+HH!AT11))*1000000</f>
        <v>188.6213022318268</v>
      </c>
      <c r="AI11" s="59">
        <f>((ACCIDENTES!BD11+ACCIDENTES!AY11+ACCIDENTES!AT11+ACCIDENTES!AO11+ACCIDENTES!AJ11+ACCIDENTES!AE11+ACCIDENTES!Z11+ACCIDENTES!U11+ACCIDENTES!P11+ACCIDENTES!K11+ACCIDENTES!F11)/(HH!F11+HH!J11+HH!N11+HH!R11+HH!V11+HH!Z11+HH!AD11+HH!AH11+HH!AL11+HH!AP11+HH!AT11))*1000000</f>
        <v>19.854873919139663</v>
      </c>
      <c r="AJ11" s="59">
        <f>(ACCIDENTES!BK11/HH!BB11)*1000000</f>
        <v>3.9318116907545173</v>
      </c>
      <c r="AK11" s="59">
        <f>(ACCIDENTES!BL11/HH!BB11)*1000000</f>
        <v>174.31031829011695</v>
      </c>
      <c r="AL11" s="59">
        <f>(ACCIDENTES!BN11/HH!BB11)*1000000</f>
        <v>18.348454556854414</v>
      </c>
      <c r="AN11" s="199">
        <f t="shared" si="0"/>
        <v>3.9376626377721351</v>
      </c>
      <c r="AO11" s="199">
        <f t="shared" si="1"/>
        <v>88.597409349873047</v>
      </c>
      <c r="AP11" s="200"/>
      <c r="AQ11" s="201"/>
      <c r="AR11" s="199">
        <v>5.6252323396744801</v>
      </c>
      <c r="AS11" s="199">
        <v>198.28943997352542</v>
      </c>
      <c r="AT11" s="199">
        <v>1.1000000000000001</v>
      </c>
      <c r="AV11" s="202">
        <v>3.3751394038046878</v>
      </c>
      <c r="AW11" s="198">
        <v>3.9376626377721351</v>
      </c>
      <c r="AX11" s="198">
        <v>4.5001858717395837</v>
      </c>
      <c r="AY11" s="203"/>
      <c r="AZ11" s="204">
        <v>75.940636585605475</v>
      </c>
      <c r="BA11" s="205">
        <v>88.597409349873047</v>
      </c>
      <c r="BB11" s="205">
        <v>101.25418211414063</v>
      </c>
      <c r="BC11" s="203"/>
      <c r="BD11" s="204"/>
      <c r="BE11" s="205"/>
      <c r="BF11" s="205"/>
    </row>
    <row r="12" spans="1:65" s="19" customFormat="1" outlineLevel="1" x14ac:dyDescent="0.3">
      <c r="A12" s="6" t="s">
        <v>25</v>
      </c>
      <c r="B12" s="7" t="s">
        <v>34</v>
      </c>
      <c r="C12" s="66">
        <f>(ACCIDENTES!C12/HH!F12)*1000000</f>
        <v>4.3808530524108402</v>
      </c>
      <c r="D12" s="67">
        <f>(ACCIDENTES!D12/HH!F12)*1000000</f>
        <v>788.55354943395116</v>
      </c>
      <c r="E12" s="67">
        <f>(ACCIDENTES!F12/HH!F12)*1000000</f>
        <v>10.952132631027098</v>
      </c>
      <c r="F12" s="67">
        <f>((ACCIDENTES!C12+ACCIDENTES!H12)/(HH!F12+HH!J12))*1000000</f>
        <v>4.4485875128526642</v>
      </c>
      <c r="G12" s="67">
        <f>((ACCIDENTES!D12+ACCIDENTES!I12)/(HH!F12+HH!J12))*1000000</f>
        <v>435.96157625956113</v>
      </c>
      <c r="H12" s="67">
        <f>((ACCIDENTES!F12+ACCIDENTES!K12)/(HH!F12+HH!J12))*1000000</f>
        <v>7.7850281474921639</v>
      </c>
      <c r="I12" s="67">
        <f>((ACCIDENTES!C12+ACCIDENTES!H12+ACCIDENTES!M12)/(HH!F12+HH!J12+HH!N12))*1000000</f>
        <v>4.4390486985467552</v>
      </c>
      <c r="J12" s="67">
        <f>((ACCIDENTES!D12+ACCIDENTES!I12+ACCIDENTES!N12)/(HH!F12+HH!J12+HH!N12))*1000000</f>
        <v>300.37562860166378</v>
      </c>
      <c r="K12" s="67">
        <f>((ACCIDENTES!F12+ACCIDENTES!K12+ACCIDENTES!P12)/(HH!J12+HH!N12+HH!F12))*1000000</f>
        <v>10.357780296609096</v>
      </c>
      <c r="L12" s="67">
        <f>((ACCIDENTES!C12+ACCIDENTES!H12+ACCIDENTES!M12+ACCIDENTES!R12)/(HH!F12+HH!J12+HH!N12+HH!R12))*1000000</f>
        <v>3.8410536233967529</v>
      </c>
      <c r="M12" s="67">
        <f>((ACCIDENTES!D12+ACCIDENTES!I12+ACCIDENTES!N12+ACCIDENTES!S12)/(HH!F12+HH!J12+HH!N12+HH!R12))*1000000</f>
        <v>288.07902175475652</v>
      </c>
      <c r="N12" s="67">
        <f>((ACCIDENTES!F12+ACCIDENTES!K12+ACCIDENTES!P12+ACCIDENTES!U12)/(HH!F12+HH!J12+HH!N12+HH!R12))*1000000</f>
        <v>10.974438923990723</v>
      </c>
      <c r="O12" s="67">
        <f>((ACCIDENTES!C12+ACCIDENTES!H12+ACCIDENTES!M12+ACCIDENTES!R12+ACCIDENTES!W12)/(HH!F12+HH!J12+HH!N12+HH!R12+HH!V12))*1000000</f>
        <v>4.3758451370552551</v>
      </c>
      <c r="P12" s="67">
        <f>(((ACCIDENTES!D12+ACCIDENTES!I12+ACCIDENTES!N12+ACCIDENTES!S12+ACCIDENTES!X12)/(HH!F12+HH!J12+HH!N12+HH!R12+HH!V12))*1000000)</f>
        <v>236.29563740098374</v>
      </c>
      <c r="Q12" s="67">
        <f>((ACCIDENTES!F12+ACCIDENTES!K12+ACCIDENTES!P12+ACCIDENTES!U12+ACCIDENTES!Z12)/(HH!F12+HH!J12+HH!N12+HH!R12+HH!V12))*1000000</f>
        <v>10.50202832893261</v>
      </c>
      <c r="R12" s="213">
        <f>(ACCIDENTES!C12+ACCIDENTES!H12+ACCIDENTES!M12+ACCIDENTES!R12+ACCIDENTES!W12+ACCIDENTES!AB12)*1000000/(HH!F12+HH!J12+HH!N12+HH!R12+HH!V12+HH!Z12)</f>
        <v>4.0290110331280555</v>
      </c>
      <c r="S12" s="213">
        <f>(ACCIDENTES!D12+ACCIDENTES!I12+ACCIDENTES!N12+ACCIDENTES!S12+ACCIDENTES!X12+ACCIDENTES!AC12)*1000000/(HH!F12+HH!J12+HH!N12+HH!R12+HH!V12+HH!Z12)</f>
        <v>207.31093134095269</v>
      </c>
      <c r="T12" s="213">
        <f>(ACCIDENTES!F12+ACCIDENTES!K12+ACCIDENTES!P12+ACCIDENTES!U12+ACCIDENTES!Z12+ACCIDENTES!AE12)*1000000/(HH!F12+HH!J12+HH!N12+HH!R12+HH!V12+HH!Z12)</f>
        <v>9.889390717677955</v>
      </c>
      <c r="U12" s="213">
        <f>((ACCIDENTES!C12+ACCIDENTES!H12+ACCIDENTES!M12+ACCIDENTES!R12+ACCIDENTES!W12+ACCIDENTES!AB12+ACCIDENTES!AG12)/(HH!F12+HH!J12+HH!N12+HH!R12+HH!V12+HH!Z12+HH!AD12))*1000000</f>
        <v>3.4557984202370444</v>
      </c>
      <c r="V12" s="213">
        <f>((ACCIDENTES!D12+ACCIDENTES!I12+ACCIDENTES!N12+ACCIDENTES!S12+ACCIDENTES!X12+ACCIDENTES!AC12+ACCIDENTES!AH12)/(HH!F12+HH!J12+HH!N12+HH!R12+HH!V12+HH!Z12+HH!AD12))*1000000</f>
        <v>177.81653689583339</v>
      </c>
      <c r="W12" s="213">
        <f>((ACCIDENTES!F12+ACCIDENTES!K12+ACCIDENTES!P12+ACCIDENTES!U12+ACCIDENTES!Z12+ACCIDENTES!AE12+ACCIDENTES!AJ12)/(HH!F12+HH!J12+HH!N12+HH!R12+HH!V12+HH!Z12+HH!AD12))*1000000</f>
        <v>10.053231767962313</v>
      </c>
      <c r="X12" s="213">
        <f>((ACCIDENTES!C12+ACCIDENTES!H12+ACCIDENTES!M12+ACCIDENTES!R12+ACCIDENTES!W12+ACCIDENTES!AB12+ACCIDENTES!AG12+ACCIDENTES!AL12)/(HH!F12+HH!J12+HH!N12+HH!R12+HH!V12+HH!Z12+HH!AD12+HH!AH12))*1000000</f>
        <v>3.5803247637130933</v>
      </c>
      <c r="Y12" s="213">
        <f>((ACCIDENTES!D12+ACCIDENTES!I12+ACCIDENTES!N12+ACCIDENTES!S12+ACCIDENTES!X12+ACCIDENTES!AC12+ACCIDENTES!AH12+ACCIDENTES!AM12)/(HH!F12+HH!J12+HH!N12+HH!R12+HH!V12+HH!Z12+HH!AD12+HH!AH12))*1000000</f>
        <v>219.22603937812477</v>
      </c>
      <c r="Z12" s="213">
        <f>((ACCIDENTES!F12+ACCIDENTES!K12+ACCIDENTES!P12+ACCIDENTES!U12+ACCIDENTES!Z12+ACCIDENTES!AE12+ACCIDENTES!AJ12+ACCIDENTES!AO12)/(HH!F12+HH!J12+HH!N12+HH!R12+HH!V12+HH!Z12+HH!AD12+HH!AH12))*1000000</f>
        <v>10.465564693930579</v>
      </c>
      <c r="AA12" s="67">
        <f>((ACCIDENTES!AQ12+ACCIDENTES!AL12+ACCIDENTES!AG12+ACCIDENTES!AB12+ACCIDENTES!W12+ACCIDENTES!R12+ACCIDENTES!M12+ACCIDENTES!H12+ACCIDENTES!C12)/(HH!AL12+HH!AH12+HH!AD12+HH!Z12+HH!V12+HH!R12+HH!N12+HH!J12+HH!F12))*1000000</f>
        <v>4.6454335326027909</v>
      </c>
      <c r="AB12" s="67">
        <f>((ACCIDENTES!AR12+ACCIDENTES!AM12+ACCIDENTES!AH12+ACCIDENTES!AC12+ACCIDENTES!X12+ACCIDENTES!S12+ACCIDENTES!N12+ACCIDENTES!I12+ACCIDENTES!D12)/(HH!AL12+HH!AH12+HH!AD12+HH!Z12+HH!V12+HH!R12+HH!N12+HH!J12+HH!F12))*1000000</f>
        <v>204.39907543452276</v>
      </c>
      <c r="AC12" s="67">
        <f>((ACCIDENTES!F12+ACCIDENTES!K12+ACCIDENTES!P12+ACCIDENTES!U12+ACCIDENTES!Z12+ACCIDENTES!AE12+ACCIDENTES!AJ12+ACCIDENTES!AO12+ACCIDENTES!AT12)/(HH!F12+HH!J12+HH!N12+HH!R12+HH!V12+HH!Z12+HH!AD12+HH!AH12+HH!AL12))*1000000</f>
        <v>11.98032858408088</v>
      </c>
      <c r="AD12" s="67">
        <f>((ACCIDENTES!AV12+ACCIDENTES!AQ12+ACCIDENTES!AL12+ACCIDENTES!AG12+ACCIDENTES!AB12+ACCIDENTES!W12+ACCIDENTES!R12+ACCIDENTES!M12+ACCIDENTES!H12+ACCIDENTES!C12)/(HH!F12+HH!J12+HH!N12+HH!R12+HH!V12+HH!Z12+HH!AD12+HH!AH12+HH!AL12+HH!AP12))*1000000</f>
        <v>5.0473999463619386</v>
      </c>
      <c r="AE12" s="67">
        <f>((ACCIDENTES!D12+ACCIDENTES!I12+ACCIDENTES!N12+ACCIDENTES!S12+ACCIDENTES!X12+ACCIDENTES!AC12+ACCIDENTES!AH12+ACCIDENTES!AM12+ACCIDENTES!AR12+ACCIDENTES!AW12)/(HH!AP12+HH!AL12+HH!AH12+HH!AD12+HH!Z12+HH!V12+HH!R12+HH!N12+HH!J12+HH!F12))*1000000</f>
        <v>192.24010230491558</v>
      </c>
      <c r="AF12" s="67">
        <f>((ACCIDENTES!AY12+ACCIDENTES!AT12+ACCIDENTES!AO12+ACCIDENTES!AJ12+ACCIDENTES!AE12+ACCIDENTES!Z12+ACCIDENTES!U12+ACCIDENTES!P12+ACCIDENTES!K12+ACCIDENTES!F12)/(HH!F12+HH!J12+HH!N12+HH!R12+HH!V12+HH!Z12+HH!AD12+HH!AH12+HH!AL12+HH!AP12))*1000000</f>
        <v>12.508773780114371</v>
      </c>
      <c r="AG12" s="67">
        <f>((ACCIDENTES!BA12+ACCIDENTES!AV12+ACCIDENTES!AQ12+ACCIDENTES!AL12+ACCIDENTES!AG12+ACCIDENTES!AB12+ACCIDENTES!W12+ACCIDENTES!R12+ACCIDENTES!M12+ACCIDENTES!H12+ACCIDENTES!C12)/(HH!AT12+HH!AP12+HH!AL12+HH!AH12+HH!AD12+HH!Z12+HH!V12+HH!R12+HH!N12+HH!J12+HH!F12))*1000000</f>
        <v>4.8043646980670882</v>
      </c>
      <c r="AH12" s="67">
        <f>((ACCIDENTES!D12+ACCIDENTES!I12+ACCIDENTES!N12+ACCIDENTES!S12+ACCIDENTES!X12+ACCIDENTES!AC12+ACCIDENTES!AH12+ACCIDENTES!AM12+ACCIDENTES!AR12+ACCIDENTES!AW12+ACCIDENTES!BB12)/(HH!F12+HH!J12+HH!N12+HH!R12+HH!V12+HH!Z12+HH!AD12+HH!AH12+HH!AL12+HH!AP12+HH!AT12))*1000000</f>
        <v>175.75967520428765</v>
      </c>
      <c r="AI12" s="67">
        <f>((ACCIDENTES!BD12+ACCIDENTES!AY12+ACCIDENTES!AT12+ACCIDENTES!AO12+ACCIDENTES!AJ12+ACCIDENTES!AE12+ACCIDENTES!Z12+ACCIDENTES!U12+ACCIDENTES!P12+ACCIDENTES!K12+ACCIDENTES!F12)/(HH!F12+HH!J12+HH!N12+HH!R12+HH!V12+HH!Z12+HH!AD12+HH!AH12+HH!AL12+HH!AP12+HH!AT12))*1000000</f>
        <v>12.611457332426106</v>
      </c>
      <c r="AJ12" s="67">
        <f>(ACCIDENTES!BK12/HH!BB12)*1000000</f>
        <v>4.6028289590673586</v>
      </c>
      <c r="AK12" s="67">
        <f>(ACCIDENTES!BL12/HH!BB12)*1000000</f>
        <v>161.83546620080833</v>
      </c>
      <c r="AL12" s="67">
        <f>(ACCIDENTES!BN12/HH!BB12)*1000000</f>
        <v>12.151468451937827</v>
      </c>
      <c r="AM12" s="36"/>
      <c r="AN12" s="66">
        <f t="shared" si="0"/>
        <v>4.9800588853626468</v>
      </c>
      <c r="AO12" s="66">
        <f t="shared" si="1"/>
        <v>58.982295999286187</v>
      </c>
      <c r="AP12" s="69"/>
      <c r="AQ12" s="125"/>
      <c r="AR12" s="66">
        <v>4.7</v>
      </c>
      <c r="AS12" s="66">
        <v>170</v>
      </c>
      <c r="AT12" s="66">
        <v>6.3</v>
      </c>
      <c r="AU12" s="36"/>
      <c r="AV12" s="68">
        <v>4.1574203838729025</v>
      </c>
      <c r="AW12" s="68">
        <v>4.9800588853626468</v>
      </c>
      <c r="AX12" s="68">
        <v>5.7850062362827197</v>
      </c>
      <c r="AY12" s="63"/>
      <c r="AZ12" s="68">
        <v>50.808984436097774</v>
      </c>
      <c r="BA12" s="68">
        <v>58.982295999286187</v>
      </c>
      <c r="BB12" s="68">
        <v>71.578395204892615</v>
      </c>
      <c r="BC12" s="63"/>
      <c r="BD12" s="68"/>
      <c r="BE12" s="68"/>
      <c r="BF12" s="68"/>
      <c r="BG12" s="36"/>
      <c r="BH12" s="36"/>
      <c r="BI12" s="36"/>
      <c r="BJ12" s="36"/>
      <c r="BK12" s="36"/>
      <c r="BL12" s="36"/>
      <c r="BM12" s="36"/>
    </row>
    <row r="13" spans="1:65" s="19" customFormat="1" outlineLevel="1" x14ac:dyDescent="0.3">
      <c r="A13" s="6" t="s">
        <v>25</v>
      </c>
      <c r="B13" s="7" t="s">
        <v>35</v>
      </c>
      <c r="C13" s="66">
        <f>(ACCIDENTES!C13/HH!F13)*1000000</f>
        <v>0</v>
      </c>
      <c r="D13" s="67">
        <f>(ACCIDENTES!D13/HH!F13)*1000000</f>
        <v>0</v>
      </c>
      <c r="E13" s="67">
        <f>(ACCIDENTES!F13/HH!F13)*1000000</f>
        <v>0</v>
      </c>
      <c r="F13" s="67">
        <f>((ACCIDENTES!C13+ACCIDENTES!H13)/(HH!F13+HH!J13))*1000000</f>
        <v>0</v>
      </c>
      <c r="G13" s="67">
        <f>((ACCIDENTES!D13+ACCIDENTES!I13)/(HH!F13+HH!J13))*1000000</f>
        <v>0</v>
      </c>
      <c r="H13" s="67">
        <f>((ACCIDENTES!F13+ACCIDENTES!K13)/(HH!F13+HH!J13))*1000000</f>
        <v>0</v>
      </c>
      <c r="I13" s="67">
        <f>((ACCIDENTES!C13+ACCIDENTES!H13+ACCIDENTES!M13)/(HH!F13+HH!J13+HH!N13))*1000000</f>
        <v>0</v>
      </c>
      <c r="J13" s="67">
        <f>((ACCIDENTES!D13+ACCIDENTES!I13+ACCIDENTES!N13)/(HH!F13+HH!J13+HH!N13))*1000000</f>
        <v>0</v>
      </c>
      <c r="K13" s="67">
        <f>((ACCIDENTES!F13+ACCIDENTES!K13+ACCIDENTES!P13)/(HH!J13+HH!N13+HH!F13))*1000000</f>
        <v>2.1363203535422186</v>
      </c>
      <c r="L13" s="67">
        <f>((ACCIDENTES!C13+ACCIDENTES!H13+ACCIDENTES!M13+ACCIDENTES!R13)/(HH!F13+HH!J13+HH!N13+HH!R13))*1000000</f>
        <v>0</v>
      </c>
      <c r="M13" s="67">
        <f>((ACCIDENTES!D13+ACCIDENTES!I13+ACCIDENTES!N13+ACCIDENTES!S13)/(HH!F13+HH!J13+HH!N13+HH!R13))*1000000</f>
        <v>0</v>
      </c>
      <c r="N13" s="67">
        <f>((ACCIDENTES!F13+ACCIDENTES!K13+ACCIDENTES!P13+ACCIDENTES!U13)/(HH!F13+HH!J13+HH!N13+HH!R13))*1000000</f>
        <v>1.4273813391843027</v>
      </c>
      <c r="O13" s="67">
        <f>((ACCIDENTES!C13+ACCIDENTES!H13+ACCIDENTES!M13+ACCIDENTES!R13+ACCIDENTES!W13)/(HH!F13+HH!J13+HH!N13+HH!R13+HH!V13))*1000000</f>
        <v>0</v>
      </c>
      <c r="P13" s="67">
        <f>(((ACCIDENTES!D13+ACCIDENTES!I13+ACCIDENTES!N13+ACCIDENTES!S13+ACCIDENTES!X13)/(HH!F13+HH!J13+HH!N13+HH!R13+HH!V13))*1000000)</f>
        <v>0</v>
      </c>
      <c r="Q13" s="67">
        <f>((ACCIDENTES!F13+ACCIDENTES!K13+ACCIDENTES!P13+ACCIDENTES!U13+ACCIDENTES!Z13)/(HH!F13+HH!J13+HH!N13+HH!R13+HH!V13))*1000000</f>
        <v>2.1081321482215487</v>
      </c>
      <c r="R13" s="213">
        <f>(ACCIDENTES!C13+ACCIDENTES!H13+ACCIDENTES!M13+ACCIDENTES!R13+ACCIDENTES!W13+ACCIDENTES!AB13)*1000000/(HH!F13+HH!J13+HH!N13+HH!R13+HH!V13+HH!Z13)</f>
        <v>0</v>
      </c>
      <c r="S13" s="213">
        <f>(ACCIDENTES!D13+ACCIDENTES!I13+ACCIDENTES!N13+ACCIDENTES!S13+ACCIDENTES!X13+ACCIDENTES!AC13)*1000000/(HH!F13+HH!J13+HH!N13+HH!R13+HH!V13+HH!Z13)</f>
        <v>0</v>
      </c>
      <c r="T13" s="213">
        <f>(ACCIDENTES!F13+ACCIDENTES!K13+ACCIDENTES!P13+ACCIDENTES!U13+ACCIDENTES!Z13+ACCIDENTES!AE13)*1000000/(HH!F13+HH!J13+HH!N13+HH!R13+HH!V13+HH!Z13)</f>
        <v>1.6756767385981908</v>
      </c>
      <c r="U13" s="213">
        <f>((ACCIDENTES!C13+ACCIDENTES!H13+ACCIDENTES!M13+ACCIDENTES!R13+ACCIDENTES!W13+ACCIDENTES!AB13+ACCIDENTES!AG13)/(HH!F13+HH!J13+HH!N13+HH!R13+HH!V13+HH!Z13+HH!AD13))*1000000</f>
        <v>0</v>
      </c>
      <c r="V13" s="213">
        <f>((ACCIDENTES!D13+ACCIDENTES!I13+ACCIDENTES!N13+ACCIDENTES!S13+ACCIDENTES!X13+ACCIDENTES!AC13+ACCIDENTES!AH13)/(HH!F13+HH!J13+HH!N13+HH!R13+HH!V13+HH!Z13+HH!AD13))*1000000</f>
        <v>0</v>
      </c>
      <c r="W13" s="213">
        <f>((ACCIDENTES!F13+ACCIDENTES!K13+ACCIDENTES!P13+ACCIDENTES!U13+ACCIDENTES!Z13+ACCIDENTES!AE13+ACCIDENTES!AJ13)/(HH!F13+HH!J13+HH!N13+HH!R13+HH!V13+HH!Z13+HH!AD13))*1000000</f>
        <v>1.3922136400836631</v>
      </c>
      <c r="X13" s="213">
        <f>((ACCIDENTES!C13+ACCIDENTES!H13+ACCIDENTES!M13+ACCIDENTES!R13+ACCIDENTES!W13+ACCIDENTES!AB13+ACCIDENTES!AG13+ACCIDENTES!AL13)/(HH!F13+HH!J13+HH!N13+HH!R13+HH!V13+HH!Z13+HH!AD13+HH!AH13))*1000000</f>
        <v>0</v>
      </c>
      <c r="Y13" s="213">
        <f>((ACCIDENTES!D13+ACCIDENTES!I13+ACCIDENTES!N13+ACCIDENTES!S13+ACCIDENTES!X13+ACCIDENTES!AC13+ACCIDENTES!AH13+ACCIDENTES!AM13)/(HH!F13+HH!J13+HH!N13+HH!R13+HH!V13+HH!Z13+HH!AD13+HH!AH13))*1000000</f>
        <v>0</v>
      </c>
      <c r="Z13" s="213">
        <f>((ACCIDENTES!F13+ACCIDENTES!K13+ACCIDENTES!P13+ACCIDENTES!U13+ACCIDENTES!Z13+ACCIDENTES!AE13+ACCIDENTES!AJ13+ACCIDENTES!AO13)/(HH!F13+HH!J13+HH!N13+HH!R13+HH!V13+HH!Z13+HH!AD13+HH!AH13))*1000000</f>
        <v>1.7765831948152637</v>
      </c>
      <c r="AA13" s="67">
        <f>((ACCIDENTES!AQ13+ACCIDENTES!AL13+ACCIDENTES!AG13+ACCIDENTES!AB13+ACCIDENTES!W13+ACCIDENTES!R13+ACCIDENTES!M13+ACCIDENTES!H13+ACCIDENTES!C13)/(HH!AL13+HH!AH13+HH!AD13+HH!Z13+HH!V13+HH!R13+HH!N13+HH!J13+HH!F13))*1000000</f>
        <v>0.51504125369965792</v>
      </c>
      <c r="AB13" s="67">
        <f>((ACCIDENTES!AR13+ACCIDENTES!AM13+ACCIDENTES!AH13+ACCIDENTES!AC13+ACCIDENTES!X13+ACCIDENTES!S13+ACCIDENTES!N13+ACCIDENTES!I13+ACCIDENTES!D13)/(HH!AL13+HH!AH13+HH!AD13+HH!Z13+HH!V13+HH!R13+HH!N13+HH!J13+HH!F13))*1000000</f>
        <v>7.2105775517952093</v>
      </c>
      <c r="AC13" s="67">
        <f>((ACCIDENTES!F13+ACCIDENTES!K13+ACCIDENTES!P13+ACCIDENTES!U13+ACCIDENTES!Z13+ACCIDENTES!AE13+ACCIDENTES!AJ13+ACCIDENTES!AO13+ACCIDENTES!AT13)/(HH!F13+HH!J13+HH!N13+HH!R13+HH!V13+HH!Z13+HH!AD13+HH!AH13+HH!AL13))*1000000</f>
        <v>2.0601650147986317</v>
      </c>
      <c r="AD13" s="67">
        <f>((ACCIDENTES!AV13+ACCIDENTES!AQ13+ACCIDENTES!AL13+ACCIDENTES!AG13+ACCIDENTES!AB13+ACCIDENTES!W13+ACCIDENTES!R13+ACCIDENTES!M13+ACCIDENTES!H13+ACCIDENTES!C13)/(HH!F13+HH!J13+HH!N13+HH!R13+HH!V13+HH!Z13+HH!AD13+HH!AH13+HH!AL13+HH!AP13))*1000000</f>
        <v>0.90304928647540561</v>
      </c>
      <c r="AE13" s="67">
        <f>((ACCIDENTES!D13+ACCIDENTES!I13+ACCIDENTES!N13+ACCIDENTES!S13+ACCIDENTES!X13+ACCIDENTES!AC13+ACCIDENTES!AH13+ACCIDENTES!AM13+ACCIDENTES!AR13+ACCIDENTES!AW13)/(HH!AP13+HH!AL13+HH!AH13+HH!AD13+HH!Z13+HH!V13+HH!R13+HH!N13+HH!J13+HH!F13))*1000000</f>
        <v>7.2243942918032449</v>
      </c>
      <c r="AF13" s="67">
        <f>((ACCIDENTES!AY13+ACCIDENTES!AT13+ACCIDENTES!AO13+ACCIDENTES!AJ13+ACCIDENTES!AE13+ACCIDENTES!Z13+ACCIDENTES!U13+ACCIDENTES!P13+ACCIDENTES!K13+ACCIDENTES!F13)/(HH!F13+HH!J13+HH!N13+HH!R13+HH!V13+HH!Z13+HH!AD13+HH!AH13+HH!AL13+HH!AP13))*1000000</f>
        <v>2.2576232161885139</v>
      </c>
      <c r="AG13" s="67">
        <f>((ACCIDENTES!BA13+ACCIDENTES!AV13+ACCIDENTES!AQ13+ACCIDENTES!AL13+ACCIDENTES!AG13+ACCIDENTES!AB13+ACCIDENTES!W13+ACCIDENTES!R13+ACCIDENTES!M13+ACCIDENTES!H13+ACCIDENTES!C13)/(HH!AT13+HH!AP13+HH!AL13+HH!AH13+HH!AD13+HH!Z13+HH!V13+HH!R13+HH!N13+HH!J13+HH!F13))*1000000</f>
        <v>1.2058628846041035</v>
      </c>
      <c r="AH13" s="67">
        <f>((ACCIDENTES!D13+ACCIDENTES!I13+ACCIDENTES!N13+ACCIDENTES!S13+ACCIDENTES!X13+ACCIDENTES!AC13+ACCIDENTES!AH13+ACCIDENTES!AM13+ACCIDENTES!AR13+ACCIDENTES!AW13+ACCIDENTES!BB13)/(HH!F13+HH!J13+HH!N13+HH!R13+HH!V13+HH!Z13+HH!AD13+HH!AH13+HH!AL13+HH!AP13+HH!AT13))*1000000</f>
        <v>14.068400320381206</v>
      </c>
      <c r="AI13" s="67">
        <f>((ACCIDENTES!BD13+ACCIDENTES!AY13+ACCIDENTES!AT13+ACCIDENTES!AO13+ACCIDENTES!AJ13+ACCIDENTES!AE13+ACCIDENTES!Z13+ACCIDENTES!U13+ACCIDENTES!P13+ACCIDENTES!K13+ACCIDENTES!F13)/(HH!F13+HH!J13+HH!N13+HH!R13+HH!V13+HH!Z13+HH!AD13+HH!AH13+HH!AL13+HH!AP13+HH!AT13))*1000000</f>
        <v>2.411725769208207</v>
      </c>
      <c r="AJ13" s="67">
        <f>(ACCIDENTES!BK13/HH!BB13)*1000000</f>
        <v>1.4487653848303357</v>
      </c>
      <c r="AK13" s="67">
        <f>(ACCIDENTES!BL13/HH!BB13)*1000000</f>
        <v>18.471758656586783</v>
      </c>
      <c r="AL13" s="67">
        <f>(ACCIDENTES!BN13/HH!BB13)*1000000</f>
        <v>2.5353394234530873</v>
      </c>
      <c r="AM13" s="36"/>
      <c r="AN13" s="66">
        <f t="shared" si="0"/>
        <v>1.7265867172221965</v>
      </c>
      <c r="AO13" s="66">
        <f t="shared" si="1"/>
        <v>7.7696402274998855</v>
      </c>
      <c r="AP13" s="69"/>
      <c r="AQ13" s="125"/>
      <c r="AR13" s="66">
        <v>2.3021156229629289</v>
      </c>
      <c r="AS13" s="66">
        <v>14.388222643518306</v>
      </c>
      <c r="AT13" s="66">
        <v>0.5</v>
      </c>
      <c r="AU13" s="36"/>
      <c r="AV13" s="68">
        <v>1.4388222643518305</v>
      </c>
      <c r="AW13" s="68">
        <v>1.7265867172221965</v>
      </c>
      <c r="AX13" s="68">
        <v>2.0143511700925627</v>
      </c>
      <c r="AY13" s="63"/>
      <c r="AZ13" s="68">
        <v>5.4675246045369557</v>
      </c>
      <c r="BA13" s="68">
        <v>7.7696402274998855</v>
      </c>
      <c r="BB13" s="68">
        <v>10.071755850462813</v>
      </c>
      <c r="BC13" s="63"/>
      <c r="BD13" s="68"/>
      <c r="BE13" s="68"/>
      <c r="BF13" s="68"/>
      <c r="BG13" s="36"/>
      <c r="BH13" s="36"/>
      <c r="BI13" s="36"/>
      <c r="BJ13" s="36"/>
      <c r="BK13" s="36"/>
      <c r="BL13" s="36"/>
      <c r="BM13" s="36"/>
    </row>
    <row r="14" spans="1:65" outlineLevel="2" x14ac:dyDescent="0.3">
      <c r="A14" s="3" t="s">
        <v>25</v>
      </c>
      <c r="B14" s="4" t="s">
        <v>36</v>
      </c>
      <c r="C14" s="58">
        <f>(ACCIDENTES!C14/HH!F14)*1000000</f>
        <v>0</v>
      </c>
      <c r="D14" s="59">
        <f>(ACCIDENTES!D14/HH!F14)*1000000</f>
        <v>0</v>
      </c>
      <c r="E14" s="59">
        <f>(ACCIDENTES!F14/HH!F14)*1000000</f>
        <v>0</v>
      </c>
      <c r="F14" s="59">
        <f>((ACCIDENTES!C14+ACCIDENTES!H14)/(HH!F14+HH!J14))*1000000</f>
        <v>0</v>
      </c>
      <c r="G14" s="59">
        <f>((ACCIDENTES!D14+ACCIDENTES!I14)/(HH!F14+HH!J14))*1000000</f>
        <v>0</v>
      </c>
      <c r="H14" s="59">
        <f>((ACCIDENTES!F14+ACCIDENTES!K14)/(HH!F14+HH!J14))*1000000</f>
        <v>0</v>
      </c>
      <c r="I14" s="59">
        <f>((ACCIDENTES!C14+ACCIDENTES!H14+ACCIDENTES!M14)/(HH!F14+HH!J14+HH!N14))*1000000</f>
        <v>0</v>
      </c>
      <c r="J14" s="59">
        <f>((ACCIDENTES!D14+ACCIDENTES!I14+ACCIDENTES!N14)/(HH!F14+HH!J14+HH!N14))*1000000</f>
        <v>0</v>
      </c>
      <c r="K14" s="59">
        <f>((ACCIDENTES!F14+ACCIDENTES!K14+ACCIDENTES!P14)/(HH!J14+HH!N14+HH!F14))*1000000</f>
        <v>6.9039799304065026</v>
      </c>
      <c r="L14" s="59">
        <f>((ACCIDENTES!C14+ACCIDENTES!H14+ACCIDENTES!M14+ACCIDENTES!R14)/(HH!F14+HH!J14+HH!N14+HH!R14))*1000000</f>
        <v>0</v>
      </c>
      <c r="M14" s="59">
        <f>((ACCIDENTES!D14+ACCIDENTES!I14+ACCIDENTES!N14+ACCIDENTES!S14)/(HH!F14+HH!J14+HH!N14+HH!R14))*1000000</f>
        <v>0</v>
      </c>
      <c r="N14" s="59">
        <f>((ACCIDENTES!F14+ACCIDENTES!K14+ACCIDENTES!P14+ACCIDENTES!U14)/(HH!F14+HH!J14+HH!N14+HH!R14))*1000000</f>
        <v>5.0911882731605793</v>
      </c>
      <c r="O14" s="59">
        <f>((ACCIDENTES!C14+ACCIDENTES!H14+ACCIDENTES!M14+ACCIDENTES!R14+ACCIDENTES!W14)/(HH!F14+HH!J14+HH!N14+HH!R14+HH!V14))*1000000</f>
        <v>0</v>
      </c>
      <c r="P14" s="59">
        <f>(((ACCIDENTES!D14+ACCIDENTES!I14+ACCIDENTES!N14+ACCIDENTES!S14+ACCIDENTES!X14)/(HH!F14+HH!J14+HH!N14+HH!R14+HH!V14))*1000000)</f>
        <v>0</v>
      </c>
      <c r="Q14" s="59">
        <f>((ACCIDENTES!F14+ACCIDENTES!K14+ACCIDENTES!P14+ACCIDENTES!U14+ACCIDENTES!Z14)/(HH!F14+HH!J14+HH!N14+HH!R14+HH!V14))*1000000</f>
        <v>3.9217562565738446</v>
      </c>
      <c r="R14" s="59">
        <f>(ACCIDENTES!C14+ACCIDENTES!H14+ACCIDENTES!M14+ACCIDENTES!R14+ACCIDENTES!W14+ACCIDENTES!AB14)*1000000/(HH!F14+HH!J14+HH!N14+HH!R14+HH!V14+HH!Z14)</f>
        <v>0</v>
      </c>
      <c r="S14" s="59">
        <f>(ACCIDENTES!D14+ACCIDENTES!I14+ACCIDENTES!N14+ACCIDENTES!S14+ACCIDENTES!X14+ACCIDENTES!AC14)*1000000/(HH!F14+HH!J14+HH!N14+HH!R14+HH!V14+HH!Z14)</f>
        <v>0</v>
      </c>
      <c r="T14" s="59">
        <f>(ACCIDENTES!F14+ACCIDENTES!K14+ACCIDENTES!P14+ACCIDENTES!U14+ACCIDENTES!Z14+ACCIDENTES!AE14)*1000000/(HH!F14+HH!J14+HH!N14+HH!R14+HH!V14+HH!Z14)</f>
        <v>3.1952679359975051</v>
      </c>
      <c r="U14" s="59">
        <f>((ACCIDENTES!C14+ACCIDENTES!H14+ACCIDENTES!M14+ACCIDENTES!R14+ACCIDENTES!W14+ACCIDENTES!AB14+ACCIDENTES!AG14)/(HH!F14+HH!J14+HH!N14+HH!R14+HH!V14+HH!Z14+HH!AD14))*1000000</f>
        <v>0</v>
      </c>
      <c r="V14" s="59">
        <f>((ACCIDENTES!D14+ACCIDENTES!I14+ACCIDENTES!N14+ACCIDENTES!S14+ACCIDENTES!X14+ACCIDENTES!AC14+ACCIDENTES!AH14)/(HH!F14+HH!J14+HH!N14+HH!R14+HH!V14+HH!Z14+HH!AD14))*1000000</f>
        <v>0</v>
      </c>
      <c r="W14" s="59">
        <f>((ACCIDENTES!F14+ACCIDENTES!K14+ACCIDENTES!P14+ACCIDENTES!U14+ACCIDENTES!Z14+ACCIDENTES!AE14+ACCIDENTES!AJ14)/(HH!F14+HH!J14+HH!N14+HH!R14+HH!V14+HH!Z14+HH!AD14))*1000000</f>
        <v>2.6958697657666595</v>
      </c>
      <c r="X14" s="59">
        <f>((ACCIDENTES!C14+ACCIDENTES!H14+ACCIDENTES!M14+ACCIDENTES!R14+ACCIDENTES!W14+ACCIDENTES!AB14+ACCIDENTES!AG14+ACCIDENTES!AL14)/(HH!F14+HH!J14+HH!N14+HH!R14+HH!V14+HH!Z14+HH!AD14+HH!AH14))*1000000</f>
        <v>0</v>
      </c>
      <c r="Y14" s="59">
        <f>((ACCIDENTES!D14+ACCIDENTES!I14+ACCIDENTES!N14+ACCIDENTES!S14+ACCIDENTES!X14+ACCIDENTES!AC14+ACCIDENTES!AH14+ACCIDENTES!AM14)/(HH!F14+HH!J14+HH!N14+HH!R14+HH!V14+HH!Z14+HH!AD14+HH!AH14))*1000000</f>
        <v>0</v>
      </c>
      <c r="Z14" s="59">
        <f>((ACCIDENTES!F14+ACCIDENTES!K14+ACCIDENTES!P14+ACCIDENTES!U14+ACCIDENTES!Z14+ACCIDENTES!AE14+ACCIDENTES!AJ14+ACCIDENTES!AO14)/(HH!F14+HH!J14+HH!N14+HH!R14+HH!V14+HH!Z14+HH!AD14+HH!AH14))*1000000</f>
        <v>2.3253283131045275</v>
      </c>
      <c r="AA14" s="59">
        <f>((ACCIDENTES!AQ14+ACCIDENTES!AL14+ACCIDENTES!AG14+ACCIDENTES!AB14+ACCIDENTES!W14+ACCIDENTES!R14+ACCIDENTES!M14+ACCIDENTES!H14+ACCIDENTES!C14)/(HH!AL14+HH!AH14+HH!AD14+HH!Z14+HH!V14+HH!R14+HH!N14+HH!J14+HH!F14))*1000000</f>
        <v>0</v>
      </c>
      <c r="AB14" s="59">
        <f>((ACCIDENTES!AR14+ACCIDENTES!AM14+ACCIDENTES!AH14+ACCIDENTES!AC14+ACCIDENTES!X14+ACCIDENTES!S14+ACCIDENTES!N14+ACCIDENTES!I14+ACCIDENTES!D14)/(HH!AL14+HH!AH14+HH!AD14+HH!Z14+HH!V14+HH!R14+HH!N14+HH!J14+HH!F14))*1000000</f>
        <v>0</v>
      </c>
      <c r="AC14" s="59">
        <f>((ACCIDENTES!F14+ACCIDENTES!K14+ACCIDENTES!P14+ACCIDENTES!U14+ACCIDENTES!Z14+ACCIDENTES!AE14+ACCIDENTES!AJ14+ACCIDENTES!AO14+ACCIDENTES!AT14)/(HH!F14+HH!J14+HH!N14+HH!R14+HH!V14+HH!Z14+HH!AD14+HH!AH14+HH!AL14))*1000000</f>
        <v>2.0487361551532475</v>
      </c>
      <c r="AD14" s="59">
        <f>((ACCIDENTES!AV14+ACCIDENTES!AQ14+ACCIDENTES!AL14+ACCIDENTES!AG14+ACCIDENTES!AB14+ACCIDENTES!W14+ACCIDENTES!R14+ACCIDENTES!M14+ACCIDENTES!H14+ACCIDENTES!C14)/(HH!F14+HH!J14+HH!N14+HH!R14+HH!V14+HH!Z14+HH!AD14+HH!AH14+HH!AL14+HH!AP14))*1000000</f>
        <v>0</v>
      </c>
      <c r="AE14" s="59">
        <f>((ACCIDENTES!D14+ACCIDENTES!I14+ACCIDENTES!N14+ACCIDENTES!S14+ACCIDENTES!X14+ACCIDENTES!AC14+ACCIDENTES!AH14+ACCIDENTES!AM14+ACCIDENTES!AR14+ACCIDENTES!AW14)/(HH!AP14+HH!AL14+HH!AH14+HH!AD14+HH!Z14+HH!V14+HH!R14+HH!N14+HH!J14+HH!F14))*1000000</f>
        <v>0</v>
      </c>
      <c r="AF14" s="59">
        <f>((ACCIDENTES!AY14+ACCIDENTES!AT14+ACCIDENTES!AO14+ACCIDENTES!AJ14+ACCIDENTES!AE14+ACCIDENTES!Z14+ACCIDENTES!U14+ACCIDENTES!P14+ACCIDENTES!K14+ACCIDENTES!F14)/(HH!F14+HH!J14+HH!N14+HH!R14+HH!V14+HH!Z14+HH!AD14+HH!AH14+HH!AL14+HH!AP14))*1000000</f>
        <v>1.8309491933570232</v>
      </c>
      <c r="AG14" s="59">
        <f>((ACCIDENTES!BA14+ACCIDENTES!AV14+ACCIDENTES!AQ14+ACCIDENTES!AL14+ACCIDENTES!AG14+ACCIDENTES!AB14+ACCIDENTES!W14+ACCIDENTES!R14+ACCIDENTES!M14+ACCIDENTES!H14+ACCIDENTES!C14)/(HH!AT14+HH!AP14+HH!AL14+HH!AH14+HH!AD14+HH!Z14+HH!V14+HH!R14+HH!N14+HH!J14+HH!F14))*1000000</f>
        <v>0</v>
      </c>
      <c r="AH14" s="59">
        <f>((ACCIDENTES!D14+ACCIDENTES!I14+ACCIDENTES!N14+ACCIDENTES!S14+ACCIDENTES!X14+ACCIDENTES!AC14+ACCIDENTES!AH14+ACCIDENTES!AM14+ACCIDENTES!AR14+ACCIDENTES!AW14+ACCIDENTES!BB14)/(HH!F14+HH!J14+HH!N14+HH!R14+HH!V14+HH!Z14+HH!AD14+HH!AH14+HH!AL14+HH!AP14+HH!AT14))*1000000</f>
        <v>0</v>
      </c>
      <c r="AI14" s="59">
        <f>((ACCIDENTES!BD14+ACCIDENTES!AY14+ACCIDENTES!AT14+ACCIDENTES!AO14+ACCIDENTES!AJ14+ACCIDENTES!AE14+ACCIDENTES!Z14+ACCIDENTES!U14+ACCIDENTES!P14+ACCIDENTES!K14+ACCIDENTES!F14)/(HH!F14+HH!J14+HH!N14+HH!R14+HH!V14+HH!Z14+HH!AD14+HH!AH14+HH!AL14+HH!AP14+HH!AT14))*1000000</f>
        <v>1.6550159063578758</v>
      </c>
      <c r="AJ14" s="59">
        <f>(ACCIDENTES!BK14/HH!BB14)*1000000</f>
        <v>0</v>
      </c>
      <c r="AK14" s="59">
        <f>(ACCIDENTES!BL14/HH!BB14)*1000000</f>
        <v>0</v>
      </c>
      <c r="AL14" s="59">
        <f>(ACCIDENTES!BN14/HH!BB14)*1000000</f>
        <v>1.5099289910594085</v>
      </c>
      <c r="AN14" s="41">
        <f t="shared" si="0"/>
        <v>0</v>
      </c>
      <c r="AO14" s="41">
        <f t="shared" si="1"/>
        <v>0</v>
      </c>
      <c r="AP14" s="40"/>
      <c r="AQ14" s="125"/>
      <c r="AR14" s="41"/>
      <c r="AS14" s="41"/>
      <c r="AT14" s="41"/>
      <c r="AV14" s="118"/>
      <c r="AW14" s="60"/>
      <c r="AX14" s="60"/>
      <c r="AY14" s="63"/>
      <c r="AZ14" s="118"/>
      <c r="BA14" s="60"/>
      <c r="BB14" s="60"/>
      <c r="BC14" s="63"/>
      <c r="BD14" s="118"/>
      <c r="BE14" s="60"/>
      <c r="BF14" s="60"/>
    </row>
    <row r="15" spans="1:65" outlineLevel="2" x14ac:dyDescent="0.3">
      <c r="A15" s="3" t="s">
        <v>25</v>
      </c>
      <c r="B15" s="4" t="s">
        <v>37</v>
      </c>
      <c r="C15" s="58">
        <f>(ACCIDENTES!C15/HH!F15)*1000000</f>
        <v>0</v>
      </c>
      <c r="D15" s="59">
        <f>(ACCIDENTES!D15/HH!F15)*1000000</f>
        <v>0</v>
      </c>
      <c r="E15" s="59">
        <f>(ACCIDENTES!F15/HH!F15)*1000000</f>
        <v>0</v>
      </c>
      <c r="F15" s="59">
        <f>((ACCIDENTES!C15+ACCIDENTES!H15)/(HH!F15+HH!J15))*1000000</f>
        <v>0</v>
      </c>
      <c r="G15" s="59">
        <f>((ACCIDENTES!D15+ACCIDENTES!I15)/(HH!F15+HH!J15))*1000000</f>
        <v>0</v>
      </c>
      <c r="H15" s="59">
        <f>((ACCIDENTES!F15+ACCIDENTES!K15)/(HH!F15+HH!J15))*1000000</f>
        <v>0</v>
      </c>
      <c r="I15" s="59">
        <f>((ACCIDENTES!C15+ACCIDENTES!H15+ACCIDENTES!M15)/(HH!F15+HH!J15+HH!N15))*1000000</f>
        <v>0</v>
      </c>
      <c r="J15" s="59">
        <f>((ACCIDENTES!D15+ACCIDENTES!I15+ACCIDENTES!N15)/(HH!F15+HH!J15+HH!N15))*1000000</f>
        <v>0</v>
      </c>
      <c r="K15" s="59">
        <f>((ACCIDENTES!F15+ACCIDENTES!K15+ACCIDENTES!P15)/(HH!J15+HH!N15+HH!F15))*1000000</f>
        <v>0</v>
      </c>
      <c r="L15" s="59">
        <f>((ACCIDENTES!C15+ACCIDENTES!H15+ACCIDENTES!M15+ACCIDENTES!R15)/(HH!F15+HH!J15+HH!N15+HH!R15))*1000000</f>
        <v>0</v>
      </c>
      <c r="M15" s="59">
        <f>((ACCIDENTES!D15+ACCIDENTES!I15+ACCIDENTES!N15+ACCIDENTES!S15)/(HH!F15+HH!J15+HH!N15+HH!R15))*1000000</f>
        <v>0</v>
      </c>
      <c r="N15" s="59">
        <f>((ACCIDENTES!F15+ACCIDENTES!K15+ACCIDENTES!P15+ACCIDENTES!U15)/(HH!F15+HH!J15+HH!N15+HH!R15))*1000000</f>
        <v>0</v>
      </c>
      <c r="O15" s="59">
        <f>((ACCIDENTES!C15+ACCIDENTES!H15+ACCIDENTES!M15+ACCIDENTES!R15+ACCIDENTES!W15)/(HH!F15+HH!J15+HH!N15+HH!R15+HH!V15))*1000000</f>
        <v>0</v>
      </c>
      <c r="P15" s="59">
        <f>(((ACCIDENTES!D15+ACCIDENTES!I15+ACCIDENTES!N15+ACCIDENTES!S15+ACCIDENTES!X15)/(HH!F15+HH!J15+HH!N15+HH!R15+HH!V15))*1000000)</f>
        <v>0</v>
      </c>
      <c r="Q15" s="59">
        <f>((ACCIDENTES!F15+ACCIDENTES!K15+ACCIDENTES!P15+ACCIDENTES!U15+ACCIDENTES!Z15)/(HH!F15+HH!J15+HH!N15+HH!R15+HH!V15))*1000000</f>
        <v>0</v>
      </c>
      <c r="R15" s="59">
        <f>(ACCIDENTES!C15+ACCIDENTES!H15+ACCIDENTES!M15+ACCIDENTES!R15+ACCIDENTES!W15+ACCIDENTES!AB15)*1000000/(HH!F15+HH!J15+HH!N15+HH!R15+HH!V15+HH!Z15)</f>
        <v>0</v>
      </c>
      <c r="S15" s="59">
        <f>(ACCIDENTES!D15+ACCIDENTES!I15+ACCIDENTES!N15+ACCIDENTES!S15+ACCIDENTES!X15+ACCIDENTES!AC15)*1000000/(HH!F15+HH!J15+HH!N15+HH!R15+HH!V15+HH!Z15)</f>
        <v>0</v>
      </c>
      <c r="T15" s="59">
        <f>(ACCIDENTES!F15+ACCIDENTES!K15+ACCIDENTES!P15+ACCIDENTES!U15+ACCIDENTES!Z15+ACCIDENTES!AE15)*1000000/(HH!F15+HH!J15+HH!N15+HH!R15+HH!V15+HH!Z15)</f>
        <v>0</v>
      </c>
      <c r="U15" s="59">
        <f>((ACCIDENTES!C15+ACCIDENTES!H15+ACCIDENTES!M15+ACCIDENTES!R15+ACCIDENTES!W15+ACCIDENTES!AB15+ACCIDENTES!AG15)/(HH!F15+HH!J15+HH!N15+HH!R15+HH!V15+HH!Z15+HH!AD15))*1000000</f>
        <v>0</v>
      </c>
      <c r="V15" s="59">
        <f>((ACCIDENTES!D15+ACCIDENTES!I15+ACCIDENTES!N15+ACCIDENTES!S15+ACCIDENTES!X15+ACCIDENTES!AC15+ACCIDENTES!AH15)/(HH!F15+HH!J15+HH!N15+HH!R15+HH!V15+HH!Z15+HH!AD15))*1000000</f>
        <v>0</v>
      </c>
      <c r="W15" s="59">
        <f>((ACCIDENTES!F15+ACCIDENTES!K15+ACCIDENTES!P15+ACCIDENTES!U15+ACCIDENTES!Z15+ACCIDENTES!AE15+ACCIDENTES!AJ15)/(HH!F15+HH!J15+HH!N15+HH!R15+HH!V15+HH!Z15+HH!AD15))*1000000</f>
        <v>0</v>
      </c>
      <c r="X15" s="59">
        <f>((ACCIDENTES!C15+ACCIDENTES!H15+ACCIDENTES!M15+ACCIDENTES!R15+ACCIDENTES!W15+ACCIDENTES!AB15+ACCIDENTES!AG15+ACCIDENTES!AL15)/(HH!F15+HH!J15+HH!N15+HH!R15+HH!V15+HH!Z15+HH!AD15+HH!AH15))*1000000</f>
        <v>0</v>
      </c>
      <c r="Y15" s="59">
        <f>((ACCIDENTES!D15+ACCIDENTES!I15+ACCIDENTES!N15+ACCIDENTES!S15+ACCIDENTES!X15+ACCIDENTES!AC15+ACCIDENTES!AH15+ACCIDENTES!AM15)/(HH!F15+HH!J15+HH!N15+HH!R15+HH!V15+HH!Z15+HH!AD15+HH!AH15))*1000000</f>
        <v>0</v>
      </c>
      <c r="Z15" s="59">
        <f>((ACCIDENTES!F15+ACCIDENTES!K15+ACCIDENTES!P15+ACCIDENTES!U15+ACCIDENTES!Z15+ACCIDENTES!AE15+ACCIDENTES!AJ15+ACCIDENTES!AO15)/(HH!F15+HH!J15+HH!N15+HH!R15+HH!V15+HH!Z15+HH!AD15+HH!AH15))*1000000</f>
        <v>0</v>
      </c>
      <c r="AA15" s="59">
        <f>((ACCIDENTES!AQ15+ACCIDENTES!AL15+ACCIDENTES!AG15+ACCIDENTES!AB15+ACCIDENTES!W15+ACCIDENTES!R15+ACCIDENTES!M15+ACCIDENTES!H15+ACCIDENTES!C15)/(HH!AL15+HH!AH15+HH!AD15+HH!Z15+HH!V15+HH!R15+HH!N15+HH!J15+HH!F15))*1000000</f>
        <v>0</v>
      </c>
      <c r="AB15" s="59">
        <f>((ACCIDENTES!AR15+ACCIDENTES!AM15+ACCIDENTES!AH15+ACCIDENTES!AC15+ACCIDENTES!X15+ACCIDENTES!S15+ACCIDENTES!N15+ACCIDENTES!I15+ACCIDENTES!D15)/(HH!AL15+HH!AH15+HH!AD15+HH!Z15+HH!V15+HH!R15+HH!N15+HH!J15+HH!F15))*1000000</f>
        <v>0</v>
      </c>
      <c r="AC15" s="59">
        <f>((ACCIDENTES!F15+ACCIDENTES!K15+ACCIDENTES!P15+ACCIDENTES!U15+ACCIDENTES!Z15+ACCIDENTES!AE15+ACCIDENTES!AJ15+ACCIDENTES!AO15+ACCIDENTES!AT15)/(HH!F15+HH!J15+HH!N15+HH!R15+HH!V15+HH!Z15+HH!AD15+HH!AH15+HH!AL15))*1000000</f>
        <v>0</v>
      </c>
      <c r="AD15" s="59">
        <f>((ACCIDENTES!AV15+ACCIDENTES!AQ15+ACCIDENTES!AL15+ACCIDENTES!AG15+ACCIDENTES!AB15+ACCIDENTES!W15+ACCIDENTES!R15+ACCIDENTES!M15+ACCIDENTES!H15+ACCIDENTES!C15)/(HH!F15+HH!J15+HH!N15+HH!R15+HH!V15+HH!Z15+HH!AD15+HH!AH15+HH!AL15+HH!AP15))*1000000</f>
        <v>0</v>
      </c>
      <c r="AE15" s="59">
        <f>((ACCIDENTES!D15+ACCIDENTES!I15+ACCIDENTES!N15+ACCIDENTES!S15+ACCIDENTES!X15+ACCIDENTES!AC15+ACCIDENTES!AH15+ACCIDENTES!AM15+ACCIDENTES!AR15+ACCIDENTES!AW15)/(HH!AP15+HH!AL15+HH!AH15+HH!AD15+HH!Z15+HH!V15+HH!R15+HH!N15+HH!J15+HH!F15))*1000000</f>
        <v>0</v>
      </c>
      <c r="AF15" s="59">
        <f>((ACCIDENTES!AY15+ACCIDENTES!AT15+ACCIDENTES!AO15+ACCIDENTES!AJ15+ACCIDENTES!AE15+ACCIDENTES!Z15+ACCIDENTES!U15+ACCIDENTES!P15+ACCIDENTES!K15+ACCIDENTES!F15)/(HH!F15+HH!J15+HH!N15+HH!R15+HH!V15+HH!Z15+HH!AD15+HH!AH15+HH!AL15+HH!AP15))*1000000</f>
        <v>0</v>
      </c>
      <c r="AG15" s="59">
        <f>((ACCIDENTES!BA15+ACCIDENTES!AV15+ACCIDENTES!AQ15+ACCIDENTES!AL15+ACCIDENTES!AG15+ACCIDENTES!AB15+ACCIDENTES!W15+ACCIDENTES!R15+ACCIDENTES!M15+ACCIDENTES!H15+ACCIDENTES!C15)/(HH!AT15+HH!AP15+HH!AL15+HH!AH15+HH!AD15+HH!Z15+HH!V15+HH!R15+HH!N15+HH!J15+HH!F15))*1000000</f>
        <v>0</v>
      </c>
      <c r="AH15" s="59">
        <f>((ACCIDENTES!D15+ACCIDENTES!I15+ACCIDENTES!N15+ACCIDENTES!S15+ACCIDENTES!X15+ACCIDENTES!AC15+ACCIDENTES!AH15+ACCIDENTES!AM15+ACCIDENTES!AR15+ACCIDENTES!AW15+ACCIDENTES!BB15)/(HH!F15+HH!J15+HH!N15+HH!R15+HH!V15+HH!Z15+HH!AD15+HH!AH15+HH!AL15+HH!AP15+HH!AT15))*1000000</f>
        <v>0</v>
      </c>
      <c r="AI15" s="59">
        <f>((ACCIDENTES!BD15+ACCIDENTES!AY15+ACCIDENTES!AT15+ACCIDENTES!AO15+ACCIDENTES!AJ15+ACCIDENTES!AE15+ACCIDENTES!Z15+ACCIDENTES!U15+ACCIDENTES!P15+ACCIDENTES!K15+ACCIDENTES!F15)/(HH!F15+HH!J15+HH!N15+HH!R15+HH!V15+HH!Z15+HH!AD15+HH!AH15+HH!AL15+HH!AP15+HH!AT15))*1000000</f>
        <v>0</v>
      </c>
      <c r="AJ15" s="59">
        <f>(ACCIDENTES!BK15/HH!BB15)*1000000</f>
        <v>0</v>
      </c>
      <c r="AK15" s="59">
        <f>(ACCIDENTES!BL15/HH!BB15)*1000000</f>
        <v>0</v>
      </c>
      <c r="AL15" s="59">
        <f>(ACCIDENTES!BN15/HH!BB15)*1000000</f>
        <v>0</v>
      </c>
      <c r="AN15" s="41">
        <f t="shared" si="0"/>
        <v>0</v>
      </c>
      <c r="AO15" s="41">
        <f t="shared" si="1"/>
        <v>0</v>
      </c>
      <c r="AP15" s="40"/>
      <c r="AQ15" s="125"/>
      <c r="AR15" s="41"/>
      <c r="AS15" s="41"/>
      <c r="AT15" s="41"/>
      <c r="AV15" s="118"/>
      <c r="AW15" s="60"/>
      <c r="AX15" s="60"/>
      <c r="AY15" s="63"/>
      <c r="AZ15" s="118"/>
      <c r="BA15" s="60"/>
      <c r="BB15" s="60"/>
      <c r="BC15" s="63"/>
      <c r="BD15" s="118"/>
      <c r="BE15" s="60"/>
      <c r="BF15" s="60"/>
    </row>
    <row r="16" spans="1:65" outlineLevel="2" x14ac:dyDescent="0.3">
      <c r="A16" s="3" t="s">
        <v>25</v>
      </c>
      <c r="B16" s="8" t="s">
        <v>38</v>
      </c>
      <c r="C16" s="58">
        <f>(ACCIDENTES!C16/HH!F16)*1000000</f>
        <v>0</v>
      </c>
      <c r="D16" s="59">
        <f>(ACCIDENTES!D16/HH!F16)*1000000</f>
        <v>0</v>
      </c>
      <c r="E16" s="59">
        <f>(ACCIDENTES!F16/HH!F16)*1000000</f>
        <v>0</v>
      </c>
      <c r="F16" s="59">
        <f>((ACCIDENTES!C16+ACCIDENTES!H16)/(HH!F16+HH!J16))*1000000</f>
        <v>0</v>
      </c>
      <c r="G16" s="59">
        <f>((ACCIDENTES!D16+ACCIDENTES!I16)/(HH!F16+HH!J16))*1000000</f>
        <v>0</v>
      </c>
      <c r="H16" s="59">
        <f>((ACCIDENTES!F16+ACCIDENTES!K16)/(HH!F16+HH!J16))*1000000</f>
        <v>0</v>
      </c>
      <c r="I16" s="59">
        <f>((ACCIDENTES!C16+ACCIDENTES!H16+ACCIDENTES!M16)/(HH!F16+HH!J16+HH!N16))*1000000</f>
        <v>0</v>
      </c>
      <c r="J16" s="59">
        <f>((ACCIDENTES!D16+ACCIDENTES!I16+ACCIDENTES!N16)/(HH!F16+HH!J16+HH!N16))*1000000</f>
        <v>0</v>
      </c>
      <c r="K16" s="59">
        <f>((ACCIDENTES!F16+ACCIDENTES!K16+ACCIDENTES!P16)/(HH!J16+HH!N16+HH!F16))*1000000</f>
        <v>0</v>
      </c>
      <c r="L16" s="59">
        <f>((ACCIDENTES!C16+ACCIDENTES!H16+ACCIDENTES!M16+ACCIDENTES!R16)/(HH!F16+HH!J16+HH!N16+HH!R16))*1000000</f>
        <v>0</v>
      </c>
      <c r="M16" s="59">
        <f>((ACCIDENTES!D16+ACCIDENTES!I16+ACCIDENTES!N16+ACCIDENTES!S16)/(HH!F16+HH!J16+HH!N16+HH!R16))*1000000</f>
        <v>0</v>
      </c>
      <c r="N16" s="59">
        <f>((ACCIDENTES!F16+ACCIDENTES!K16+ACCIDENTES!P16+ACCIDENTES!U16)/(HH!F16+HH!J16+HH!N16+HH!R16))*1000000</f>
        <v>0</v>
      </c>
      <c r="O16" s="59">
        <f>((ACCIDENTES!C16+ACCIDENTES!H16+ACCIDENTES!M16+ACCIDENTES!R16+ACCIDENTES!W16)/(HH!F16+HH!J16+HH!N16+HH!R16+HH!V16))*1000000</f>
        <v>0</v>
      </c>
      <c r="P16" s="59">
        <f>(((ACCIDENTES!D16+ACCIDENTES!I16+ACCIDENTES!N16+ACCIDENTES!S16+ACCIDENTES!X16)/(HH!F16+HH!J16+HH!N16+HH!R16+HH!V16))*1000000)</f>
        <v>0</v>
      </c>
      <c r="Q16" s="59">
        <f>((ACCIDENTES!F16+ACCIDENTES!K16+ACCIDENTES!P16+ACCIDENTES!U16+ACCIDENTES!Z16)/(HH!F16+HH!J16+HH!N16+HH!R16+HH!V16))*1000000</f>
        <v>0</v>
      </c>
      <c r="R16" s="59">
        <f>(ACCIDENTES!C16+ACCIDENTES!H16+ACCIDENTES!M16+ACCIDENTES!R16+ACCIDENTES!W16+ACCIDENTES!AB16)*1000000/(HH!F16+HH!J16+HH!N16+HH!R16+HH!V16+HH!Z16)</f>
        <v>0</v>
      </c>
      <c r="S16" s="59">
        <f>(ACCIDENTES!D16+ACCIDENTES!I16+ACCIDENTES!N16+ACCIDENTES!S16+ACCIDENTES!X16+ACCIDENTES!AC16)*1000000/(HH!F16+HH!J16+HH!N16+HH!R16+HH!V16+HH!Z16)</f>
        <v>0</v>
      </c>
      <c r="T16" s="59">
        <f>(ACCIDENTES!F16+ACCIDENTES!K16+ACCIDENTES!P16+ACCIDENTES!U16+ACCIDENTES!Z16+ACCIDENTES!AE16)*1000000/(HH!F16+HH!J16+HH!N16+HH!R16+HH!V16+HH!Z16)</f>
        <v>0</v>
      </c>
      <c r="U16" s="59">
        <f>((ACCIDENTES!C16+ACCIDENTES!H16+ACCIDENTES!M16+ACCIDENTES!R16+ACCIDENTES!W16+ACCIDENTES!AB16+ACCIDENTES!AG16)/(HH!F16+HH!J16+HH!N16+HH!R16+HH!V16+HH!Z16+HH!AD16))*1000000</f>
        <v>0</v>
      </c>
      <c r="V16" s="59">
        <f>((ACCIDENTES!D16+ACCIDENTES!I16+ACCIDENTES!N16+ACCIDENTES!S16+ACCIDENTES!X16+ACCIDENTES!AC16+ACCIDENTES!AH16)/(HH!F16+HH!J16+HH!N16+HH!R16+HH!V16+HH!Z16+HH!AD16))*1000000</f>
        <v>0</v>
      </c>
      <c r="W16" s="59">
        <f>((ACCIDENTES!F16+ACCIDENTES!K16+ACCIDENTES!P16+ACCIDENTES!U16+ACCIDENTES!Z16+ACCIDENTES!AE16+ACCIDENTES!AJ16)/(HH!F16+HH!J16+HH!N16+HH!R16+HH!V16+HH!Z16+HH!AD16))*1000000</f>
        <v>0</v>
      </c>
      <c r="X16" s="59">
        <f>((ACCIDENTES!C16+ACCIDENTES!H16+ACCIDENTES!M16+ACCIDENTES!R16+ACCIDENTES!W16+ACCIDENTES!AB16+ACCIDENTES!AG16+ACCIDENTES!AL16)/(HH!F16+HH!J16+HH!N16+HH!R16+HH!V16+HH!Z16+HH!AD16+HH!AH16))*1000000</f>
        <v>0</v>
      </c>
      <c r="Y16" s="59">
        <f>((ACCIDENTES!D16+ACCIDENTES!I16+ACCIDENTES!N16+ACCIDENTES!S16+ACCIDENTES!X16+ACCIDENTES!AC16+ACCIDENTES!AH16+ACCIDENTES!AM16)/(HH!F16+HH!J16+HH!N16+HH!R16+HH!V16+HH!Z16+HH!AD16+HH!AH16))*1000000</f>
        <v>0</v>
      </c>
      <c r="Z16" s="59">
        <f>((ACCIDENTES!F16+ACCIDENTES!K16+ACCIDENTES!P16+ACCIDENTES!U16+ACCIDENTES!Z16+ACCIDENTES!AE16+ACCIDENTES!AJ16+ACCIDENTES!AO16)/(HH!F16+HH!J16+HH!N16+HH!R16+HH!V16+HH!Z16+HH!AD16+HH!AH16))*1000000</f>
        <v>0</v>
      </c>
      <c r="AA16" s="59">
        <f>((ACCIDENTES!AQ16+ACCIDENTES!AL16+ACCIDENTES!AG16+ACCIDENTES!AB16+ACCIDENTES!W16+ACCIDENTES!R16+ACCIDENTES!M16+ACCIDENTES!H16+ACCIDENTES!C16)/(HH!AL16+HH!AH16+HH!AD16+HH!Z16+HH!V16+HH!R16+HH!N16+HH!J16+HH!F16))*1000000</f>
        <v>0</v>
      </c>
      <c r="AB16" s="59">
        <f>((ACCIDENTES!AR16+ACCIDENTES!AM16+ACCIDENTES!AH16+ACCIDENTES!AC16+ACCIDENTES!X16+ACCIDENTES!S16+ACCIDENTES!N16+ACCIDENTES!I16+ACCIDENTES!D16)/(HH!AL16+HH!AH16+HH!AD16+HH!Z16+HH!V16+HH!R16+HH!N16+HH!J16+HH!F16))*1000000</f>
        <v>0</v>
      </c>
      <c r="AC16" s="59">
        <f>((ACCIDENTES!F16+ACCIDENTES!K16+ACCIDENTES!P16+ACCIDENTES!U16+ACCIDENTES!Z16+ACCIDENTES!AE16+ACCIDENTES!AJ16+ACCIDENTES!AO16+ACCIDENTES!AT16)/(HH!F16+HH!J16+HH!N16+HH!R16+HH!V16+HH!Z16+HH!AD16+HH!AH16+HH!AL16))*1000000</f>
        <v>0</v>
      </c>
      <c r="AD16" s="59">
        <f>((ACCIDENTES!AV16+ACCIDENTES!AQ16+ACCIDENTES!AL16+ACCIDENTES!AG16+ACCIDENTES!AB16+ACCIDENTES!W16+ACCIDENTES!R16+ACCIDENTES!M16+ACCIDENTES!H16+ACCIDENTES!C16)/(HH!F16+HH!J16+HH!N16+HH!R16+HH!V16+HH!Z16+HH!AD16+HH!AH16+HH!AL16+HH!AP16))*1000000</f>
        <v>5.0717134448633212</v>
      </c>
      <c r="AE16" s="59">
        <f>((ACCIDENTES!D16+ACCIDENTES!I16+ACCIDENTES!N16+ACCIDENTES!S16+ACCIDENTES!X16+ACCIDENTES!AC16+ACCIDENTES!AH16+ACCIDENTES!AM16+ACCIDENTES!AR16+ACCIDENTES!AW16)/(HH!AP16+HH!AL16+HH!AH16+HH!AD16+HH!Z16+HH!V16+HH!R16+HH!N16+HH!J16+HH!F16))*1000000</f>
        <v>10.143426889726641</v>
      </c>
      <c r="AF16" s="59">
        <f>((ACCIDENTES!AY16+ACCIDENTES!AT16+ACCIDENTES!AO16+ACCIDENTES!AJ16+ACCIDENTES!AE16+ACCIDENTES!Z16+ACCIDENTES!U16+ACCIDENTES!P16+ACCIDENTES!K16+ACCIDENTES!F16)/(HH!F16+HH!J16+HH!N16+HH!R16+HH!V16+HH!Z16+HH!AD16+HH!AH16+HH!AL16+HH!AP16))*1000000</f>
        <v>5.0717134448633212</v>
      </c>
      <c r="AG16" s="59">
        <f>((ACCIDENTES!BA16+ACCIDENTES!AV16+ACCIDENTES!AQ16+ACCIDENTES!AL16+ACCIDENTES!AG16+ACCIDENTES!AB16+ACCIDENTES!W16+ACCIDENTES!R16+ACCIDENTES!M16+ACCIDENTES!H16+ACCIDENTES!C16)/(HH!AT16+HH!AP16+HH!AL16+HH!AH16+HH!AD16+HH!Z16+HH!V16+HH!R16+HH!N16+HH!J16+HH!F16))*1000000</f>
        <v>4.2676495143160924</v>
      </c>
      <c r="AH16" s="59">
        <f>((ACCIDENTES!D16+ACCIDENTES!I16+ACCIDENTES!N16+ACCIDENTES!S16+ACCIDENTES!X16+ACCIDENTES!AC16+ACCIDENTES!AH16+ACCIDENTES!AM16+ACCIDENTES!AR16+ACCIDENTES!AW16+ACCIDENTES!BB16)/(HH!F16+HH!J16+HH!N16+HH!R16+HH!V16+HH!Z16+HH!AD16+HH!AH16+HH!AL16+HH!AP16+HH!AT16))*1000000</f>
        <v>8.5352990286321848</v>
      </c>
      <c r="AI16" s="59">
        <f>((ACCIDENTES!BD16+ACCIDENTES!AY16+ACCIDENTES!AT16+ACCIDENTES!AO16+ACCIDENTES!AJ16+ACCIDENTES!AE16+ACCIDENTES!Z16+ACCIDENTES!U16+ACCIDENTES!P16+ACCIDENTES!K16+ACCIDENTES!F16)/(HH!F16+HH!J16+HH!N16+HH!R16+HH!V16+HH!Z16+HH!AD16+HH!AH16+HH!AL16+HH!AP16+HH!AT16))*1000000</f>
        <v>4.2676495143160924</v>
      </c>
      <c r="AJ16" s="59">
        <f>(ACCIDENTES!BK16/HH!BB16)*1000000</f>
        <v>3.6836479731686613</v>
      </c>
      <c r="AK16" s="59">
        <f>(ACCIDENTES!BL16/HH!BB16)*1000000</f>
        <v>7.3672959463373227</v>
      </c>
      <c r="AL16" s="59">
        <f>(ACCIDENTES!BN16/HH!BB16)*1000000</f>
        <v>3.6836479731686613</v>
      </c>
      <c r="AN16" s="41">
        <f t="shared" si="0"/>
        <v>0</v>
      </c>
      <c r="AO16" s="41">
        <f t="shared" si="1"/>
        <v>0</v>
      </c>
      <c r="AP16" s="40"/>
      <c r="AQ16" s="125"/>
      <c r="AR16" s="41"/>
      <c r="AS16" s="41"/>
      <c r="AT16" s="41"/>
      <c r="AV16" s="118"/>
      <c r="AW16" s="60"/>
      <c r="AX16" s="60"/>
      <c r="AY16" s="63"/>
      <c r="AZ16" s="118"/>
      <c r="BA16" s="60"/>
      <c r="BB16" s="60"/>
      <c r="BC16" s="63"/>
      <c r="BD16" s="118"/>
      <c r="BE16" s="60"/>
      <c r="BF16" s="60"/>
    </row>
    <row r="17" spans="1:65" outlineLevel="2" x14ac:dyDescent="0.3">
      <c r="A17" s="3" t="s">
        <v>25</v>
      </c>
      <c r="B17" s="4" t="s">
        <v>39</v>
      </c>
      <c r="C17" s="58">
        <f>(ACCIDENTES!C17/HH!F17)*1000000</f>
        <v>0</v>
      </c>
      <c r="D17" s="59">
        <f>(ACCIDENTES!D17/HH!F17)*1000000</f>
        <v>0</v>
      </c>
      <c r="E17" s="59">
        <f>(ACCIDENTES!F17/HH!F17)*1000000</f>
        <v>0</v>
      </c>
      <c r="F17" s="59">
        <f>((ACCIDENTES!C17+ACCIDENTES!H17)/(HH!F17+HH!J17))*1000000</f>
        <v>0</v>
      </c>
      <c r="G17" s="59">
        <f>((ACCIDENTES!D17+ACCIDENTES!I17)/(HH!F17+HH!J17))*1000000</f>
        <v>0</v>
      </c>
      <c r="H17" s="59">
        <f>((ACCIDENTES!F17+ACCIDENTES!K17)/(HH!F17+HH!J17))*1000000</f>
        <v>0</v>
      </c>
      <c r="I17" s="59">
        <f>((ACCIDENTES!C17+ACCIDENTES!H17+ACCIDENTES!M17)/(HH!F17+HH!J17+HH!N17))*1000000</f>
        <v>0</v>
      </c>
      <c r="J17" s="59">
        <f>((ACCIDENTES!D17+ACCIDENTES!I17+ACCIDENTES!N17)/(HH!F17+HH!J17+HH!N17))*1000000</f>
        <v>0</v>
      </c>
      <c r="K17" s="59">
        <f>((ACCIDENTES!F17+ACCIDENTES!K17+ACCIDENTES!P17)/(HH!J17+HH!N17+HH!F17))*1000000</f>
        <v>0</v>
      </c>
      <c r="L17" s="59">
        <f>((ACCIDENTES!C17+ACCIDENTES!H17+ACCIDENTES!M17+ACCIDENTES!R17)/(HH!F17+HH!J17+HH!N17+HH!R17))*1000000</f>
        <v>0</v>
      </c>
      <c r="M17" s="59">
        <f>((ACCIDENTES!D17+ACCIDENTES!I17+ACCIDENTES!N17+ACCIDENTES!S17)/(HH!F17+HH!J17+HH!N17+HH!R17))*1000000</f>
        <v>0</v>
      </c>
      <c r="N17" s="59">
        <f>((ACCIDENTES!F17+ACCIDENTES!K17+ACCIDENTES!P17+ACCIDENTES!U17)/(HH!F17+HH!J17+HH!N17+HH!R17))*1000000</f>
        <v>0</v>
      </c>
      <c r="O17" s="59">
        <f>((ACCIDENTES!C17+ACCIDENTES!H17+ACCIDENTES!M17+ACCIDENTES!R17+ACCIDENTES!W17)/(HH!F17+HH!J17+HH!N17+HH!R17+HH!V17))*1000000</f>
        <v>0</v>
      </c>
      <c r="P17" s="59">
        <f>(((ACCIDENTES!D17+ACCIDENTES!I17+ACCIDENTES!N17+ACCIDENTES!S17+ACCIDENTES!X17)/(HH!F17+HH!J17+HH!N17+HH!R17+HH!V17))*1000000)</f>
        <v>0</v>
      </c>
      <c r="Q17" s="59">
        <f>((ACCIDENTES!F17+ACCIDENTES!K17+ACCIDENTES!P17+ACCIDENTES!U17+ACCIDENTES!Z17)/(HH!F17+HH!J17+HH!N17+HH!R17+HH!V17))*1000000</f>
        <v>4.7083036396317128</v>
      </c>
      <c r="R17" s="59">
        <f>(ACCIDENTES!C17+ACCIDENTES!H17+ACCIDENTES!M17+ACCIDENTES!R17+ACCIDENTES!W17+ACCIDENTES!AB17)*1000000/(HH!F17+HH!J17+HH!N17+HH!R17+HH!V17+HH!Z17)</f>
        <v>0</v>
      </c>
      <c r="S17" s="59">
        <f>(ACCIDENTES!D17+ACCIDENTES!I17+ACCIDENTES!N17+ACCIDENTES!S17+ACCIDENTES!X17+ACCIDENTES!AC17)*1000000/(HH!F17+HH!J17+HH!N17+HH!R17+HH!V17+HH!Z17)</f>
        <v>0</v>
      </c>
      <c r="T17" s="59">
        <f>(ACCIDENTES!F17+ACCIDENTES!K17+ACCIDENTES!P17+ACCIDENTES!U17+ACCIDENTES!Z17+ACCIDENTES!AE17)*1000000/(HH!F17+HH!J17+HH!N17+HH!R17+HH!V17+HH!Z17)</f>
        <v>3.8547867894298045</v>
      </c>
      <c r="U17" s="59">
        <f>((ACCIDENTES!C17+ACCIDENTES!H17+ACCIDENTES!M17+ACCIDENTES!R17+ACCIDENTES!W17+ACCIDENTES!AB17+ACCIDENTES!AG17)/(HH!F17+HH!J17+HH!N17+HH!R17+HH!V17+HH!Z17+HH!AD17))*1000000</f>
        <v>0</v>
      </c>
      <c r="V17" s="59">
        <f>((ACCIDENTES!D17+ACCIDENTES!I17+ACCIDENTES!N17+ACCIDENTES!S17+ACCIDENTES!X17+ACCIDENTES!AC17+ACCIDENTES!AH17)/(HH!F17+HH!J17+HH!N17+HH!R17+HH!V17+HH!Z17+HH!AD17))*1000000</f>
        <v>0</v>
      </c>
      <c r="W17" s="59">
        <f>((ACCIDENTES!F17+ACCIDENTES!K17+ACCIDENTES!P17+ACCIDENTES!U17+ACCIDENTES!Z17+ACCIDENTES!AE17+ACCIDENTES!AJ17)/(HH!F17+HH!J17+HH!N17+HH!R17+HH!V17+HH!Z17+HH!AD17))*1000000</f>
        <v>3.2632312933960819</v>
      </c>
      <c r="X17" s="59">
        <f>((ACCIDENTES!C17+ACCIDENTES!H17+ACCIDENTES!M17+ACCIDENTES!R17+ACCIDENTES!W17+ACCIDENTES!AB17+ACCIDENTES!AG17+ACCIDENTES!AL17)/(HH!F17+HH!J17+HH!N17+HH!R17+HH!V17+HH!Z17+HH!AD17+HH!AH17))*1000000</f>
        <v>0</v>
      </c>
      <c r="Y17" s="59">
        <f>((ACCIDENTES!D17+ACCIDENTES!I17+ACCIDENTES!N17+ACCIDENTES!S17+ACCIDENTES!X17+ACCIDENTES!AC17+ACCIDENTES!AH17+ACCIDENTES!AM17)/(HH!F17+HH!J17+HH!N17+HH!R17+HH!V17+HH!Z17+HH!AD17+HH!AH17))*1000000</f>
        <v>0</v>
      </c>
      <c r="Z17" s="59">
        <f>((ACCIDENTES!F17+ACCIDENTES!K17+ACCIDENTES!P17+ACCIDENTES!U17+ACCIDENTES!Z17+ACCIDENTES!AE17+ACCIDENTES!AJ17+ACCIDENTES!AO17)/(HH!F17+HH!J17+HH!N17+HH!R17+HH!V17+HH!Z17+HH!AD17+HH!AH17))*1000000</f>
        <v>5.6367288349005511</v>
      </c>
      <c r="AA17" s="59">
        <f>((ACCIDENTES!AQ17+ACCIDENTES!AL17+ACCIDENTES!AG17+ACCIDENTES!AB17+ACCIDENTES!W17+ACCIDENTES!R17+ACCIDENTES!M17+ACCIDENTES!H17+ACCIDENTES!C17)/(HH!AL17+HH!AH17+HH!AD17+HH!Z17+HH!V17+HH!R17+HH!N17+HH!J17+HH!F17))*1000000</f>
        <v>2.4874339810147097</v>
      </c>
      <c r="AB17" s="59">
        <f>((ACCIDENTES!AR17+ACCIDENTES!AM17+ACCIDENTES!AH17+ACCIDENTES!AC17+ACCIDENTES!X17+ACCIDENTES!S17+ACCIDENTES!N17+ACCIDENTES!I17+ACCIDENTES!D17)/(HH!AL17+HH!AH17+HH!AD17+HH!Z17+HH!V17+HH!R17+HH!N17+HH!J17+HH!F17))*1000000</f>
        <v>34.824075734205941</v>
      </c>
      <c r="AC17" s="59">
        <f>((ACCIDENTES!F17+ACCIDENTES!K17+ACCIDENTES!P17+ACCIDENTES!U17+ACCIDENTES!Z17+ACCIDENTES!AE17+ACCIDENTES!AJ17+ACCIDENTES!AO17+ACCIDENTES!AT17)/(HH!F17+HH!J17+HH!N17+HH!R17+HH!V17+HH!Z17+HH!AD17+HH!AH17+HH!AL17))*1000000</f>
        <v>7.46230194304413</v>
      </c>
      <c r="AD17" s="59">
        <f>((ACCIDENTES!AV17+ACCIDENTES!AQ17+ACCIDENTES!AL17+ACCIDENTES!AG17+ACCIDENTES!AB17+ACCIDENTES!W17+ACCIDENTES!R17+ACCIDENTES!M17+ACCIDENTES!H17+ACCIDENTES!C17)/(HH!F17+HH!J17+HH!N17+HH!R17+HH!V17+HH!Z17+HH!AD17+HH!AH17+HH!AL17+HH!AP17))*1000000</f>
        <v>2.2260524174795693</v>
      </c>
      <c r="AE17" s="59">
        <f>((ACCIDENTES!D17+ACCIDENTES!I17+ACCIDENTES!N17+ACCIDENTES!S17+ACCIDENTES!X17+ACCIDENTES!AC17+ACCIDENTES!AH17+ACCIDENTES!AM17+ACCIDENTES!AR17+ACCIDENTES!AW17)/(HH!AP17+HH!AL17+HH!AH17+HH!AD17+HH!Z17+HH!V17+HH!R17+HH!N17+HH!J17+HH!F17))*1000000</f>
        <v>31.164733844713968</v>
      </c>
      <c r="AF17" s="59">
        <f>((ACCIDENTES!AY17+ACCIDENTES!AT17+ACCIDENTES!AO17+ACCIDENTES!AJ17+ACCIDENTES!AE17+ACCIDENTES!Z17+ACCIDENTES!U17+ACCIDENTES!P17+ACCIDENTES!K17+ACCIDENTES!F17)/(HH!F17+HH!J17+HH!N17+HH!R17+HH!V17+HH!Z17+HH!AD17+HH!AH17+HH!AL17+HH!AP17))*1000000</f>
        <v>6.6781572524387069</v>
      </c>
      <c r="AG17" s="59">
        <f>((ACCIDENTES!BA17+ACCIDENTES!AV17+ACCIDENTES!AQ17+ACCIDENTES!AL17+ACCIDENTES!AG17+ACCIDENTES!AB17+ACCIDENTES!W17+ACCIDENTES!R17+ACCIDENTES!M17+ACCIDENTES!H17+ACCIDENTES!C17)/(HH!AT17+HH!AP17+HH!AL17+HH!AH17+HH!AD17+HH!Z17+HH!V17+HH!R17+HH!N17+HH!J17+HH!F17))*1000000</f>
        <v>4.0287595417140984</v>
      </c>
      <c r="AH17" s="59">
        <f>((ACCIDENTES!D17+ACCIDENTES!I17+ACCIDENTES!N17+ACCIDENTES!S17+ACCIDENTES!X17+ACCIDENTES!AC17+ACCIDENTES!AH17+ACCIDENTES!AM17+ACCIDENTES!AR17+ACCIDENTES!AW17+ACCIDENTES!BB17)/(HH!F17+HH!J17+HH!N17+HH!R17+HH!V17+HH!Z17+HH!AD17+HH!AH17+HH!AL17+HH!AP17+HH!AT17))*1000000</f>
        <v>66.474532438282637</v>
      </c>
      <c r="AI17" s="59">
        <f>((ACCIDENTES!BD17+ACCIDENTES!AY17+ACCIDENTES!AT17+ACCIDENTES!AO17+ACCIDENTES!AJ17+ACCIDENTES!AE17+ACCIDENTES!Z17+ACCIDENTES!U17+ACCIDENTES!P17+ACCIDENTES!K17+ACCIDENTES!F17)/(HH!F17+HH!J17+HH!N17+HH!R17+HH!V17+HH!Z17+HH!AD17+HH!AH17+HH!AL17+HH!AP17+HH!AT17))*1000000</f>
        <v>8.0575190834281969</v>
      </c>
      <c r="AJ17" s="59">
        <f>(ACCIDENTES!BK17/HH!BB17)*1000000</f>
        <v>3.6789341215474218</v>
      </c>
      <c r="AK17" s="59">
        <f>(ACCIDENTES!BL17/HH!BB17)*1000000</f>
        <v>60.702413005532456</v>
      </c>
      <c r="AL17" s="59">
        <f>(ACCIDENTES!BN17/HH!BB17)*1000000</f>
        <v>7.3578682430948437</v>
      </c>
      <c r="AN17" s="41">
        <f t="shared" si="0"/>
        <v>0</v>
      </c>
      <c r="AO17" s="41">
        <f t="shared" si="1"/>
        <v>0</v>
      </c>
      <c r="AP17" s="40"/>
      <c r="AQ17" s="125"/>
      <c r="AR17" s="41"/>
      <c r="AS17" s="41"/>
      <c r="AT17" s="41"/>
      <c r="AV17" s="118"/>
      <c r="AW17" s="60"/>
      <c r="AX17" s="60"/>
      <c r="AY17" s="63"/>
      <c r="AZ17" s="118"/>
      <c r="BA17" s="60"/>
      <c r="BB17" s="60"/>
      <c r="BC17" s="63"/>
      <c r="BD17" s="118"/>
      <c r="BE17" s="60"/>
      <c r="BF17" s="60"/>
    </row>
    <row r="18" spans="1:65" outlineLevel="2" x14ac:dyDescent="0.3">
      <c r="A18" s="3" t="s">
        <v>25</v>
      </c>
      <c r="B18" s="4" t="s">
        <v>40</v>
      </c>
      <c r="C18" s="58">
        <f>(ACCIDENTES!C18/HH!F18)*1000000</f>
        <v>0</v>
      </c>
      <c r="D18" s="59">
        <f>(ACCIDENTES!D18/HH!F18)*1000000</f>
        <v>0</v>
      </c>
      <c r="E18" s="59">
        <f>(ACCIDENTES!F18/HH!F18)*1000000</f>
        <v>0</v>
      </c>
      <c r="F18" s="59">
        <f>((ACCIDENTES!C18+ACCIDENTES!H18)/(HH!F18+HH!J18))*1000000</f>
        <v>0</v>
      </c>
      <c r="G18" s="59">
        <f>((ACCIDENTES!D18+ACCIDENTES!I18)/(HH!F18+HH!J18))*1000000</f>
        <v>0</v>
      </c>
      <c r="H18" s="59">
        <f>((ACCIDENTES!F18+ACCIDENTES!K18)/(HH!F18+HH!J18))*1000000</f>
        <v>0</v>
      </c>
      <c r="I18" s="59">
        <f>((ACCIDENTES!C18+ACCIDENTES!H18+ACCIDENTES!M18)/(HH!F18+HH!J18+HH!N18))*1000000</f>
        <v>0</v>
      </c>
      <c r="J18" s="59">
        <f>((ACCIDENTES!D18+ACCIDENTES!I18+ACCIDENTES!N18)/(HH!F18+HH!J18+HH!N18))*1000000</f>
        <v>0</v>
      </c>
      <c r="K18" s="59">
        <f>((ACCIDENTES!F18+ACCIDENTES!K18+ACCIDENTES!P18)/(HH!J18+HH!N18+HH!F18))*1000000</f>
        <v>0</v>
      </c>
      <c r="L18" s="59">
        <f>((ACCIDENTES!C18+ACCIDENTES!H18+ACCIDENTES!M18+ACCIDENTES!R18)/(HH!F18+HH!J18+HH!N18+HH!R18))*1000000</f>
        <v>0</v>
      </c>
      <c r="M18" s="59">
        <f>((ACCIDENTES!D18+ACCIDENTES!I18+ACCIDENTES!N18+ACCIDENTES!S18)/(HH!F18+HH!J18+HH!N18+HH!R18))*1000000</f>
        <v>0</v>
      </c>
      <c r="N18" s="59">
        <f>((ACCIDENTES!F18+ACCIDENTES!K18+ACCIDENTES!P18+ACCIDENTES!U18)/(HH!F18+HH!J18+HH!N18+HH!R18))*1000000</f>
        <v>0</v>
      </c>
      <c r="O18" s="59">
        <f>((ACCIDENTES!C18+ACCIDENTES!H18+ACCIDENTES!M18+ACCIDENTES!R18+ACCIDENTES!W18)/(HH!F18+HH!J18+HH!N18+HH!R18+HH!V18))*1000000</f>
        <v>0</v>
      </c>
      <c r="P18" s="59">
        <f>(((ACCIDENTES!D18+ACCIDENTES!I18+ACCIDENTES!N18+ACCIDENTES!S18+ACCIDENTES!X18)/(HH!F18+HH!J18+HH!N18+HH!R18+HH!V18))*1000000)</f>
        <v>0</v>
      </c>
      <c r="Q18" s="59">
        <f>((ACCIDENTES!F18+ACCIDENTES!K18+ACCIDENTES!P18+ACCIDENTES!U18+ACCIDENTES!Z18)/(HH!F18+HH!J18+HH!N18+HH!R18+HH!V18))*1000000</f>
        <v>0</v>
      </c>
      <c r="R18" s="59">
        <f>(ACCIDENTES!C18+ACCIDENTES!H18+ACCIDENTES!M18+ACCIDENTES!R18+ACCIDENTES!W18+ACCIDENTES!AB18)*1000000/(HH!F18+HH!J18+HH!N18+HH!R18+HH!V18+HH!Z18)</f>
        <v>0</v>
      </c>
      <c r="S18" s="59">
        <f>(ACCIDENTES!D18+ACCIDENTES!I18+ACCIDENTES!N18+ACCIDENTES!S18+ACCIDENTES!X18+ACCIDENTES!AC18)*1000000/(HH!F18+HH!J18+HH!N18+HH!R18+HH!V18+HH!Z18)</f>
        <v>0</v>
      </c>
      <c r="T18" s="59">
        <f>(ACCIDENTES!F18+ACCIDENTES!K18+ACCIDENTES!P18+ACCIDENTES!U18+ACCIDENTES!Z18+ACCIDENTES!AE18)*1000000/(HH!F18+HH!J18+HH!N18+HH!R18+HH!V18+HH!Z18)</f>
        <v>0</v>
      </c>
      <c r="U18" s="59">
        <f>((ACCIDENTES!C18+ACCIDENTES!H18+ACCIDENTES!M18+ACCIDENTES!R18+ACCIDENTES!W18+ACCIDENTES!AB18+ACCIDENTES!AG18)/(HH!F18+HH!J18+HH!N18+HH!R18+HH!V18+HH!Z18+HH!AD18))*1000000</f>
        <v>0</v>
      </c>
      <c r="V18" s="59">
        <f>((ACCIDENTES!D18+ACCIDENTES!I18+ACCIDENTES!N18+ACCIDENTES!S18+ACCIDENTES!X18+ACCIDENTES!AC18+ACCIDENTES!AH18)/(HH!F18+HH!J18+HH!N18+HH!R18+HH!V18+HH!Z18+HH!AD18))*1000000</f>
        <v>0</v>
      </c>
      <c r="W18" s="59">
        <f>((ACCIDENTES!F18+ACCIDENTES!K18+ACCIDENTES!P18+ACCIDENTES!U18+ACCIDENTES!Z18+ACCIDENTES!AE18+ACCIDENTES!AJ18)/(HH!F18+HH!J18+HH!N18+HH!R18+HH!V18+HH!Z18+HH!AD18))*1000000</f>
        <v>0</v>
      </c>
      <c r="X18" s="59">
        <f>((ACCIDENTES!C18+ACCIDENTES!H18+ACCIDENTES!M18+ACCIDENTES!R18+ACCIDENTES!W18+ACCIDENTES!AB18+ACCIDENTES!AG18+ACCIDENTES!AL18)/(HH!F18+HH!J18+HH!N18+HH!R18+HH!V18+HH!Z18+HH!AD18+HH!AH18))*1000000</f>
        <v>0</v>
      </c>
      <c r="Y18" s="59">
        <f>((ACCIDENTES!D18+ACCIDENTES!I18+ACCIDENTES!N18+ACCIDENTES!S18+ACCIDENTES!X18+ACCIDENTES!AC18+ACCIDENTES!AH18+ACCIDENTES!AM18)/(HH!F18+HH!J18+HH!N18+HH!R18+HH!V18+HH!Z18+HH!AD18+HH!AH18))*1000000</f>
        <v>0</v>
      </c>
      <c r="Z18" s="59">
        <f>((ACCIDENTES!F18+ACCIDENTES!K18+ACCIDENTES!P18+ACCIDENTES!U18+ACCIDENTES!Z18+ACCIDENTES!AE18+ACCIDENTES!AJ18+ACCIDENTES!AO18)/(HH!F18+HH!J18+HH!N18+HH!R18+HH!V18+HH!Z18+HH!AD18+HH!AH18))*1000000</f>
        <v>0</v>
      </c>
      <c r="AA18" s="59">
        <f>((ACCIDENTES!AQ18+ACCIDENTES!AL18+ACCIDENTES!AG18+ACCIDENTES!AB18+ACCIDENTES!W18+ACCIDENTES!R18+ACCIDENTES!M18+ACCIDENTES!H18+ACCIDENTES!C18)/(HH!AL18+HH!AH18+HH!AD18+HH!Z18+HH!V18+HH!R18+HH!N18+HH!J18+HH!F18))*1000000</f>
        <v>0</v>
      </c>
      <c r="AB18" s="59">
        <f>((ACCIDENTES!AR18+ACCIDENTES!AM18+ACCIDENTES!AH18+ACCIDENTES!AC18+ACCIDENTES!X18+ACCIDENTES!S18+ACCIDENTES!N18+ACCIDENTES!I18+ACCIDENTES!D18)/(HH!AL18+HH!AH18+HH!AD18+HH!Z18+HH!V18+HH!R18+HH!N18+HH!J18+HH!F18))*1000000</f>
        <v>0</v>
      </c>
      <c r="AC18" s="59">
        <f>((ACCIDENTES!F18+ACCIDENTES!K18+ACCIDENTES!P18+ACCIDENTES!U18+ACCIDENTES!Z18+ACCIDENTES!AE18+ACCIDENTES!AJ18+ACCIDENTES!AO18+ACCIDENTES!AT18)/(HH!F18+HH!J18+HH!N18+HH!R18+HH!V18+HH!Z18+HH!AD18+HH!AH18+HH!AL18))*1000000</f>
        <v>0</v>
      </c>
      <c r="AD18" s="59">
        <f>((ACCIDENTES!AV18+ACCIDENTES!AQ18+ACCIDENTES!AL18+ACCIDENTES!AG18+ACCIDENTES!AB18+ACCIDENTES!W18+ACCIDENTES!R18+ACCIDENTES!M18+ACCIDENTES!H18+ACCIDENTES!C18)/(HH!F18+HH!J18+HH!N18+HH!R18+HH!V18+HH!Z18+HH!AD18+HH!AH18+HH!AL18+HH!AP18))*1000000</f>
        <v>0</v>
      </c>
      <c r="AE18" s="59">
        <f>((ACCIDENTES!D18+ACCIDENTES!I18+ACCIDENTES!N18+ACCIDENTES!S18+ACCIDENTES!X18+ACCIDENTES!AC18+ACCIDENTES!AH18+ACCIDENTES!AM18+ACCIDENTES!AR18+ACCIDENTES!AW18)/(HH!AP18+HH!AL18+HH!AH18+HH!AD18+HH!Z18+HH!V18+HH!R18+HH!N18+HH!J18+HH!F18))*1000000</f>
        <v>0</v>
      </c>
      <c r="AF18" s="59">
        <f>((ACCIDENTES!AY18+ACCIDENTES!AT18+ACCIDENTES!AO18+ACCIDENTES!AJ18+ACCIDENTES!AE18+ACCIDENTES!Z18+ACCIDENTES!U18+ACCIDENTES!P18+ACCIDENTES!K18+ACCIDENTES!F18)/(HH!F18+HH!J18+HH!N18+HH!R18+HH!V18+HH!Z18+HH!AD18+HH!AH18+HH!AL18+HH!AP18))*1000000</f>
        <v>0</v>
      </c>
      <c r="AG18" s="59">
        <f>((ACCIDENTES!BA18+ACCIDENTES!AV18+ACCIDENTES!AQ18+ACCIDENTES!AL18+ACCIDENTES!AG18+ACCIDENTES!AB18+ACCIDENTES!W18+ACCIDENTES!R18+ACCIDENTES!M18+ACCIDENTES!H18+ACCIDENTES!C18)/(HH!AT18+HH!AP18+HH!AL18+HH!AH18+HH!AD18+HH!Z18+HH!V18+HH!R18+HH!N18+HH!J18+HH!F18))*1000000</f>
        <v>0</v>
      </c>
      <c r="AH18" s="59">
        <f>((ACCIDENTES!D18+ACCIDENTES!I18+ACCIDENTES!N18+ACCIDENTES!S18+ACCIDENTES!X18+ACCIDENTES!AC18+ACCIDENTES!AH18+ACCIDENTES!AM18+ACCIDENTES!AR18+ACCIDENTES!AW18+ACCIDENTES!BB18)/(HH!F18+HH!J18+HH!N18+HH!R18+HH!V18+HH!Z18+HH!AD18+HH!AH18+HH!AL18+HH!AP18+HH!AT18))*1000000</f>
        <v>0</v>
      </c>
      <c r="AI18" s="59">
        <f>((ACCIDENTES!BD18+ACCIDENTES!AY18+ACCIDENTES!AT18+ACCIDENTES!AO18+ACCIDENTES!AJ18+ACCIDENTES!AE18+ACCIDENTES!Z18+ACCIDENTES!U18+ACCIDENTES!P18+ACCIDENTES!K18+ACCIDENTES!F18)/(HH!F18+HH!J18+HH!N18+HH!R18+HH!V18+HH!Z18+HH!AD18+HH!AH18+HH!AL18+HH!AP18+HH!AT18))*1000000</f>
        <v>0</v>
      </c>
      <c r="AJ18" s="59">
        <f>(ACCIDENTES!BK18/HH!BB18)*1000000</f>
        <v>9.9004019563194277</v>
      </c>
      <c r="AK18" s="59">
        <f>(ACCIDENTES!BL18/HH!BB18)*1000000</f>
        <v>158.40643130111084</v>
      </c>
      <c r="AL18" s="59">
        <f>(ACCIDENTES!BN18/HH!BB18)*1000000</f>
        <v>9.9004019563194277</v>
      </c>
      <c r="AN18" s="41">
        <f t="shared" si="0"/>
        <v>0</v>
      </c>
      <c r="AO18" s="41">
        <f t="shared" si="1"/>
        <v>0</v>
      </c>
      <c r="AP18" s="40"/>
      <c r="AQ18" s="124"/>
      <c r="AR18" s="41"/>
      <c r="AS18" s="41"/>
      <c r="AT18" s="41"/>
      <c r="AV18" s="118"/>
      <c r="AW18" s="60"/>
      <c r="AX18" s="60"/>
      <c r="AY18" s="63"/>
      <c r="AZ18" s="118"/>
      <c r="BA18" s="60"/>
      <c r="BB18" s="60"/>
      <c r="BC18" s="63"/>
      <c r="BD18" s="118"/>
      <c r="BE18" s="60"/>
      <c r="BF18" s="60"/>
    </row>
    <row r="19" spans="1:65" outlineLevel="2" x14ac:dyDescent="0.3">
      <c r="A19" s="3" t="s">
        <v>25</v>
      </c>
      <c r="B19" s="5" t="s">
        <v>41</v>
      </c>
      <c r="C19" s="58">
        <f>(ACCIDENTES!C19/HH!F19)*1000000</f>
        <v>0</v>
      </c>
      <c r="D19" s="59">
        <f>(ACCIDENTES!D19/HH!F19)*1000000</f>
        <v>0</v>
      </c>
      <c r="E19" s="59">
        <f>(ACCIDENTES!F19/HH!F19)*1000000</f>
        <v>0</v>
      </c>
      <c r="F19" s="59">
        <f>((ACCIDENTES!C19+ACCIDENTES!H19)/(HH!F19+HH!J19))*1000000</f>
        <v>0</v>
      </c>
      <c r="G19" s="59">
        <f>((ACCIDENTES!D19+ACCIDENTES!I19)/(HH!F19+HH!J19))*1000000</f>
        <v>0</v>
      </c>
      <c r="H19" s="59">
        <f>((ACCIDENTES!F19+ACCIDENTES!K19)/(HH!F19+HH!J19))*1000000</f>
        <v>0</v>
      </c>
      <c r="I19" s="59">
        <f>((ACCIDENTES!C19+ACCIDENTES!H19+ACCIDENTES!M19)/(HH!F19+HH!J19+HH!N19))*1000000</f>
        <v>0</v>
      </c>
      <c r="J19" s="59">
        <f>((ACCIDENTES!D19+ACCIDENTES!I19+ACCIDENTES!N19)/(HH!F19+HH!J19+HH!N19))*1000000</f>
        <v>0</v>
      </c>
      <c r="K19" s="59">
        <f>((ACCIDENTES!F19+ACCIDENTES!K19+ACCIDENTES!P19)/(HH!J19+HH!N19+HH!F19))*1000000</f>
        <v>0</v>
      </c>
      <c r="L19" s="59">
        <f>((ACCIDENTES!C19+ACCIDENTES!H19+ACCIDENTES!M19+ACCIDENTES!R19)/(HH!F19+HH!J19+HH!N19+HH!R19))*1000000</f>
        <v>0</v>
      </c>
      <c r="M19" s="59">
        <f>((ACCIDENTES!D19+ACCIDENTES!I19+ACCIDENTES!N19+ACCIDENTES!S19)/(HH!F19+HH!J19+HH!N19+HH!R19))*1000000</f>
        <v>0</v>
      </c>
      <c r="N19" s="59">
        <f>((ACCIDENTES!F19+ACCIDENTES!K19+ACCIDENTES!P19+ACCIDENTES!U19)/(HH!F19+HH!J19+HH!N19+HH!R19))*1000000</f>
        <v>0</v>
      </c>
      <c r="O19" s="59">
        <f>((ACCIDENTES!C19+ACCIDENTES!H19+ACCIDENTES!M19+ACCIDENTES!R19+ACCIDENTES!W19)/(HH!F19+HH!J19+HH!N19+HH!R19+HH!V19))*1000000</f>
        <v>0</v>
      </c>
      <c r="P19" s="59">
        <f>(((ACCIDENTES!D19+ACCIDENTES!I19+ACCIDENTES!N19+ACCIDENTES!S19+ACCIDENTES!X19)/(HH!F19+HH!J19+HH!N19+HH!R19+HH!V19))*1000000)</f>
        <v>0</v>
      </c>
      <c r="Q19" s="59">
        <f>((ACCIDENTES!F19+ACCIDENTES!K19+ACCIDENTES!P19+ACCIDENTES!U19+ACCIDENTES!Z19)/(HH!F19+HH!J19+HH!N19+HH!R19+HH!V19))*1000000</f>
        <v>0</v>
      </c>
      <c r="R19" s="59">
        <f>(ACCIDENTES!C19+ACCIDENTES!H19+ACCIDENTES!M19+ACCIDENTES!R19+ACCIDENTES!W19+ACCIDENTES!AB19)*1000000/(HH!F19+HH!J19+HH!N19+HH!R19+HH!V19+HH!Z19)</f>
        <v>0</v>
      </c>
      <c r="S19" s="59">
        <f>(ACCIDENTES!D19+ACCIDENTES!I19+ACCIDENTES!N19+ACCIDENTES!S19+ACCIDENTES!X19+ACCIDENTES!AC19)*1000000/(HH!F19+HH!J19+HH!N19+HH!R19+HH!V19+HH!Z19)</f>
        <v>0</v>
      </c>
      <c r="T19" s="59">
        <f>(ACCIDENTES!F19+ACCIDENTES!K19+ACCIDENTES!P19+ACCIDENTES!U19+ACCIDENTES!Z19+ACCIDENTES!AE19)*1000000/(HH!F19+HH!J19+HH!N19+HH!R19+HH!V19+HH!Z19)</f>
        <v>0</v>
      </c>
      <c r="U19" s="59">
        <f>((ACCIDENTES!C19+ACCIDENTES!H19+ACCIDENTES!M19+ACCIDENTES!R19+ACCIDENTES!W19+ACCIDENTES!AB19+ACCIDENTES!AG19)/(HH!F19+HH!J19+HH!N19+HH!R19+HH!V19+HH!Z19+HH!AD19))*1000000</f>
        <v>0</v>
      </c>
      <c r="V19" s="59">
        <f>((ACCIDENTES!D19+ACCIDENTES!I19+ACCIDENTES!N19+ACCIDENTES!S19+ACCIDENTES!X19+ACCIDENTES!AC19+ACCIDENTES!AH19)/(HH!F19+HH!J19+HH!N19+HH!R19+HH!V19+HH!Z19+HH!AD19))*1000000</f>
        <v>0</v>
      </c>
      <c r="W19" s="59">
        <f>((ACCIDENTES!F19+ACCIDENTES!K19+ACCIDENTES!P19+ACCIDENTES!U19+ACCIDENTES!Z19+ACCIDENTES!AE19+ACCIDENTES!AJ19)/(HH!F19+HH!J19+HH!N19+HH!R19+HH!V19+HH!Z19+HH!AD19))*1000000</f>
        <v>0</v>
      </c>
      <c r="X19" s="59">
        <f>((ACCIDENTES!C19+ACCIDENTES!H19+ACCIDENTES!M19+ACCIDENTES!R19+ACCIDENTES!W19+ACCIDENTES!AB19+ACCIDENTES!AG19+ACCIDENTES!AL19)/(HH!F19+HH!J19+HH!N19+HH!R19+HH!V19+HH!Z19+HH!AD19+HH!AH19))*1000000</f>
        <v>0</v>
      </c>
      <c r="Y19" s="59">
        <f>((ACCIDENTES!D19+ACCIDENTES!I19+ACCIDENTES!N19+ACCIDENTES!S19+ACCIDENTES!X19+ACCIDENTES!AC19+ACCIDENTES!AH19+ACCIDENTES!AM19)/(HH!F19+HH!J19+HH!N19+HH!R19+HH!V19+HH!Z19+HH!AD19+HH!AH19))*1000000</f>
        <v>0</v>
      </c>
      <c r="Z19" s="59">
        <f>((ACCIDENTES!F19+ACCIDENTES!K19+ACCIDENTES!P19+ACCIDENTES!U19+ACCIDENTES!Z19+ACCIDENTES!AE19+ACCIDENTES!AJ19+ACCIDENTES!AO19)/(HH!F19+HH!J19+HH!N19+HH!R19+HH!V19+HH!Z19+HH!AD19+HH!AH19))*1000000</f>
        <v>0</v>
      </c>
      <c r="AA19" s="59">
        <f>((ACCIDENTES!AQ19+ACCIDENTES!AL19+ACCIDENTES!AG19+ACCIDENTES!AB19+ACCIDENTES!W19+ACCIDENTES!R19+ACCIDENTES!M19+ACCIDENTES!H19+ACCIDENTES!C19)/(HH!AL19+HH!AH19+HH!AD19+HH!Z19+HH!V19+HH!R19+HH!N19+HH!J19+HH!F19))*1000000</f>
        <v>0</v>
      </c>
      <c r="AB19" s="59">
        <f>((ACCIDENTES!AR19+ACCIDENTES!AM19+ACCIDENTES!AH19+ACCIDENTES!AC19+ACCIDENTES!X19+ACCIDENTES!S19+ACCIDENTES!N19+ACCIDENTES!I19+ACCIDENTES!D19)/(HH!AL19+HH!AH19+HH!AD19+HH!Z19+HH!V19+HH!R19+HH!N19+HH!J19+HH!F19))*1000000</f>
        <v>0</v>
      </c>
      <c r="AC19" s="59">
        <f>((ACCIDENTES!F19+ACCIDENTES!K19+ACCIDENTES!P19+ACCIDENTES!U19+ACCIDENTES!Z19+ACCIDENTES!AE19+ACCIDENTES!AJ19+ACCIDENTES!AO19+ACCIDENTES!AT19)/(HH!F19+HH!J19+HH!N19+HH!R19+HH!V19+HH!Z19+HH!AD19+HH!AH19+HH!AL19))*1000000</f>
        <v>0</v>
      </c>
      <c r="AD19" s="59">
        <f>((ACCIDENTES!AV19+ACCIDENTES!AQ19+ACCIDENTES!AL19+ACCIDENTES!AG19+ACCIDENTES!AB19+ACCIDENTES!W19+ACCIDENTES!R19+ACCIDENTES!M19+ACCIDENTES!H19+ACCIDENTES!C19)/(HH!F19+HH!J19+HH!N19+HH!R19+HH!V19+HH!Z19+HH!AD19+HH!AH19+HH!AL19+HH!AP19))*1000000</f>
        <v>0</v>
      </c>
      <c r="AE19" s="59">
        <f>((ACCIDENTES!D19+ACCIDENTES!I19+ACCIDENTES!N19+ACCIDENTES!S19+ACCIDENTES!X19+ACCIDENTES!AC19+ACCIDENTES!AH19+ACCIDENTES!AM19+ACCIDENTES!AR19+ACCIDENTES!AW19)/(HH!AP19+HH!AL19+HH!AH19+HH!AD19+HH!Z19+HH!V19+HH!R19+HH!N19+HH!J19+HH!F19))*1000000</f>
        <v>0</v>
      </c>
      <c r="AF19" s="59">
        <f>((ACCIDENTES!AY19+ACCIDENTES!AT19+ACCIDENTES!AO19+ACCIDENTES!AJ19+ACCIDENTES!AE19+ACCIDENTES!Z19+ACCIDENTES!U19+ACCIDENTES!P19+ACCIDENTES!K19+ACCIDENTES!F19)/(HH!F19+HH!J19+HH!N19+HH!R19+HH!V19+HH!Z19+HH!AD19+HH!AH19+HH!AL19+HH!AP19))*1000000</f>
        <v>0</v>
      </c>
      <c r="AG19" s="59">
        <f>((ACCIDENTES!BA19+ACCIDENTES!AV19+ACCIDENTES!AQ19+ACCIDENTES!AL19+ACCIDENTES!AG19+ACCIDENTES!AB19+ACCIDENTES!W19+ACCIDENTES!R19+ACCIDENTES!M19+ACCIDENTES!H19+ACCIDENTES!C19)/(HH!AT19+HH!AP19+HH!AL19+HH!AH19+HH!AD19+HH!Z19+HH!V19+HH!R19+HH!N19+HH!J19+HH!F19))*1000000</f>
        <v>0</v>
      </c>
      <c r="AH19" s="59">
        <f>((ACCIDENTES!D19+ACCIDENTES!I19+ACCIDENTES!N19+ACCIDENTES!S19+ACCIDENTES!X19+ACCIDENTES!AC19+ACCIDENTES!AH19+ACCIDENTES!AM19+ACCIDENTES!AR19+ACCIDENTES!AW19+ACCIDENTES!BB19)/(HH!F19+HH!J19+HH!N19+HH!R19+HH!V19+HH!Z19+HH!AD19+HH!AH19+HH!AL19+HH!AP19+HH!AT19))*1000000</f>
        <v>0</v>
      </c>
      <c r="AI19" s="59">
        <f>((ACCIDENTES!BD19+ACCIDENTES!AY19+ACCIDENTES!AT19+ACCIDENTES!AO19+ACCIDENTES!AJ19+ACCIDENTES!AE19+ACCIDENTES!Z19+ACCIDENTES!U19+ACCIDENTES!P19+ACCIDENTES!K19+ACCIDENTES!F19)/(HH!F19+HH!J19+HH!N19+HH!R19+HH!V19+HH!Z19+HH!AD19+HH!AH19+HH!AL19+HH!AP19+HH!AT19))*1000000</f>
        <v>0</v>
      </c>
      <c r="AJ19" s="59">
        <f>(ACCIDENTES!BK19/HH!BB19)*1000000</f>
        <v>0</v>
      </c>
      <c r="AK19" s="59">
        <f>(ACCIDENTES!BL19/HH!BB19)*1000000</f>
        <v>0</v>
      </c>
      <c r="AL19" s="59">
        <f>(ACCIDENTES!BN19/HH!BB19)*1000000</f>
        <v>0</v>
      </c>
      <c r="AN19" s="41">
        <f t="shared" si="0"/>
        <v>0</v>
      </c>
      <c r="AO19" s="41">
        <f t="shared" si="1"/>
        <v>0</v>
      </c>
      <c r="AP19" s="40"/>
      <c r="AQ19" s="124"/>
      <c r="AR19" s="41"/>
      <c r="AS19" s="41"/>
      <c r="AT19" s="41"/>
      <c r="AV19" s="118"/>
      <c r="AW19" s="60"/>
      <c r="AX19" s="60"/>
      <c r="AY19" s="63"/>
      <c r="AZ19" s="118"/>
      <c r="BA19" s="60"/>
      <c r="BB19" s="60"/>
      <c r="BC19" s="63"/>
      <c r="BD19" s="118"/>
      <c r="BE19" s="60"/>
      <c r="BF19" s="60"/>
    </row>
    <row r="20" spans="1:65" outlineLevel="2" x14ac:dyDescent="0.3">
      <c r="A20" s="3" t="s">
        <v>25</v>
      </c>
      <c r="B20" s="5" t="s">
        <v>42</v>
      </c>
      <c r="C20" s="58">
        <f>(ACCIDENTES!C20/HH!F20)*1000000</f>
        <v>0</v>
      </c>
      <c r="D20" s="59">
        <f>(ACCIDENTES!D20/HH!F20)*1000000</f>
        <v>0</v>
      </c>
      <c r="E20" s="59">
        <f>(ACCIDENTES!F20/HH!F20)*1000000</f>
        <v>0</v>
      </c>
      <c r="F20" s="59">
        <f>((ACCIDENTES!C20+ACCIDENTES!H20)/(HH!F20+HH!J20))*1000000</f>
        <v>0</v>
      </c>
      <c r="G20" s="59">
        <f>((ACCIDENTES!D20+ACCIDENTES!I20)/(HH!F20+HH!J20))*1000000</f>
        <v>0</v>
      </c>
      <c r="H20" s="59">
        <f>((ACCIDENTES!F20+ACCIDENTES!K20)/(HH!F20+HH!J20))*1000000</f>
        <v>0</v>
      </c>
      <c r="I20" s="59">
        <f>((ACCIDENTES!C20+ACCIDENTES!H20+ACCIDENTES!M20)/(HH!F20+HH!J20+HH!N20))*1000000</f>
        <v>0</v>
      </c>
      <c r="J20" s="59">
        <f>((ACCIDENTES!D20+ACCIDENTES!I20+ACCIDENTES!N20)/(HH!F20+HH!J20+HH!N20))*1000000</f>
        <v>0</v>
      </c>
      <c r="K20" s="59">
        <f>((ACCIDENTES!F20+ACCIDENTES!K20+ACCIDENTES!P20)/(HH!J20+HH!N20+HH!F20))*1000000</f>
        <v>0</v>
      </c>
      <c r="L20" s="59">
        <f>((ACCIDENTES!C20+ACCIDENTES!H20+ACCIDENTES!M20+ACCIDENTES!R20)/(HH!F20+HH!J20+HH!N20+HH!R20))*1000000</f>
        <v>0</v>
      </c>
      <c r="M20" s="59">
        <f>((ACCIDENTES!D20+ACCIDENTES!I20+ACCIDENTES!N20+ACCIDENTES!S20)/(HH!F20+HH!J20+HH!N20+HH!R20))*1000000</f>
        <v>0</v>
      </c>
      <c r="N20" s="59">
        <f>((ACCIDENTES!F20+ACCIDENTES!K20+ACCIDENTES!P20+ACCIDENTES!U20)/(HH!F20+HH!J20+HH!N20+HH!R20))*1000000</f>
        <v>0</v>
      </c>
      <c r="O20" s="59">
        <f>((ACCIDENTES!C20+ACCIDENTES!H20+ACCIDENTES!M20+ACCIDENTES!R20+ACCIDENTES!W20)/(HH!F20+HH!J20+HH!N20+HH!R20+HH!V20))*1000000</f>
        <v>0</v>
      </c>
      <c r="P20" s="59">
        <f>(((ACCIDENTES!D20+ACCIDENTES!I20+ACCIDENTES!N20+ACCIDENTES!S20+ACCIDENTES!X20)/(HH!F20+HH!J20+HH!N20+HH!R20+HH!V20))*1000000)</f>
        <v>0</v>
      </c>
      <c r="Q20" s="59">
        <f>((ACCIDENTES!F20+ACCIDENTES!K20+ACCIDENTES!P20+ACCIDENTES!U20+ACCIDENTES!Z20)/(HH!F20+HH!J20+HH!N20+HH!R20+HH!V20))*1000000</f>
        <v>0</v>
      </c>
      <c r="R20" s="59">
        <f>(ACCIDENTES!C20+ACCIDENTES!H20+ACCIDENTES!M20+ACCIDENTES!R20+ACCIDENTES!W20+ACCIDENTES!AB20)*1000000/(HH!F20+HH!J20+HH!N20+HH!R20+HH!V20+HH!Z20)</f>
        <v>0</v>
      </c>
      <c r="S20" s="59">
        <f>(ACCIDENTES!D20+ACCIDENTES!I20+ACCIDENTES!N20+ACCIDENTES!S20+ACCIDENTES!X20+ACCIDENTES!AC20)*1000000/(HH!F20+HH!J20+HH!N20+HH!R20+HH!V20+HH!Z20)</f>
        <v>0</v>
      </c>
      <c r="T20" s="59">
        <f>(ACCIDENTES!F20+ACCIDENTES!K20+ACCIDENTES!P20+ACCIDENTES!U20+ACCIDENTES!Z20+ACCIDENTES!AE20)*1000000/(HH!F20+HH!J20+HH!N20+HH!R20+HH!V20+HH!Z20)</f>
        <v>0</v>
      </c>
      <c r="U20" s="59">
        <f>((ACCIDENTES!C20+ACCIDENTES!H20+ACCIDENTES!M20+ACCIDENTES!R20+ACCIDENTES!W20+ACCIDENTES!AB20+ACCIDENTES!AG20)/(HH!F20+HH!J20+HH!N20+HH!R20+HH!V20+HH!Z20+HH!AD20))*1000000</f>
        <v>0</v>
      </c>
      <c r="V20" s="59">
        <f>((ACCIDENTES!D20+ACCIDENTES!I20+ACCIDENTES!N20+ACCIDENTES!S20+ACCIDENTES!X20+ACCIDENTES!AC20+ACCIDENTES!AH20)/(HH!F20+HH!J20+HH!N20+HH!R20+HH!V20+HH!Z20+HH!AD20))*1000000</f>
        <v>0</v>
      </c>
      <c r="W20" s="59">
        <f>((ACCIDENTES!F20+ACCIDENTES!K20+ACCIDENTES!P20+ACCIDENTES!U20+ACCIDENTES!Z20+ACCIDENTES!AE20+ACCIDENTES!AJ20)/(HH!F20+HH!J20+HH!N20+HH!R20+HH!V20+HH!Z20+HH!AD20))*1000000</f>
        <v>0</v>
      </c>
      <c r="X20" s="59">
        <f>((ACCIDENTES!C20+ACCIDENTES!H20+ACCIDENTES!M20+ACCIDENTES!R20+ACCIDENTES!W20+ACCIDENTES!AB20+ACCIDENTES!AG20+ACCIDENTES!AL20)/(HH!F20+HH!J20+HH!N20+HH!R20+HH!V20+HH!Z20+HH!AD20+HH!AH20))*1000000</f>
        <v>0</v>
      </c>
      <c r="Y20" s="59">
        <f>((ACCIDENTES!D20+ACCIDENTES!I20+ACCIDENTES!N20+ACCIDENTES!S20+ACCIDENTES!X20+ACCIDENTES!AC20+ACCIDENTES!AH20+ACCIDENTES!AM20)/(HH!F20+HH!J20+HH!N20+HH!R20+HH!V20+HH!Z20+HH!AD20+HH!AH20))*1000000</f>
        <v>0</v>
      </c>
      <c r="Z20" s="59">
        <f>((ACCIDENTES!F20+ACCIDENTES!K20+ACCIDENTES!P20+ACCIDENTES!U20+ACCIDENTES!Z20+ACCIDENTES!AE20+ACCIDENTES!AJ20+ACCIDENTES!AO20)/(HH!F20+HH!J20+HH!N20+HH!R20+HH!V20+HH!Z20+HH!AD20+HH!AH20))*1000000</f>
        <v>0</v>
      </c>
      <c r="AA20" s="59">
        <f>((ACCIDENTES!AQ20+ACCIDENTES!AL20+ACCIDENTES!AG20+ACCIDENTES!AB20+ACCIDENTES!W20+ACCIDENTES!R20+ACCIDENTES!M20+ACCIDENTES!H20+ACCIDENTES!C20)/(HH!AL20+HH!AH20+HH!AD20+HH!Z20+HH!V20+HH!R20+HH!N20+HH!J20+HH!F20))*1000000</f>
        <v>0</v>
      </c>
      <c r="AB20" s="59">
        <f>((ACCIDENTES!AR20+ACCIDENTES!AM20+ACCIDENTES!AH20+ACCIDENTES!AC20+ACCIDENTES!X20+ACCIDENTES!S20+ACCIDENTES!N20+ACCIDENTES!I20+ACCIDENTES!D20)/(HH!AL20+HH!AH20+HH!AD20+HH!Z20+HH!V20+HH!R20+HH!N20+HH!J20+HH!F20))*1000000</f>
        <v>0</v>
      </c>
      <c r="AC20" s="59">
        <f>((ACCIDENTES!F20+ACCIDENTES!K20+ACCIDENTES!P20+ACCIDENTES!U20+ACCIDENTES!Z20+ACCIDENTES!AE20+ACCIDENTES!AJ20+ACCIDENTES!AO20+ACCIDENTES!AT20)/(HH!F20+HH!J20+HH!N20+HH!R20+HH!V20+HH!Z20+HH!AD20+HH!AH20+HH!AL20))*1000000</f>
        <v>0</v>
      </c>
      <c r="AD20" s="59">
        <f>((ACCIDENTES!AV20+ACCIDENTES!AQ20+ACCIDENTES!AL20+ACCIDENTES!AG20+ACCIDENTES!AB20+ACCIDENTES!W20+ACCIDENTES!R20+ACCIDENTES!M20+ACCIDENTES!H20+ACCIDENTES!C20)/(HH!F20+HH!J20+HH!N20+HH!R20+HH!V20+HH!Z20+HH!AD20+HH!AH20+HH!AL20+HH!AP20))*1000000</f>
        <v>0</v>
      </c>
      <c r="AE20" s="59">
        <f>((ACCIDENTES!D20+ACCIDENTES!I20+ACCIDENTES!N20+ACCIDENTES!S20+ACCIDENTES!X20+ACCIDENTES!AC20+ACCIDENTES!AH20+ACCIDENTES!AM20+ACCIDENTES!AR20+ACCIDENTES!AW20)/(HH!AP20+HH!AL20+HH!AH20+HH!AD20+HH!Z20+HH!V20+HH!R20+HH!N20+HH!J20+HH!F20))*1000000</f>
        <v>0</v>
      </c>
      <c r="AF20" s="59">
        <f>((ACCIDENTES!AY20+ACCIDENTES!AT20+ACCIDENTES!AO20+ACCIDENTES!AJ20+ACCIDENTES!AE20+ACCIDENTES!Z20+ACCIDENTES!U20+ACCIDENTES!P20+ACCIDENTES!K20+ACCIDENTES!F20)/(HH!F20+HH!J20+HH!N20+HH!R20+HH!V20+HH!Z20+HH!AD20+HH!AH20+HH!AL20+HH!AP20))*1000000</f>
        <v>0</v>
      </c>
      <c r="AG20" s="59">
        <f>((ACCIDENTES!BA20+ACCIDENTES!AV20+ACCIDENTES!AQ20+ACCIDENTES!AL20+ACCIDENTES!AG20+ACCIDENTES!AB20+ACCIDENTES!W20+ACCIDENTES!R20+ACCIDENTES!M20+ACCIDENTES!H20+ACCIDENTES!C20)/(HH!AT20+HH!AP20+HH!AL20+HH!AH20+HH!AD20+HH!Z20+HH!V20+HH!R20+HH!N20+HH!J20+HH!F20))*1000000</f>
        <v>0</v>
      </c>
      <c r="AH20" s="59">
        <f>((ACCIDENTES!D20+ACCIDENTES!I20+ACCIDENTES!N20+ACCIDENTES!S20+ACCIDENTES!X20+ACCIDENTES!AC20+ACCIDENTES!AH20+ACCIDENTES!AM20+ACCIDENTES!AR20+ACCIDENTES!AW20+ACCIDENTES!BB20)/(HH!F20+HH!J20+HH!N20+HH!R20+HH!V20+HH!Z20+HH!AD20+HH!AH20+HH!AL20+HH!AP20+HH!AT20))*1000000</f>
        <v>0</v>
      </c>
      <c r="AI20" s="59">
        <f>((ACCIDENTES!BD20+ACCIDENTES!AY20+ACCIDENTES!AT20+ACCIDENTES!AO20+ACCIDENTES!AJ20+ACCIDENTES!AE20+ACCIDENTES!Z20+ACCIDENTES!U20+ACCIDENTES!P20+ACCIDENTES!K20+ACCIDENTES!F20)/(HH!F20+HH!J20+HH!N20+HH!R20+HH!V20+HH!Z20+HH!AD20+HH!AH20+HH!AL20+HH!AP20+HH!AT20))*1000000</f>
        <v>0</v>
      </c>
      <c r="AJ20" s="59">
        <f>(ACCIDENTES!BK20/HH!BB20)*1000000</f>
        <v>0</v>
      </c>
      <c r="AK20" s="59">
        <f>(ACCIDENTES!BL20/HH!BB20)*1000000</f>
        <v>0</v>
      </c>
      <c r="AL20" s="59">
        <f>(ACCIDENTES!BN20/HH!BB20)*1000000</f>
        <v>0</v>
      </c>
      <c r="AN20" s="41">
        <f t="shared" si="0"/>
        <v>0</v>
      </c>
      <c r="AO20" s="41">
        <f t="shared" si="1"/>
        <v>0</v>
      </c>
      <c r="AP20" s="40"/>
      <c r="AQ20" s="125"/>
      <c r="AR20" s="41"/>
      <c r="AS20" s="41"/>
      <c r="AT20" s="41"/>
      <c r="AV20" s="118"/>
      <c r="AW20" s="60"/>
      <c r="AX20" s="60"/>
      <c r="AY20" s="63"/>
      <c r="AZ20" s="118"/>
      <c r="BA20" s="60"/>
      <c r="BB20" s="60"/>
      <c r="BC20" s="63"/>
      <c r="BD20" s="118"/>
      <c r="BE20" s="60"/>
      <c r="BF20" s="60"/>
    </row>
    <row r="21" spans="1:65" outlineLevel="2" x14ac:dyDescent="0.3">
      <c r="A21" s="3" t="s">
        <v>25</v>
      </c>
      <c r="B21" s="4" t="s">
        <v>43</v>
      </c>
      <c r="C21" s="58">
        <f>(ACCIDENTES!C21/HH!F21)*1000000</f>
        <v>0</v>
      </c>
      <c r="D21" s="59">
        <f>(ACCIDENTES!D21/HH!F21)*1000000</f>
        <v>0</v>
      </c>
      <c r="E21" s="59">
        <f>(ACCIDENTES!F21/HH!F21)*1000000</f>
        <v>0</v>
      </c>
      <c r="F21" s="59">
        <f>((ACCIDENTES!C21+ACCIDENTES!H21)/(HH!F21+HH!J21))*1000000</f>
        <v>0</v>
      </c>
      <c r="G21" s="59">
        <f>((ACCIDENTES!D21+ACCIDENTES!I21)/(HH!F21+HH!J21))*1000000</f>
        <v>0</v>
      </c>
      <c r="H21" s="59">
        <f>((ACCIDENTES!F21+ACCIDENTES!K21)/(HH!F21+HH!J21))*1000000</f>
        <v>0</v>
      </c>
      <c r="I21" s="59">
        <f>((ACCIDENTES!C21+ACCIDENTES!H21+ACCIDENTES!M21)/(HH!F21+HH!J21+HH!N21))*1000000</f>
        <v>0</v>
      </c>
      <c r="J21" s="59">
        <f>((ACCIDENTES!D21+ACCIDENTES!I21+ACCIDENTES!N21)/(HH!F21+HH!J21+HH!N21))*1000000</f>
        <v>0</v>
      </c>
      <c r="K21" s="59">
        <f>((ACCIDENTES!F21+ACCIDENTES!K21+ACCIDENTES!P21)/(HH!J21+HH!N21+HH!F21))*1000000</f>
        <v>0</v>
      </c>
      <c r="L21" s="59">
        <f>((ACCIDENTES!C21+ACCIDENTES!H21+ACCIDENTES!M21+ACCIDENTES!R21)/(HH!F21+HH!J21+HH!N21+HH!R21))*1000000</f>
        <v>0</v>
      </c>
      <c r="M21" s="59">
        <f>((ACCIDENTES!D21+ACCIDENTES!I21+ACCIDENTES!N21+ACCIDENTES!S21)/(HH!F21+HH!J21+HH!N21+HH!R21))*1000000</f>
        <v>0</v>
      </c>
      <c r="N21" s="59">
        <f>((ACCIDENTES!F21+ACCIDENTES!K21+ACCIDENTES!P21+ACCIDENTES!U21)/(HH!F21+HH!J21+HH!N21+HH!R21))*1000000</f>
        <v>0</v>
      </c>
      <c r="O21" s="59">
        <f>((ACCIDENTES!C21+ACCIDENTES!H21+ACCIDENTES!M21+ACCIDENTES!R21+ACCIDENTES!W21)/(HH!F21+HH!J21+HH!N21+HH!R21+HH!V21))*1000000</f>
        <v>0</v>
      </c>
      <c r="P21" s="59">
        <f>(((ACCIDENTES!D21+ACCIDENTES!I21+ACCIDENTES!N21+ACCIDENTES!S21+ACCIDENTES!X21)/(HH!F21+HH!J21+HH!N21+HH!R21+HH!V21))*1000000)</f>
        <v>0</v>
      </c>
      <c r="Q21" s="59">
        <f>((ACCIDENTES!F21+ACCIDENTES!K21+ACCIDENTES!P21+ACCIDENTES!U21+ACCIDENTES!Z21)/(HH!F21+HH!J21+HH!N21+HH!R21+HH!V21))*1000000</f>
        <v>0</v>
      </c>
      <c r="R21" s="59">
        <f>(ACCIDENTES!C21+ACCIDENTES!H21+ACCIDENTES!M21+ACCIDENTES!R21+ACCIDENTES!W21+ACCIDENTES!AB21)*1000000/(HH!F21+HH!J21+HH!N21+HH!R21+HH!V21+HH!Z21)</f>
        <v>0</v>
      </c>
      <c r="S21" s="59">
        <f>(ACCIDENTES!D21+ACCIDENTES!I21+ACCIDENTES!N21+ACCIDENTES!S21+ACCIDENTES!X21+ACCIDENTES!AC21)*1000000/(HH!F21+HH!J21+HH!N21+HH!R21+HH!V21+HH!Z21)</f>
        <v>0</v>
      </c>
      <c r="T21" s="59">
        <f>(ACCIDENTES!F21+ACCIDENTES!K21+ACCIDENTES!P21+ACCIDENTES!U21+ACCIDENTES!Z21+ACCIDENTES!AE21)*1000000/(HH!F21+HH!J21+HH!N21+HH!R21+HH!V21+HH!Z21)</f>
        <v>0</v>
      </c>
      <c r="U21" s="59">
        <f>((ACCIDENTES!C21+ACCIDENTES!H21+ACCIDENTES!M21+ACCIDENTES!R21+ACCIDENTES!W21+ACCIDENTES!AB21+ACCIDENTES!AG21)/(HH!F21+HH!J21+HH!N21+HH!R21+HH!V21+HH!Z21+HH!AD21))*1000000</f>
        <v>0</v>
      </c>
      <c r="V21" s="59">
        <f>((ACCIDENTES!D21+ACCIDENTES!I21+ACCIDENTES!N21+ACCIDENTES!S21+ACCIDENTES!X21+ACCIDENTES!AC21+ACCIDENTES!AH21)/(HH!F21+HH!J21+HH!N21+HH!R21+HH!V21+HH!Z21+HH!AD21))*1000000</f>
        <v>0</v>
      </c>
      <c r="W21" s="59">
        <f>((ACCIDENTES!F21+ACCIDENTES!K21+ACCIDENTES!P21+ACCIDENTES!U21+ACCIDENTES!Z21+ACCIDENTES!AE21+ACCIDENTES!AJ21)/(HH!F21+HH!J21+HH!N21+HH!R21+HH!V21+HH!Z21+HH!AD21))*1000000</f>
        <v>0</v>
      </c>
      <c r="X21" s="59">
        <f>((ACCIDENTES!C21+ACCIDENTES!H21+ACCIDENTES!M21+ACCIDENTES!R21+ACCIDENTES!W21+ACCIDENTES!AB21+ACCIDENTES!AG21+ACCIDENTES!AL21)/(HH!F21+HH!J21+HH!N21+HH!R21+HH!V21+HH!Z21+HH!AD21+HH!AH21))*1000000</f>
        <v>0</v>
      </c>
      <c r="Y21" s="59">
        <f>((ACCIDENTES!D21+ACCIDENTES!I21+ACCIDENTES!N21+ACCIDENTES!S21+ACCIDENTES!X21+ACCIDENTES!AC21+ACCIDENTES!AH21+ACCIDENTES!AM21)/(HH!F21+HH!J21+HH!N21+HH!R21+HH!V21+HH!Z21+HH!AD21+HH!AH21))*1000000</f>
        <v>0</v>
      </c>
      <c r="Z21" s="59">
        <f>((ACCIDENTES!F21+ACCIDENTES!K21+ACCIDENTES!P21+ACCIDENTES!U21+ACCIDENTES!Z21+ACCIDENTES!AE21+ACCIDENTES!AJ21+ACCIDENTES!AO21)/(HH!F21+HH!J21+HH!N21+HH!R21+HH!V21+HH!Z21+HH!AD21+HH!AH21))*1000000</f>
        <v>0</v>
      </c>
      <c r="AA21" s="59">
        <f>((ACCIDENTES!AQ21+ACCIDENTES!AL21+ACCIDENTES!AG21+ACCIDENTES!AB21+ACCIDENTES!W21+ACCIDENTES!R21+ACCIDENTES!M21+ACCIDENTES!H21+ACCIDENTES!C21)/(HH!AL21+HH!AH21+HH!AD21+HH!Z21+HH!V21+HH!R21+HH!N21+HH!J21+HH!F21))*1000000</f>
        <v>0</v>
      </c>
      <c r="AB21" s="59">
        <f>((ACCIDENTES!AR21+ACCIDENTES!AM21+ACCIDENTES!AH21+ACCIDENTES!AC21+ACCIDENTES!X21+ACCIDENTES!S21+ACCIDENTES!N21+ACCIDENTES!I21+ACCIDENTES!D21)/(HH!AL21+HH!AH21+HH!AD21+HH!Z21+HH!V21+HH!R21+HH!N21+HH!J21+HH!F21))*1000000</f>
        <v>0</v>
      </c>
      <c r="AC21" s="59">
        <f>((ACCIDENTES!F21+ACCIDENTES!K21+ACCIDENTES!P21+ACCIDENTES!U21+ACCIDENTES!Z21+ACCIDENTES!AE21+ACCIDENTES!AJ21+ACCIDENTES!AO21+ACCIDENTES!AT21)/(HH!F21+HH!J21+HH!N21+HH!R21+HH!V21+HH!Z21+HH!AD21+HH!AH21+HH!AL21))*1000000</f>
        <v>0</v>
      </c>
      <c r="AD21" s="59">
        <f>((ACCIDENTES!AV21+ACCIDENTES!AQ21+ACCIDENTES!AL21+ACCIDENTES!AG21+ACCIDENTES!AB21+ACCIDENTES!W21+ACCIDENTES!R21+ACCIDENTES!M21+ACCIDENTES!H21+ACCIDENTES!C21)/(HH!F21+HH!J21+HH!N21+HH!R21+HH!V21+HH!Z21+HH!AD21+HH!AH21+HH!AL21+HH!AP21))*1000000</f>
        <v>0</v>
      </c>
      <c r="AE21" s="59">
        <f>((ACCIDENTES!D21+ACCIDENTES!I21+ACCIDENTES!N21+ACCIDENTES!S21+ACCIDENTES!X21+ACCIDENTES!AC21+ACCIDENTES!AH21+ACCIDENTES!AM21+ACCIDENTES!AR21+ACCIDENTES!AW21)/(HH!AP21+HH!AL21+HH!AH21+HH!AD21+HH!Z21+HH!V21+HH!R21+HH!N21+HH!J21+HH!F21))*1000000</f>
        <v>0</v>
      </c>
      <c r="AF21" s="59">
        <f>((ACCIDENTES!AY21+ACCIDENTES!AT21+ACCIDENTES!AO21+ACCIDENTES!AJ21+ACCIDENTES!AE21+ACCIDENTES!Z21+ACCIDENTES!U21+ACCIDENTES!P21+ACCIDENTES!K21+ACCIDENTES!F21)/(HH!F21+HH!J21+HH!N21+HH!R21+HH!V21+HH!Z21+HH!AD21+HH!AH21+HH!AL21+HH!AP21))*1000000</f>
        <v>0</v>
      </c>
      <c r="AG21" s="59">
        <f>((ACCIDENTES!BA21+ACCIDENTES!AV21+ACCIDENTES!AQ21+ACCIDENTES!AL21+ACCIDENTES!AG21+ACCIDENTES!AB21+ACCIDENTES!W21+ACCIDENTES!R21+ACCIDENTES!M21+ACCIDENTES!H21+ACCIDENTES!C21)/(HH!AT21+HH!AP21+HH!AL21+HH!AH21+HH!AD21+HH!Z21+HH!V21+HH!R21+HH!N21+HH!J21+HH!F21))*1000000</f>
        <v>0</v>
      </c>
      <c r="AH21" s="59">
        <f>((ACCIDENTES!D21+ACCIDENTES!I21+ACCIDENTES!N21+ACCIDENTES!S21+ACCIDENTES!X21+ACCIDENTES!AC21+ACCIDENTES!AH21+ACCIDENTES!AM21+ACCIDENTES!AR21+ACCIDENTES!AW21+ACCIDENTES!BB21)/(HH!F21+HH!J21+HH!N21+HH!R21+HH!V21+HH!Z21+HH!AD21+HH!AH21+HH!AL21+HH!AP21+HH!AT21))*1000000</f>
        <v>0</v>
      </c>
      <c r="AI21" s="59">
        <f>((ACCIDENTES!BD21+ACCIDENTES!AY21+ACCIDENTES!AT21+ACCIDENTES!AO21+ACCIDENTES!AJ21+ACCIDENTES!AE21+ACCIDENTES!Z21+ACCIDENTES!U21+ACCIDENTES!P21+ACCIDENTES!K21+ACCIDENTES!F21)/(HH!F21+HH!J21+HH!N21+HH!R21+HH!V21+HH!Z21+HH!AD21+HH!AH21+HH!AL21+HH!AP21+HH!AT21))*1000000</f>
        <v>0</v>
      </c>
      <c r="AJ21" s="59">
        <f>(ACCIDENTES!BK21/HH!BB21)*1000000</f>
        <v>0</v>
      </c>
      <c r="AK21" s="59">
        <f>(ACCIDENTES!BL21/HH!BB21)*1000000</f>
        <v>0</v>
      </c>
      <c r="AL21" s="59">
        <f>(ACCIDENTES!BN21/HH!BB21)*1000000</f>
        <v>0</v>
      </c>
      <c r="AN21" s="41">
        <f t="shared" si="0"/>
        <v>0</v>
      </c>
      <c r="AO21" s="41">
        <f t="shared" si="1"/>
        <v>0</v>
      </c>
      <c r="AP21" s="40"/>
      <c r="AQ21" s="125"/>
      <c r="AR21" s="41"/>
      <c r="AS21" s="41"/>
      <c r="AT21" s="41"/>
      <c r="AV21" s="118"/>
      <c r="AW21" s="60"/>
      <c r="AX21" s="60"/>
      <c r="AY21" s="63"/>
      <c r="AZ21" s="118"/>
      <c r="BA21" s="60"/>
      <c r="BB21" s="60"/>
      <c r="BC21" s="63"/>
      <c r="BD21" s="118"/>
      <c r="BE21" s="60"/>
      <c r="BF21" s="60"/>
    </row>
    <row r="22" spans="1:65" outlineLevel="2" x14ac:dyDescent="0.3">
      <c r="A22" s="3" t="s">
        <v>25</v>
      </c>
      <c r="B22" s="4" t="s">
        <v>44</v>
      </c>
      <c r="C22" s="58">
        <f>(ACCIDENTES!C22/HH!F22)*1000000</f>
        <v>0</v>
      </c>
      <c r="D22" s="59">
        <f>(ACCIDENTES!D22/HH!F22)*1000000</f>
        <v>0</v>
      </c>
      <c r="E22" s="59">
        <f>(ACCIDENTES!F22/HH!F22)*1000000</f>
        <v>0</v>
      </c>
      <c r="F22" s="59">
        <f>((ACCIDENTES!C22+ACCIDENTES!H22)/(HH!F22+HH!J22))*1000000</f>
        <v>0</v>
      </c>
      <c r="G22" s="59">
        <f>((ACCIDENTES!D22+ACCIDENTES!I22)/(HH!F22+HH!J22))*1000000</f>
        <v>0</v>
      </c>
      <c r="H22" s="59">
        <f>((ACCIDENTES!F22+ACCIDENTES!K22)/(HH!F22+HH!J22))*1000000</f>
        <v>0</v>
      </c>
      <c r="I22" s="59">
        <f>((ACCIDENTES!C22+ACCIDENTES!H22+ACCIDENTES!M22)/(HH!F22+HH!J22+HH!N22))*1000000</f>
        <v>0</v>
      </c>
      <c r="J22" s="59">
        <f>((ACCIDENTES!D22+ACCIDENTES!I22+ACCIDENTES!N22)/(HH!F22+HH!J22+HH!N22))*1000000</f>
        <v>0</v>
      </c>
      <c r="K22" s="59">
        <f>((ACCIDENTES!F22+ACCIDENTES!K22+ACCIDENTES!P22)/(HH!J22+HH!N22+HH!F22))*1000000</f>
        <v>0</v>
      </c>
      <c r="L22" s="59">
        <f>((ACCIDENTES!C22+ACCIDENTES!H22+ACCIDENTES!M22+ACCIDENTES!R22)/(HH!F22+HH!J22+HH!N22+HH!R22))*1000000</f>
        <v>0</v>
      </c>
      <c r="M22" s="59">
        <f>((ACCIDENTES!D22+ACCIDENTES!I22+ACCIDENTES!N22+ACCIDENTES!S22)/(HH!F22+HH!J22+HH!N22+HH!R22))*1000000</f>
        <v>0</v>
      </c>
      <c r="N22" s="59">
        <f>((ACCIDENTES!F22+ACCIDENTES!K22+ACCIDENTES!P22+ACCIDENTES!U22)/(HH!F22+HH!J22+HH!N22+HH!R22))*1000000</f>
        <v>0</v>
      </c>
      <c r="O22" s="59">
        <f>((ACCIDENTES!C22+ACCIDENTES!H22+ACCIDENTES!M22+ACCIDENTES!R22+ACCIDENTES!W22)/(HH!F22+HH!J22+HH!N22+HH!R22+HH!V22))*1000000</f>
        <v>0</v>
      </c>
      <c r="P22" s="59">
        <f>(((ACCIDENTES!D22+ACCIDENTES!I22+ACCIDENTES!N22+ACCIDENTES!S22+ACCIDENTES!X22)/(HH!F22+HH!J22+HH!N22+HH!R22+HH!V22))*1000000)</f>
        <v>0</v>
      </c>
      <c r="Q22" s="59">
        <f>((ACCIDENTES!F22+ACCIDENTES!K22+ACCIDENTES!P22+ACCIDENTES!U22+ACCIDENTES!Z22)/(HH!F22+HH!J22+HH!N22+HH!R22+HH!V22))*1000000</f>
        <v>0</v>
      </c>
      <c r="R22" s="59">
        <f>(ACCIDENTES!C22+ACCIDENTES!H22+ACCIDENTES!M22+ACCIDENTES!R22+ACCIDENTES!W22+ACCIDENTES!AB22)*1000000/(HH!F22+HH!J22+HH!N22+HH!R22+HH!V22+HH!Z22)</f>
        <v>0</v>
      </c>
      <c r="S22" s="59">
        <f>(ACCIDENTES!D22+ACCIDENTES!I22+ACCIDENTES!N22+ACCIDENTES!S22+ACCIDENTES!X22+ACCIDENTES!AC22)*1000000/(HH!F22+HH!J22+HH!N22+HH!R22+HH!V22+HH!Z22)</f>
        <v>0</v>
      </c>
      <c r="T22" s="59">
        <f>(ACCIDENTES!F22+ACCIDENTES!K22+ACCIDENTES!P22+ACCIDENTES!U22+ACCIDENTES!Z22+ACCIDENTES!AE22)*1000000/(HH!F22+HH!J22+HH!N22+HH!R22+HH!V22+HH!Z22)</f>
        <v>0</v>
      </c>
      <c r="U22" s="59">
        <f>((ACCIDENTES!C22+ACCIDENTES!H22+ACCIDENTES!M22+ACCIDENTES!R22+ACCIDENTES!W22+ACCIDENTES!AB22+ACCIDENTES!AG22)/(HH!F22+HH!J22+HH!N22+HH!R22+HH!V22+HH!Z22+HH!AD22))*1000000</f>
        <v>0</v>
      </c>
      <c r="V22" s="59">
        <f>((ACCIDENTES!D22+ACCIDENTES!I22+ACCIDENTES!N22+ACCIDENTES!S22+ACCIDENTES!X22+ACCIDENTES!AC22+ACCIDENTES!AH22)/(HH!F22+HH!J22+HH!N22+HH!R22+HH!V22+HH!Z22+HH!AD22))*1000000</f>
        <v>0</v>
      </c>
      <c r="W22" s="59">
        <f>((ACCIDENTES!F22+ACCIDENTES!K22+ACCIDENTES!P22+ACCIDENTES!U22+ACCIDENTES!Z22+ACCIDENTES!AE22+ACCIDENTES!AJ22)/(HH!F22+HH!J22+HH!N22+HH!R22+HH!V22+HH!Z22+HH!AD22))*1000000</f>
        <v>0</v>
      </c>
      <c r="X22" s="59">
        <f>((ACCIDENTES!C22+ACCIDENTES!H22+ACCIDENTES!M22+ACCIDENTES!R22+ACCIDENTES!W22+ACCIDENTES!AB22+ACCIDENTES!AG22+ACCIDENTES!AL22)/(HH!F22+HH!J22+HH!N22+HH!R22+HH!V22+HH!Z22+HH!AD22+HH!AH22))*1000000</f>
        <v>0</v>
      </c>
      <c r="Y22" s="59">
        <f>((ACCIDENTES!D22+ACCIDENTES!I22+ACCIDENTES!N22+ACCIDENTES!S22+ACCIDENTES!X22+ACCIDENTES!AC22+ACCIDENTES!AH22+ACCIDENTES!AM22)/(HH!F22+HH!J22+HH!N22+HH!R22+HH!V22+HH!Z22+HH!AD22+HH!AH22))*1000000</f>
        <v>0</v>
      </c>
      <c r="Z22" s="59">
        <f>((ACCIDENTES!F22+ACCIDENTES!K22+ACCIDENTES!P22+ACCIDENTES!U22+ACCIDENTES!Z22+ACCIDENTES!AE22+ACCIDENTES!AJ22+ACCIDENTES!AO22)/(HH!F22+HH!J22+HH!N22+HH!R22+HH!V22+HH!Z22+HH!AD22+HH!AH22))*1000000</f>
        <v>0</v>
      </c>
      <c r="AA22" s="59">
        <f>((ACCIDENTES!AQ22+ACCIDENTES!AL22+ACCIDENTES!AG22+ACCIDENTES!AB22+ACCIDENTES!W22+ACCIDENTES!R22+ACCIDENTES!M22+ACCIDENTES!H22+ACCIDENTES!C22)/(HH!AL22+HH!AH22+HH!AD22+HH!Z22+HH!V22+HH!R22+HH!N22+HH!J22+HH!F22))*1000000</f>
        <v>0</v>
      </c>
      <c r="AB22" s="59">
        <f>((ACCIDENTES!AR22+ACCIDENTES!AM22+ACCIDENTES!AH22+ACCIDENTES!AC22+ACCIDENTES!X22+ACCIDENTES!S22+ACCIDENTES!N22+ACCIDENTES!I22+ACCIDENTES!D22)/(HH!AL22+HH!AH22+HH!AD22+HH!Z22+HH!V22+HH!R22+HH!N22+HH!J22+HH!F22))*1000000</f>
        <v>0</v>
      </c>
      <c r="AC22" s="59">
        <f>((ACCIDENTES!F22+ACCIDENTES!K22+ACCIDENTES!P22+ACCIDENTES!U22+ACCIDENTES!Z22+ACCIDENTES!AE22+ACCIDENTES!AJ22+ACCIDENTES!AO22+ACCIDENTES!AT22)/(HH!F22+HH!J22+HH!N22+HH!R22+HH!V22+HH!Z22+HH!AD22+HH!AH22+HH!AL22))*1000000</f>
        <v>0</v>
      </c>
      <c r="AD22" s="59">
        <f>((ACCIDENTES!AV22+ACCIDENTES!AQ22+ACCIDENTES!AL22+ACCIDENTES!AG22+ACCIDENTES!AB22+ACCIDENTES!W22+ACCIDENTES!R22+ACCIDENTES!M22+ACCIDENTES!H22+ACCIDENTES!C22)/(HH!F22+HH!J22+HH!N22+HH!R22+HH!V22+HH!Z22+HH!AD22+HH!AH22+HH!AL22+HH!AP22))*1000000</f>
        <v>0</v>
      </c>
      <c r="AE22" s="59">
        <f>((ACCIDENTES!D22+ACCIDENTES!I22+ACCIDENTES!N22+ACCIDENTES!S22+ACCIDENTES!X22+ACCIDENTES!AC22+ACCIDENTES!AH22+ACCIDENTES!AM22+ACCIDENTES!AR22+ACCIDENTES!AW22)/(HH!AP22+HH!AL22+HH!AH22+HH!AD22+HH!Z22+HH!V22+HH!R22+HH!N22+HH!J22+HH!F22))*1000000</f>
        <v>0</v>
      </c>
      <c r="AF22" s="59">
        <f>((ACCIDENTES!AY22+ACCIDENTES!AT22+ACCIDENTES!AO22+ACCIDENTES!AJ22+ACCIDENTES!AE22+ACCIDENTES!Z22+ACCIDENTES!U22+ACCIDENTES!P22+ACCIDENTES!K22+ACCIDENTES!F22)/(HH!F22+HH!J22+HH!N22+HH!R22+HH!V22+HH!Z22+HH!AD22+HH!AH22+HH!AL22+HH!AP22))*1000000</f>
        <v>0</v>
      </c>
      <c r="AG22" s="59">
        <f>((ACCIDENTES!BA22+ACCIDENTES!AV22+ACCIDENTES!AQ22+ACCIDENTES!AL22+ACCIDENTES!AG22+ACCIDENTES!AB22+ACCIDENTES!W22+ACCIDENTES!R22+ACCIDENTES!M22+ACCIDENTES!H22+ACCIDENTES!C22)/(HH!AT22+HH!AP22+HH!AL22+HH!AH22+HH!AD22+HH!Z22+HH!V22+HH!R22+HH!N22+HH!J22+HH!F22))*1000000</f>
        <v>0</v>
      </c>
      <c r="AH22" s="59">
        <f>((ACCIDENTES!D22+ACCIDENTES!I22+ACCIDENTES!N22+ACCIDENTES!S22+ACCIDENTES!X22+ACCIDENTES!AC22+ACCIDENTES!AH22+ACCIDENTES!AM22+ACCIDENTES!AR22+ACCIDENTES!AW22+ACCIDENTES!BB22)/(HH!F22+HH!J22+HH!N22+HH!R22+HH!V22+HH!Z22+HH!AD22+HH!AH22+HH!AL22+HH!AP22+HH!AT22))*1000000</f>
        <v>0</v>
      </c>
      <c r="AI22" s="59">
        <f>((ACCIDENTES!BD22+ACCIDENTES!AY22+ACCIDENTES!AT22+ACCIDENTES!AO22+ACCIDENTES!AJ22+ACCIDENTES!AE22+ACCIDENTES!Z22+ACCIDENTES!U22+ACCIDENTES!P22+ACCIDENTES!K22+ACCIDENTES!F22)/(HH!F22+HH!J22+HH!N22+HH!R22+HH!V22+HH!Z22+HH!AD22+HH!AH22+HH!AL22+HH!AP22+HH!AT22))*1000000</f>
        <v>0</v>
      </c>
      <c r="AJ22" s="59">
        <f>(ACCIDENTES!BK22/HH!BB22)*1000000</f>
        <v>0</v>
      </c>
      <c r="AK22" s="59">
        <f>(ACCIDENTES!BL22/HH!BB22)*1000000</f>
        <v>0</v>
      </c>
      <c r="AL22" s="59">
        <f>(ACCIDENTES!BN22/HH!BB22)*1000000</f>
        <v>0</v>
      </c>
      <c r="AN22" s="41">
        <f t="shared" si="0"/>
        <v>0</v>
      </c>
      <c r="AO22" s="41">
        <f t="shared" si="1"/>
        <v>0</v>
      </c>
      <c r="AP22" s="40"/>
      <c r="AQ22" s="125"/>
      <c r="AR22" s="41"/>
      <c r="AS22" s="41"/>
      <c r="AT22" s="41"/>
      <c r="AV22" s="118"/>
      <c r="AW22" s="60"/>
      <c r="AX22" s="60"/>
      <c r="AY22" s="63"/>
      <c r="AZ22" s="118"/>
      <c r="BA22" s="60"/>
      <c r="BB22" s="60"/>
      <c r="BC22" s="63"/>
      <c r="BD22" s="118"/>
      <c r="BE22" s="60"/>
      <c r="BF22" s="60"/>
    </row>
    <row r="23" spans="1:65" s="19" customFormat="1" outlineLevel="1" x14ac:dyDescent="0.3">
      <c r="A23" s="6" t="s">
        <v>25</v>
      </c>
      <c r="B23" s="7" t="s">
        <v>45</v>
      </c>
      <c r="C23" s="66">
        <f>(ACCIDENTES!C23/HH!F23)*1000000</f>
        <v>0</v>
      </c>
      <c r="D23" s="67">
        <f>(ACCIDENTES!D23/HH!F23)*1000000</f>
        <v>0</v>
      </c>
      <c r="E23" s="67">
        <f>(ACCIDENTES!F23/HH!F23)*1000000</f>
        <v>0</v>
      </c>
      <c r="F23" s="67">
        <f>((ACCIDENTES!C23+ACCIDENTES!H23)/(HH!F23+HH!J23))*1000000</f>
        <v>0</v>
      </c>
      <c r="G23" s="67">
        <f>((ACCIDENTES!D23+ACCIDENTES!I23)/(HH!F23+HH!J23))*1000000</f>
        <v>0</v>
      </c>
      <c r="H23" s="67">
        <f>((ACCIDENTES!F23+ACCIDENTES!K23)/(HH!F23+HH!J23))*1000000</f>
        <v>0</v>
      </c>
      <c r="I23" s="67">
        <f>((ACCIDENTES!C23+ACCIDENTES!H23+ACCIDENTES!M23)/(HH!F23+HH!J23+HH!N23))*1000000</f>
        <v>0</v>
      </c>
      <c r="J23" s="67">
        <f>((ACCIDENTES!D23+ACCIDENTES!I23+ACCIDENTES!N23)/(HH!F23+HH!J23+HH!N23))*1000000</f>
        <v>0</v>
      </c>
      <c r="K23" s="67">
        <f>((ACCIDENTES!F23+ACCIDENTES!K23+ACCIDENTES!P23)/(HH!J23+HH!N23+HH!F23))*1000000</f>
        <v>0</v>
      </c>
      <c r="L23" s="67">
        <f>((ACCIDENTES!C23+ACCIDENTES!H23+ACCIDENTES!M23+ACCIDENTES!R23)/(HH!F23+HH!J23+HH!N23+HH!R23))*1000000</f>
        <v>0</v>
      </c>
      <c r="M23" s="67">
        <f>((ACCIDENTES!D23+ACCIDENTES!I23+ACCIDENTES!N23+ACCIDENTES!S23)/(HH!F23+HH!J23+HH!N23+HH!R23))*1000000</f>
        <v>0</v>
      </c>
      <c r="N23" s="67">
        <f>((ACCIDENTES!F23+ACCIDENTES!K23+ACCIDENTES!P23+ACCIDENTES!U23)/(HH!F23+HH!J23+HH!N23+HH!R23))*1000000</f>
        <v>0</v>
      </c>
      <c r="O23" s="67">
        <f>((ACCIDENTES!C23+ACCIDENTES!H23+ACCIDENTES!M23+ACCIDENTES!R23+ACCIDENTES!W23)/(HH!F23+HH!J23+HH!N23+HH!R23+HH!V23))*1000000</f>
        <v>0</v>
      </c>
      <c r="P23" s="67">
        <f>(((ACCIDENTES!D23+ACCIDENTES!I23+ACCIDENTES!N23+ACCIDENTES!S23+ACCIDENTES!X23)/(HH!F23+HH!J23+HH!N23+HH!R23+HH!V23))*1000000)</f>
        <v>0</v>
      </c>
      <c r="Q23" s="67">
        <f>((ACCIDENTES!F23+ACCIDENTES!K23+ACCIDENTES!P23+ACCIDENTES!U23+ACCIDENTES!Z23)/(HH!F23+HH!J23+HH!N23+HH!R23+HH!V23))*1000000</f>
        <v>0</v>
      </c>
      <c r="R23" s="213">
        <f>(ACCIDENTES!C23+ACCIDENTES!H23+ACCIDENTES!M23+ACCIDENTES!R23+ACCIDENTES!W23+ACCIDENTES!AB23)*1000000/(HH!F23+HH!J23+HH!N23+HH!R23+HH!V23+HH!Z23)</f>
        <v>0</v>
      </c>
      <c r="S23" s="213">
        <f>(ACCIDENTES!D23+ACCIDENTES!I23+ACCIDENTES!N23+ACCIDENTES!S23+ACCIDENTES!X23+ACCIDENTES!AC23)*1000000/(HH!F23+HH!J23+HH!N23+HH!R23+HH!V23+HH!Z23)</f>
        <v>0</v>
      </c>
      <c r="T23" s="213">
        <f>(ACCIDENTES!F23+ACCIDENTES!K23+ACCIDENTES!P23+ACCIDENTES!U23+ACCIDENTES!Z23+ACCIDENTES!AE23)*1000000/(HH!F23+HH!J23+HH!N23+HH!R23+HH!V23+HH!Z23)</f>
        <v>0</v>
      </c>
      <c r="U23" s="213">
        <f>((ACCIDENTES!C23+ACCIDENTES!H23+ACCIDENTES!M23+ACCIDENTES!R23+ACCIDENTES!W23+ACCIDENTES!AB23+ACCIDENTES!AG23)/(HH!F23+HH!J23+HH!N23+HH!R23+HH!V23+HH!Z23+HH!AD23))*1000000</f>
        <v>0.70927736327937041</v>
      </c>
      <c r="V23" s="213">
        <f>((ACCIDENTES!D23+ACCIDENTES!I23+ACCIDENTES!N23+ACCIDENTES!S23+ACCIDENTES!X23+ACCIDENTES!AC23+ACCIDENTES!AH23)/(HH!F23+HH!J23+HH!N23+HH!R23+HH!V23+HH!Z23+HH!AD23))*1000000</f>
        <v>0.70927736327937041</v>
      </c>
      <c r="W23" s="213">
        <f>((ACCIDENTES!F23+ACCIDENTES!K23+ACCIDENTES!P23+ACCIDENTES!U23+ACCIDENTES!Z23+ACCIDENTES!AE23+ACCIDENTES!AJ23)/(HH!F23+HH!J23+HH!N23+HH!R23+HH!V23+HH!Z23+HH!AD23))*1000000</f>
        <v>2.1278320898381113</v>
      </c>
      <c r="X23" s="213">
        <f>((ACCIDENTES!C23+ACCIDENTES!H23+ACCIDENTES!M23+ACCIDENTES!R23+ACCIDENTES!W23+ACCIDENTES!AB23+ACCIDENTES!AG23+ACCIDENTES!AL23)/(HH!F23+HH!J23+HH!N23+HH!R23+HH!V23+HH!Z23+HH!AD23+HH!AH23))*1000000</f>
        <v>0.6201132428066527</v>
      </c>
      <c r="Y23" s="213">
        <f>((ACCIDENTES!D23+ACCIDENTES!I23+ACCIDENTES!N23+ACCIDENTES!S23+ACCIDENTES!X23+ACCIDENTES!AC23+ACCIDENTES!AH23+ACCIDENTES!AM23)/(HH!F23+HH!J23+HH!N23+HH!R23+HH!V23+HH!Z23+HH!AD23+HH!AH23))*1000000</f>
        <v>0.6201132428066527</v>
      </c>
      <c r="Z23" s="213">
        <f>((ACCIDENTES!F23+ACCIDENTES!K23+ACCIDENTES!P23+ACCIDENTES!U23+ACCIDENTES!Z23+ACCIDENTES!AE23+ACCIDENTES!AJ23+ACCIDENTES!AO23)/(HH!F23+HH!J23+HH!N23+HH!R23+HH!V23+HH!Z23+HH!AD23+HH!AH23))*1000000</f>
        <v>1.8603397284199583</v>
      </c>
      <c r="AA23" s="67">
        <f>((ACCIDENTES!AQ23+ACCIDENTES!AL23+ACCIDENTES!AG23+ACCIDENTES!AB23+ACCIDENTES!W23+ACCIDENTES!R23+ACCIDENTES!M23+ACCIDENTES!H23+ACCIDENTES!C23)/(HH!AL23+HH!AH23+HH!AD23+HH!Z23+HH!V23+HH!R23+HH!N23+HH!J23+HH!F23))*1000000</f>
        <v>0.55118566881250286</v>
      </c>
      <c r="AB23" s="67">
        <f>((ACCIDENTES!AR23+ACCIDENTES!AM23+ACCIDENTES!AH23+ACCIDENTES!AC23+ACCIDENTES!X23+ACCIDENTES!S23+ACCIDENTES!N23+ACCIDENTES!I23+ACCIDENTES!D23)/(HH!AL23+HH!AH23+HH!AD23+HH!Z23+HH!V23+HH!R23+HH!N23+HH!J23+HH!F23))*1000000</f>
        <v>0.55118566881250286</v>
      </c>
      <c r="AC23" s="67">
        <f>((ACCIDENTES!F23+ACCIDENTES!K23+ACCIDENTES!P23+ACCIDENTES!U23+ACCIDENTES!Z23+ACCIDENTES!AE23+ACCIDENTES!AJ23+ACCIDENTES!AO23+ACCIDENTES!AT23)/(HH!F23+HH!J23+HH!N23+HH!R23+HH!V23+HH!Z23+HH!AD23+HH!AH23+HH!AL23))*1000000</f>
        <v>1.6535570064375087</v>
      </c>
      <c r="AD23" s="67">
        <f>((ACCIDENTES!AV23+ACCIDENTES!AQ23+ACCIDENTES!AL23+ACCIDENTES!AG23+ACCIDENTES!AB23+ACCIDENTES!W23+ACCIDENTES!R23+ACCIDENTES!M23+ACCIDENTES!H23+ACCIDENTES!C23)/(HH!F23+HH!J23+HH!N23+HH!R23+HH!V23+HH!Z23+HH!AD23+HH!AH23+HH!AL23+HH!AP23))*1000000</f>
        <v>0.49560873725493604</v>
      </c>
      <c r="AE23" s="67">
        <f>((ACCIDENTES!D23+ACCIDENTES!I23+ACCIDENTES!N23+ACCIDENTES!S23+ACCIDENTES!X23+ACCIDENTES!AC23+ACCIDENTES!AH23+ACCIDENTES!AM23+ACCIDENTES!AR23+ACCIDENTES!AW23)/(HH!AP23+HH!AL23+HH!AH23+HH!AD23+HH!Z23+HH!V23+HH!R23+HH!N23+HH!J23+HH!F23))*1000000</f>
        <v>0.49560873725493593</v>
      </c>
      <c r="AF23" s="67">
        <f>((ACCIDENTES!AY23+ACCIDENTES!AT23+ACCIDENTES!AO23+ACCIDENTES!AJ23+ACCIDENTES!AE23+ACCIDENTES!Z23+ACCIDENTES!U23+ACCIDENTES!P23+ACCIDENTES!K23+ACCIDENTES!F23)/(HH!F23+HH!J23+HH!N23+HH!R23+HH!V23+HH!Z23+HH!AD23+HH!AH23+HH!AL23+HH!AP23))*1000000</f>
        <v>1.9824349490197442</v>
      </c>
      <c r="AG23" s="67">
        <f>((ACCIDENTES!BA23+ACCIDENTES!AV23+ACCIDENTES!AQ23+ACCIDENTES!AL23+ACCIDENTES!AG23+ACCIDENTES!AB23+ACCIDENTES!W23+ACCIDENTES!R23+ACCIDENTES!M23+ACCIDENTES!H23+ACCIDENTES!C23)/(HH!AT23+HH!AP23+HH!AL23+HH!AH23+HH!AD23+HH!Z23+HH!V23+HH!R23+HH!N23+HH!J23+HH!F23))*1000000</f>
        <v>0.45021303743271529</v>
      </c>
      <c r="AH23" s="67">
        <f>((ACCIDENTES!D23+ACCIDENTES!I23+ACCIDENTES!N23+ACCIDENTES!S23+ACCIDENTES!X23+ACCIDENTES!AC23+ACCIDENTES!AH23+ACCIDENTES!AM23+ACCIDENTES!AR23+ACCIDENTES!AW23+ACCIDENTES!BB23)/(HH!F23+HH!J23+HH!N23+HH!R23+HH!V23+HH!Z23+HH!AD23+HH!AH23+HH!AL23+HH!AP23+HH!AT23))*1000000</f>
        <v>0.45021303743271529</v>
      </c>
      <c r="AI23" s="67">
        <f>((ACCIDENTES!BD23+ACCIDENTES!AY23+ACCIDENTES!AT23+ACCIDENTES!AO23+ACCIDENTES!AJ23+ACCIDENTES!AE23+ACCIDENTES!Z23+ACCIDENTES!U23+ACCIDENTES!P23+ACCIDENTES!K23+ACCIDENTES!F23)/(HH!F23+HH!J23+HH!N23+HH!R23+HH!V23+HH!Z23+HH!AD23+HH!AH23+HH!AL23+HH!AP23+HH!AT23))*1000000</f>
        <v>1.8008521497308612</v>
      </c>
      <c r="AJ23" s="67">
        <f>(ACCIDENTES!BK23/HH!BB23)*1000000</f>
        <v>0.41243564689269857</v>
      </c>
      <c r="AK23" s="67">
        <f>(ACCIDENTES!BL23/HH!BB23)*1000000</f>
        <v>0.41243564689269857</v>
      </c>
      <c r="AL23" s="67">
        <f>(ACCIDENTES!BN23/HH!BB23)*1000000</f>
        <v>1.6497425875707943</v>
      </c>
      <c r="AM23" s="36"/>
      <c r="AN23" s="66">
        <f t="shared" si="0"/>
        <v>0.84052192511527934</v>
      </c>
      <c r="AO23" s="66">
        <f t="shared" si="1"/>
        <v>2.2694091978112545</v>
      </c>
      <c r="AP23" s="69"/>
      <c r="AQ23" s="124"/>
      <c r="AR23" s="66">
        <v>0.84052192511527934</v>
      </c>
      <c r="AS23" s="66">
        <v>4.2026096255763967</v>
      </c>
      <c r="AT23" s="66">
        <v>0.2</v>
      </c>
      <c r="AU23" s="36"/>
      <c r="AV23" s="68">
        <v>0</v>
      </c>
      <c r="AW23" s="68">
        <v>0.84052192511527934</v>
      </c>
      <c r="AX23" s="68">
        <v>0.85</v>
      </c>
      <c r="AY23" s="63"/>
      <c r="AZ23" s="68">
        <v>1.5969916577190306</v>
      </c>
      <c r="BA23" s="68">
        <v>2.2694091978112545</v>
      </c>
      <c r="BB23" s="68">
        <v>2.9418267379034773</v>
      </c>
      <c r="BC23" s="63"/>
      <c r="BD23" s="68"/>
      <c r="BE23" s="68"/>
      <c r="BF23" s="68"/>
      <c r="BG23" s="36"/>
      <c r="BH23" s="36"/>
      <c r="BI23" s="36"/>
      <c r="BJ23" s="36"/>
      <c r="BK23" s="36"/>
      <c r="BL23" s="36"/>
      <c r="BM23" s="36"/>
    </row>
    <row r="24" spans="1:65" outlineLevel="2" x14ac:dyDescent="0.3">
      <c r="A24" s="3" t="s">
        <v>25</v>
      </c>
      <c r="B24" s="9" t="s">
        <v>46</v>
      </c>
      <c r="C24" s="58">
        <f>(ACCIDENTES!C24/HH!F24)*1000000</f>
        <v>0</v>
      </c>
      <c r="D24" s="59">
        <f>(ACCIDENTES!D24/HH!F24)*1000000</f>
        <v>0</v>
      </c>
      <c r="E24" s="59">
        <f>(ACCIDENTES!F24/HH!F24)*1000000</f>
        <v>0</v>
      </c>
      <c r="F24" s="59">
        <f>((ACCIDENTES!C24+ACCIDENTES!H24)/(HH!F24+HH!J24))*1000000</f>
        <v>0</v>
      </c>
      <c r="G24" s="59">
        <f>((ACCIDENTES!D24+ACCIDENTES!I24)/(HH!F24+HH!J24))*1000000</f>
        <v>0</v>
      </c>
      <c r="H24" s="59">
        <f>((ACCIDENTES!F24+ACCIDENTES!K24)/(HH!F24+HH!J24))*1000000</f>
        <v>0</v>
      </c>
      <c r="I24" s="59">
        <f>((ACCIDENTES!C24+ACCIDENTES!H24+ACCIDENTES!M24)/(HH!F24+HH!J24+HH!N24))*1000000</f>
        <v>0</v>
      </c>
      <c r="J24" s="59">
        <f>((ACCIDENTES!D24+ACCIDENTES!I24+ACCIDENTES!N24)/(HH!F24+HH!J24+HH!N24))*1000000</f>
        <v>0</v>
      </c>
      <c r="K24" s="59">
        <f>((ACCIDENTES!F24+ACCIDENTES!K24+ACCIDENTES!P24)/(HH!J24+HH!N24+HH!F24))*1000000</f>
        <v>0</v>
      </c>
      <c r="L24" s="59">
        <f>((ACCIDENTES!C24+ACCIDENTES!H24+ACCIDENTES!M24+ACCIDENTES!R24)/(HH!F24+HH!J24+HH!N24+HH!R24))*1000000</f>
        <v>0</v>
      </c>
      <c r="M24" s="59">
        <f>((ACCIDENTES!D24+ACCIDENTES!I24+ACCIDENTES!N24+ACCIDENTES!S24)/(HH!F24+HH!J24+HH!N24+HH!R24))*1000000</f>
        <v>0</v>
      </c>
      <c r="N24" s="59">
        <f>((ACCIDENTES!F24+ACCIDENTES!K24+ACCIDENTES!P24+ACCIDENTES!U24)/(HH!F24+HH!J24+HH!N24+HH!R24))*1000000</f>
        <v>0</v>
      </c>
      <c r="O24" s="59">
        <f>((ACCIDENTES!C24+ACCIDENTES!H24+ACCIDENTES!M24+ACCIDENTES!R24+ACCIDENTES!W24)/(HH!F24+HH!J24+HH!N24+HH!R24+HH!V24))*1000000</f>
        <v>0</v>
      </c>
      <c r="P24" s="59">
        <f>(((ACCIDENTES!D24+ACCIDENTES!I24+ACCIDENTES!N24+ACCIDENTES!S24+ACCIDENTES!X24)/(HH!F24+HH!J24+HH!N24+HH!R24+HH!V24))*1000000)</f>
        <v>0</v>
      </c>
      <c r="Q24" s="59">
        <f>((ACCIDENTES!F24+ACCIDENTES!K24+ACCIDENTES!P24+ACCIDENTES!U24+ACCIDENTES!Z24)/(HH!F24+HH!J24+HH!N24+HH!R24+HH!V24))*1000000</f>
        <v>0</v>
      </c>
      <c r="R24" s="59">
        <f>(ACCIDENTES!C24+ACCIDENTES!H24+ACCIDENTES!M24+ACCIDENTES!R24+ACCIDENTES!W24+ACCIDENTES!AB24)*1000000/(HH!F24+HH!J24+HH!N24+HH!R24+HH!V24+HH!Z24)</f>
        <v>0</v>
      </c>
      <c r="S24" s="59">
        <f>(ACCIDENTES!D24+ACCIDENTES!I24+ACCIDENTES!N24+ACCIDENTES!S24+ACCIDENTES!X24+ACCIDENTES!AC24)*1000000/(HH!F24+HH!J24+HH!N24+HH!R24+HH!V24+HH!Z24)</f>
        <v>0</v>
      </c>
      <c r="T24" s="59">
        <f>(ACCIDENTES!F24+ACCIDENTES!K24+ACCIDENTES!P24+ACCIDENTES!U24+ACCIDENTES!Z24+ACCIDENTES!AE24)*1000000/(HH!F24+HH!J24+HH!N24+HH!R24+HH!V24+HH!Z24)</f>
        <v>0</v>
      </c>
      <c r="U24" s="59">
        <f>((ACCIDENTES!C24+ACCIDENTES!H24+ACCIDENTES!M24+ACCIDENTES!R24+ACCIDENTES!W24+ACCIDENTES!AB24+ACCIDENTES!AG24)/(HH!F24+HH!J24+HH!N24+HH!R24+HH!V24+HH!Z24+HH!AD24))*1000000</f>
        <v>0</v>
      </c>
      <c r="V24" s="59">
        <f>((ACCIDENTES!D24+ACCIDENTES!I24+ACCIDENTES!N24+ACCIDENTES!S24+ACCIDENTES!X24+ACCIDENTES!AC24+ACCIDENTES!AH24)/(HH!F24+HH!J24+HH!N24+HH!R24+HH!V24+HH!Z24+HH!AD24))*1000000</f>
        <v>0</v>
      </c>
      <c r="W24" s="59">
        <f>((ACCIDENTES!F24+ACCIDENTES!K24+ACCIDENTES!P24+ACCIDENTES!U24+ACCIDENTES!Z24+ACCIDENTES!AE24+ACCIDENTES!AJ24)/(HH!F24+HH!J24+HH!N24+HH!R24+HH!V24+HH!Z24+HH!AD24))*1000000</f>
        <v>2.1603380194485506</v>
      </c>
      <c r="X24" s="59">
        <f>((ACCIDENTES!C24+ACCIDENTES!H24+ACCIDENTES!M24+ACCIDENTES!R24+ACCIDENTES!W24+ACCIDENTES!AB24+ACCIDENTES!AG24+ACCIDENTES!AL24)/(HH!F24+HH!J24+HH!N24+HH!R24+HH!V24+HH!Z24+HH!AD24+HH!AH24))*1000000</f>
        <v>0</v>
      </c>
      <c r="Y24" s="59">
        <f>((ACCIDENTES!D24+ACCIDENTES!I24+ACCIDENTES!N24+ACCIDENTES!S24+ACCIDENTES!X24+ACCIDENTES!AC24+ACCIDENTES!AH24+ACCIDENTES!AM24)/(HH!F24+HH!J24+HH!N24+HH!R24+HH!V24+HH!Z24+HH!AD24+HH!AH24))*1000000</f>
        <v>0</v>
      </c>
      <c r="Z24" s="59">
        <f>((ACCIDENTES!F24+ACCIDENTES!K24+ACCIDENTES!P24+ACCIDENTES!U24+ACCIDENTES!Z24+ACCIDENTES!AE24+ACCIDENTES!AJ24+ACCIDENTES!AO24)/(HH!F24+HH!J24+HH!N24+HH!R24+HH!V24+HH!Z24+HH!AD24+HH!AH24))*1000000</f>
        <v>1.892976682644494</v>
      </c>
      <c r="AA24" s="59">
        <f>((ACCIDENTES!AQ24+ACCIDENTES!AL24+ACCIDENTES!AG24+ACCIDENTES!AB24+ACCIDENTES!W24+ACCIDENTES!R24+ACCIDENTES!M24+ACCIDENTES!H24+ACCIDENTES!C24)/(HH!AL24+HH!AH24+HH!AD24+HH!Z24+HH!V24+HH!R24+HH!N24+HH!J24+HH!F24))*1000000</f>
        <v>0</v>
      </c>
      <c r="AB24" s="59">
        <f>((ACCIDENTES!AR24+ACCIDENTES!AM24+ACCIDENTES!AH24+ACCIDENTES!AC24+ACCIDENTES!X24+ACCIDENTES!S24+ACCIDENTES!N24+ACCIDENTES!I24+ACCIDENTES!D24)/(HH!AL24+HH!AH24+HH!AD24+HH!Z24+HH!V24+HH!R24+HH!N24+HH!J24+HH!F24))*1000000</f>
        <v>0</v>
      </c>
      <c r="AC24" s="59">
        <f>((ACCIDENTES!F24+ACCIDENTES!K24+ACCIDENTES!P24+ACCIDENTES!U24+ACCIDENTES!Z24+ACCIDENTES!AE24+ACCIDENTES!AJ24+ACCIDENTES!AO24+ACCIDENTES!AT24)/(HH!F24+HH!J24+HH!N24+HH!R24+HH!V24+HH!Z24+HH!AD24+HH!AH24+HH!AL24))*1000000</f>
        <v>1.6834591010555666</v>
      </c>
      <c r="AD24" s="59">
        <f>((ACCIDENTES!AV24+ACCIDENTES!AQ24+ACCIDENTES!AL24+ACCIDENTES!AG24+ACCIDENTES!AB24+ACCIDENTES!W24+ACCIDENTES!R24+ACCIDENTES!M24+ACCIDENTES!H24+ACCIDENTES!C24)/(HH!F24+HH!J24+HH!N24+HH!R24+HH!V24+HH!Z24+HH!AD24+HH!AH24+HH!AL24+HH!AP24))*1000000</f>
        <v>0</v>
      </c>
      <c r="AE24" s="59">
        <f>((ACCIDENTES!D24+ACCIDENTES!I24+ACCIDENTES!N24+ACCIDENTES!S24+ACCIDENTES!X24+ACCIDENTES!AC24+ACCIDENTES!AH24+ACCIDENTES!AM24+ACCIDENTES!AR24+ACCIDENTES!AW24)/(HH!AP24+HH!AL24+HH!AH24+HH!AD24+HH!Z24+HH!V24+HH!R24+HH!N24+HH!J24+HH!F24))*1000000</f>
        <v>0</v>
      </c>
      <c r="AF24" s="59">
        <f>((ACCIDENTES!AY24+ACCIDENTES!AT24+ACCIDENTES!AO24+ACCIDENTES!AJ24+ACCIDENTES!AE24+ACCIDENTES!Z24+ACCIDENTES!U24+ACCIDENTES!P24+ACCIDENTES!K24+ACCIDENTES!F24)/(HH!F24+HH!J24+HH!N24+HH!R24+HH!V24+HH!Z24+HH!AD24+HH!AH24+HH!AL24+HH!AP24))*1000000</f>
        <v>1.5149552022065627</v>
      </c>
      <c r="AG24" s="59">
        <f>((ACCIDENTES!BA24+ACCIDENTES!AV24+ACCIDENTES!AQ24+ACCIDENTES!AL24+ACCIDENTES!AG24+ACCIDENTES!AB24+ACCIDENTES!W24+ACCIDENTES!R24+ACCIDENTES!M24+ACCIDENTES!H24+ACCIDENTES!C24)/(HH!AT24+HH!AP24+HH!AL24+HH!AH24+HH!AD24+HH!Z24+HH!V24+HH!R24+HH!N24+HH!J24+HH!F24))*1000000</f>
        <v>0</v>
      </c>
      <c r="AH24" s="59">
        <f>((ACCIDENTES!D24+ACCIDENTES!I24+ACCIDENTES!N24+ACCIDENTES!S24+ACCIDENTES!X24+ACCIDENTES!AC24+ACCIDENTES!AH24+ACCIDENTES!AM24+ACCIDENTES!AR24+ACCIDENTES!AW24+ACCIDENTES!BB24)/(HH!F24+HH!J24+HH!N24+HH!R24+HH!V24+HH!Z24+HH!AD24+HH!AH24+HH!AL24+HH!AP24+HH!AT24))*1000000</f>
        <v>0</v>
      </c>
      <c r="AI24" s="59">
        <f>((ACCIDENTES!BD24+ACCIDENTES!AY24+ACCIDENTES!AT24+ACCIDENTES!AO24+ACCIDENTES!AJ24+ACCIDENTES!AE24+ACCIDENTES!Z24+ACCIDENTES!U24+ACCIDENTES!P24+ACCIDENTES!K24+ACCIDENTES!F24)/(HH!F24+HH!J24+HH!N24+HH!R24+HH!V24+HH!Z24+HH!AD24+HH!AH24+HH!AL24+HH!AP24+HH!AT24))*1000000</f>
        <v>1.3771145119948567</v>
      </c>
      <c r="AJ24" s="59">
        <f>(ACCIDENTES!BK24/HH!BB24)*1000000</f>
        <v>0</v>
      </c>
      <c r="AK24" s="59">
        <f>(ACCIDENTES!BL24/HH!BB24)*1000000</f>
        <v>0</v>
      </c>
      <c r="AL24" s="59">
        <f>(ACCIDENTES!BN24/HH!BB24)*1000000</f>
        <v>1.2622652340503242</v>
      </c>
      <c r="AN24" s="41">
        <f t="shared" si="0"/>
        <v>0</v>
      </c>
      <c r="AO24" s="41">
        <f t="shared" si="1"/>
        <v>0</v>
      </c>
      <c r="AP24" s="40"/>
      <c r="AQ24" s="124"/>
      <c r="AR24" s="41"/>
      <c r="AS24" s="41"/>
      <c r="AT24" s="41"/>
      <c r="AV24" s="118"/>
      <c r="AW24" s="60"/>
      <c r="AX24" s="60"/>
      <c r="AY24" s="63"/>
      <c r="AZ24" s="118"/>
      <c r="BA24" s="60"/>
      <c r="BB24" s="60"/>
      <c r="BC24" s="63"/>
      <c r="BD24" s="118"/>
      <c r="BE24" s="60"/>
      <c r="BF24" s="60"/>
    </row>
    <row r="25" spans="1:65" outlineLevel="2" x14ac:dyDescent="0.3">
      <c r="A25" s="3" t="s">
        <v>25</v>
      </c>
      <c r="B25" s="9" t="s">
        <v>47</v>
      </c>
      <c r="C25" s="58">
        <f>(ACCIDENTES!C25/HH!F25)*1000000</f>
        <v>0</v>
      </c>
      <c r="D25" s="59">
        <f>(ACCIDENTES!D25/HH!F25)*1000000</f>
        <v>0</v>
      </c>
      <c r="E25" s="59">
        <f>(ACCIDENTES!F25/HH!F25)*1000000</f>
        <v>0</v>
      </c>
      <c r="F25" s="59">
        <f>((ACCIDENTES!C25+ACCIDENTES!H25)/(HH!F25+HH!J25))*1000000</f>
        <v>0</v>
      </c>
      <c r="G25" s="59">
        <f>((ACCIDENTES!D25+ACCIDENTES!I25)/(HH!F25+HH!J25))*1000000</f>
        <v>0</v>
      </c>
      <c r="H25" s="59">
        <f>((ACCIDENTES!F25+ACCIDENTES!K25)/(HH!F25+HH!J25))*1000000</f>
        <v>0</v>
      </c>
      <c r="I25" s="59">
        <f>((ACCIDENTES!C25+ACCIDENTES!H25+ACCIDENTES!M25)/(HH!F25+HH!J25+HH!N25))*1000000</f>
        <v>0</v>
      </c>
      <c r="J25" s="59">
        <f>((ACCIDENTES!D25+ACCIDENTES!I25+ACCIDENTES!N25)/(HH!F25+HH!J25+HH!N25))*1000000</f>
        <v>0</v>
      </c>
      <c r="K25" s="59">
        <f>((ACCIDENTES!F25+ACCIDENTES!K25+ACCIDENTES!P25)/(HH!J25+HH!N25+HH!F25))*1000000</f>
        <v>0</v>
      </c>
      <c r="L25" s="59">
        <f>((ACCIDENTES!C25+ACCIDENTES!H25+ACCIDENTES!M25+ACCIDENTES!R25)/(HH!F25+HH!J25+HH!N25+HH!R25))*1000000</f>
        <v>0</v>
      </c>
      <c r="M25" s="59">
        <f>((ACCIDENTES!D25+ACCIDENTES!I25+ACCIDENTES!N25+ACCIDENTES!S25)/(HH!F25+HH!J25+HH!N25+HH!R25))*1000000</f>
        <v>0</v>
      </c>
      <c r="N25" s="59">
        <f>((ACCIDENTES!F25+ACCIDENTES!K25+ACCIDENTES!P25+ACCIDENTES!U25)/(HH!F25+HH!J25+HH!N25+HH!R25))*1000000</f>
        <v>0</v>
      </c>
      <c r="O25" s="59">
        <f>((ACCIDENTES!C25+ACCIDENTES!H25+ACCIDENTES!M25+ACCIDENTES!R25+ACCIDENTES!W25)/(HH!F25+HH!J25+HH!N25+HH!R25+HH!V25))*1000000</f>
        <v>0</v>
      </c>
      <c r="P25" s="59">
        <f>(((ACCIDENTES!D25+ACCIDENTES!I25+ACCIDENTES!N25+ACCIDENTES!S25+ACCIDENTES!X25)/(HH!F25+HH!J25+HH!N25+HH!R25+HH!V25))*1000000)</f>
        <v>0</v>
      </c>
      <c r="Q25" s="59">
        <f>((ACCIDENTES!F25+ACCIDENTES!K25+ACCIDENTES!P25+ACCIDENTES!U25+ACCIDENTES!Z25)/(HH!F25+HH!J25+HH!N25+HH!R25+HH!V25))*1000000</f>
        <v>0</v>
      </c>
      <c r="R25" s="59">
        <f>(ACCIDENTES!C25+ACCIDENTES!H25+ACCIDENTES!M25+ACCIDENTES!R25+ACCIDENTES!W25+ACCIDENTES!AB25)*1000000/(HH!F25+HH!J25+HH!N25+HH!R25+HH!V25+HH!Z25)</f>
        <v>0</v>
      </c>
      <c r="S25" s="59">
        <f>(ACCIDENTES!D25+ACCIDENTES!I25+ACCIDENTES!N25+ACCIDENTES!S25+ACCIDENTES!X25+ACCIDENTES!AC25)*1000000/(HH!F25+HH!J25+HH!N25+HH!R25+HH!V25+HH!Z25)</f>
        <v>0</v>
      </c>
      <c r="T25" s="59">
        <f>(ACCIDENTES!F25+ACCIDENTES!K25+ACCIDENTES!P25+ACCIDENTES!U25+ACCIDENTES!Z25+ACCIDENTES!AE25)*1000000/(HH!F25+HH!J25+HH!N25+HH!R25+HH!V25+HH!Z25)</f>
        <v>0</v>
      </c>
      <c r="U25" s="59">
        <f>((ACCIDENTES!C25+ACCIDENTES!H25+ACCIDENTES!M25+ACCIDENTES!R25+ACCIDENTES!W25+ACCIDENTES!AB25+ACCIDENTES!AG25)/(HH!F25+HH!J25+HH!N25+HH!R25+HH!V25+HH!Z25+HH!AD25))*1000000</f>
        <v>0</v>
      </c>
      <c r="V25" s="59">
        <f>((ACCIDENTES!D25+ACCIDENTES!I25+ACCIDENTES!N25+ACCIDENTES!S25+ACCIDENTES!X25+ACCIDENTES!AC25+ACCIDENTES!AH25)/(HH!F25+HH!J25+HH!N25+HH!R25+HH!V25+HH!Z25+HH!AD25))*1000000</f>
        <v>0</v>
      </c>
      <c r="W25" s="59">
        <f>((ACCIDENTES!F25+ACCIDENTES!K25+ACCIDENTES!P25+ACCIDENTES!U25+ACCIDENTES!Z25+ACCIDENTES!AE25+ACCIDENTES!AJ25)/(HH!F25+HH!J25+HH!N25+HH!R25+HH!V25+HH!Z25+HH!AD25))*1000000</f>
        <v>0</v>
      </c>
      <c r="X25" s="59">
        <f>((ACCIDENTES!C25+ACCIDENTES!H25+ACCIDENTES!M25+ACCIDENTES!R25+ACCIDENTES!W25+ACCIDENTES!AB25+ACCIDENTES!AG25+ACCIDENTES!AL25)/(HH!F25+HH!J25+HH!N25+HH!R25+HH!V25+HH!Z25+HH!AD25+HH!AH25))*1000000</f>
        <v>0</v>
      </c>
      <c r="Y25" s="59">
        <f>((ACCIDENTES!D25+ACCIDENTES!I25+ACCIDENTES!N25+ACCIDENTES!S25+ACCIDENTES!X25+ACCIDENTES!AC25+ACCIDENTES!AH25+ACCIDENTES!AM25)/(HH!F25+HH!J25+HH!N25+HH!R25+HH!V25+HH!Z25+HH!AD25+HH!AH25))*1000000</f>
        <v>0</v>
      </c>
      <c r="Z25" s="59">
        <f>((ACCIDENTES!F25+ACCIDENTES!K25+ACCIDENTES!P25+ACCIDENTES!U25+ACCIDENTES!Z25+ACCIDENTES!AE25+ACCIDENTES!AJ25+ACCIDENTES!AO25)/(HH!F25+HH!J25+HH!N25+HH!R25+HH!V25+HH!Z25+HH!AD25+HH!AH25))*1000000</f>
        <v>0</v>
      </c>
      <c r="AA25" s="59">
        <f>((ACCIDENTES!AQ25+ACCIDENTES!AL25+ACCIDENTES!AG25+ACCIDENTES!AB25+ACCIDENTES!W25+ACCIDENTES!R25+ACCIDENTES!M25+ACCIDENTES!H25+ACCIDENTES!C25)/(HH!AL25+HH!AH25+HH!AD25+HH!Z25+HH!V25+HH!R25+HH!N25+HH!J25+HH!F25))*1000000</f>
        <v>0</v>
      </c>
      <c r="AB25" s="59">
        <f>((ACCIDENTES!AR25+ACCIDENTES!AM25+ACCIDENTES!AH25+ACCIDENTES!AC25+ACCIDENTES!X25+ACCIDENTES!S25+ACCIDENTES!N25+ACCIDENTES!I25+ACCIDENTES!D25)/(HH!AL25+HH!AH25+HH!AD25+HH!Z25+HH!V25+HH!R25+HH!N25+HH!J25+HH!F25))*1000000</f>
        <v>0</v>
      </c>
      <c r="AC25" s="59">
        <f>((ACCIDENTES!F25+ACCIDENTES!K25+ACCIDENTES!P25+ACCIDENTES!U25+ACCIDENTES!Z25+ACCIDENTES!AE25+ACCIDENTES!AJ25+ACCIDENTES!AO25+ACCIDENTES!AT25)/(HH!F25+HH!J25+HH!N25+HH!R25+HH!V25+HH!Z25+HH!AD25+HH!AH25+HH!AL25))*1000000</f>
        <v>0</v>
      </c>
      <c r="AD25" s="59">
        <f>((ACCIDENTES!AV25+ACCIDENTES!AQ25+ACCIDENTES!AL25+ACCIDENTES!AG25+ACCIDENTES!AB25+ACCIDENTES!W25+ACCIDENTES!R25+ACCIDENTES!M25+ACCIDENTES!H25+ACCIDENTES!C25)/(HH!F25+HH!J25+HH!N25+HH!R25+HH!V25+HH!Z25+HH!AD25+HH!AH25+HH!AL25+HH!AP25))*1000000</f>
        <v>0</v>
      </c>
      <c r="AE25" s="59">
        <f>((ACCIDENTES!D25+ACCIDENTES!I25+ACCIDENTES!N25+ACCIDENTES!S25+ACCIDENTES!X25+ACCIDENTES!AC25+ACCIDENTES!AH25+ACCIDENTES!AM25+ACCIDENTES!AR25+ACCIDENTES!AW25)/(HH!AP25+HH!AL25+HH!AH25+HH!AD25+HH!Z25+HH!V25+HH!R25+HH!N25+HH!J25+HH!F25))*1000000</f>
        <v>0</v>
      </c>
      <c r="AF25" s="59">
        <f>((ACCIDENTES!AY25+ACCIDENTES!AT25+ACCIDENTES!AO25+ACCIDENTES!AJ25+ACCIDENTES!AE25+ACCIDENTES!Z25+ACCIDENTES!U25+ACCIDENTES!P25+ACCIDENTES!K25+ACCIDENTES!F25)/(HH!F25+HH!J25+HH!N25+HH!R25+HH!V25+HH!Z25+HH!AD25+HH!AH25+HH!AL25+HH!AP25))*1000000</f>
        <v>0</v>
      </c>
      <c r="AG25" s="59">
        <f>((ACCIDENTES!BA25+ACCIDENTES!AV25+ACCIDENTES!AQ25+ACCIDENTES!AL25+ACCIDENTES!AG25+ACCIDENTES!AB25+ACCIDENTES!W25+ACCIDENTES!R25+ACCIDENTES!M25+ACCIDENTES!H25+ACCIDENTES!C25)/(HH!AT25+HH!AP25+HH!AL25+HH!AH25+HH!AD25+HH!Z25+HH!V25+HH!R25+HH!N25+HH!J25+HH!F25))*1000000</f>
        <v>0</v>
      </c>
      <c r="AH25" s="59">
        <f>((ACCIDENTES!D25+ACCIDENTES!I25+ACCIDENTES!N25+ACCIDENTES!S25+ACCIDENTES!X25+ACCIDENTES!AC25+ACCIDENTES!AH25+ACCIDENTES!AM25+ACCIDENTES!AR25+ACCIDENTES!AW25+ACCIDENTES!BB25)/(HH!F25+HH!J25+HH!N25+HH!R25+HH!V25+HH!Z25+HH!AD25+HH!AH25+HH!AL25+HH!AP25+HH!AT25))*1000000</f>
        <v>0</v>
      </c>
      <c r="AI25" s="59">
        <f>((ACCIDENTES!BD25+ACCIDENTES!AY25+ACCIDENTES!AT25+ACCIDENTES!AO25+ACCIDENTES!AJ25+ACCIDENTES!AE25+ACCIDENTES!Z25+ACCIDENTES!U25+ACCIDENTES!P25+ACCIDENTES!K25+ACCIDENTES!F25)/(HH!F25+HH!J25+HH!N25+HH!R25+HH!V25+HH!Z25+HH!AD25+HH!AH25+HH!AL25+HH!AP25+HH!AT25))*1000000</f>
        <v>0</v>
      </c>
      <c r="AJ25" s="59">
        <f>(ACCIDENTES!BK25/HH!BB25)*1000000</f>
        <v>0</v>
      </c>
      <c r="AK25" s="59">
        <f>(ACCIDENTES!BL25/HH!BB25)*1000000</f>
        <v>0</v>
      </c>
      <c r="AL25" s="59">
        <f>(ACCIDENTES!BN25/HH!BB25)*1000000</f>
        <v>0</v>
      </c>
      <c r="AN25" s="41">
        <f t="shared" si="0"/>
        <v>0</v>
      </c>
      <c r="AO25" s="41">
        <f t="shared" si="1"/>
        <v>0</v>
      </c>
      <c r="AP25" s="40"/>
      <c r="AQ25" s="124"/>
      <c r="AR25" s="41"/>
      <c r="AS25" s="41"/>
      <c r="AT25" s="41"/>
      <c r="AV25" s="118"/>
      <c r="AW25" s="60"/>
      <c r="AX25" s="60"/>
      <c r="AY25" s="63"/>
      <c r="AZ25" s="118"/>
      <c r="BA25" s="60"/>
      <c r="BB25" s="60"/>
      <c r="BC25" s="63"/>
      <c r="BD25" s="118"/>
      <c r="BE25" s="60"/>
      <c r="BF25" s="60"/>
    </row>
    <row r="26" spans="1:65" outlineLevel="2" x14ac:dyDescent="0.3">
      <c r="A26" s="3" t="s">
        <v>25</v>
      </c>
      <c r="B26" s="9" t="s">
        <v>48</v>
      </c>
      <c r="C26" s="58">
        <f>(ACCIDENTES!C26/HH!F26)*1000000</f>
        <v>0</v>
      </c>
      <c r="D26" s="59">
        <f>(ACCIDENTES!D26/HH!F26)*1000000</f>
        <v>0</v>
      </c>
      <c r="E26" s="59">
        <f>(ACCIDENTES!F26/HH!F26)*1000000</f>
        <v>0</v>
      </c>
      <c r="F26" s="59">
        <f>((ACCIDENTES!C26+ACCIDENTES!H26)/(HH!F26+HH!J26))*1000000</f>
        <v>0</v>
      </c>
      <c r="G26" s="59">
        <f>((ACCIDENTES!D26+ACCIDENTES!I26)/(HH!F26+HH!J26))*1000000</f>
        <v>0</v>
      </c>
      <c r="H26" s="59">
        <f>((ACCIDENTES!F26+ACCIDENTES!K26)/(HH!F26+HH!J26))*1000000</f>
        <v>0</v>
      </c>
      <c r="I26" s="59">
        <f>((ACCIDENTES!C26+ACCIDENTES!H26+ACCIDENTES!M26)/(HH!F26+HH!J26+HH!N26))*1000000</f>
        <v>0</v>
      </c>
      <c r="J26" s="59">
        <f>((ACCIDENTES!D26+ACCIDENTES!I26+ACCIDENTES!N26)/(HH!F26+HH!J26+HH!N26))*1000000</f>
        <v>0</v>
      </c>
      <c r="K26" s="59">
        <f>((ACCIDENTES!F26+ACCIDENTES!K26+ACCIDENTES!P26)/(HH!J26+HH!N26+HH!F26))*1000000</f>
        <v>0</v>
      </c>
      <c r="L26" s="59">
        <f>((ACCIDENTES!C26+ACCIDENTES!H26+ACCIDENTES!M26+ACCIDENTES!R26)/(HH!F26+HH!J26+HH!N26+HH!R26))*1000000</f>
        <v>0</v>
      </c>
      <c r="M26" s="59">
        <f>((ACCIDENTES!D26+ACCIDENTES!I26+ACCIDENTES!N26+ACCIDENTES!S26)/(HH!F26+HH!J26+HH!N26+HH!R26))*1000000</f>
        <v>0</v>
      </c>
      <c r="N26" s="59">
        <f>((ACCIDENTES!F26+ACCIDENTES!K26+ACCIDENTES!P26+ACCIDENTES!U26)/(HH!F26+HH!J26+HH!N26+HH!R26))*1000000</f>
        <v>0</v>
      </c>
      <c r="O26" s="59">
        <f>((ACCIDENTES!C26+ACCIDENTES!H26+ACCIDENTES!M26+ACCIDENTES!R26+ACCIDENTES!W26)/(HH!F26+HH!J26+HH!N26+HH!R26+HH!V26))*1000000</f>
        <v>0</v>
      </c>
      <c r="P26" s="59">
        <f>(((ACCIDENTES!D26+ACCIDENTES!I26+ACCIDENTES!N26+ACCIDENTES!S26+ACCIDENTES!X26)/(HH!F26+HH!J26+HH!N26+HH!R26+HH!V26))*1000000)</f>
        <v>0</v>
      </c>
      <c r="Q26" s="59">
        <f>((ACCIDENTES!F26+ACCIDENTES!K26+ACCIDENTES!P26+ACCIDENTES!U26+ACCIDENTES!Z26)/(HH!F26+HH!J26+HH!N26+HH!R26+HH!V26))*1000000</f>
        <v>0</v>
      </c>
      <c r="R26" s="59">
        <f>(ACCIDENTES!C26+ACCIDENTES!H26+ACCIDENTES!M26+ACCIDENTES!R26+ACCIDENTES!W26+ACCIDENTES!AB26)*1000000/(HH!F26+HH!J26+HH!N26+HH!R26+HH!V26+HH!Z26)</f>
        <v>0</v>
      </c>
      <c r="S26" s="59">
        <f>(ACCIDENTES!D26+ACCIDENTES!I26+ACCIDENTES!N26+ACCIDENTES!S26+ACCIDENTES!X26+ACCIDENTES!AC26)*1000000/(HH!F26+HH!J26+HH!N26+HH!R26+HH!V26+HH!Z26)</f>
        <v>0</v>
      </c>
      <c r="T26" s="59">
        <f>(ACCIDENTES!F26+ACCIDENTES!K26+ACCIDENTES!P26+ACCIDENTES!U26+ACCIDENTES!Z26+ACCIDENTES!AE26)*1000000/(HH!F26+HH!J26+HH!N26+HH!R26+HH!V26+HH!Z26)</f>
        <v>0</v>
      </c>
      <c r="U26" s="59">
        <f>((ACCIDENTES!C26+ACCIDENTES!H26+ACCIDENTES!M26+ACCIDENTES!R26+ACCIDENTES!W26+ACCIDENTES!AB26+ACCIDENTES!AG26)/(HH!F26+HH!J26+HH!N26+HH!R26+HH!V26+HH!Z26+HH!AD26))*1000000</f>
        <v>24.698879494166945</v>
      </c>
      <c r="V26" s="59">
        <f>((ACCIDENTES!D26+ACCIDENTES!I26+ACCIDENTES!N26+ACCIDENTES!S26+ACCIDENTES!X26+ACCIDENTES!AC26+ACCIDENTES!AH26)/(HH!F26+HH!J26+HH!N26+HH!R26+HH!V26+HH!Z26+HH!AD26))*1000000</f>
        <v>24.698879494166945</v>
      </c>
      <c r="W26" s="59">
        <f>((ACCIDENTES!F26+ACCIDENTES!K26+ACCIDENTES!P26+ACCIDENTES!U26+ACCIDENTES!Z26+ACCIDENTES!AE26+ACCIDENTES!AJ26)/(HH!F26+HH!J26+HH!N26+HH!R26+HH!V26+HH!Z26+HH!AD26))*1000000</f>
        <v>24.698879494166945</v>
      </c>
      <c r="X26" s="59">
        <f>((ACCIDENTES!C26+ACCIDENTES!H26+ACCIDENTES!M26+ACCIDENTES!R26+ACCIDENTES!W26+ACCIDENTES!AB26+ACCIDENTES!AG26+ACCIDENTES!AL26)/(HH!F26+HH!J26+HH!N26+HH!R26+HH!V26+HH!Z26+HH!AD26+HH!AH26))*1000000</f>
        <v>21.002373268179301</v>
      </c>
      <c r="Y26" s="59">
        <f>((ACCIDENTES!D26+ACCIDENTES!I26+ACCIDENTES!N26+ACCIDENTES!S26+ACCIDENTES!X26+ACCIDENTES!AC26+ACCIDENTES!AH26+ACCIDENTES!AM26)/(HH!F26+HH!J26+HH!N26+HH!R26+HH!V26+HH!Z26+HH!AD26+HH!AH26))*1000000</f>
        <v>21.002373268179301</v>
      </c>
      <c r="Z26" s="59">
        <f>((ACCIDENTES!F26+ACCIDENTES!K26+ACCIDENTES!P26+ACCIDENTES!U26+ACCIDENTES!Z26+ACCIDENTES!AE26+ACCIDENTES!AJ26+ACCIDENTES!AO26)/(HH!F26+HH!J26+HH!N26+HH!R26+HH!V26+HH!Z26+HH!AD26+HH!AH26))*1000000</f>
        <v>21.002373268179301</v>
      </c>
      <c r="AA26" s="59">
        <f>((ACCIDENTES!AQ26+ACCIDENTES!AL26+ACCIDENTES!AG26+ACCIDENTES!AB26+ACCIDENTES!W26+ACCIDENTES!R26+ACCIDENTES!M26+ACCIDENTES!H26+ACCIDENTES!C26)/(HH!AL26+HH!AH26+HH!AD26+HH!Z26+HH!V26+HH!R26+HH!N26+HH!J26+HH!F26))*1000000</f>
        <v>18.354124477672205</v>
      </c>
      <c r="AB26" s="59">
        <f>((ACCIDENTES!AR26+ACCIDENTES!AM26+ACCIDENTES!AH26+ACCIDENTES!AC26+ACCIDENTES!X26+ACCIDENTES!S26+ACCIDENTES!N26+ACCIDENTES!I26+ACCIDENTES!D26)/(HH!AL26+HH!AH26+HH!AD26+HH!Z26+HH!V26+HH!R26+HH!N26+HH!J26+HH!F26))*1000000</f>
        <v>18.354124477672205</v>
      </c>
      <c r="AC26" s="59">
        <f>((ACCIDENTES!F26+ACCIDENTES!K26+ACCIDENTES!P26+ACCIDENTES!U26+ACCIDENTES!Z26+ACCIDENTES!AE26+ACCIDENTES!AJ26+ACCIDENTES!AO26+ACCIDENTES!AT26)/(HH!F26+HH!J26+HH!N26+HH!R26+HH!V26+HH!Z26+HH!AD26+HH!AH26+HH!AL26))*1000000</f>
        <v>18.354124477672205</v>
      </c>
      <c r="AD26" s="59">
        <f>((ACCIDENTES!AV26+ACCIDENTES!AQ26+ACCIDENTES!AL26+ACCIDENTES!AG26+ACCIDENTES!AB26+ACCIDENTES!W26+ACCIDENTES!R26+ACCIDENTES!M26+ACCIDENTES!H26+ACCIDENTES!C26)/(HH!F26+HH!J26+HH!N26+HH!R26+HH!V26+HH!Z26+HH!AD26+HH!AH26+HH!AL26+HH!AP26))*1000000</f>
        <v>16.298944371702859</v>
      </c>
      <c r="AE26" s="59">
        <f>((ACCIDENTES!D26+ACCIDENTES!I26+ACCIDENTES!N26+ACCIDENTES!S26+ACCIDENTES!X26+ACCIDENTES!AC26+ACCIDENTES!AH26+ACCIDENTES!AM26+ACCIDENTES!AR26+ACCIDENTES!AW26)/(HH!AP26+HH!AL26+HH!AH26+HH!AD26+HH!Z26+HH!V26+HH!R26+HH!N26+HH!J26+HH!F26))*1000000</f>
        <v>16.298944371702859</v>
      </c>
      <c r="AF26" s="59">
        <f>((ACCIDENTES!AY26+ACCIDENTES!AT26+ACCIDENTES!AO26+ACCIDENTES!AJ26+ACCIDENTES!AE26+ACCIDENTES!Z26+ACCIDENTES!U26+ACCIDENTES!P26+ACCIDENTES!K26+ACCIDENTES!F26)/(HH!F26+HH!J26+HH!N26+HH!R26+HH!V26+HH!Z26+HH!AD26+HH!AH26+HH!AL26+HH!AP26))*1000000</f>
        <v>16.298944371702859</v>
      </c>
      <c r="AG26" s="59">
        <f>((ACCIDENTES!BA26+ACCIDENTES!AV26+ACCIDENTES!AQ26+ACCIDENTES!AL26+ACCIDENTES!AG26+ACCIDENTES!AB26+ACCIDENTES!W26+ACCIDENTES!R26+ACCIDENTES!M26+ACCIDENTES!H26+ACCIDENTES!C26)/(HH!AT26+HH!AP26+HH!AL26+HH!AH26+HH!AD26+HH!Z26+HH!V26+HH!R26+HH!N26+HH!J26+HH!F26))*1000000</f>
        <v>14.657670114476403</v>
      </c>
      <c r="AH26" s="59">
        <f>((ACCIDENTES!D26+ACCIDENTES!I26+ACCIDENTES!N26+ACCIDENTES!S26+ACCIDENTES!X26+ACCIDENTES!AC26+ACCIDENTES!AH26+ACCIDENTES!AM26+ACCIDENTES!AR26+ACCIDENTES!AW26+ACCIDENTES!BB26)/(HH!F26+HH!J26+HH!N26+HH!R26+HH!V26+HH!Z26+HH!AD26+HH!AH26+HH!AL26+HH!AP26+HH!AT26))*1000000</f>
        <v>14.657670114476403</v>
      </c>
      <c r="AI26" s="59">
        <f>((ACCIDENTES!BD26+ACCIDENTES!AY26+ACCIDENTES!AT26+ACCIDENTES!AO26+ACCIDENTES!AJ26+ACCIDENTES!AE26+ACCIDENTES!Z26+ACCIDENTES!U26+ACCIDENTES!P26+ACCIDENTES!K26+ACCIDENTES!F26)/(HH!F26+HH!J26+HH!N26+HH!R26+HH!V26+HH!Z26+HH!AD26+HH!AH26+HH!AL26+HH!AP26+HH!AT26))*1000000</f>
        <v>14.657670114476403</v>
      </c>
      <c r="AJ26" s="59">
        <f>(ACCIDENTES!BK26/HH!BB26)*1000000</f>
        <v>13.316702251854352</v>
      </c>
      <c r="AK26" s="59">
        <f>(ACCIDENTES!BL26/HH!BB26)*1000000</f>
        <v>13.316702251854352</v>
      </c>
      <c r="AL26" s="59">
        <f>(ACCIDENTES!BN26/HH!BB26)*1000000</f>
        <v>13.316702251854352</v>
      </c>
      <c r="AN26" s="41">
        <f t="shared" si="0"/>
        <v>0</v>
      </c>
      <c r="AO26" s="41">
        <f t="shared" si="1"/>
        <v>0</v>
      </c>
      <c r="AP26" s="40"/>
      <c r="AQ26" s="124"/>
      <c r="AR26" s="41"/>
      <c r="AS26" s="41"/>
      <c r="AT26" s="41"/>
      <c r="AV26" s="118"/>
      <c r="AW26" s="60"/>
      <c r="AX26" s="60"/>
      <c r="AY26" s="63"/>
      <c r="AZ26" s="118"/>
      <c r="BA26" s="60"/>
      <c r="BB26" s="60"/>
      <c r="BC26" s="63"/>
      <c r="BD26" s="118"/>
      <c r="BE26" s="60"/>
      <c r="BF26" s="60"/>
    </row>
    <row r="27" spans="1:65" outlineLevel="2" x14ac:dyDescent="0.3">
      <c r="A27" s="3" t="s">
        <v>25</v>
      </c>
      <c r="B27" s="9" t="s">
        <v>49</v>
      </c>
      <c r="C27" s="58">
        <f>(ACCIDENTES!C27/HH!F27)*1000000</f>
        <v>0</v>
      </c>
      <c r="D27" s="59">
        <f>(ACCIDENTES!D27/HH!F27)*1000000</f>
        <v>0</v>
      </c>
      <c r="E27" s="59">
        <f>(ACCIDENTES!F27/HH!F27)*1000000</f>
        <v>0</v>
      </c>
      <c r="F27" s="59">
        <f>((ACCIDENTES!C27+ACCIDENTES!H27)/(HH!F27+HH!J27))*1000000</f>
        <v>0</v>
      </c>
      <c r="G27" s="59">
        <f>((ACCIDENTES!D27+ACCIDENTES!I27)/(HH!F27+HH!J27))*1000000</f>
        <v>0</v>
      </c>
      <c r="H27" s="59">
        <f>((ACCIDENTES!F27+ACCIDENTES!K27)/(HH!F27+HH!J27))*1000000</f>
        <v>0</v>
      </c>
      <c r="I27" s="59">
        <f>((ACCIDENTES!C27+ACCIDENTES!H27+ACCIDENTES!M27)/(HH!F27+HH!J27+HH!N27))*1000000</f>
        <v>0</v>
      </c>
      <c r="J27" s="59">
        <f>((ACCIDENTES!D27+ACCIDENTES!I27+ACCIDENTES!N27)/(HH!F27+HH!J27+HH!N27))*1000000</f>
        <v>0</v>
      </c>
      <c r="K27" s="59">
        <f>((ACCIDENTES!F27+ACCIDENTES!K27+ACCIDENTES!P27)/(HH!J27+HH!N27+HH!F27))*1000000</f>
        <v>0</v>
      </c>
      <c r="L27" s="59">
        <f>((ACCIDENTES!C27+ACCIDENTES!H27+ACCIDENTES!M27+ACCIDENTES!R27)/(HH!F27+HH!J27+HH!N27+HH!R27))*1000000</f>
        <v>0</v>
      </c>
      <c r="M27" s="59">
        <f>((ACCIDENTES!D27+ACCIDENTES!I27+ACCIDENTES!N27+ACCIDENTES!S27)/(HH!F27+HH!J27+HH!N27+HH!R27))*1000000</f>
        <v>0</v>
      </c>
      <c r="N27" s="59">
        <f>((ACCIDENTES!F27+ACCIDENTES!K27+ACCIDENTES!P27+ACCIDENTES!U27)/(HH!F27+HH!J27+HH!N27+HH!R27))*1000000</f>
        <v>0</v>
      </c>
      <c r="O27" s="59">
        <f>((ACCIDENTES!C27+ACCIDENTES!H27+ACCIDENTES!M27+ACCIDENTES!R27+ACCIDENTES!W27)/(HH!F27+HH!J27+HH!N27+HH!R27+HH!V27))*1000000</f>
        <v>0</v>
      </c>
      <c r="P27" s="59">
        <f>(((ACCIDENTES!D27+ACCIDENTES!I27+ACCIDENTES!N27+ACCIDENTES!S27+ACCIDENTES!X27)/(HH!F27+HH!J27+HH!N27+HH!R27+HH!V27))*1000000)</f>
        <v>0</v>
      </c>
      <c r="Q27" s="59">
        <f>((ACCIDENTES!F27+ACCIDENTES!K27+ACCIDENTES!P27+ACCIDENTES!U27+ACCIDENTES!Z27)/(HH!F27+HH!J27+HH!N27+HH!R27+HH!V27))*1000000</f>
        <v>0</v>
      </c>
      <c r="R27" s="59">
        <f>(ACCIDENTES!C27+ACCIDENTES!H27+ACCIDENTES!M27+ACCIDENTES!R27+ACCIDENTES!W27+ACCIDENTES!AB27)*1000000/(HH!F27+HH!J27+HH!N27+HH!R27+HH!V27+HH!Z27)</f>
        <v>0</v>
      </c>
      <c r="S27" s="59">
        <f>(ACCIDENTES!D27+ACCIDENTES!I27+ACCIDENTES!N27+ACCIDENTES!S27+ACCIDENTES!X27+ACCIDENTES!AC27)*1000000/(HH!F27+HH!J27+HH!N27+HH!R27+HH!V27+HH!Z27)</f>
        <v>0</v>
      </c>
      <c r="T27" s="59">
        <f>(ACCIDENTES!F27+ACCIDENTES!K27+ACCIDENTES!P27+ACCIDENTES!U27+ACCIDENTES!Z27+ACCIDENTES!AE27)*1000000/(HH!F27+HH!J27+HH!N27+HH!R27+HH!V27+HH!Z27)</f>
        <v>0</v>
      </c>
      <c r="U27" s="59">
        <f>((ACCIDENTES!C27+ACCIDENTES!H27+ACCIDENTES!M27+ACCIDENTES!R27+ACCIDENTES!W27+ACCIDENTES!AB27+ACCIDENTES!AG27)/(HH!F27+HH!J27+HH!N27+HH!R27+HH!V27+HH!Z27+HH!AD27))*1000000</f>
        <v>0</v>
      </c>
      <c r="V27" s="59">
        <f>((ACCIDENTES!D27+ACCIDENTES!I27+ACCIDENTES!N27+ACCIDENTES!S27+ACCIDENTES!X27+ACCIDENTES!AC27+ACCIDENTES!AH27)/(HH!F27+HH!J27+HH!N27+HH!R27+HH!V27+HH!Z27+HH!AD27))*1000000</f>
        <v>0</v>
      </c>
      <c r="W27" s="59">
        <f>((ACCIDENTES!F27+ACCIDENTES!K27+ACCIDENTES!P27+ACCIDENTES!U27+ACCIDENTES!Z27+ACCIDENTES!AE27+ACCIDENTES!AJ27)/(HH!F27+HH!J27+HH!N27+HH!R27+HH!V27+HH!Z27+HH!AD27))*1000000</f>
        <v>0</v>
      </c>
      <c r="X27" s="59">
        <f>((ACCIDENTES!C27+ACCIDENTES!H27+ACCIDENTES!M27+ACCIDENTES!R27+ACCIDENTES!W27+ACCIDENTES!AB27+ACCIDENTES!AG27+ACCIDENTES!AL27)/(HH!F27+HH!J27+HH!N27+HH!R27+HH!V27+HH!Z27+HH!AD27+HH!AH27))*1000000</f>
        <v>0</v>
      </c>
      <c r="Y27" s="59">
        <f>((ACCIDENTES!D27+ACCIDENTES!I27+ACCIDENTES!N27+ACCIDENTES!S27+ACCIDENTES!X27+ACCIDENTES!AC27+ACCIDENTES!AH27+ACCIDENTES!AM27)/(HH!F27+HH!J27+HH!N27+HH!R27+HH!V27+HH!Z27+HH!AD27+HH!AH27))*1000000</f>
        <v>0</v>
      </c>
      <c r="Z27" s="59">
        <f>((ACCIDENTES!F27+ACCIDENTES!K27+ACCIDENTES!P27+ACCIDENTES!U27+ACCIDENTES!Z27+ACCIDENTES!AE27+ACCIDENTES!AJ27+ACCIDENTES!AO27)/(HH!F27+HH!J27+HH!N27+HH!R27+HH!V27+HH!Z27+HH!AD27+HH!AH27))*1000000</f>
        <v>0</v>
      </c>
      <c r="AA27" s="59">
        <f>((ACCIDENTES!AQ27+ACCIDENTES!AL27+ACCIDENTES!AG27+ACCIDENTES!AB27+ACCIDENTES!W27+ACCIDENTES!R27+ACCIDENTES!M27+ACCIDENTES!H27+ACCIDENTES!C27)/(HH!AL27+HH!AH27+HH!AD27+HH!Z27+HH!V27+HH!R27+HH!N27+HH!J27+HH!F27))*1000000</f>
        <v>0</v>
      </c>
      <c r="AB27" s="59">
        <f>((ACCIDENTES!AR27+ACCIDENTES!AM27+ACCIDENTES!AH27+ACCIDENTES!AC27+ACCIDENTES!X27+ACCIDENTES!S27+ACCIDENTES!N27+ACCIDENTES!I27+ACCIDENTES!D27)/(HH!AL27+HH!AH27+HH!AD27+HH!Z27+HH!V27+HH!R27+HH!N27+HH!J27+HH!F27))*1000000</f>
        <v>0</v>
      </c>
      <c r="AC27" s="59">
        <f>((ACCIDENTES!F27+ACCIDENTES!K27+ACCIDENTES!P27+ACCIDENTES!U27+ACCIDENTES!Z27+ACCIDENTES!AE27+ACCIDENTES!AJ27+ACCIDENTES!AO27+ACCIDENTES!AT27)/(HH!F27+HH!J27+HH!N27+HH!R27+HH!V27+HH!Z27+HH!AD27+HH!AH27+HH!AL27))*1000000</f>
        <v>0</v>
      </c>
      <c r="AD27" s="59">
        <f>((ACCIDENTES!AV27+ACCIDENTES!AQ27+ACCIDENTES!AL27+ACCIDENTES!AG27+ACCIDENTES!AB27+ACCIDENTES!W27+ACCIDENTES!R27+ACCIDENTES!M27+ACCIDENTES!H27+ACCIDENTES!C27)/(HH!F27+HH!J27+HH!N27+HH!R27+HH!V27+HH!Z27+HH!AD27+HH!AH27+HH!AL27+HH!AP27))*1000000</f>
        <v>0</v>
      </c>
      <c r="AE27" s="59">
        <f>((ACCIDENTES!D27+ACCIDENTES!I27+ACCIDENTES!N27+ACCIDENTES!S27+ACCIDENTES!X27+ACCIDENTES!AC27+ACCIDENTES!AH27+ACCIDENTES!AM27+ACCIDENTES!AR27+ACCIDENTES!AW27)/(HH!AP27+HH!AL27+HH!AH27+HH!AD27+HH!Z27+HH!V27+HH!R27+HH!N27+HH!J27+HH!F27))*1000000</f>
        <v>0</v>
      </c>
      <c r="AF27" s="59">
        <f>((ACCIDENTES!AY27+ACCIDENTES!AT27+ACCIDENTES!AO27+ACCIDENTES!AJ27+ACCIDENTES!AE27+ACCIDENTES!Z27+ACCIDENTES!U27+ACCIDENTES!P27+ACCIDENTES!K27+ACCIDENTES!F27)/(HH!F27+HH!J27+HH!N27+HH!R27+HH!V27+HH!Z27+HH!AD27+HH!AH27+HH!AL27+HH!AP27))*1000000</f>
        <v>0</v>
      </c>
      <c r="AG27" s="59">
        <f>((ACCIDENTES!BA27+ACCIDENTES!AV27+ACCIDENTES!AQ27+ACCIDENTES!AL27+ACCIDENTES!AG27+ACCIDENTES!AB27+ACCIDENTES!W27+ACCIDENTES!R27+ACCIDENTES!M27+ACCIDENTES!H27+ACCIDENTES!C27)/(HH!AT27+HH!AP27+HH!AL27+HH!AH27+HH!AD27+HH!Z27+HH!V27+HH!R27+HH!N27+HH!J27+HH!F27))*1000000</f>
        <v>0</v>
      </c>
      <c r="AH27" s="59">
        <f>((ACCIDENTES!D27+ACCIDENTES!I27+ACCIDENTES!N27+ACCIDENTES!S27+ACCIDENTES!X27+ACCIDENTES!AC27+ACCIDENTES!AH27+ACCIDENTES!AM27+ACCIDENTES!AR27+ACCIDENTES!AW27+ACCIDENTES!BB27)/(HH!F27+HH!J27+HH!N27+HH!R27+HH!V27+HH!Z27+HH!AD27+HH!AH27+HH!AL27+HH!AP27+HH!AT27))*1000000</f>
        <v>0</v>
      </c>
      <c r="AI27" s="59">
        <f>((ACCIDENTES!BD27+ACCIDENTES!AY27+ACCIDENTES!AT27+ACCIDENTES!AO27+ACCIDENTES!AJ27+ACCIDENTES!AE27+ACCIDENTES!Z27+ACCIDENTES!U27+ACCIDENTES!P27+ACCIDENTES!K27+ACCIDENTES!F27)/(HH!F27+HH!J27+HH!N27+HH!R27+HH!V27+HH!Z27+HH!AD27+HH!AH27+HH!AL27+HH!AP27+HH!AT27))*1000000</f>
        <v>0</v>
      </c>
      <c r="AJ27" s="59">
        <f>(ACCIDENTES!BK27/HH!BB27)*1000000</f>
        <v>0</v>
      </c>
      <c r="AK27" s="59">
        <f>(ACCIDENTES!BL27/HH!BB27)*1000000</f>
        <v>0</v>
      </c>
      <c r="AL27" s="59">
        <f>(ACCIDENTES!BN27/HH!BB27)*1000000</f>
        <v>0</v>
      </c>
      <c r="AN27" s="41">
        <f t="shared" si="0"/>
        <v>0</v>
      </c>
      <c r="AO27" s="41">
        <f t="shared" si="1"/>
        <v>0</v>
      </c>
      <c r="AP27" s="40"/>
      <c r="AQ27" s="124"/>
      <c r="AR27" s="41"/>
      <c r="AS27" s="41"/>
      <c r="AT27" s="41"/>
      <c r="AV27" s="118"/>
      <c r="AW27" s="60"/>
      <c r="AX27" s="60"/>
      <c r="AY27" s="63"/>
      <c r="AZ27" s="118"/>
      <c r="BA27" s="60"/>
      <c r="BB27" s="60"/>
      <c r="BC27" s="63"/>
      <c r="BD27" s="118"/>
      <c r="BE27" s="60"/>
      <c r="BF27" s="60"/>
    </row>
    <row r="28" spans="1:65" outlineLevel="2" x14ac:dyDescent="0.3">
      <c r="A28" s="3" t="s">
        <v>25</v>
      </c>
      <c r="B28" s="9" t="s">
        <v>50</v>
      </c>
      <c r="C28" s="58">
        <f>(ACCIDENTES!C28/HH!F28)*1000000</f>
        <v>0</v>
      </c>
      <c r="D28" s="59">
        <f>(ACCIDENTES!D28/HH!F28)*1000000</f>
        <v>0</v>
      </c>
      <c r="E28" s="59">
        <f>(ACCIDENTES!F28/HH!F28)*1000000</f>
        <v>0</v>
      </c>
      <c r="F28" s="59">
        <f>((ACCIDENTES!C28+ACCIDENTES!H28)/(HH!F28+HH!J28))*1000000</f>
        <v>0</v>
      </c>
      <c r="G28" s="59">
        <f>((ACCIDENTES!D28+ACCIDENTES!I28)/(HH!F28+HH!J28))*1000000</f>
        <v>0</v>
      </c>
      <c r="H28" s="59">
        <f>((ACCIDENTES!F28+ACCIDENTES!K28)/(HH!F28+HH!J28))*1000000</f>
        <v>0</v>
      </c>
      <c r="I28" s="59">
        <f>((ACCIDENTES!C28+ACCIDENTES!H28+ACCIDENTES!M28)/(HH!F28+HH!J28+HH!N28))*1000000</f>
        <v>0</v>
      </c>
      <c r="J28" s="59">
        <f>((ACCIDENTES!D28+ACCIDENTES!I28+ACCIDENTES!N28)/(HH!F28+HH!J28+HH!N28))*1000000</f>
        <v>0</v>
      </c>
      <c r="K28" s="59">
        <f>((ACCIDENTES!F28+ACCIDENTES!K28+ACCIDENTES!P28)/(HH!J28+HH!N28+HH!F28))*1000000</f>
        <v>0</v>
      </c>
      <c r="L28" s="59">
        <f>((ACCIDENTES!C28+ACCIDENTES!H28+ACCIDENTES!M28+ACCIDENTES!R28)/(HH!F28+HH!J28+HH!N28+HH!R28))*1000000</f>
        <v>0</v>
      </c>
      <c r="M28" s="59">
        <f>((ACCIDENTES!D28+ACCIDENTES!I28+ACCIDENTES!N28+ACCIDENTES!S28)/(HH!F28+HH!J28+HH!N28+HH!R28))*1000000</f>
        <v>0</v>
      </c>
      <c r="N28" s="59">
        <f>((ACCIDENTES!F28+ACCIDENTES!K28+ACCIDENTES!P28+ACCIDENTES!U28)/(HH!F28+HH!J28+HH!N28+HH!R28))*1000000</f>
        <v>0</v>
      </c>
      <c r="O28" s="59">
        <f>((ACCIDENTES!C28+ACCIDENTES!H28+ACCIDENTES!M28+ACCIDENTES!R28+ACCIDENTES!W28)/(HH!F28+HH!J28+HH!N28+HH!R28+HH!V28))*1000000</f>
        <v>0</v>
      </c>
      <c r="P28" s="59">
        <f>(((ACCIDENTES!D28+ACCIDENTES!I28+ACCIDENTES!N28+ACCIDENTES!S28+ACCIDENTES!X28)/(HH!F28+HH!J28+HH!N28+HH!R28+HH!V28))*1000000)</f>
        <v>0</v>
      </c>
      <c r="Q28" s="59">
        <f>((ACCIDENTES!F28+ACCIDENTES!K28+ACCIDENTES!P28+ACCIDENTES!U28+ACCIDENTES!Z28)/(HH!F28+HH!J28+HH!N28+HH!R28+HH!V28))*1000000</f>
        <v>0</v>
      </c>
      <c r="R28" s="59">
        <f>(ACCIDENTES!C28+ACCIDENTES!H28+ACCIDENTES!M28+ACCIDENTES!R28+ACCIDENTES!W28+ACCIDENTES!AB28)*1000000/(HH!F28+HH!J28+HH!N28+HH!R28+HH!V28+HH!Z28)</f>
        <v>0</v>
      </c>
      <c r="S28" s="59">
        <f>(ACCIDENTES!D28+ACCIDENTES!I28+ACCIDENTES!N28+ACCIDENTES!S28+ACCIDENTES!X28+ACCIDENTES!AC28)*1000000/(HH!F28+HH!J28+HH!N28+HH!R28+HH!V28+HH!Z28)</f>
        <v>0</v>
      </c>
      <c r="T28" s="59">
        <f>(ACCIDENTES!F28+ACCIDENTES!K28+ACCIDENTES!P28+ACCIDENTES!U28+ACCIDENTES!Z28+ACCIDENTES!AE28)*1000000/(HH!F28+HH!J28+HH!N28+HH!R28+HH!V28+HH!Z28)</f>
        <v>0</v>
      </c>
      <c r="U28" s="59">
        <f>((ACCIDENTES!C28+ACCIDENTES!H28+ACCIDENTES!M28+ACCIDENTES!R28+ACCIDENTES!W28+ACCIDENTES!AB28+ACCIDENTES!AG28)/(HH!F28+HH!J28+HH!N28+HH!R28+HH!V28+HH!Z28+HH!AD28))*1000000</f>
        <v>0</v>
      </c>
      <c r="V28" s="59">
        <f>((ACCIDENTES!D28+ACCIDENTES!I28+ACCIDENTES!N28+ACCIDENTES!S28+ACCIDENTES!X28+ACCIDENTES!AC28+ACCIDENTES!AH28)/(HH!F28+HH!J28+HH!N28+HH!R28+HH!V28+HH!Z28+HH!AD28))*1000000</f>
        <v>0</v>
      </c>
      <c r="W28" s="59">
        <f>((ACCIDENTES!F28+ACCIDENTES!K28+ACCIDENTES!P28+ACCIDENTES!U28+ACCIDENTES!Z28+ACCIDENTES!AE28+ACCIDENTES!AJ28)/(HH!F28+HH!J28+HH!N28+HH!R28+HH!V28+HH!Z28+HH!AD28))*1000000</f>
        <v>0</v>
      </c>
      <c r="X28" s="59">
        <f>((ACCIDENTES!C28+ACCIDENTES!H28+ACCIDENTES!M28+ACCIDENTES!R28+ACCIDENTES!W28+ACCIDENTES!AB28+ACCIDENTES!AG28+ACCIDENTES!AL28)/(HH!F28+HH!J28+HH!N28+HH!R28+HH!V28+HH!Z28+HH!AD28+HH!AH28))*1000000</f>
        <v>0</v>
      </c>
      <c r="Y28" s="59">
        <f>((ACCIDENTES!D28+ACCIDENTES!I28+ACCIDENTES!N28+ACCIDENTES!S28+ACCIDENTES!X28+ACCIDENTES!AC28+ACCIDENTES!AH28+ACCIDENTES!AM28)/(HH!F28+HH!J28+HH!N28+HH!R28+HH!V28+HH!Z28+HH!AD28+HH!AH28))*1000000</f>
        <v>0</v>
      </c>
      <c r="Z28" s="59">
        <f>((ACCIDENTES!F28+ACCIDENTES!K28+ACCIDENTES!P28+ACCIDENTES!U28+ACCIDENTES!Z28+ACCIDENTES!AE28+ACCIDENTES!AJ28+ACCIDENTES!AO28)/(HH!F28+HH!J28+HH!N28+HH!R28+HH!V28+HH!Z28+HH!AD28+HH!AH28))*1000000</f>
        <v>0</v>
      </c>
      <c r="AA28" s="59">
        <f>((ACCIDENTES!AQ28+ACCIDENTES!AL28+ACCIDENTES!AG28+ACCIDENTES!AB28+ACCIDENTES!W28+ACCIDENTES!R28+ACCIDENTES!M28+ACCIDENTES!H28+ACCIDENTES!C28)/(HH!AL28+HH!AH28+HH!AD28+HH!Z28+HH!V28+HH!R28+HH!N28+HH!J28+HH!F28))*1000000</f>
        <v>0</v>
      </c>
      <c r="AB28" s="59">
        <f>((ACCIDENTES!AR28+ACCIDENTES!AM28+ACCIDENTES!AH28+ACCIDENTES!AC28+ACCIDENTES!X28+ACCIDENTES!S28+ACCIDENTES!N28+ACCIDENTES!I28+ACCIDENTES!D28)/(HH!AL28+HH!AH28+HH!AD28+HH!Z28+HH!V28+HH!R28+HH!N28+HH!J28+HH!F28))*1000000</f>
        <v>0</v>
      </c>
      <c r="AC28" s="59">
        <f>((ACCIDENTES!F28+ACCIDENTES!K28+ACCIDENTES!P28+ACCIDENTES!U28+ACCIDENTES!Z28+ACCIDENTES!AE28+ACCIDENTES!AJ28+ACCIDENTES!AO28+ACCIDENTES!AT28)/(HH!F28+HH!J28+HH!N28+HH!R28+HH!V28+HH!Z28+HH!AD28+HH!AH28+HH!AL28))*1000000</f>
        <v>0</v>
      </c>
      <c r="AD28" s="59">
        <f>((ACCIDENTES!AV28+ACCIDENTES!AQ28+ACCIDENTES!AL28+ACCIDENTES!AG28+ACCIDENTES!AB28+ACCIDENTES!W28+ACCIDENTES!R28+ACCIDENTES!M28+ACCIDENTES!H28+ACCIDENTES!C28)/(HH!F28+HH!J28+HH!N28+HH!R28+HH!V28+HH!Z28+HH!AD28+HH!AH28+HH!AL28+HH!AP28))*1000000</f>
        <v>0</v>
      </c>
      <c r="AE28" s="59">
        <f>((ACCIDENTES!D28+ACCIDENTES!I28+ACCIDENTES!N28+ACCIDENTES!S28+ACCIDENTES!X28+ACCIDENTES!AC28+ACCIDENTES!AH28+ACCIDENTES!AM28+ACCIDENTES!AR28+ACCIDENTES!AW28)/(HH!AP28+HH!AL28+HH!AH28+HH!AD28+HH!Z28+HH!V28+HH!R28+HH!N28+HH!J28+HH!F28))*1000000</f>
        <v>0</v>
      </c>
      <c r="AF28" s="59">
        <f>((ACCIDENTES!AY28+ACCIDENTES!AT28+ACCIDENTES!AO28+ACCIDENTES!AJ28+ACCIDENTES!AE28+ACCIDENTES!Z28+ACCIDENTES!U28+ACCIDENTES!P28+ACCIDENTES!K28+ACCIDENTES!F28)/(HH!F28+HH!J28+HH!N28+HH!R28+HH!V28+HH!Z28+HH!AD28+HH!AH28+HH!AL28+HH!AP28))*1000000</f>
        <v>1.9104118720635379</v>
      </c>
      <c r="AG28" s="59">
        <f>((ACCIDENTES!BA28+ACCIDENTES!AV28+ACCIDENTES!AQ28+ACCIDENTES!AL28+ACCIDENTES!AG28+ACCIDENTES!AB28+ACCIDENTES!W28+ACCIDENTES!R28+ACCIDENTES!M28+ACCIDENTES!H28+ACCIDENTES!C28)/(HH!AT28+HH!AP28+HH!AL28+HH!AH28+HH!AD28+HH!Z28+HH!V28+HH!R28+HH!N28+HH!J28+HH!F28))*1000000</f>
        <v>0</v>
      </c>
      <c r="AH28" s="59">
        <f>((ACCIDENTES!D28+ACCIDENTES!I28+ACCIDENTES!N28+ACCIDENTES!S28+ACCIDENTES!X28+ACCIDENTES!AC28+ACCIDENTES!AH28+ACCIDENTES!AM28+ACCIDENTES!AR28+ACCIDENTES!AW28+ACCIDENTES!BB28)/(HH!F28+HH!J28+HH!N28+HH!R28+HH!V28+HH!Z28+HH!AD28+HH!AH28+HH!AL28+HH!AP28+HH!AT28))*1000000</f>
        <v>0</v>
      </c>
      <c r="AI28" s="59">
        <f>((ACCIDENTES!BD28+ACCIDENTES!AY28+ACCIDENTES!AT28+ACCIDENTES!AO28+ACCIDENTES!AJ28+ACCIDENTES!AE28+ACCIDENTES!Z28+ACCIDENTES!U28+ACCIDENTES!P28+ACCIDENTES!K28+ACCIDENTES!F28)/(HH!F28+HH!J28+HH!N28+HH!R28+HH!V28+HH!Z28+HH!AD28+HH!AH28+HH!AL28+HH!AP28+HH!AT28))*1000000</f>
        <v>1.7346645534597598</v>
      </c>
      <c r="AJ28" s="59">
        <f>(ACCIDENTES!BK28/HH!BB28)*1000000</f>
        <v>0</v>
      </c>
      <c r="AK28" s="59">
        <f>(ACCIDENTES!BL28/HH!BB28)*1000000</f>
        <v>0</v>
      </c>
      <c r="AL28" s="59">
        <f>(ACCIDENTES!BN28/HH!BB28)*1000000</f>
        <v>1.5885287047136945</v>
      </c>
      <c r="AN28" s="41">
        <f t="shared" si="0"/>
        <v>0</v>
      </c>
      <c r="AO28" s="41">
        <f t="shared" si="1"/>
        <v>0</v>
      </c>
      <c r="AP28" s="40"/>
      <c r="AQ28" s="124"/>
      <c r="AR28" s="41"/>
      <c r="AS28" s="41"/>
      <c r="AT28" s="41"/>
      <c r="AV28" s="118"/>
      <c r="AW28" s="60"/>
      <c r="AX28" s="60"/>
      <c r="AY28" s="63"/>
      <c r="AZ28" s="118"/>
      <c r="BA28" s="60"/>
      <c r="BB28" s="60"/>
      <c r="BC28" s="63"/>
      <c r="BD28" s="118"/>
      <c r="BE28" s="60"/>
      <c r="BF28" s="60"/>
    </row>
    <row r="29" spans="1:65" outlineLevel="1" x14ac:dyDescent="0.3">
      <c r="A29" s="3" t="s">
        <v>25</v>
      </c>
      <c r="B29" s="52" t="s">
        <v>51</v>
      </c>
      <c r="C29" s="58">
        <f>(ACCIDENTES!C29/HH!F29)*1000000</f>
        <v>2.4627751535540305</v>
      </c>
      <c r="D29" s="59">
        <f>(ACCIDENTES!D29/HH!F29)*1000000</f>
        <v>36.941627303310462</v>
      </c>
      <c r="E29" s="59">
        <f>(ACCIDENTES!F29/HH!F29)*1000000</f>
        <v>2.4627751535540305</v>
      </c>
      <c r="F29" s="59">
        <f>((ACCIDENTES!C29+ACCIDENTES!H29)/(HH!F29+HH!J29))*1000000</f>
        <v>2.4627751535540305</v>
      </c>
      <c r="G29" s="59">
        <f>((ACCIDENTES!D29+ACCIDENTES!I29)/(HH!F29+HH!J29))*1000000</f>
        <v>25.859139112317322</v>
      </c>
      <c r="H29" s="59">
        <f>((ACCIDENTES!F29+ACCIDENTES!K29)/(HH!F29+HH!J29))*1000000</f>
        <v>4.9255503071080611</v>
      </c>
      <c r="I29" s="59">
        <f>((ACCIDENTES!C29+ACCIDENTES!H29+ACCIDENTES!M29)/(HH!F29+HH!J29+HH!N29))*1000000</f>
        <v>1.6418501023693539</v>
      </c>
      <c r="J29" s="59">
        <f>((ACCIDENTES!D29+ACCIDENTES!I29+ACCIDENTES!N29)/(HH!F29+HH!J29+HH!N29))*1000000</f>
        <v>17.239426074878214</v>
      </c>
      <c r="K29" s="59">
        <f>((ACCIDENTES!F29+ACCIDENTES!K29+ACCIDENTES!P29)/(HH!J29+HH!N29+HH!F29))*1000000</f>
        <v>3.2837002047387078</v>
      </c>
      <c r="L29" s="59">
        <f>((ACCIDENTES!C29+ACCIDENTES!H29+ACCIDENTES!M29+ACCIDENTES!R29)/(HH!F29+HH!J29+HH!N29+HH!R29))*1000000</f>
        <v>1.2313875767770153</v>
      </c>
      <c r="M29" s="59">
        <f>((ACCIDENTES!D29+ACCIDENTES!I29+ACCIDENTES!N29+ACCIDENTES!S29)/(HH!F29+HH!J29+HH!N29+HH!R29))*1000000</f>
        <v>12.929569556158661</v>
      </c>
      <c r="N29" s="59">
        <f>((ACCIDENTES!F29+ACCIDENTES!K29+ACCIDENTES!P29+ACCIDENTES!U29)/(HH!F29+HH!J29+HH!N29+HH!R29))*1000000</f>
        <v>2.4627751535540305</v>
      </c>
      <c r="O29" s="59">
        <f>((ACCIDENTES!C29+ACCIDENTES!H29+ACCIDENTES!M29+ACCIDENTES!R29+ACCIDENTES!W29)/(HH!F29+HH!J29+HH!N29+HH!R29+HH!V29))*1000000</f>
        <v>0.98511006142161239</v>
      </c>
      <c r="P29" s="59">
        <f>(((ACCIDENTES!D29+ACCIDENTES!I29+ACCIDENTES!N29+ACCIDENTES!S29+ACCIDENTES!X29)/(HH!F29+HH!J29+HH!N29+HH!R29+HH!V29))*1000000)</f>
        <v>10.34365564492693</v>
      </c>
      <c r="Q29" s="59">
        <f>((ACCIDENTES!F29+ACCIDENTES!K29+ACCIDENTES!P29+ACCIDENTES!U29+ACCIDENTES!Z29)/(HH!F29+HH!J29+HH!N29+HH!R29+HH!V29))*1000000</f>
        <v>1.9702201228432248</v>
      </c>
      <c r="R29" s="59">
        <f>(ACCIDENTES!C29+ACCIDENTES!H29+ACCIDENTES!M29+ACCIDENTES!R29+ACCIDENTES!W29+ACCIDENTES!AB29)*1000000/(HH!F29+HH!J29+HH!N29+HH!R29+HH!V29+HH!Z29)</f>
        <v>1.2313875767770155</v>
      </c>
      <c r="S29" s="59">
        <f>(ACCIDENTES!D29+ACCIDENTES!I29+ACCIDENTES!N29+ACCIDENTES!S29+ACCIDENTES!X29+ACCIDENTES!AC29)*1000000/(HH!F29+HH!J29+HH!N29+HH!R29+HH!V29+HH!Z29)</f>
        <v>10.261563139808462</v>
      </c>
      <c r="T29" s="59">
        <f>(ACCIDENTES!F29+ACCIDENTES!K29+ACCIDENTES!P29+ACCIDENTES!U29+ACCIDENTES!Z29+ACCIDENTES!AE29)*1000000/(HH!F29+HH!J29+HH!N29+HH!R29+HH!V29+HH!Z29)</f>
        <v>2.0523126279616926</v>
      </c>
      <c r="U29" s="59">
        <f>((ACCIDENTES!C29+ACCIDENTES!H29+ACCIDENTES!M29+ACCIDENTES!R29+ACCIDENTES!W29+ACCIDENTES!AB29+ACCIDENTES!AG29)/(HH!F29+HH!J29+HH!N29+HH!R29+HH!V29+HH!Z29+HH!AD29))*1000000</f>
        <v>1.4073000877451605</v>
      </c>
      <c r="V29" s="59">
        <f>((ACCIDENTES!D29+ACCIDENTES!I29+ACCIDENTES!N29+ACCIDENTES!S29+ACCIDENTES!X29+ACCIDENTES!AC29+ACCIDENTES!AH29)/(HH!F29+HH!J29+HH!N29+HH!R29+HH!V29+HH!Z29+HH!AD29))*1000000</f>
        <v>9.147450570343544</v>
      </c>
      <c r="W29" s="59">
        <f>((ACCIDENTES!F29+ACCIDENTES!K29+ACCIDENTES!P29+ACCIDENTES!U29+ACCIDENTES!Z29+ACCIDENTES!AE29+ACCIDENTES!AJ29)/(HH!F29+HH!J29+HH!N29+HH!R29+HH!V29+HH!Z29+HH!AD29))*1000000</f>
        <v>2.1109501316177406</v>
      </c>
      <c r="X29" s="59">
        <f>((ACCIDENTES!C29+ACCIDENTES!H29+ACCIDENTES!M29+ACCIDENTES!R29+ACCIDENTES!W29+ACCIDENTES!AB29+ACCIDENTES!AG29+ACCIDENTES!AL29)/(HH!F29+HH!J29+HH!N29+HH!R29+HH!V29+HH!Z29+HH!AD29+HH!AH29))*1000000</f>
        <v>1.5392344709712693</v>
      </c>
      <c r="Y29" s="59">
        <f>((ACCIDENTES!D29+ACCIDENTES!I29+ACCIDENTES!N29+ACCIDENTES!S29+ACCIDENTES!X29+ACCIDENTES!AC29+ACCIDENTES!AH29+ACCIDENTES!AM29)/(HH!F29+HH!J29+HH!N29+HH!R29+HH!V29+HH!Z29+HH!AD29+HH!AH29))*1000000</f>
        <v>10.158947508410376</v>
      </c>
      <c r="Z29" s="59">
        <f>((ACCIDENTES!F29+ACCIDENTES!K29+ACCIDENTES!P29+ACCIDENTES!U29+ACCIDENTES!Z29+ACCIDENTES!AE29+ACCIDENTES!AJ29+ACCIDENTES!AO29)/(HH!F29+HH!J29+HH!N29+HH!R29+HH!V29+HH!Z29+HH!AD29+HH!AH29))*1000000</f>
        <v>2.7706220477482848</v>
      </c>
      <c r="AA29" s="59">
        <f>((ACCIDENTES!AQ29+ACCIDENTES!AL29+ACCIDENTES!AG29+ACCIDENTES!AB29+ACCIDENTES!W29+ACCIDENTES!R29+ACCIDENTES!M29+ACCIDENTES!H29+ACCIDENTES!C29)/(HH!AL29+HH!AH29+HH!AD29+HH!Z29+HH!V29+HH!R29+HH!N29+HH!J29+HH!F29))*1000000</f>
        <v>1.9154917860975798</v>
      </c>
      <c r="AB29" s="59">
        <f>((ACCIDENTES!AR29+ACCIDENTES!AM29+ACCIDENTES!AH29+ACCIDENTES!AC29+ACCIDENTES!X29+ACCIDENTES!S29+ACCIDENTES!N29+ACCIDENTES!I29+ACCIDENTES!D29)/(HH!AL29+HH!AH29+HH!AD29+HH!Z29+HH!V29+HH!R29+HH!N29+HH!J29+HH!F29))*1000000</f>
        <v>16.144859339965311</v>
      </c>
      <c r="AC29" s="59">
        <f>((ACCIDENTES!F29+ACCIDENTES!K29+ACCIDENTES!P29+ACCIDENTES!U29+ACCIDENTES!Z29+ACCIDENTES!AE29+ACCIDENTES!AJ29+ACCIDENTES!AO29+ACCIDENTES!AT29)/(HH!F29+HH!J29+HH!N29+HH!R29+HH!V29+HH!Z29+HH!AD29+HH!AH29+HH!AL29))*1000000</f>
        <v>3.2837002047387078</v>
      </c>
      <c r="AD29" s="59">
        <f>((ACCIDENTES!AV29+ACCIDENTES!AQ29+ACCIDENTES!AL29+ACCIDENTES!AG29+ACCIDENTES!AB29+ACCIDENTES!W29+ACCIDENTES!R29+ACCIDENTES!M29+ACCIDENTES!H29+ACCIDENTES!C29)/(HH!F29+HH!J29+HH!N29+HH!R29+HH!V29+HH!Z29+HH!AD29+HH!AH29+HH!AL29+HH!AP29))*1000000</f>
        <v>1.7239426074878215</v>
      </c>
      <c r="AE29" s="59">
        <f>((ACCIDENTES!D29+ACCIDENTES!I29+ACCIDENTES!N29+ACCIDENTES!S29+ACCIDENTES!X29+ACCIDENTES!AC29+ACCIDENTES!AH29+ACCIDENTES!AM29+ACCIDENTES!AR29+ACCIDENTES!AW29)/(HH!AP29+HH!AL29+HH!AH29+HH!AD29+HH!Z29+HH!V29+HH!R29+HH!N29+HH!J29+HH!F29))*1000000</f>
        <v>14.530373405968781</v>
      </c>
      <c r="AF29" s="59">
        <f>((ACCIDENTES!AY29+ACCIDENTES!AT29+ACCIDENTES!AO29+ACCIDENTES!AJ29+ACCIDENTES!AE29+ACCIDENTES!Z29+ACCIDENTES!U29+ACCIDENTES!P29+ACCIDENTES!K29+ACCIDENTES!F29)/(HH!F29+HH!J29+HH!N29+HH!R29+HH!V29+HH!Z29+HH!AD29+HH!AH29+HH!AL29+HH!AP29))*1000000</f>
        <v>2.9553301842648367</v>
      </c>
      <c r="AG29" s="59">
        <f>((ACCIDENTES!BA29+ACCIDENTES!AV29+ACCIDENTES!AQ29+ACCIDENTES!AL29+ACCIDENTES!AG29+ACCIDENTES!AB29+ACCIDENTES!W29+ACCIDENTES!R29+ACCIDENTES!M29+ACCIDENTES!H29+ACCIDENTES!C29)/(HH!AT29+HH!AP29+HH!AL29+HH!AH29+HH!AD29+HH!Z29+HH!V29+HH!R29+HH!N29+HH!J29+HH!F29))*1000000</f>
        <v>1.5672205522616558</v>
      </c>
      <c r="AH29" s="59">
        <f>((ACCIDENTES!D29+ACCIDENTES!I29+ACCIDENTES!N29+ACCIDENTES!S29+ACCIDENTES!X29+ACCIDENTES!AC29+ACCIDENTES!AH29+ACCIDENTES!AM29+ACCIDENTES!AR29+ACCIDENTES!AW29+ACCIDENTES!BB29)/(HH!F29+HH!J29+HH!N29+HH!R29+HH!V29+HH!Z29+HH!AD29+HH!AH29+HH!AL29+HH!AP29+HH!AT29))*1000000</f>
        <v>13.209430369062529</v>
      </c>
      <c r="AI29" s="59">
        <f>((ACCIDENTES!BD29+ACCIDENTES!AY29+ACCIDENTES!AT29+ACCIDENTES!AO29+ACCIDENTES!AJ29+ACCIDENTES!AE29+ACCIDENTES!Z29+ACCIDENTES!U29+ACCIDENTES!P29+ACCIDENTES!K29+ACCIDENTES!F29)/(HH!F29+HH!J29+HH!N29+HH!R29+HH!V29+HH!Z29+HH!AD29+HH!AH29+HH!AL29+HH!AP29+HH!AT29))*1000000</f>
        <v>2.6866638038771242</v>
      </c>
      <c r="AJ29" s="59">
        <f>(ACCIDENTES!BK29/HH!BB29)*1000000</f>
        <v>1.6418501023693539</v>
      </c>
      <c r="AK29" s="59">
        <f>(ACCIDENTES!BL29/HH!BB29)*1000000</f>
        <v>13.340032081751001</v>
      </c>
      <c r="AL29" s="59">
        <f>(ACCIDENTES!BN29/HH!BB29)*1000000</f>
        <v>2.6680064163501997</v>
      </c>
      <c r="AN29" s="41">
        <f t="shared" si="0"/>
        <v>1.084583587734427</v>
      </c>
      <c r="AO29" s="41">
        <f t="shared" si="1"/>
        <v>17.309954060241452</v>
      </c>
      <c r="AP29" s="42"/>
      <c r="AQ29" s="124"/>
      <c r="AR29" s="41">
        <v>1.5184170228281977</v>
      </c>
      <c r="AS29" s="41">
        <v>14.316503358094437</v>
      </c>
      <c r="AT29" s="41">
        <v>0.3</v>
      </c>
      <c r="AV29" s="118">
        <v>0.65075015264065628</v>
      </c>
      <c r="AW29" s="60">
        <v>1.084583587734427</v>
      </c>
      <c r="AX29" s="60">
        <v>1.3015003052813126</v>
      </c>
      <c r="AY29" s="63"/>
      <c r="AZ29" s="118">
        <v>12.364252900172467</v>
      </c>
      <c r="BA29" s="60">
        <v>17.309954060241452</v>
      </c>
      <c r="BB29" s="60">
        <v>23.860838930157392</v>
      </c>
      <c r="BC29" s="63"/>
      <c r="BD29" s="118"/>
      <c r="BE29" s="60"/>
      <c r="BF29" s="60"/>
    </row>
    <row r="30" spans="1:65" outlineLevel="1" x14ac:dyDescent="0.3">
      <c r="A30" s="3" t="s">
        <v>25</v>
      </c>
      <c r="B30" s="52" t="s">
        <v>52</v>
      </c>
      <c r="C30" s="58">
        <f>(ACCIDENTES!C30/HH!F30)*1000000</f>
        <v>0</v>
      </c>
      <c r="D30" s="59">
        <f>(ACCIDENTES!D30/HH!F30)*1000000</f>
        <v>0</v>
      </c>
      <c r="E30" s="59">
        <f>(ACCIDENTES!F30/HH!F30)*1000000</f>
        <v>0</v>
      </c>
      <c r="F30" s="59">
        <f>((ACCIDENTES!C30+ACCIDENTES!H30)/(HH!F30+HH!J30))*1000000</f>
        <v>0</v>
      </c>
      <c r="G30" s="59">
        <f>((ACCIDENTES!D30+ACCIDENTES!I30)/(HH!F30+HH!J30))*1000000</f>
        <v>0</v>
      </c>
      <c r="H30" s="59">
        <f>((ACCIDENTES!F30+ACCIDENTES!K30)/(HH!F30+HH!J30))*1000000</f>
        <v>28.97878752752985</v>
      </c>
      <c r="I30" s="59">
        <f>((ACCIDENTES!C30+ACCIDENTES!H30+ACCIDENTES!M30)/(HH!F30+HH!J30+HH!N30))*1000000</f>
        <v>0</v>
      </c>
      <c r="J30" s="59">
        <f>((ACCIDENTES!D30+ACCIDENTES!I30+ACCIDENTES!N30)/(HH!F30+HH!J30+HH!N30))*1000000</f>
        <v>0</v>
      </c>
      <c r="K30" s="59">
        <f>((ACCIDENTES!F30+ACCIDENTES!K30+ACCIDENTES!P30)/(HH!J30+HH!N30+HH!F30))*1000000</f>
        <v>19.319191685019899</v>
      </c>
      <c r="L30" s="59">
        <f>((ACCIDENTES!C30+ACCIDENTES!H30+ACCIDENTES!M30+ACCIDENTES!R30)/(HH!F30+HH!J30+HH!N30+HH!R30))*1000000</f>
        <v>14.489393763764925</v>
      </c>
      <c r="M30" s="59">
        <f>((ACCIDENTES!D30+ACCIDENTES!I30+ACCIDENTES!N30+ACCIDENTES!S30)/(HH!F30+HH!J30+HH!N30+HH!R30))*1000000</f>
        <v>275.29848151153357</v>
      </c>
      <c r="N30" s="59">
        <f>((ACCIDENTES!F30+ACCIDENTES!K30+ACCIDENTES!P30+ACCIDENTES!U30)/(HH!F30+HH!J30+HH!N30+HH!R30))*1000000</f>
        <v>28.97878752752985</v>
      </c>
      <c r="O30" s="59">
        <f>((ACCIDENTES!C30+ACCIDENTES!H30+ACCIDENTES!M30+ACCIDENTES!R30+ACCIDENTES!W30)/(HH!F30+HH!J30+HH!N30+HH!R30+HH!V30))*1000000</f>
        <v>11.591515011011939</v>
      </c>
      <c r="P30" s="59">
        <f>(((ACCIDENTES!D30+ACCIDENTES!I30+ACCIDENTES!N30+ACCIDENTES!S30+ACCIDENTES!X30)/(HH!F30+HH!J30+HH!N30+HH!R30+HH!V30))*1000000)</f>
        <v>220.23878520922685</v>
      </c>
      <c r="Q30" s="59">
        <f>((ACCIDENTES!F30+ACCIDENTES!K30+ACCIDENTES!P30+ACCIDENTES!U30+ACCIDENTES!Z30)/(HH!F30+HH!J30+HH!N30+HH!R30+HH!V30))*1000000</f>
        <v>23.183030022023878</v>
      </c>
      <c r="R30" s="59">
        <f>(ACCIDENTES!C30+ACCIDENTES!H30+ACCIDENTES!M30+ACCIDENTES!R30+ACCIDENTES!W30+ACCIDENTES!AB30)*1000000/(HH!F30+HH!J30+HH!N30+HH!R30+HH!V30+HH!Z30)</f>
        <v>9.6595958425099493</v>
      </c>
      <c r="S30" s="59">
        <f>(ACCIDENTES!D30+ACCIDENTES!I30+ACCIDENTES!N30+ACCIDENTES!S30+ACCIDENTES!X30+ACCIDENTES!AC30)*1000000/(HH!F30+HH!J30+HH!N30+HH!R30+HH!V30+HH!Z30)</f>
        <v>183.53232100768903</v>
      </c>
      <c r="T30" s="59">
        <f>(ACCIDENTES!F30+ACCIDENTES!K30+ACCIDENTES!P30+ACCIDENTES!U30+ACCIDENTES!Z30+ACCIDENTES!AE30)*1000000/(HH!F30+HH!J30+HH!N30+HH!R30+HH!V30+HH!Z30)</f>
        <v>19.319191685019899</v>
      </c>
      <c r="U30" s="59">
        <f>((ACCIDENTES!C30+ACCIDENTES!H30+ACCIDENTES!M30+ACCIDENTES!R30+ACCIDENTES!W30+ACCIDENTES!AB30+ACCIDENTES!AG30)/(HH!F30+HH!J30+HH!N30+HH!R30+HH!V30+HH!Z30+HH!AD30))*1000000</f>
        <v>8.2796535792942425</v>
      </c>
      <c r="V30" s="59">
        <f>((ACCIDENTES!D30+ACCIDENTES!I30+ACCIDENTES!N30+ACCIDENTES!S30+ACCIDENTES!X30+ACCIDENTES!AC30+ACCIDENTES!AH30)/(HH!F30+HH!J30+HH!N30+HH!R30+HH!V30+HH!Z30+HH!AD30))*1000000</f>
        <v>157.31341800659058</v>
      </c>
      <c r="W30" s="59">
        <f>((ACCIDENTES!F30+ACCIDENTES!K30+ACCIDENTES!P30+ACCIDENTES!U30+ACCIDENTES!Z30+ACCIDENTES!AE30+ACCIDENTES!AJ30)/(HH!F30+HH!J30+HH!N30+HH!R30+HH!V30+HH!Z30+HH!AD30))*1000000</f>
        <v>16.559307158588485</v>
      </c>
      <c r="X30" s="59">
        <f>((ACCIDENTES!C30+ACCIDENTES!H30+ACCIDENTES!M30+ACCIDENTES!R30+ACCIDENTES!W30+ACCIDENTES!AB30+ACCIDENTES!AG30+ACCIDENTES!AL30)/(HH!F30+HH!J30+HH!N30+HH!R30+HH!V30+HH!Z30+HH!AD30+HH!AH30))*1000000</f>
        <v>14.489393763764925</v>
      </c>
      <c r="Y30" s="59">
        <f>((ACCIDENTES!D30+ACCIDENTES!I30+ACCIDENTES!N30+ACCIDENTES!S30+ACCIDENTES!X30+ACCIDENTES!AC30+ACCIDENTES!AH30+ACCIDENTES!AM30)/(HH!F30+HH!J30+HH!N30+HH!R30+HH!V30+HH!Z30+HH!AD30+HH!AH30))*1000000</f>
        <v>231.8303002202388</v>
      </c>
      <c r="Z30" s="59">
        <f>((ACCIDENTES!F30+ACCIDENTES!K30+ACCIDENTES!P30+ACCIDENTES!U30+ACCIDENTES!Z30+ACCIDENTES!AE30+ACCIDENTES!AJ30+ACCIDENTES!AO30)/(HH!F30+HH!J30+HH!N30+HH!R30+HH!V30+HH!Z30+HH!AD30+HH!AH30))*1000000</f>
        <v>21.734090645647385</v>
      </c>
      <c r="AA30" s="59">
        <f>((ACCIDENTES!AQ30+ACCIDENTES!AL30+ACCIDENTES!AG30+ACCIDENTES!AB30+ACCIDENTES!W30+ACCIDENTES!R30+ACCIDENTES!M30+ACCIDENTES!H30+ACCIDENTES!C30)/(HH!AL30+HH!AH30+HH!AD30+HH!Z30+HH!V30+HH!R30+HH!N30+HH!J30+HH!F30))*1000000</f>
        <v>12.8794611233466</v>
      </c>
      <c r="AB30" s="59">
        <f>((ACCIDENTES!AR30+ACCIDENTES!AM30+ACCIDENTES!AH30+ACCIDENTES!AC30+ACCIDENTES!X30+ACCIDENTES!S30+ACCIDENTES!N30+ACCIDENTES!I30+ACCIDENTES!D30)/(HH!AL30+HH!AH30+HH!AD30+HH!Z30+HH!V30+HH!R30+HH!N30+HH!J30+HH!F30))*1000000</f>
        <v>206.07137797354559</v>
      </c>
      <c r="AC30" s="59">
        <f>((ACCIDENTES!F30+ACCIDENTES!K30+ACCIDENTES!P30+ACCIDENTES!U30+ACCIDENTES!Z30+ACCIDENTES!AE30+ACCIDENTES!AJ30+ACCIDENTES!AO30+ACCIDENTES!AT30)/(HH!F30+HH!J30+HH!N30+HH!R30+HH!V30+HH!Z30+HH!AD30+HH!AH30+HH!AL30))*1000000</f>
        <v>19.319191685019899</v>
      </c>
      <c r="AD30" s="59">
        <f>((ACCIDENTES!AV30+ACCIDENTES!AQ30+ACCIDENTES!AL30+ACCIDENTES!AG30+ACCIDENTES!AB30+ACCIDENTES!W30+ACCIDENTES!R30+ACCIDENTES!M30+ACCIDENTES!H30+ACCIDENTES!C30)/(HH!F30+HH!J30+HH!N30+HH!R30+HH!V30+HH!Z30+HH!AD30+HH!AH30+HH!AL30+HH!AP30))*1000000</f>
        <v>11.591515011011939</v>
      </c>
      <c r="AE30" s="59">
        <f>((ACCIDENTES!D30+ACCIDENTES!I30+ACCIDENTES!N30+ACCIDENTES!S30+ACCIDENTES!X30+ACCIDENTES!AC30+ACCIDENTES!AH30+ACCIDENTES!AM30+ACCIDENTES!AR30+ACCIDENTES!AW30)/(HH!AP30+HH!AL30+HH!AH30+HH!AD30+HH!Z30+HH!V30+HH!R30+HH!N30+HH!J30+HH!F30))*1000000</f>
        <v>185.46424017619103</v>
      </c>
      <c r="AF30" s="59">
        <f>((ACCIDENTES!AY30+ACCIDENTES!AT30+ACCIDENTES!AO30+ACCIDENTES!AJ30+ACCIDENTES!AE30+ACCIDENTES!Z30+ACCIDENTES!U30+ACCIDENTES!P30+ACCIDENTES!K30+ACCIDENTES!F30)/(HH!F30+HH!J30+HH!N30+HH!R30+HH!V30+HH!Z30+HH!AD30+HH!AH30+HH!AL30+HH!AP30))*1000000</f>
        <v>17.387272516517907</v>
      </c>
      <c r="AG30" s="59">
        <f>((ACCIDENTES!BA30+ACCIDENTES!AV30+ACCIDENTES!AQ30+ACCIDENTES!AL30+ACCIDENTES!AG30+ACCIDENTES!AB30+ACCIDENTES!W30+ACCIDENTES!R30+ACCIDENTES!M30+ACCIDENTES!H30+ACCIDENTES!C30)/(HH!AT30+HH!AP30+HH!AL30+HH!AH30+HH!AD30+HH!Z30+HH!V30+HH!R30+HH!N30+HH!J30+HH!F30))*1000000</f>
        <v>10.537740919101763</v>
      </c>
      <c r="AH30" s="59">
        <f>((ACCIDENTES!D30+ACCIDENTES!I30+ACCIDENTES!N30+ACCIDENTES!S30+ACCIDENTES!X30+ACCIDENTES!AC30+ACCIDENTES!AH30+ACCIDENTES!AM30+ACCIDENTES!AR30+ACCIDENTES!AW30+ACCIDENTES!BB30)/(HH!F30+HH!J30+HH!N30+HH!R30+HH!V30+HH!Z30+HH!AD30+HH!AH30+HH!AL30+HH!AP30+HH!AT30))*1000000</f>
        <v>168.60385470562821</v>
      </c>
      <c r="AI30" s="59">
        <f>((ACCIDENTES!BD30+ACCIDENTES!AY30+ACCIDENTES!AT30+ACCIDENTES!AO30+ACCIDENTES!AJ30+ACCIDENTES!AE30+ACCIDENTES!Z30+ACCIDENTES!U30+ACCIDENTES!P30+ACCIDENTES!K30+ACCIDENTES!F30)/(HH!F30+HH!J30+HH!N30+HH!R30+HH!V30+HH!Z30+HH!AD30+HH!AH30+HH!AL30+HH!AP30+HH!AT30))*1000000</f>
        <v>15.806611378652644</v>
      </c>
      <c r="AJ30" s="59">
        <f>(ACCIDENTES!BK30/HH!BB30)*1000000</f>
        <v>9.6595958425099493</v>
      </c>
      <c r="AK30" s="59">
        <f>(ACCIDENTES!BL30/HH!BB30)*1000000</f>
        <v>154.55353348015919</v>
      </c>
      <c r="AL30" s="59">
        <f>(ACCIDENTES!BN30/HH!BB30)*1000000</f>
        <v>14.489393763764925</v>
      </c>
      <c r="AN30" s="41">
        <f t="shared" si="0"/>
        <v>0</v>
      </c>
      <c r="AO30" s="41">
        <f t="shared" si="1"/>
        <v>0</v>
      </c>
      <c r="AP30" s="40"/>
      <c r="AQ30" s="125"/>
      <c r="AR30" s="41">
        <v>4.8297372719518803</v>
      </c>
      <c r="AS30" s="41">
        <v>48.297372719518805</v>
      </c>
      <c r="AT30" s="41">
        <v>1</v>
      </c>
      <c r="AV30" s="118">
        <v>0</v>
      </c>
      <c r="AW30" s="60">
        <v>0</v>
      </c>
      <c r="AX30" s="60">
        <v>4.8297372719518803</v>
      </c>
      <c r="AY30" s="63"/>
      <c r="AZ30" s="118">
        <v>0</v>
      </c>
      <c r="BA30" s="60">
        <v>0</v>
      </c>
      <c r="BB30" s="60">
        <v>38.637898175615042</v>
      </c>
      <c r="BC30" s="63"/>
      <c r="BD30" s="118"/>
      <c r="BE30" s="60"/>
      <c r="BF30" s="60"/>
    </row>
    <row r="31" spans="1:65" outlineLevel="1" x14ac:dyDescent="0.3">
      <c r="A31" s="3" t="s">
        <v>25</v>
      </c>
      <c r="B31" s="52" t="s">
        <v>53</v>
      </c>
      <c r="C31" s="58">
        <f>(ACCIDENTES!C31/HH!F31)*1000000</f>
        <v>0</v>
      </c>
      <c r="D31" s="59">
        <f>(ACCIDENTES!D31/HH!F31)*1000000</f>
        <v>0</v>
      </c>
      <c r="E31" s="59">
        <f>(ACCIDENTES!F31/HH!F31)*1000000</f>
        <v>0</v>
      </c>
      <c r="F31" s="59">
        <f>((ACCIDENTES!C31+ACCIDENTES!H31)/(HH!F31+HH!J31))*1000000</f>
        <v>0</v>
      </c>
      <c r="G31" s="59">
        <f>((ACCIDENTES!D31+ACCIDENTES!I31)/(HH!F31+HH!J31))*1000000</f>
        <v>0</v>
      </c>
      <c r="H31" s="59">
        <f>((ACCIDENTES!F31+ACCIDENTES!K31)/(HH!F31+HH!J31))*1000000</f>
        <v>0</v>
      </c>
      <c r="I31" s="59">
        <f>((ACCIDENTES!C31+ACCIDENTES!H31+ACCIDENTES!M31)/(HH!F31+HH!J31+HH!N31))*1000000</f>
        <v>0</v>
      </c>
      <c r="J31" s="59">
        <f>((ACCIDENTES!D31+ACCIDENTES!I31+ACCIDENTES!N31)/(HH!F31+HH!J31+HH!N31))*1000000</f>
        <v>0</v>
      </c>
      <c r="K31" s="59">
        <f>((ACCIDENTES!F31+ACCIDENTES!K31+ACCIDENTES!P31)/(HH!J31+HH!N31+HH!F31))*1000000</f>
        <v>0</v>
      </c>
      <c r="L31" s="59">
        <f>((ACCIDENTES!C31+ACCIDENTES!H31+ACCIDENTES!M31+ACCIDENTES!R31)/(HH!F31+HH!J31+HH!N31+HH!R31))*1000000</f>
        <v>0</v>
      </c>
      <c r="M31" s="59">
        <f>((ACCIDENTES!D31+ACCIDENTES!I31+ACCIDENTES!N31+ACCIDENTES!S31)/(HH!F31+HH!J31+HH!N31+HH!R31))*1000000</f>
        <v>0</v>
      </c>
      <c r="N31" s="59">
        <f>((ACCIDENTES!F31+ACCIDENTES!K31+ACCIDENTES!P31+ACCIDENTES!U31)/(HH!F31+HH!J31+HH!N31+HH!R31))*1000000</f>
        <v>0</v>
      </c>
      <c r="O31" s="59">
        <f>((ACCIDENTES!C31+ACCIDENTES!H31+ACCIDENTES!M31+ACCIDENTES!R31+ACCIDENTES!W31)/(HH!F31+HH!J31+HH!N31+HH!R31+HH!V31))*1000000</f>
        <v>0</v>
      </c>
      <c r="P31" s="59">
        <f>(((ACCIDENTES!D31+ACCIDENTES!I31+ACCIDENTES!N31+ACCIDENTES!S31+ACCIDENTES!X31)/(HH!F31+HH!J31+HH!N31+HH!R31+HH!V31))*1000000)</f>
        <v>0</v>
      </c>
      <c r="Q31" s="59">
        <f>((ACCIDENTES!F31+ACCIDENTES!K31+ACCIDENTES!P31+ACCIDENTES!U31+ACCIDENTES!Z31)/(HH!F31+HH!J31+HH!N31+HH!R31+HH!V31))*1000000</f>
        <v>0</v>
      </c>
      <c r="R31" s="59">
        <f>(ACCIDENTES!C31+ACCIDENTES!H31+ACCIDENTES!M31+ACCIDENTES!R31+ACCIDENTES!W31+ACCIDENTES!AB31)*1000000/(HH!F31+HH!J31+HH!N31+HH!R31+HH!V31+HH!Z31)</f>
        <v>0</v>
      </c>
      <c r="S31" s="59">
        <f>(ACCIDENTES!D31+ACCIDENTES!I31+ACCIDENTES!N31+ACCIDENTES!S31+ACCIDENTES!X31+ACCIDENTES!AC31)*1000000/(HH!F31+HH!J31+HH!N31+HH!R31+HH!V31+HH!Z31)</f>
        <v>0</v>
      </c>
      <c r="T31" s="59">
        <f>(ACCIDENTES!F31+ACCIDENTES!K31+ACCIDENTES!P31+ACCIDENTES!U31+ACCIDENTES!Z31+ACCIDENTES!AE31)*1000000/(HH!F31+HH!J31+HH!N31+HH!R31+HH!V31+HH!Z31)</f>
        <v>0</v>
      </c>
      <c r="U31" s="59">
        <f>((ACCIDENTES!C31+ACCIDENTES!H31+ACCIDENTES!M31+ACCIDENTES!R31+ACCIDENTES!W31+ACCIDENTES!AB31+ACCIDENTES!AG31)/(HH!F31+HH!J31+HH!N31+HH!R31+HH!V31+HH!Z31+HH!AD31))*1000000</f>
        <v>0</v>
      </c>
      <c r="V31" s="59">
        <f>((ACCIDENTES!D31+ACCIDENTES!I31+ACCIDENTES!N31+ACCIDENTES!S31+ACCIDENTES!X31+ACCIDENTES!AC31+ACCIDENTES!AH31)/(HH!F31+HH!J31+HH!N31+HH!R31+HH!V31+HH!Z31+HH!AD31))*1000000</f>
        <v>0</v>
      </c>
      <c r="W31" s="59">
        <f>((ACCIDENTES!F31+ACCIDENTES!K31+ACCIDENTES!P31+ACCIDENTES!U31+ACCIDENTES!Z31+ACCIDENTES!AE31+ACCIDENTES!AJ31)/(HH!F31+HH!J31+HH!N31+HH!R31+HH!V31+HH!Z31+HH!AD31))*1000000</f>
        <v>0</v>
      </c>
      <c r="X31" s="59">
        <f>((ACCIDENTES!C31+ACCIDENTES!H31+ACCIDENTES!M31+ACCIDENTES!R31+ACCIDENTES!W31+ACCIDENTES!AB31+ACCIDENTES!AG31+ACCIDENTES!AL31)/(HH!F31+HH!J31+HH!N31+HH!R31+HH!V31+HH!Z31+HH!AD31+HH!AH31))*1000000</f>
        <v>7.4017053529133117</v>
      </c>
      <c r="Y31" s="59">
        <f>((ACCIDENTES!D31+ACCIDENTES!I31+ACCIDENTES!N31+ACCIDENTES!S31+ACCIDENTES!X31+ACCIDENTES!AC31+ACCIDENTES!AH31+ACCIDENTES!AM31)/(HH!F31+HH!J31+HH!N31+HH!R31+HH!V31+HH!Z31+HH!AD31+HH!AH31))*1000000</f>
        <v>66.615348176219797</v>
      </c>
      <c r="Z31" s="59">
        <f>((ACCIDENTES!F31+ACCIDENTES!K31+ACCIDENTES!P31+ACCIDENTES!U31+ACCIDENTES!Z31+ACCIDENTES!AE31+ACCIDENTES!AJ31+ACCIDENTES!AO31)/(HH!F31+HH!J31+HH!N31+HH!R31+HH!V31+HH!Z31+HH!AD31+HH!AH31))*1000000</f>
        <v>7.4017053529133117</v>
      </c>
      <c r="AA31" s="59">
        <f>((ACCIDENTES!AQ31+ACCIDENTES!AL31+ACCIDENTES!AG31+ACCIDENTES!AB31+ACCIDENTES!W31+ACCIDENTES!R31+ACCIDENTES!M31+ACCIDENTES!H31+ACCIDENTES!C31)/(HH!AL31+HH!AH31+HH!AD31+HH!Z31+HH!V31+HH!R31+HH!N31+HH!J31+HH!F31))*1000000</f>
        <v>5.6288066564015997</v>
      </c>
      <c r="AB31" s="59">
        <f>((ACCIDENTES!AR31+ACCIDENTES!AM31+ACCIDENTES!AH31+ACCIDENTES!AC31+ACCIDENTES!X31+ACCIDENTES!S31+ACCIDENTES!N31+ACCIDENTES!I31+ACCIDENTES!D31)/(HH!AL31+HH!AH31+HH!AD31+HH!Z31+HH!V31+HH!R31+HH!N31+HH!J31+HH!F31))*1000000</f>
        <v>50.659259907614405</v>
      </c>
      <c r="AC31" s="59">
        <f>((ACCIDENTES!F31+ACCIDENTES!K31+ACCIDENTES!P31+ACCIDENTES!U31+ACCIDENTES!Z31+ACCIDENTES!AE31+ACCIDENTES!AJ31+ACCIDENTES!AO31+ACCIDENTES!AT31)/(HH!F31+HH!J31+HH!N31+HH!R31+HH!V31+HH!Z31+HH!AD31+HH!AH31+HH!AL31))*1000000</f>
        <v>5.6288066564015997</v>
      </c>
      <c r="AD31" s="59">
        <f>((ACCIDENTES!AV31+ACCIDENTES!AQ31+ACCIDENTES!AL31+ACCIDENTES!AG31+ACCIDENTES!AB31+ACCIDENTES!W31+ACCIDENTES!R31+ACCIDENTES!M31+ACCIDENTES!H31+ACCIDENTES!C31)/(HH!F31+HH!J31+HH!N31+HH!R31+HH!V31+HH!Z31+HH!AD31+HH!AH31+HH!AL31+HH!AP31))*1000000</f>
        <v>9.0821943126390998</v>
      </c>
      <c r="AE31" s="59">
        <f>((ACCIDENTES!D31+ACCIDENTES!I31+ACCIDENTES!N31+ACCIDENTES!S31+ACCIDENTES!X31+ACCIDENTES!AC31+ACCIDENTES!AH31+ACCIDENTES!AM31+ACCIDENTES!AR31+ACCIDENTES!AW31)/(HH!AP31+HH!AL31+HH!AH31+HH!AD31+HH!Z31+HH!V31+HH!R31+HH!N31+HH!J31+HH!F31))*1000000</f>
        <v>49.952068719515047</v>
      </c>
      <c r="AF31" s="59">
        <f>((ACCIDENTES!AY31+ACCIDENTES!AT31+ACCIDENTES!AO31+ACCIDENTES!AJ31+ACCIDENTES!AE31+ACCIDENTES!Z31+ACCIDENTES!U31+ACCIDENTES!P31+ACCIDENTES!K31+ACCIDENTES!F31)/(HH!F31+HH!J31+HH!N31+HH!R31+HH!V31+HH!Z31+HH!AD31+HH!AH31+HH!AL31+HH!AP31))*1000000</f>
        <v>9.0821943126390998</v>
      </c>
      <c r="AG31" s="59">
        <f>((ACCIDENTES!BA31+ACCIDENTES!AV31+ACCIDENTES!AQ31+ACCIDENTES!AL31+ACCIDENTES!AG31+ACCIDENTES!AB31+ACCIDENTES!W31+ACCIDENTES!R31+ACCIDENTES!M31+ACCIDENTES!H31+ACCIDENTES!C31)/(HH!AT31+HH!AP31+HH!AL31+HH!AH31+HH!AD31+HH!Z31+HH!V31+HH!R31+HH!N31+HH!J31+HH!F31))*1000000</f>
        <v>7.611373904366511</v>
      </c>
      <c r="AH31" s="59">
        <f>((ACCIDENTES!D31+ACCIDENTES!I31+ACCIDENTES!N31+ACCIDENTES!S31+ACCIDENTES!X31+ACCIDENTES!AC31+ACCIDENTES!AH31+ACCIDENTES!AM31+ACCIDENTES!AR31+ACCIDENTES!AW31+ACCIDENTES!BB31)/(HH!F31+HH!J31+HH!N31+HH!R31+HH!V31+HH!Z31+HH!AD31+HH!AH31+HH!AL31+HH!AP31+HH!AT31))*1000000</f>
        <v>41.862556474015818</v>
      </c>
      <c r="AI31" s="59">
        <f>((ACCIDENTES!BD31+ACCIDENTES!AY31+ACCIDENTES!AT31+ACCIDENTES!AO31+ACCIDENTES!AJ31+ACCIDENTES!AE31+ACCIDENTES!Z31+ACCIDENTES!U31+ACCIDENTES!P31+ACCIDENTES!K31+ACCIDENTES!F31)/(HH!F31+HH!J31+HH!N31+HH!R31+HH!V31+HH!Z31+HH!AD31+HH!AH31+HH!AL31+HH!AP31+HH!AT31))*1000000</f>
        <v>7.6113739043665127</v>
      </c>
      <c r="AJ31" s="59">
        <f>(ACCIDENTES!BK31/HH!BB31)*1000000</f>
        <v>6.5052148241485925</v>
      </c>
      <c r="AK31" s="59">
        <f>(ACCIDENTES!BL31/HH!BB31)*1000000</f>
        <v>35.778681532817259</v>
      </c>
      <c r="AL31" s="59">
        <f>(ACCIDENTES!BN31/HH!BB31)*1000000</f>
        <v>6.5052148241485925</v>
      </c>
      <c r="AN31" s="41">
        <f t="shared" si="0"/>
        <v>1.7669218101760562</v>
      </c>
      <c r="AO31" s="41">
        <f t="shared" si="1"/>
        <v>88.346090508802803</v>
      </c>
      <c r="AP31" s="40"/>
      <c r="AQ31" s="124"/>
      <c r="AR31" s="41">
        <v>3.5338407481027785</v>
      </c>
      <c r="AS31" s="41">
        <v>143.12055029816253</v>
      </c>
      <c r="AT31" s="41">
        <v>0.7</v>
      </c>
      <c r="AV31" s="118">
        <v>0</v>
      </c>
      <c r="AW31" s="60">
        <v>1.7669218101760562</v>
      </c>
      <c r="AX31" s="60">
        <v>2.8270748962816898</v>
      </c>
      <c r="AY31" s="63"/>
      <c r="AZ31" s="118">
        <v>0</v>
      </c>
      <c r="BA31" s="60">
        <v>88.346090508802803</v>
      </c>
      <c r="BB31" s="60">
        <v>141.35374481408451</v>
      </c>
      <c r="BC31" s="63"/>
      <c r="BD31" s="118"/>
      <c r="BE31" s="60"/>
      <c r="BF31" s="60"/>
    </row>
    <row r="32" spans="1:65" s="19" customFormat="1" outlineLevel="1" x14ac:dyDescent="0.3">
      <c r="A32" s="6" t="s">
        <v>25</v>
      </c>
      <c r="B32" s="7" t="s">
        <v>54</v>
      </c>
      <c r="C32" s="66">
        <f>(ACCIDENTES!C32/HH!F32)*1000000</f>
        <v>0</v>
      </c>
      <c r="D32" s="67">
        <f>(ACCIDENTES!D32/HH!F32)*1000000</f>
        <v>0</v>
      </c>
      <c r="E32" s="67">
        <f>(ACCIDENTES!F32/HH!F32)*1000000</f>
        <v>0</v>
      </c>
      <c r="F32" s="67">
        <f>((ACCIDENTES!C32+ACCIDENTES!H32)/(HH!F32+HH!J32))*1000000</f>
        <v>0</v>
      </c>
      <c r="G32" s="67">
        <f>((ACCIDENTES!D32+ACCIDENTES!I32)/(HH!F32+HH!J32))*1000000</f>
        <v>0</v>
      </c>
      <c r="H32" s="67">
        <f>((ACCIDENTES!F32+ACCIDENTES!K32)/(HH!F32+HH!J32))*1000000</f>
        <v>0</v>
      </c>
      <c r="I32" s="67">
        <f>((ACCIDENTES!C32+ACCIDENTES!H32+ACCIDENTES!M32)/(HH!F32+HH!J32+HH!N32))*1000000</f>
        <v>0</v>
      </c>
      <c r="J32" s="67">
        <f>((ACCIDENTES!D32+ACCIDENTES!I32+ACCIDENTES!N32)/(HH!F32+HH!J32+HH!N32))*1000000</f>
        <v>0</v>
      </c>
      <c r="K32" s="67">
        <f>((ACCIDENTES!F32+ACCIDENTES!K32+ACCIDENTES!P32)/(HH!J32+HH!N32+HH!F32))*1000000</f>
        <v>0</v>
      </c>
      <c r="L32" s="67">
        <f>((ACCIDENTES!C32+ACCIDENTES!H32+ACCIDENTES!M32+ACCIDENTES!R32)/(HH!F32+HH!J32+HH!N32+HH!R32))*1000000</f>
        <v>0</v>
      </c>
      <c r="M32" s="67">
        <f>((ACCIDENTES!D32+ACCIDENTES!I32+ACCIDENTES!N32+ACCIDENTES!S32)/(HH!F32+HH!J32+HH!N32+HH!R32))*1000000</f>
        <v>0</v>
      </c>
      <c r="N32" s="67">
        <f>((ACCIDENTES!F32+ACCIDENTES!K32+ACCIDENTES!P32+ACCIDENTES!U32)/(HH!F32+HH!J32+HH!N32+HH!R32))*1000000</f>
        <v>0</v>
      </c>
      <c r="O32" s="67">
        <f>((ACCIDENTES!C32+ACCIDENTES!H32+ACCIDENTES!M32+ACCIDENTES!R32+ACCIDENTES!W32)/(HH!F32+HH!J32+HH!N32+HH!R32+HH!V32))*1000000</f>
        <v>0</v>
      </c>
      <c r="P32" s="67">
        <f>(((ACCIDENTES!D32+ACCIDENTES!I32+ACCIDENTES!N32+ACCIDENTES!S32+ACCIDENTES!X32)/(HH!F32+HH!J32+HH!N32+HH!R32+HH!V32))*1000000)</f>
        <v>0</v>
      </c>
      <c r="Q32" s="67">
        <f>((ACCIDENTES!F32+ACCIDENTES!K32+ACCIDENTES!P32+ACCIDENTES!U32+ACCIDENTES!Z32)/(HH!F32+HH!J32+HH!N32+HH!R32+HH!V32))*1000000</f>
        <v>0</v>
      </c>
      <c r="R32" s="213">
        <f>(ACCIDENTES!C32+ACCIDENTES!H32+ACCIDENTES!M32+ACCIDENTES!R32+ACCIDENTES!W32+ACCIDENTES!AB32)*1000000/(HH!F32+HH!J32+HH!N32+HH!R32+HH!V32+HH!Z32)</f>
        <v>12.762380178798393</v>
      </c>
      <c r="S32" s="213">
        <f>(ACCIDENTES!D32+ACCIDENTES!I32+ACCIDENTES!N32+ACCIDENTES!S32+ACCIDENTES!X32+ACCIDENTES!AC32)*1000000/(HH!F32+HH!J32+HH!N32+HH!R32+HH!V32+HH!Z32)</f>
        <v>1901.5946466409605</v>
      </c>
      <c r="T32" s="213">
        <f>(ACCIDENTES!F32+ACCIDENTES!K32+ACCIDENTES!P32+ACCIDENTES!U32+ACCIDENTES!Z32+ACCIDENTES!AE32)*1000000/(HH!F32+HH!J32+HH!N32+HH!R32+HH!V32+HH!Z32)</f>
        <v>12.762380178798393</v>
      </c>
      <c r="U32" s="213">
        <f>((ACCIDENTES!C32+ACCIDENTES!H32+ACCIDENTES!M32+ACCIDENTES!R32+ACCIDENTES!W32+ACCIDENTES!AB32+ACCIDENTES!AG32)/(HH!F32+HH!J32+HH!N32+HH!R32+HH!V32+HH!Z32+HH!AD32))*1000000</f>
        <v>10.714692489932741</v>
      </c>
      <c r="V32" s="213">
        <f>((ACCIDENTES!D32+ACCIDENTES!I32+ACCIDENTES!N32+ACCIDENTES!S32+ACCIDENTES!X32+ACCIDENTES!AC32+ACCIDENTES!AH32)/(HH!F32+HH!J32+HH!N32+HH!R32+HH!V32+HH!Z32+HH!AD32))*1000000</f>
        <v>1596.4891809999785</v>
      </c>
      <c r="W32" s="213">
        <f>((ACCIDENTES!F32+ACCIDENTES!K32+ACCIDENTES!P32+ACCIDENTES!U32+ACCIDENTES!Z32+ACCIDENTES!AE32+ACCIDENTES!AJ32)/(HH!F32+HH!J32+HH!N32+HH!R32+HH!V32+HH!Z32+HH!AD32))*1000000</f>
        <v>10.714692489932741</v>
      </c>
      <c r="X32" s="213">
        <f>((ACCIDENTES!C32+ACCIDENTES!H32+ACCIDENTES!M32+ACCIDENTES!R32+ACCIDENTES!W32+ACCIDENTES!AB32+ACCIDENTES!AG32+ACCIDENTES!AL32)/(HH!F32+HH!J32+HH!N32+HH!R32+HH!V32+HH!Z32+HH!AD32+HH!AH32))*1000000</f>
        <v>9.3143874965897684</v>
      </c>
      <c r="Y32" s="213">
        <f>((ACCIDENTES!D32+ACCIDENTES!I32+ACCIDENTES!N32+ACCIDENTES!S32+ACCIDENTES!X32+ACCIDENTES!AC32+ACCIDENTES!AH32+ACCIDENTES!AM32)/(HH!F32+HH!J32+HH!N32+HH!R32+HH!V32+HH!Z32+HH!AD32+HH!AH32))*1000000</f>
        <v>1387.8437369918756</v>
      </c>
      <c r="Z32" s="213">
        <f>((ACCIDENTES!F32+ACCIDENTES!K32+ACCIDENTES!P32+ACCIDENTES!U32+ACCIDENTES!Z32+ACCIDENTES!AE32+ACCIDENTES!AJ32+ACCIDENTES!AO32)/(HH!F32+HH!J32+HH!N32+HH!R32+HH!V32+HH!Z32+HH!AD32+HH!AH32))*1000000</f>
        <v>9.3143874965897684</v>
      </c>
      <c r="AA32" s="67">
        <f>((ACCIDENTES!AQ32+ACCIDENTES!AL32+ACCIDENTES!AG32+ACCIDENTES!AB32+ACCIDENTES!W32+ACCIDENTES!R32+ACCIDENTES!M32+ACCIDENTES!H32+ACCIDENTES!C32)/(HH!AL32+HH!AH32+HH!AD32+HH!Z32+HH!V32+HH!R32+HH!N32+HH!J32+HH!F32))*1000000</f>
        <v>8.3937832619400101</v>
      </c>
      <c r="AB32" s="67">
        <f>((ACCIDENTES!AR32+ACCIDENTES!AM32+ACCIDENTES!AH32+ACCIDENTES!AC32+ACCIDENTES!X32+ACCIDENTES!S32+ACCIDENTES!N32+ACCIDENTES!I32+ACCIDENTES!D32)/(HH!AL32+HH!AH32+HH!AD32+HH!Z32+HH!V32+HH!R32+HH!N32+HH!J32+HH!F32))*1000000</f>
        <v>1250.6737060290616</v>
      </c>
      <c r="AC32" s="67">
        <f>((ACCIDENTES!F32+ACCIDENTES!K32+ACCIDENTES!P32+ACCIDENTES!U32+ACCIDENTES!Z32+ACCIDENTES!AE32+ACCIDENTES!AJ32+ACCIDENTES!AO32+ACCIDENTES!AT32)/(HH!F32+HH!J32+HH!N32+HH!R32+HH!V32+HH!Z32+HH!AD32+HH!AH32+HH!AL32))*1000000</f>
        <v>8.3937832619400083</v>
      </c>
      <c r="AD32" s="67">
        <f>((ACCIDENTES!AV32+ACCIDENTES!AQ32+ACCIDENTES!AL32+ACCIDENTES!AG32+ACCIDENTES!AB32+ACCIDENTES!W32+ACCIDENTES!R32+ACCIDENTES!M32+ACCIDENTES!H32+ACCIDENTES!C32)/(HH!F32+HH!J32+HH!N32+HH!R32+HH!V32+HH!Z32+HH!AD32+HH!AH32+HH!AL32+HH!AP32))*1000000</f>
        <v>7.6677537752377392</v>
      </c>
      <c r="AE32" s="67">
        <f>((ACCIDENTES!D32+ACCIDENTES!I32+ACCIDENTES!N32+ACCIDENTES!S32+ACCIDENTES!X32+ACCIDENTES!AC32+ACCIDENTES!AH32+ACCIDENTES!AM32+ACCIDENTES!AR32+ACCIDENTES!AW32)/(HH!AP32+HH!AL32+HH!AH32+HH!AD32+HH!Z32+HH!V32+HH!R32+HH!N32+HH!J32+HH!F32))*1000000</f>
        <v>1142.4953125104234</v>
      </c>
      <c r="AF32" s="67">
        <f>((ACCIDENTES!AY32+ACCIDENTES!AT32+ACCIDENTES!AO32+ACCIDENTES!AJ32+ACCIDENTES!AE32+ACCIDENTES!Z32+ACCIDENTES!U32+ACCIDENTES!P32+ACCIDENTES!K32+ACCIDENTES!F32)/(HH!F32+HH!J32+HH!N32+HH!R32+HH!V32+HH!Z32+HH!AD32+HH!AH32+HH!AL32+HH!AP32))*1000000</f>
        <v>7.6677537752377392</v>
      </c>
      <c r="AG32" s="67">
        <f>((ACCIDENTES!BA32+ACCIDENTES!AV32+ACCIDENTES!AQ32+ACCIDENTES!AL32+ACCIDENTES!AG32+ACCIDENTES!AB32+ACCIDENTES!W32+ACCIDENTES!R32+ACCIDENTES!M32+ACCIDENTES!H32+ACCIDENTES!C32)/(HH!AT32+HH!AP32+HH!AL32+HH!AH32+HH!AD32+HH!Z32+HH!V32+HH!R32+HH!N32+HH!J32+HH!F32))*1000000</f>
        <v>6.9571368710235193</v>
      </c>
      <c r="AH32" s="67">
        <f>((ACCIDENTES!D32+ACCIDENTES!I32+ACCIDENTES!N32+ACCIDENTES!S32+ACCIDENTES!X32+ACCIDENTES!AC32+ACCIDENTES!AH32+ACCIDENTES!AM32+ACCIDENTES!AR32+ACCIDENTES!AW32+ACCIDENTES!BB32)/(HH!F32+HH!J32+HH!N32+HH!R32+HH!V32+HH!Z32+HH!AD32+HH!AH32+HH!AL32+HH!AP32+HH!AT32))*1000000</f>
        <v>1036.6133937825041</v>
      </c>
      <c r="AI32" s="67">
        <f>((ACCIDENTES!BD32+ACCIDENTES!AY32+ACCIDENTES!AT32+ACCIDENTES!AO32+ACCIDENTES!AJ32+ACCIDENTES!AE32+ACCIDENTES!Z32+ACCIDENTES!U32+ACCIDENTES!P32+ACCIDENTES!K32+ACCIDENTES!F32)/(HH!F32+HH!J32+HH!N32+HH!R32+HH!V32+HH!Z32+HH!AD32+HH!AH32+HH!AL32+HH!AP32+HH!AT32))*1000000</f>
        <v>6.9571368710235175</v>
      </c>
      <c r="AJ32" s="59">
        <f>(ACCIDENTES!BK32/HH!BB32)*1000000</f>
        <v>6.1137291797717008</v>
      </c>
      <c r="AK32" s="59">
        <f>(ACCIDENTES!BL32/HH!BB32)*1000000</f>
        <v>910.9456477859834</v>
      </c>
      <c r="AL32" s="59">
        <f>(ACCIDENTES!BN32/HH!BB32)*1000000</f>
        <v>6.1137291797717008</v>
      </c>
      <c r="AM32" s="36"/>
      <c r="AN32" s="66">
        <f t="shared" si="0"/>
        <v>0</v>
      </c>
      <c r="AO32" s="66">
        <f t="shared" si="1"/>
        <v>0</v>
      </c>
      <c r="AP32" s="69"/>
      <c r="AQ32" s="36"/>
      <c r="AR32" s="66">
        <v>0</v>
      </c>
      <c r="AS32" s="66">
        <v>0</v>
      </c>
      <c r="AT32" s="66">
        <v>0</v>
      </c>
      <c r="AU32" s="36"/>
      <c r="AV32" s="68">
        <v>0</v>
      </c>
      <c r="AW32" s="68">
        <v>0</v>
      </c>
      <c r="AX32" s="68">
        <v>0</v>
      </c>
      <c r="AY32" s="63"/>
      <c r="AZ32" s="68">
        <v>0</v>
      </c>
      <c r="BA32" s="68">
        <v>0</v>
      </c>
      <c r="BB32" s="68">
        <v>0</v>
      </c>
      <c r="BC32" s="63"/>
      <c r="BD32" s="68"/>
      <c r="BE32" s="68"/>
      <c r="BF32" s="68"/>
      <c r="BG32" s="36"/>
      <c r="BH32" s="36"/>
      <c r="BI32" s="36"/>
      <c r="BJ32" s="36"/>
      <c r="BK32" s="36"/>
      <c r="BL32" s="36"/>
      <c r="BM32" s="36"/>
    </row>
    <row r="33" spans="1:65" outlineLevel="3" x14ac:dyDescent="0.3">
      <c r="A33" s="3" t="s">
        <v>25</v>
      </c>
      <c r="B33" s="4" t="s">
        <v>55</v>
      </c>
      <c r="C33" s="58">
        <f>(ACCIDENTES!C33/HH!F33)*1000000</f>
        <v>0</v>
      </c>
      <c r="D33" s="59">
        <f>(ACCIDENTES!D33/HH!F33)*1000000</f>
        <v>0</v>
      </c>
      <c r="E33" s="59">
        <f>(ACCIDENTES!F33/HH!F33)*1000000</f>
        <v>0</v>
      </c>
      <c r="F33" s="59">
        <f>((ACCIDENTES!C33+ACCIDENTES!H33)/(HH!F33+HH!J33))*1000000</f>
        <v>0</v>
      </c>
      <c r="G33" s="59">
        <f>((ACCIDENTES!D33+ACCIDENTES!I33)/(HH!F33+HH!J33))*1000000</f>
        <v>0</v>
      </c>
      <c r="H33" s="59">
        <f>((ACCIDENTES!F33+ACCIDENTES!K33)/(HH!F33+HH!J33))*1000000</f>
        <v>0</v>
      </c>
      <c r="I33" s="59">
        <f>((ACCIDENTES!C33+ACCIDENTES!H33+ACCIDENTES!M33)/(HH!F33+HH!J33+HH!N33))*1000000</f>
        <v>0</v>
      </c>
      <c r="J33" s="59">
        <f>((ACCIDENTES!D33+ACCIDENTES!I33+ACCIDENTES!N33)/(HH!F33+HH!J33+HH!N33))*1000000</f>
        <v>0</v>
      </c>
      <c r="K33" s="59">
        <f>((ACCIDENTES!F33+ACCIDENTES!K33+ACCIDENTES!P33)/(HH!J33+HH!N33+HH!F33))*1000000</f>
        <v>0</v>
      </c>
      <c r="L33" s="59">
        <f>((ACCIDENTES!C33+ACCIDENTES!H33+ACCIDENTES!M33+ACCIDENTES!R33)/(HH!F33+HH!J33+HH!N33+HH!R33))*1000000</f>
        <v>0</v>
      </c>
      <c r="M33" s="59">
        <f>((ACCIDENTES!D33+ACCIDENTES!I33+ACCIDENTES!N33+ACCIDENTES!S33)/(HH!F33+HH!J33+HH!N33+HH!R33))*1000000</f>
        <v>0</v>
      </c>
      <c r="N33" s="59">
        <f>((ACCIDENTES!F33+ACCIDENTES!K33+ACCIDENTES!P33+ACCIDENTES!U33)/(HH!F33+HH!J33+HH!N33+HH!R33))*1000000</f>
        <v>0</v>
      </c>
      <c r="O33" s="59">
        <f>((ACCIDENTES!C33+ACCIDENTES!H33+ACCIDENTES!M33+ACCIDENTES!R33+ACCIDENTES!W33)/(HH!F33+HH!J33+HH!N33+HH!R33+HH!V33))*1000000</f>
        <v>0</v>
      </c>
      <c r="P33" s="59">
        <f>(((ACCIDENTES!D33+ACCIDENTES!I33+ACCIDENTES!N33+ACCIDENTES!S33+ACCIDENTES!X33)/(HH!F33+HH!J33+HH!N33+HH!R33+HH!V33))*1000000)</f>
        <v>0</v>
      </c>
      <c r="Q33" s="59">
        <f>((ACCIDENTES!F33+ACCIDENTES!K33+ACCIDENTES!P33+ACCIDENTES!U33+ACCIDENTES!Z33)/(HH!F33+HH!J33+HH!N33+HH!R33+HH!V33))*1000000</f>
        <v>0</v>
      </c>
      <c r="R33" s="59">
        <f>(ACCIDENTES!C33+ACCIDENTES!H33+ACCIDENTES!M33+ACCIDENTES!R33+ACCIDENTES!W33+ACCIDENTES!AB33)*1000000/(HH!F33+HH!J33+HH!N33+HH!R33+HH!V33+HH!Z33)</f>
        <v>29.636830281727708</v>
      </c>
      <c r="S33" s="59">
        <f>(ACCIDENTES!D33+ACCIDENTES!I33+ACCIDENTES!N33+ACCIDENTES!S33+ACCIDENTES!X33+ACCIDENTES!AC33)*1000000/(HH!F33+HH!J33+HH!N33+HH!R33+HH!V33+HH!Z33)</f>
        <v>4415.8877119774279</v>
      </c>
      <c r="T33" s="59">
        <f>(ACCIDENTES!F33+ACCIDENTES!K33+ACCIDENTES!P33+ACCIDENTES!U33+ACCIDENTES!Z33+ACCIDENTES!AE33)*1000000/(HH!F33+HH!J33+HH!N33+HH!R33+HH!V33+HH!Z33)</f>
        <v>29.636830281727708</v>
      </c>
      <c r="U33" s="59">
        <f>((ACCIDENTES!C33+ACCIDENTES!H33+ACCIDENTES!M33+ACCIDENTES!R33+ACCIDENTES!W33+ACCIDENTES!AB33+ACCIDENTES!AG33)/(HH!F33+HH!J33+HH!N33+HH!R33+HH!V33+HH!Z33+HH!AD33))*1000000</f>
        <v>25.154511587425759</v>
      </c>
      <c r="V33" s="59">
        <f>((ACCIDENTES!D33+ACCIDENTES!I33+ACCIDENTES!N33+ACCIDENTES!S33+ACCIDENTES!X33+ACCIDENTES!AC33+ACCIDENTES!AH33)/(HH!F33+HH!J33+HH!N33+HH!R33+HH!V33+HH!Z33+HH!AD33))*1000000</f>
        <v>3748.0222265264383</v>
      </c>
      <c r="W33" s="59">
        <f>((ACCIDENTES!F33+ACCIDENTES!K33+ACCIDENTES!P33+ACCIDENTES!U33+ACCIDENTES!Z33+ACCIDENTES!AE33+ACCIDENTES!AJ33)/(HH!F33+HH!J33+HH!N33+HH!R33+HH!V33+HH!Z33+HH!AD33))*1000000</f>
        <v>25.154511587425759</v>
      </c>
      <c r="X33" s="59">
        <f>((ACCIDENTES!C33+ACCIDENTES!H33+ACCIDENTES!M33+ACCIDENTES!R33+ACCIDENTES!W33+ACCIDENTES!AB33+ACCIDENTES!AG33+ACCIDENTES!AL33)/(HH!F33+HH!J33+HH!N33+HH!R33+HH!V33+HH!Z33+HH!AD33+HH!AH33))*1000000</f>
        <v>22.318041011632161</v>
      </c>
      <c r="Y33" s="59">
        <f>((ACCIDENTES!D33+ACCIDENTES!I33+ACCIDENTES!N33+ACCIDENTES!S33+ACCIDENTES!X33+ACCIDENTES!AC33+ACCIDENTES!AH33+ACCIDENTES!AM33)/(HH!F33+HH!J33+HH!N33+HH!R33+HH!V33+HH!Z33+HH!AD33+HH!AH33))*1000000</f>
        <v>3325.3881107331922</v>
      </c>
      <c r="Z33" s="59">
        <f>((ACCIDENTES!F33+ACCIDENTES!K33+ACCIDENTES!P33+ACCIDENTES!U33+ACCIDENTES!Z33+ACCIDENTES!AE33+ACCIDENTES!AJ33+ACCIDENTES!AO33)/(HH!F33+HH!J33+HH!N33+HH!R33+HH!V33+HH!Z33+HH!AD33+HH!AH33))*1000000</f>
        <v>22.318041011632161</v>
      </c>
      <c r="AA33" s="59">
        <f>((ACCIDENTES!AQ33+ACCIDENTES!AL33+ACCIDENTES!AG33+ACCIDENTES!AB33+ACCIDENTES!W33+ACCIDENTES!R33+ACCIDENTES!M33+ACCIDENTES!H33+ACCIDENTES!C33)/(HH!AL33+HH!AH33+HH!AD33+HH!Z33+HH!V33+HH!R33+HH!N33+HH!J33+HH!F33))*1000000</f>
        <v>20.191088461196767</v>
      </c>
      <c r="AB33" s="59">
        <f>((ACCIDENTES!AR33+ACCIDENTES!AM33+ACCIDENTES!AH33+ACCIDENTES!AC33+ACCIDENTES!X33+ACCIDENTES!S33+ACCIDENTES!N33+ACCIDENTES!I33+ACCIDENTES!D33)/(HH!AL33+HH!AH33+HH!AD33+HH!Z33+HH!V33+HH!R33+HH!N33+HH!J33+HH!F33))*1000000</f>
        <v>3008.4721807183178</v>
      </c>
      <c r="AC33" s="59">
        <f>((ACCIDENTES!F33+ACCIDENTES!K33+ACCIDENTES!P33+ACCIDENTES!U33+ACCIDENTES!Z33+ACCIDENTES!AE33+ACCIDENTES!AJ33+ACCIDENTES!AO33+ACCIDENTES!AT33)/(HH!F33+HH!J33+HH!N33+HH!R33+HH!V33+HH!Z33+HH!AD33+HH!AH33+HH!AL33))*1000000</f>
        <v>20.191088461196767</v>
      </c>
      <c r="AD33" s="59">
        <f>((ACCIDENTES!AV33+ACCIDENTES!AQ33+ACCIDENTES!AL33+ACCIDENTES!AG33+ACCIDENTES!AB33+ACCIDENTES!W33+ACCIDENTES!R33+ACCIDENTES!M33+ACCIDENTES!H33+ACCIDENTES!C33)/(HH!F33+HH!J33+HH!N33+HH!R33+HH!V33+HH!Z33+HH!AD33+HH!AH33+HH!AL33+HH!AP33))*1000000</f>
        <v>18.759332768052104</v>
      </c>
      <c r="AE33" s="59">
        <f>((ACCIDENTES!D33+ACCIDENTES!I33+ACCIDENTES!N33+ACCIDENTES!S33+ACCIDENTES!X33+ACCIDENTES!AC33+ACCIDENTES!AH33+ACCIDENTES!AM33+ACCIDENTES!AR33+ACCIDENTES!AW33)/(HH!AP33+HH!AL33+HH!AH33+HH!AD33+HH!Z33+HH!V33+HH!R33+HH!N33+HH!J33+HH!F33))*1000000</f>
        <v>2795.1405824397639</v>
      </c>
      <c r="AF33" s="59">
        <f>((ACCIDENTES!AY33+ACCIDENTES!AT33+ACCIDENTES!AO33+ACCIDENTES!AJ33+ACCIDENTES!AE33+ACCIDENTES!Z33+ACCIDENTES!U33+ACCIDENTES!P33+ACCIDENTES!K33+ACCIDENTES!F33)/(HH!F33+HH!J33+HH!N33+HH!R33+HH!V33+HH!Z33+HH!AD33+HH!AH33+HH!AL33+HH!AP33))*1000000</f>
        <v>18.759332768052104</v>
      </c>
      <c r="AG33" s="59">
        <f>((ACCIDENTES!BA33+ACCIDENTES!AV33+ACCIDENTES!AQ33+ACCIDENTES!AL33+ACCIDENTES!AG33+ACCIDENTES!AB33+ACCIDENTES!W33+ACCIDENTES!R33+ACCIDENTES!M33+ACCIDENTES!H33+ACCIDENTES!C33)/(HH!AT33+HH!AP33+HH!AL33+HH!AH33+HH!AD33+HH!Z33+HH!V33+HH!R33+HH!N33+HH!J33+HH!F33))*1000000</f>
        <v>16.796334367987527</v>
      </c>
      <c r="AH33" s="59">
        <f>((ACCIDENTES!D33+ACCIDENTES!I33+ACCIDENTES!N33+ACCIDENTES!S33+ACCIDENTES!X33+ACCIDENTES!AC33+ACCIDENTES!AH33+ACCIDENTES!AM33+ACCIDENTES!AR33+ACCIDENTES!AW33+ACCIDENTES!BB33)/(HH!F33+HH!J33+HH!N33+HH!R33+HH!V33+HH!Z33+HH!AD33+HH!AH33+HH!AL33+HH!AP33+HH!AT33))*1000000</f>
        <v>2502.6538208301417</v>
      </c>
      <c r="AI33" s="59">
        <f>((ACCIDENTES!BD33+ACCIDENTES!AY33+ACCIDENTES!AT33+ACCIDENTES!AO33+ACCIDENTES!AJ33+ACCIDENTES!AE33+ACCIDENTES!Z33+ACCIDENTES!U33+ACCIDENTES!P33+ACCIDENTES!K33+ACCIDENTES!F33)/(HH!F33+HH!J33+HH!N33+HH!R33+HH!V33+HH!Z33+HH!AD33+HH!AH33+HH!AL33+HH!AP33+HH!AT33))*1000000</f>
        <v>16.796334367987527</v>
      </c>
      <c r="AJ33" s="59">
        <f>(ACCIDENTES!BK33/HH!BB33)*1000000</f>
        <v>13.841251913553076</v>
      </c>
      <c r="AK33" s="59">
        <f>(ACCIDENTES!BL33/HH!BB33)*1000000</f>
        <v>2062.3465351194086</v>
      </c>
      <c r="AL33" s="59">
        <f>(ACCIDENTES!BN33/HH!BB33)*1000000</f>
        <v>13.841251913553076</v>
      </c>
      <c r="AN33" s="41">
        <f t="shared" si="0"/>
        <v>0</v>
      </c>
      <c r="AO33" s="41">
        <f t="shared" si="1"/>
        <v>0</v>
      </c>
      <c r="AP33" s="40"/>
      <c r="AR33" s="41"/>
      <c r="AS33" s="41"/>
      <c r="AT33" s="41"/>
      <c r="AV33" s="118"/>
      <c r="AW33" s="60"/>
      <c r="AX33" s="60"/>
      <c r="AY33" s="63"/>
      <c r="AZ33" s="118"/>
      <c r="BA33" s="60"/>
      <c r="BB33" s="60"/>
      <c r="BC33" s="63"/>
      <c r="BD33" s="118"/>
      <c r="BE33" s="60"/>
      <c r="BF33" s="60"/>
    </row>
    <row r="34" spans="1:65" outlineLevel="3" x14ac:dyDescent="0.3">
      <c r="A34" s="3" t="s">
        <v>25</v>
      </c>
      <c r="B34" s="4" t="s">
        <v>56</v>
      </c>
      <c r="C34" s="58">
        <f>(ACCIDENTES!C34/HH!F34)*1000000</f>
        <v>0</v>
      </c>
      <c r="D34" s="59">
        <f>(ACCIDENTES!D34/HH!F34)*1000000</f>
        <v>0</v>
      </c>
      <c r="E34" s="59">
        <f>(ACCIDENTES!F34/HH!F34)*1000000</f>
        <v>0</v>
      </c>
      <c r="F34" s="59">
        <f>((ACCIDENTES!C34+ACCIDENTES!H34)/(HH!F34+HH!J34))*1000000</f>
        <v>0</v>
      </c>
      <c r="G34" s="59">
        <f>((ACCIDENTES!D34+ACCIDENTES!I34)/(HH!F34+HH!J34))*1000000</f>
        <v>0</v>
      </c>
      <c r="H34" s="59">
        <f>((ACCIDENTES!F34+ACCIDENTES!K34)/(HH!F34+HH!J34))*1000000</f>
        <v>0</v>
      </c>
      <c r="I34" s="59">
        <f>((ACCIDENTES!C34+ACCIDENTES!H34+ACCIDENTES!M34)/(HH!F34+HH!J34+HH!N34))*1000000</f>
        <v>0</v>
      </c>
      <c r="J34" s="59">
        <f>((ACCIDENTES!D34+ACCIDENTES!I34+ACCIDENTES!N34)/(HH!F34+HH!J34+HH!N34))*1000000</f>
        <v>0</v>
      </c>
      <c r="K34" s="59">
        <f>((ACCIDENTES!F34+ACCIDENTES!K34+ACCIDENTES!P34)/(HH!J34+HH!N34+HH!F34))*1000000</f>
        <v>0</v>
      </c>
      <c r="L34" s="59">
        <f>((ACCIDENTES!C34+ACCIDENTES!H34+ACCIDENTES!M34+ACCIDENTES!R34)/(HH!F34+HH!J34+HH!N34+HH!R34))*1000000</f>
        <v>0</v>
      </c>
      <c r="M34" s="59">
        <f>((ACCIDENTES!D34+ACCIDENTES!I34+ACCIDENTES!N34+ACCIDENTES!S34)/(HH!F34+HH!J34+HH!N34+HH!R34))*1000000</f>
        <v>0</v>
      </c>
      <c r="N34" s="59">
        <f>((ACCIDENTES!F34+ACCIDENTES!K34+ACCIDENTES!P34+ACCIDENTES!U34)/(HH!F34+HH!J34+HH!N34+HH!R34))*1000000</f>
        <v>0</v>
      </c>
      <c r="O34" s="59">
        <f>((ACCIDENTES!C34+ACCIDENTES!H34+ACCIDENTES!M34+ACCIDENTES!R34+ACCIDENTES!W34)/(HH!F34+HH!J34+HH!N34+HH!R34+HH!V34))*1000000</f>
        <v>0</v>
      </c>
      <c r="P34" s="59">
        <f>(((ACCIDENTES!D34+ACCIDENTES!I34+ACCIDENTES!N34+ACCIDENTES!S34+ACCIDENTES!X34)/(HH!F34+HH!J34+HH!N34+HH!R34+HH!V34))*1000000)</f>
        <v>0</v>
      </c>
      <c r="Q34" s="59">
        <f>((ACCIDENTES!F34+ACCIDENTES!K34+ACCIDENTES!P34+ACCIDENTES!U34+ACCIDENTES!Z34)/(HH!F34+HH!J34+HH!N34+HH!R34+HH!V34))*1000000</f>
        <v>0</v>
      </c>
      <c r="R34" s="59">
        <f>(ACCIDENTES!C34+ACCIDENTES!H34+ACCIDENTES!M34+ACCIDENTES!R34+ACCIDENTES!W34+ACCIDENTES!AB34)*1000000/(HH!F34+HH!J34+HH!N34+HH!R34+HH!V34+HH!Z34)</f>
        <v>0</v>
      </c>
      <c r="S34" s="59">
        <f>(ACCIDENTES!D34+ACCIDENTES!I34+ACCIDENTES!N34+ACCIDENTES!S34+ACCIDENTES!X34+ACCIDENTES!AC34)*1000000/(HH!F34+HH!J34+HH!N34+HH!R34+HH!V34+HH!Z34)</f>
        <v>0</v>
      </c>
      <c r="T34" s="59">
        <f>(ACCIDENTES!F34+ACCIDENTES!K34+ACCIDENTES!P34+ACCIDENTES!U34+ACCIDENTES!Z34+ACCIDENTES!AE34)*1000000/(HH!F34+HH!J34+HH!N34+HH!R34+HH!V34+HH!Z34)</f>
        <v>0</v>
      </c>
      <c r="U34" s="59">
        <f>((ACCIDENTES!C34+ACCIDENTES!H34+ACCIDENTES!M34+ACCIDENTES!R34+ACCIDENTES!W34+ACCIDENTES!AB34+ACCIDENTES!AG34)/(HH!F34+HH!J34+HH!N34+HH!R34+HH!V34+HH!Z34+HH!AD34))*1000000</f>
        <v>0</v>
      </c>
      <c r="V34" s="59">
        <f>((ACCIDENTES!D34+ACCIDENTES!I34+ACCIDENTES!N34+ACCIDENTES!S34+ACCIDENTES!X34+ACCIDENTES!AC34+ACCIDENTES!AH34)/(HH!F34+HH!J34+HH!N34+HH!R34+HH!V34+HH!Z34+HH!AD34))*1000000</f>
        <v>0</v>
      </c>
      <c r="W34" s="59">
        <f>((ACCIDENTES!F34+ACCIDENTES!K34+ACCIDENTES!P34+ACCIDENTES!U34+ACCIDENTES!Z34+ACCIDENTES!AE34+ACCIDENTES!AJ34)/(HH!F34+HH!J34+HH!N34+HH!R34+HH!V34+HH!Z34+HH!AD34))*1000000</f>
        <v>0</v>
      </c>
      <c r="X34" s="59">
        <f>((ACCIDENTES!C34+ACCIDENTES!H34+ACCIDENTES!M34+ACCIDENTES!R34+ACCIDENTES!W34+ACCIDENTES!AB34+ACCIDENTES!AG34+ACCIDENTES!AL34)/(HH!F34+HH!J34+HH!N34+HH!R34+HH!V34+HH!Z34+HH!AD34+HH!AH34))*1000000</f>
        <v>0</v>
      </c>
      <c r="Y34" s="59">
        <f>((ACCIDENTES!D34+ACCIDENTES!I34+ACCIDENTES!N34+ACCIDENTES!S34+ACCIDENTES!X34+ACCIDENTES!AC34+ACCIDENTES!AH34+ACCIDENTES!AM34)/(HH!F34+HH!J34+HH!N34+HH!R34+HH!V34+HH!Z34+HH!AD34+HH!AH34))*1000000</f>
        <v>0</v>
      </c>
      <c r="Z34" s="59">
        <f>((ACCIDENTES!F34+ACCIDENTES!K34+ACCIDENTES!P34+ACCIDENTES!U34+ACCIDENTES!Z34+ACCIDENTES!AE34+ACCIDENTES!AJ34+ACCIDENTES!AO34)/(HH!F34+HH!J34+HH!N34+HH!R34+HH!V34+HH!Z34+HH!AD34+HH!AH34))*1000000</f>
        <v>0</v>
      </c>
      <c r="AA34" s="59">
        <f>((ACCIDENTES!AQ34+ACCIDENTES!AL34+ACCIDENTES!AG34+ACCIDENTES!AB34+ACCIDENTES!W34+ACCIDENTES!R34+ACCIDENTES!M34+ACCIDENTES!H34+ACCIDENTES!C34)/(HH!AL34+HH!AH34+HH!AD34+HH!Z34+HH!V34+HH!R34+HH!N34+HH!J34+HH!F34))*1000000</f>
        <v>0</v>
      </c>
      <c r="AB34" s="59">
        <f>((ACCIDENTES!AR34+ACCIDENTES!AM34+ACCIDENTES!AH34+ACCIDENTES!AC34+ACCIDENTES!X34+ACCIDENTES!S34+ACCIDENTES!N34+ACCIDENTES!I34+ACCIDENTES!D34)/(HH!AL34+HH!AH34+HH!AD34+HH!Z34+HH!V34+HH!R34+HH!N34+HH!J34+HH!F34))*1000000</f>
        <v>0</v>
      </c>
      <c r="AC34" s="59">
        <f>((ACCIDENTES!F34+ACCIDENTES!K34+ACCIDENTES!P34+ACCIDENTES!U34+ACCIDENTES!Z34+ACCIDENTES!AE34+ACCIDENTES!AJ34+ACCIDENTES!AO34+ACCIDENTES!AT34)/(HH!F34+HH!J34+HH!N34+HH!R34+HH!V34+HH!Z34+HH!AD34+HH!AH34+HH!AL34))*1000000</f>
        <v>0</v>
      </c>
      <c r="AD34" s="59">
        <f>((ACCIDENTES!AV34+ACCIDENTES!AQ34+ACCIDENTES!AL34+ACCIDENTES!AG34+ACCIDENTES!AB34+ACCIDENTES!W34+ACCIDENTES!R34+ACCIDENTES!M34+ACCIDENTES!H34+ACCIDENTES!C34)/(HH!F34+HH!J34+HH!N34+HH!R34+HH!V34+HH!Z34+HH!AD34+HH!AH34+HH!AL34+HH!AP34))*1000000</f>
        <v>0</v>
      </c>
      <c r="AE34" s="59">
        <f>((ACCIDENTES!D34+ACCIDENTES!I34+ACCIDENTES!N34+ACCIDENTES!S34+ACCIDENTES!X34+ACCIDENTES!AC34+ACCIDENTES!AH34+ACCIDENTES!AM34+ACCIDENTES!AR34+ACCIDENTES!AW34)/(HH!AP34+HH!AL34+HH!AH34+HH!AD34+HH!Z34+HH!V34+HH!R34+HH!N34+HH!J34+HH!F34))*1000000</f>
        <v>0</v>
      </c>
      <c r="AF34" s="59">
        <f>((ACCIDENTES!AY34+ACCIDENTES!AT34+ACCIDENTES!AO34+ACCIDENTES!AJ34+ACCIDENTES!AE34+ACCIDENTES!Z34+ACCIDENTES!U34+ACCIDENTES!P34+ACCIDENTES!K34+ACCIDENTES!F34)/(HH!F34+HH!J34+HH!N34+HH!R34+HH!V34+HH!Z34+HH!AD34+HH!AH34+HH!AL34+HH!AP34))*1000000</f>
        <v>0</v>
      </c>
      <c r="AG34" s="59">
        <f>((ACCIDENTES!BA34+ACCIDENTES!AV34+ACCIDENTES!AQ34+ACCIDENTES!AL34+ACCIDENTES!AG34+ACCIDENTES!AB34+ACCIDENTES!W34+ACCIDENTES!R34+ACCIDENTES!M34+ACCIDENTES!H34+ACCIDENTES!C34)/(HH!AT34+HH!AP34+HH!AL34+HH!AH34+HH!AD34+HH!Z34+HH!V34+HH!R34+HH!N34+HH!J34+HH!F34))*1000000</f>
        <v>0</v>
      </c>
      <c r="AH34" s="59">
        <f>((ACCIDENTES!D34+ACCIDENTES!I34+ACCIDENTES!N34+ACCIDENTES!S34+ACCIDENTES!X34+ACCIDENTES!AC34+ACCIDENTES!AH34+ACCIDENTES!AM34+ACCIDENTES!AR34+ACCIDENTES!AW34+ACCIDENTES!BB34)/(HH!F34+HH!J34+HH!N34+HH!R34+HH!V34+HH!Z34+HH!AD34+HH!AH34+HH!AL34+HH!AP34+HH!AT34))*1000000</f>
        <v>0</v>
      </c>
      <c r="AI34" s="59">
        <f>((ACCIDENTES!BD34+ACCIDENTES!AY34+ACCIDENTES!AT34+ACCIDENTES!AO34+ACCIDENTES!AJ34+ACCIDENTES!AE34+ACCIDENTES!Z34+ACCIDENTES!U34+ACCIDENTES!P34+ACCIDENTES!K34+ACCIDENTES!F34)/(HH!F34+HH!J34+HH!N34+HH!R34+HH!V34+HH!Z34+HH!AD34+HH!AH34+HH!AL34+HH!AP34+HH!AT34))*1000000</f>
        <v>0</v>
      </c>
      <c r="AJ34" s="59">
        <f>(ACCIDENTES!BK34/HH!BB34)*1000000</f>
        <v>0</v>
      </c>
      <c r="AK34" s="59">
        <f>(ACCIDENTES!BL34/HH!BB34)*1000000</f>
        <v>0</v>
      </c>
      <c r="AL34" s="59">
        <f>(ACCIDENTES!BN34/HH!BB34)*1000000</f>
        <v>0</v>
      </c>
      <c r="AN34" s="41">
        <f t="shared" si="0"/>
        <v>0</v>
      </c>
      <c r="AO34" s="41">
        <f t="shared" si="1"/>
        <v>0</v>
      </c>
      <c r="AP34" s="40"/>
      <c r="AR34" s="41"/>
      <c r="AS34" s="41"/>
      <c r="AT34" s="41"/>
      <c r="AV34" s="118"/>
      <c r="AW34" s="60"/>
      <c r="AX34" s="60"/>
      <c r="AY34" s="63"/>
      <c r="AZ34" s="118"/>
      <c r="BA34" s="60"/>
      <c r="BB34" s="60"/>
      <c r="BC34" s="63"/>
      <c r="BD34" s="118"/>
      <c r="BE34" s="60"/>
      <c r="BF34" s="60"/>
    </row>
    <row r="35" spans="1:65" outlineLevel="3" x14ac:dyDescent="0.3">
      <c r="A35" s="3" t="s">
        <v>25</v>
      </c>
      <c r="B35" s="4" t="s">
        <v>57</v>
      </c>
      <c r="C35" s="58">
        <f>(ACCIDENTES!C35/HH!F35)*1000000</f>
        <v>0</v>
      </c>
      <c r="D35" s="59">
        <f>(ACCIDENTES!D35/HH!F35)*1000000</f>
        <v>0</v>
      </c>
      <c r="E35" s="59">
        <f>(ACCIDENTES!F35/HH!F35)*1000000</f>
        <v>0</v>
      </c>
      <c r="F35" s="59">
        <f>((ACCIDENTES!C35+ACCIDENTES!H35)/(HH!F35+HH!J35))*1000000</f>
        <v>0</v>
      </c>
      <c r="G35" s="59">
        <f>((ACCIDENTES!D35+ACCIDENTES!I35)/(HH!F35+HH!J35))*1000000</f>
        <v>0</v>
      </c>
      <c r="H35" s="59">
        <f>((ACCIDENTES!F35+ACCIDENTES!K35)/(HH!F35+HH!J35))*1000000</f>
        <v>0</v>
      </c>
      <c r="I35" s="59">
        <f>((ACCIDENTES!C35+ACCIDENTES!H35+ACCIDENTES!M35)/(HH!F35+HH!J35+HH!N35))*1000000</f>
        <v>0</v>
      </c>
      <c r="J35" s="59">
        <f>((ACCIDENTES!D35+ACCIDENTES!I35+ACCIDENTES!N35)/(HH!F35+HH!J35+HH!N35))*1000000</f>
        <v>0</v>
      </c>
      <c r="K35" s="59">
        <f>((ACCIDENTES!F35+ACCIDENTES!K35+ACCIDENTES!P35)/(HH!J35+HH!N35+HH!F35))*1000000</f>
        <v>0</v>
      </c>
      <c r="L35" s="59">
        <f>((ACCIDENTES!C35+ACCIDENTES!H35+ACCIDENTES!M35+ACCIDENTES!R35)/(HH!F35+HH!J35+HH!N35+HH!R35))*1000000</f>
        <v>0</v>
      </c>
      <c r="M35" s="59">
        <f>((ACCIDENTES!D35+ACCIDENTES!I35+ACCIDENTES!N35+ACCIDENTES!S35)/(HH!F35+HH!J35+HH!N35+HH!R35))*1000000</f>
        <v>0</v>
      </c>
      <c r="N35" s="59">
        <f>((ACCIDENTES!F35+ACCIDENTES!K35+ACCIDENTES!P35+ACCIDENTES!U35)/(HH!F35+HH!J35+HH!N35+HH!R35))*1000000</f>
        <v>0</v>
      </c>
      <c r="O35" s="59">
        <f>((ACCIDENTES!C35+ACCIDENTES!H35+ACCIDENTES!M35+ACCIDENTES!R35+ACCIDENTES!W35)/(HH!F35+HH!J35+HH!N35+HH!R35+HH!V35))*1000000</f>
        <v>0</v>
      </c>
      <c r="P35" s="59">
        <f>(((ACCIDENTES!D35+ACCIDENTES!I35+ACCIDENTES!N35+ACCIDENTES!S35+ACCIDENTES!X35)/(HH!F35+HH!J35+HH!N35+HH!R35+HH!V35))*1000000)</f>
        <v>0</v>
      </c>
      <c r="Q35" s="59">
        <f>((ACCIDENTES!F35+ACCIDENTES!K35+ACCIDENTES!P35+ACCIDENTES!U35+ACCIDENTES!Z35)/(HH!F35+HH!J35+HH!N35+HH!R35+HH!V35))*1000000</f>
        <v>0</v>
      </c>
      <c r="R35" s="59">
        <f>(ACCIDENTES!C35+ACCIDENTES!H35+ACCIDENTES!M35+ACCIDENTES!R35+ACCIDENTES!W35+ACCIDENTES!AB35)*1000000/(HH!F35+HH!J35+HH!N35+HH!R35+HH!V35+HH!Z35)</f>
        <v>0</v>
      </c>
      <c r="S35" s="59">
        <f>(ACCIDENTES!D35+ACCIDENTES!I35+ACCIDENTES!N35+ACCIDENTES!S35+ACCIDENTES!X35+ACCIDENTES!AC35)*1000000/(HH!F35+HH!J35+HH!N35+HH!R35+HH!V35+HH!Z35)</f>
        <v>0</v>
      </c>
      <c r="T35" s="59">
        <f>(ACCIDENTES!F35+ACCIDENTES!K35+ACCIDENTES!P35+ACCIDENTES!U35+ACCIDENTES!Z35+ACCIDENTES!AE35)*1000000/(HH!F35+HH!J35+HH!N35+HH!R35+HH!V35+HH!Z35)</f>
        <v>0</v>
      </c>
      <c r="U35" s="59">
        <f>((ACCIDENTES!C35+ACCIDENTES!H35+ACCIDENTES!M35+ACCIDENTES!R35+ACCIDENTES!W35+ACCIDENTES!AB35+ACCIDENTES!AG35)/(HH!F35+HH!J35+HH!N35+HH!R35+HH!V35+HH!Z35+HH!AD35))*1000000</f>
        <v>0</v>
      </c>
      <c r="V35" s="59">
        <f>((ACCIDENTES!D35+ACCIDENTES!I35+ACCIDENTES!N35+ACCIDENTES!S35+ACCIDENTES!X35+ACCIDENTES!AC35+ACCIDENTES!AH35)/(HH!F35+HH!J35+HH!N35+HH!R35+HH!V35+HH!Z35+HH!AD35))*1000000</f>
        <v>0</v>
      </c>
      <c r="W35" s="59">
        <f>((ACCIDENTES!F35+ACCIDENTES!K35+ACCIDENTES!P35+ACCIDENTES!U35+ACCIDENTES!Z35+ACCIDENTES!AE35+ACCIDENTES!AJ35)/(HH!F35+HH!J35+HH!N35+HH!R35+HH!V35+HH!Z35+HH!AD35))*1000000</f>
        <v>0</v>
      </c>
      <c r="X35" s="59">
        <f>((ACCIDENTES!C35+ACCIDENTES!H35+ACCIDENTES!M35+ACCIDENTES!R35+ACCIDENTES!W35+ACCIDENTES!AB35+ACCIDENTES!AG35+ACCIDENTES!AL35)/(HH!F35+HH!J35+HH!N35+HH!R35+HH!V35+HH!Z35+HH!AD35+HH!AH35))*1000000</f>
        <v>0</v>
      </c>
      <c r="Y35" s="59">
        <f>((ACCIDENTES!D35+ACCIDENTES!I35+ACCIDENTES!N35+ACCIDENTES!S35+ACCIDENTES!X35+ACCIDENTES!AC35+ACCIDENTES!AH35+ACCIDENTES!AM35)/(HH!F35+HH!J35+HH!N35+HH!R35+HH!V35+HH!Z35+HH!AD35+HH!AH35))*1000000</f>
        <v>0</v>
      </c>
      <c r="Z35" s="59">
        <f>((ACCIDENTES!F35+ACCIDENTES!K35+ACCIDENTES!P35+ACCIDENTES!U35+ACCIDENTES!Z35+ACCIDENTES!AE35+ACCIDENTES!AJ35+ACCIDENTES!AO35)/(HH!F35+HH!J35+HH!N35+HH!R35+HH!V35+HH!Z35+HH!AD35+HH!AH35))*1000000</f>
        <v>0</v>
      </c>
      <c r="AA35" s="59">
        <f>((ACCIDENTES!AQ35+ACCIDENTES!AL35+ACCIDENTES!AG35+ACCIDENTES!AB35+ACCIDENTES!W35+ACCIDENTES!R35+ACCIDENTES!M35+ACCIDENTES!H35+ACCIDENTES!C35)/(HH!AL35+HH!AH35+HH!AD35+HH!Z35+HH!V35+HH!R35+HH!N35+HH!J35+HH!F35))*1000000</f>
        <v>0</v>
      </c>
      <c r="AB35" s="59">
        <f>((ACCIDENTES!AR35+ACCIDENTES!AM35+ACCIDENTES!AH35+ACCIDENTES!AC35+ACCIDENTES!X35+ACCIDENTES!S35+ACCIDENTES!N35+ACCIDENTES!I35+ACCIDENTES!D35)/(HH!AL35+HH!AH35+HH!AD35+HH!Z35+HH!V35+HH!R35+HH!N35+HH!J35+HH!F35))*1000000</f>
        <v>0</v>
      </c>
      <c r="AC35" s="59">
        <f>((ACCIDENTES!F35+ACCIDENTES!K35+ACCIDENTES!P35+ACCIDENTES!U35+ACCIDENTES!Z35+ACCIDENTES!AE35+ACCIDENTES!AJ35+ACCIDENTES!AO35+ACCIDENTES!AT35)/(HH!F35+HH!J35+HH!N35+HH!R35+HH!V35+HH!Z35+HH!AD35+HH!AH35+HH!AL35))*1000000</f>
        <v>0</v>
      </c>
      <c r="AD35" s="59">
        <f>((ACCIDENTES!AV35+ACCIDENTES!AQ35+ACCIDENTES!AL35+ACCIDENTES!AG35+ACCIDENTES!AB35+ACCIDENTES!W35+ACCIDENTES!R35+ACCIDENTES!M35+ACCIDENTES!H35+ACCIDENTES!C35)/(HH!F35+HH!J35+HH!N35+HH!R35+HH!V35+HH!Z35+HH!AD35+HH!AH35+HH!AL35+HH!AP35))*1000000</f>
        <v>0</v>
      </c>
      <c r="AE35" s="59">
        <f>((ACCIDENTES!D35+ACCIDENTES!I35+ACCIDENTES!N35+ACCIDENTES!S35+ACCIDENTES!X35+ACCIDENTES!AC35+ACCIDENTES!AH35+ACCIDENTES!AM35+ACCIDENTES!AR35+ACCIDENTES!AW35)/(HH!AP35+HH!AL35+HH!AH35+HH!AD35+HH!Z35+HH!V35+HH!R35+HH!N35+HH!J35+HH!F35))*1000000</f>
        <v>0</v>
      </c>
      <c r="AF35" s="59">
        <f>((ACCIDENTES!AY35+ACCIDENTES!AT35+ACCIDENTES!AO35+ACCIDENTES!AJ35+ACCIDENTES!AE35+ACCIDENTES!Z35+ACCIDENTES!U35+ACCIDENTES!P35+ACCIDENTES!K35+ACCIDENTES!F35)/(HH!F35+HH!J35+HH!N35+HH!R35+HH!V35+HH!Z35+HH!AD35+HH!AH35+HH!AL35+HH!AP35))*1000000</f>
        <v>0</v>
      </c>
      <c r="AG35" s="59">
        <f>((ACCIDENTES!BA35+ACCIDENTES!AV35+ACCIDENTES!AQ35+ACCIDENTES!AL35+ACCIDENTES!AG35+ACCIDENTES!AB35+ACCIDENTES!W35+ACCIDENTES!R35+ACCIDENTES!M35+ACCIDENTES!H35+ACCIDENTES!C35)/(HH!AT35+HH!AP35+HH!AL35+HH!AH35+HH!AD35+HH!Z35+HH!V35+HH!R35+HH!N35+HH!J35+HH!F35))*1000000</f>
        <v>0</v>
      </c>
      <c r="AH35" s="59">
        <f>((ACCIDENTES!D35+ACCIDENTES!I35+ACCIDENTES!N35+ACCIDENTES!S35+ACCIDENTES!X35+ACCIDENTES!AC35+ACCIDENTES!AH35+ACCIDENTES!AM35+ACCIDENTES!AR35+ACCIDENTES!AW35+ACCIDENTES!BB35)/(HH!F35+HH!J35+HH!N35+HH!R35+HH!V35+HH!Z35+HH!AD35+HH!AH35+HH!AL35+HH!AP35+HH!AT35))*1000000</f>
        <v>0</v>
      </c>
      <c r="AI35" s="59">
        <f>((ACCIDENTES!BD35+ACCIDENTES!AY35+ACCIDENTES!AT35+ACCIDENTES!AO35+ACCIDENTES!AJ35+ACCIDENTES!AE35+ACCIDENTES!Z35+ACCIDENTES!U35+ACCIDENTES!P35+ACCIDENTES!K35+ACCIDENTES!F35)/(HH!F35+HH!J35+HH!N35+HH!R35+HH!V35+HH!Z35+HH!AD35+HH!AH35+HH!AL35+HH!AP35+HH!AT35))*1000000</f>
        <v>0</v>
      </c>
      <c r="AJ35" s="59">
        <f>(ACCIDENTES!BK35/HH!BB35)*1000000</f>
        <v>0</v>
      </c>
      <c r="AK35" s="59">
        <f>(ACCIDENTES!BL35/HH!BB35)*1000000</f>
        <v>0</v>
      </c>
      <c r="AL35" s="59">
        <f>(ACCIDENTES!BN35/HH!BB35)*1000000</f>
        <v>0</v>
      </c>
      <c r="AN35" s="41">
        <f t="shared" si="0"/>
        <v>0</v>
      </c>
      <c r="AO35" s="41">
        <f t="shared" si="1"/>
        <v>0</v>
      </c>
      <c r="AP35" s="40"/>
      <c r="AR35" s="41"/>
      <c r="AS35" s="41"/>
      <c r="AT35" s="41"/>
      <c r="AV35" s="118"/>
      <c r="AW35" s="60"/>
      <c r="AX35" s="60"/>
      <c r="AY35" s="63"/>
      <c r="AZ35" s="118"/>
      <c r="BA35" s="60"/>
      <c r="BB35" s="60"/>
      <c r="BC35" s="63"/>
      <c r="BD35" s="118"/>
      <c r="BE35" s="60"/>
      <c r="BF35" s="60"/>
    </row>
    <row r="36" spans="1:65" outlineLevel="3" x14ac:dyDescent="0.3">
      <c r="A36" s="3" t="s">
        <v>25</v>
      </c>
      <c r="B36" s="4" t="s">
        <v>58</v>
      </c>
      <c r="C36" s="58">
        <f>(ACCIDENTES!C36/HH!F36)*1000000</f>
        <v>0</v>
      </c>
      <c r="D36" s="59">
        <f>(ACCIDENTES!D36/HH!F36)*1000000</f>
        <v>0</v>
      </c>
      <c r="E36" s="59">
        <f>(ACCIDENTES!F36/HH!F36)*1000000</f>
        <v>0</v>
      </c>
      <c r="F36" s="59">
        <f>((ACCIDENTES!C36+ACCIDENTES!H36)/(HH!F36+HH!J36))*1000000</f>
        <v>0</v>
      </c>
      <c r="G36" s="59">
        <f>((ACCIDENTES!D36+ACCIDENTES!I36)/(HH!F36+HH!J36))*1000000</f>
        <v>0</v>
      </c>
      <c r="H36" s="59">
        <f>((ACCIDENTES!F36+ACCIDENTES!K36)/(HH!F36+HH!J36))*1000000</f>
        <v>0</v>
      </c>
      <c r="I36" s="59">
        <f>((ACCIDENTES!C36+ACCIDENTES!H36+ACCIDENTES!M36)/(HH!F36+HH!J36+HH!N36))*1000000</f>
        <v>0</v>
      </c>
      <c r="J36" s="59">
        <f>((ACCIDENTES!D36+ACCIDENTES!I36+ACCIDENTES!N36)/(HH!F36+HH!J36+HH!N36))*1000000</f>
        <v>0</v>
      </c>
      <c r="K36" s="59">
        <f>((ACCIDENTES!F36+ACCIDENTES!K36+ACCIDENTES!P36)/(HH!J36+HH!N36+HH!F36))*1000000</f>
        <v>0</v>
      </c>
      <c r="L36" s="59">
        <f>((ACCIDENTES!C36+ACCIDENTES!H36+ACCIDENTES!M36+ACCIDENTES!R36)/(HH!F36+HH!J36+HH!N36+HH!R36))*1000000</f>
        <v>0</v>
      </c>
      <c r="M36" s="59">
        <f>((ACCIDENTES!D36+ACCIDENTES!I36+ACCIDENTES!N36+ACCIDENTES!S36)/(HH!F36+HH!J36+HH!N36+HH!R36))*1000000</f>
        <v>0</v>
      </c>
      <c r="N36" s="59">
        <f>((ACCIDENTES!F36+ACCIDENTES!K36+ACCIDENTES!P36+ACCIDENTES!U36)/(HH!F36+HH!J36+HH!N36+HH!R36))*1000000</f>
        <v>0</v>
      </c>
      <c r="O36" s="59">
        <f>((ACCIDENTES!C36+ACCIDENTES!H36+ACCIDENTES!M36+ACCIDENTES!R36+ACCIDENTES!W36)/(HH!F36+HH!J36+HH!N36+HH!R36+HH!V36))*1000000</f>
        <v>0</v>
      </c>
      <c r="P36" s="59">
        <f>(((ACCIDENTES!D36+ACCIDENTES!I36+ACCIDENTES!N36+ACCIDENTES!S36+ACCIDENTES!X36)/(HH!F36+HH!J36+HH!N36+HH!R36+HH!V36))*1000000)</f>
        <v>0</v>
      </c>
      <c r="Q36" s="59">
        <f>((ACCIDENTES!F36+ACCIDENTES!K36+ACCIDENTES!P36+ACCIDENTES!U36+ACCIDENTES!Z36)/(HH!F36+HH!J36+HH!N36+HH!R36+HH!V36))*1000000</f>
        <v>0</v>
      </c>
      <c r="R36" s="59">
        <f>(ACCIDENTES!C36+ACCIDENTES!H36+ACCIDENTES!M36+ACCIDENTES!R36+ACCIDENTES!W36+ACCIDENTES!AB36)*1000000/(HH!F36+HH!J36+HH!N36+HH!R36+HH!V36+HH!Z36)</f>
        <v>0</v>
      </c>
      <c r="S36" s="59">
        <f>(ACCIDENTES!D36+ACCIDENTES!I36+ACCIDENTES!N36+ACCIDENTES!S36+ACCIDENTES!X36+ACCIDENTES!AC36)*1000000/(HH!F36+HH!J36+HH!N36+HH!R36+HH!V36+HH!Z36)</f>
        <v>0</v>
      </c>
      <c r="T36" s="59">
        <f>(ACCIDENTES!F36+ACCIDENTES!K36+ACCIDENTES!P36+ACCIDENTES!U36+ACCIDENTES!Z36+ACCIDENTES!AE36)*1000000/(HH!F36+HH!J36+HH!N36+HH!R36+HH!V36+HH!Z36)</f>
        <v>0</v>
      </c>
      <c r="U36" s="59">
        <f>((ACCIDENTES!C36+ACCIDENTES!H36+ACCIDENTES!M36+ACCIDENTES!R36+ACCIDENTES!W36+ACCIDENTES!AB36+ACCIDENTES!AG36)/(HH!F36+HH!J36+HH!N36+HH!R36+HH!V36+HH!Z36+HH!AD36))*1000000</f>
        <v>0</v>
      </c>
      <c r="V36" s="59">
        <f>((ACCIDENTES!D36+ACCIDENTES!I36+ACCIDENTES!N36+ACCIDENTES!S36+ACCIDENTES!X36+ACCIDENTES!AC36+ACCIDENTES!AH36)/(HH!F36+HH!J36+HH!N36+HH!R36+HH!V36+HH!Z36+HH!AD36))*1000000</f>
        <v>0</v>
      </c>
      <c r="W36" s="59">
        <f>((ACCIDENTES!F36+ACCIDENTES!K36+ACCIDENTES!P36+ACCIDENTES!U36+ACCIDENTES!Z36+ACCIDENTES!AE36+ACCIDENTES!AJ36)/(HH!F36+HH!J36+HH!N36+HH!R36+HH!V36+HH!Z36+HH!AD36))*1000000</f>
        <v>0</v>
      </c>
      <c r="X36" s="59">
        <f>((ACCIDENTES!C36+ACCIDENTES!H36+ACCIDENTES!M36+ACCIDENTES!R36+ACCIDENTES!W36+ACCIDENTES!AB36+ACCIDENTES!AG36+ACCIDENTES!AL36)/(HH!F36+HH!J36+HH!N36+HH!R36+HH!V36+HH!Z36+HH!AD36+HH!AH36))*1000000</f>
        <v>0</v>
      </c>
      <c r="Y36" s="59">
        <f>((ACCIDENTES!D36+ACCIDENTES!I36+ACCIDENTES!N36+ACCIDENTES!S36+ACCIDENTES!X36+ACCIDENTES!AC36+ACCIDENTES!AH36+ACCIDENTES!AM36)/(HH!F36+HH!J36+HH!N36+HH!R36+HH!V36+HH!Z36+HH!AD36+HH!AH36))*1000000</f>
        <v>0</v>
      </c>
      <c r="Z36" s="59">
        <f>((ACCIDENTES!F36+ACCIDENTES!K36+ACCIDENTES!P36+ACCIDENTES!U36+ACCIDENTES!Z36+ACCIDENTES!AE36+ACCIDENTES!AJ36+ACCIDENTES!AO36)/(HH!F36+HH!J36+HH!N36+HH!R36+HH!V36+HH!Z36+HH!AD36+HH!AH36))*1000000</f>
        <v>0</v>
      </c>
      <c r="AA36" s="59">
        <f>((ACCIDENTES!AQ36+ACCIDENTES!AL36+ACCIDENTES!AG36+ACCIDENTES!AB36+ACCIDENTES!W36+ACCIDENTES!R36+ACCIDENTES!M36+ACCIDENTES!H36+ACCIDENTES!C36)/(HH!AL36+HH!AH36+HH!AD36+HH!Z36+HH!V36+HH!R36+HH!N36+HH!J36+HH!F36))*1000000</f>
        <v>0</v>
      </c>
      <c r="AB36" s="59">
        <f>((ACCIDENTES!AR36+ACCIDENTES!AM36+ACCIDENTES!AH36+ACCIDENTES!AC36+ACCIDENTES!X36+ACCIDENTES!S36+ACCIDENTES!N36+ACCIDENTES!I36+ACCIDENTES!D36)/(HH!AL36+HH!AH36+HH!AD36+HH!Z36+HH!V36+HH!R36+HH!N36+HH!J36+HH!F36))*1000000</f>
        <v>0</v>
      </c>
      <c r="AC36" s="59">
        <f>((ACCIDENTES!F36+ACCIDENTES!K36+ACCIDENTES!P36+ACCIDENTES!U36+ACCIDENTES!Z36+ACCIDENTES!AE36+ACCIDENTES!AJ36+ACCIDENTES!AO36+ACCIDENTES!AT36)/(HH!F36+HH!J36+HH!N36+HH!R36+HH!V36+HH!Z36+HH!AD36+HH!AH36+HH!AL36))*1000000</f>
        <v>0</v>
      </c>
      <c r="AD36" s="59">
        <f>((ACCIDENTES!AV36+ACCIDENTES!AQ36+ACCIDENTES!AL36+ACCIDENTES!AG36+ACCIDENTES!AB36+ACCIDENTES!W36+ACCIDENTES!R36+ACCIDENTES!M36+ACCIDENTES!H36+ACCIDENTES!C36)/(HH!F36+HH!J36+HH!N36+HH!R36+HH!V36+HH!Z36+HH!AD36+HH!AH36+HH!AL36+HH!AP36))*1000000</f>
        <v>0</v>
      </c>
      <c r="AE36" s="59">
        <f>((ACCIDENTES!D36+ACCIDENTES!I36+ACCIDENTES!N36+ACCIDENTES!S36+ACCIDENTES!X36+ACCIDENTES!AC36+ACCIDENTES!AH36+ACCIDENTES!AM36+ACCIDENTES!AR36+ACCIDENTES!AW36)/(HH!AP36+HH!AL36+HH!AH36+HH!AD36+HH!Z36+HH!V36+HH!R36+HH!N36+HH!J36+HH!F36))*1000000</f>
        <v>0</v>
      </c>
      <c r="AF36" s="59">
        <f>((ACCIDENTES!AY36+ACCIDENTES!AT36+ACCIDENTES!AO36+ACCIDENTES!AJ36+ACCIDENTES!AE36+ACCIDENTES!Z36+ACCIDENTES!U36+ACCIDENTES!P36+ACCIDENTES!K36+ACCIDENTES!F36)/(HH!F36+HH!J36+HH!N36+HH!R36+HH!V36+HH!Z36+HH!AD36+HH!AH36+HH!AL36+HH!AP36))*1000000</f>
        <v>0</v>
      </c>
      <c r="AG36" s="59">
        <f>((ACCIDENTES!BA36+ACCIDENTES!AV36+ACCIDENTES!AQ36+ACCIDENTES!AL36+ACCIDENTES!AG36+ACCIDENTES!AB36+ACCIDENTES!W36+ACCIDENTES!R36+ACCIDENTES!M36+ACCIDENTES!H36+ACCIDENTES!C36)/(HH!AT36+HH!AP36+HH!AL36+HH!AH36+HH!AD36+HH!Z36+HH!V36+HH!R36+HH!N36+HH!J36+HH!F36))*1000000</f>
        <v>0</v>
      </c>
      <c r="AH36" s="59">
        <f>((ACCIDENTES!D36+ACCIDENTES!I36+ACCIDENTES!N36+ACCIDENTES!S36+ACCIDENTES!X36+ACCIDENTES!AC36+ACCIDENTES!AH36+ACCIDENTES!AM36+ACCIDENTES!AR36+ACCIDENTES!AW36+ACCIDENTES!BB36)/(HH!F36+HH!J36+HH!N36+HH!R36+HH!V36+HH!Z36+HH!AD36+HH!AH36+HH!AL36+HH!AP36+HH!AT36))*1000000</f>
        <v>0</v>
      </c>
      <c r="AI36" s="59">
        <f>((ACCIDENTES!BD36+ACCIDENTES!AY36+ACCIDENTES!AT36+ACCIDENTES!AO36+ACCIDENTES!AJ36+ACCIDENTES!AE36+ACCIDENTES!Z36+ACCIDENTES!U36+ACCIDENTES!P36+ACCIDENTES!K36+ACCIDENTES!F36)/(HH!F36+HH!J36+HH!N36+HH!R36+HH!V36+HH!Z36+HH!AD36+HH!AH36+HH!AL36+HH!AP36+HH!AT36))*1000000</f>
        <v>0</v>
      </c>
      <c r="AJ36" s="59">
        <f>(ACCIDENTES!BK36/HH!BB36)*1000000</f>
        <v>0</v>
      </c>
      <c r="AK36" s="59">
        <f>(ACCIDENTES!BL36/HH!BB36)*1000000</f>
        <v>0</v>
      </c>
      <c r="AL36" s="59">
        <f>(ACCIDENTES!BN36/HH!BB36)*1000000</f>
        <v>0</v>
      </c>
      <c r="AN36" s="41">
        <f t="shared" si="0"/>
        <v>0</v>
      </c>
      <c r="AO36" s="41">
        <f t="shared" si="1"/>
        <v>0</v>
      </c>
      <c r="AP36" s="40"/>
      <c r="AR36" s="41"/>
      <c r="AS36" s="41"/>
      <c r="AT36" s="41"/>
      <c r="AV36" s="118"/>
      <c r="AW36" s="60"/>
      <c r="AX36" s="60"/>
      <c r="AY36" s="63"/>
      <c r="AZ36" s="118"/>
      <c r="BA36" s="60"/>
      <c r="BB36" s="60"/>
      <c r="BC36" s="63"/>
      <c r="BD36" s="118"/>
      <c r="BE36" s="60"/>
      <c r="BF36" s="60"/>
    </row>
    <row r="37" spans="1:65" outlineLevel="3" x14ac:dyDescent="0.3">
      <c r="A37" s="3" t="s">
        <v>25</v>
      </c>
      <c r="B37" s="4" t="s">
        <v>59</v>
      </c>
      <c r="C37" s="58">
        <f>(ACCIDENTES!C37/HH!F37)*1000000</f>
        <v>0</v>
      </c>
      <c r="D37" s="59">
        <f>(ACCIDENTES!D37/HH!F37)*1000000</f>
        <v>0</v>
      </c>
      <c r="E37" s="59">
        <f>(ACCIDENTES!F37/HH!F37)*1000000</f>
        <v>0</v>
      </c>
      <c r="F37" s="59">
        <f>((ACCIDENTES!C37+ACCIDENTES!H37)/(HH!F37+HH!J37))*1000000</f>
        <v>0</v>
      </c>
      <c r="G37" s="59">
        <f>((ACCIDENTES!D37+ACCIDENTES!I37)/(HH!F37+HH!J37))*1000000</f>
        <v>0</v>
      </c>
      <c r="H37" s="59">
        <f>((ACCIDENTES!F37+ACCIDENTES!K37)/(HH!F37+HH!J37))*1000000</f>
        <v>0</v>
      </c>
      <c r="I37" s="59">
        <f>((ACCIDENTES!C37+ACCIDENTES!H37+ACCIDENTES!M37)/(HH!F37+HH!J37+HH!N37))*1000000</f>
        <v>0</v>
      </c>
      <c r="J37" s="59">
        <f>((ACCIDENTES!D37+ACCIDENTES!I37+ACCIDENTES!N37)/(HH!F37+HH!J37+HH!N37))*1000000</f>
        <v>0</v>
      </c>
      <c r="K37" s="59">
        <f>((ACCIDENTES!F37+ACCIDENTES!K37+ACCIDENTES!P37)/(HH!J37+HH!N37+HH!F37))*1000000</f>
        <v>0</v>
      </c>
      <c r="L37" s="59">
        <f>((ACCIDENTES!C37+ACCIDENTES!H37+ACCIDENTES!M37+ACCIDENTES!R37)/(HH!F37+HH!J37+HH!N37+HH!R37))*1000000</f>
        <v>0</v>
      </c>
      <c r="M37" s="59">
        <f>((ACCIDENTES!D37+ACCIDENTES!I37+ACCIDENTES!N37+ACCIDENTES!S37)/(HH!F37+HH!J37+HH!N37+HH!R37))*1000000</f>
        <v>0</v>
      </c>
      <c r="N37" s="59">
        <f>((ACCIDENTES!F37+ACCIDENTES!K37+ACCIDENTES!P37+ACCIDENTES!U37)/(HH!F37+HH!J37+HH!N37+HH!R37))*1000000</f>
        <v>0</v>
      </c>
      <c r="O37" s="59">
        <f>((ACCIDENTES!C37+ACCIDENTES!H37+ACCIDENTES!M37+ACCIDENTES!R37+ACCIDENTES!W37)/(HH!F37+HH!J37+HH!N37+HH!R37+HH!V37))*1000000</f>
        <v>0</v>
      </c>
      <c r="P37" s="59">
        <f>(((ACCIDENTES!D37+ACCIDENTES!I37+ACCIDENTES!N37+ACCIDENTES!S37+ACCIDENTES!X37)/(HH!F37+HH!J37+HH!N37+HH!R37+HH!V37))*1000000)</f>
        <v>0</v>
      </c>
      <c r="Q37" s="59">
        <f>((ACCIDENTES!F37+ACCIDENTES!K37+ACCIDENTES!P37+ACCIDENTES!U37+ACCIDENTES!Z37)/(HH!F37+HH!J37+HH!N37+HH!R37+HH!V37))*1000000</f>
        <v>0</v>
      </c>
      <c r="R37" s="59">
        <f>(ACCIDENTES!C37+ACCIDENTES!H37+ACCIDENTES!M37+ACCIDENTES!R37+ACCIDENTES!W37+ACCIDENTES!AB37)*1000000/(HH!F37+HH!J37+HH!N37+HH!R37+HH!V37+HH!Z37)</f>
        <v>0</v>
      </c>
      <c r="S37" s="59">
        <f>(ACCIDENTES!D37+ACCIDENTES!I37+ACCIDENTES!N37+ACCIDENTES!S37+ACCIDENTES!X37+ACCIDENTES!AC37)*1000000/(HH!F37+HH!J37+HH!N37+HH!R37+HH!V37+HH!Z37)</f>
        <v>0</v>
      </c>
      <c r="T37" s="59">
        <f>(ACCIDENTES!F37+ACCIDENTES!K37+ACCIDENTES!P37+ACCIDENTES!U37+ACCIDENTES!Z37+ACCIDENTES!AE37)*1000000/(HH!F37+HH!J37+HH!N37+HH!R37+HH!V37+HH!Z37)</f>
        <v>0</v>
      </c>
      <c r="U37" s="59">
        <f>((ACCIDENTES!C37+ACCIDENTES!H37+ACCIDENTES!M37+ACCIDENTES!R37+ACCIDENTES!W37+ACCIDENTES!AB37+ACCIDENTES!AG37)/(HH!F37+HH!J37+HH!N37+HH!R37+HH!V37+HH!Z37+HH!AD37))*1000000</f>
        <v>0</v>
      </c>
      <c r="V37" s="59">
        <f>((ACCIDENTES!D37+ACCIDENTES!I37+ACCIDENTES!N37+ACCIDENTES!S37+ACCIDENTES!X37+ACCIDENTES!AC37+ACCIDENTES!AH37)/(HH!F37+HH!J37+HH!N37+HH!R37+HH!V37+HH!Z37+HH!AD37))*1000000</f>
        <v>0</v>
      </c>
      <c r="W37" s="59">
        <f>((ACCIDENTES!F37+ACCIDENTES!K37+ACCIDENTES!P37+ACCIDENTES!U37+ACCIDENTES!Z37+ACCIDENTES!AE37+ACCIDENTES!AJ37)/(HH!F37+HH!J37+HH!N37+HH!R37+HH!V37+HH!Z37+HH!AD37))*1000000</f>
        <v>0</v>
      </c>
      <c r="X37" s="59">
        <f>((ACCIDENTES!C37+ACCIDENTES!H37+ACCIDENTES!M37+ACCIDENTES!R37+ACCIDENTES!W37+ACCIDENTES!AB37+ACCIDENTES!AG37+ACCIDENTES!AL37)/(HH!F37+HH!J37+HH!N37+HH!R37+HH!V37+HH!Z37+HH!AD37+HH!AH37))*1000000</f>
        <v>0</v>
      </c>
      <c r="Y37" s="59">
        <f>((ACCIDENTES!D37+ACCIDENTES!I37+ACCIDENTES!N37+ACCIDENTES!S37+ACCIDENTES!X37+ACCIDENTES!AC37+ACCIDENTES!AH37+ACCIDENTES!AM37)/(HH!F37+HH!J37+HH!N37+HH!R37+HH!V37+HH!Z37+HH!AD37+HH!AH37))*1000000</f>
        <v>0</v>
      </c>
      <c r="Z37" s="59">
        <f>((ACCIDENTES!F37+ACCIDENTES!K37+ACCIDENTES!P37+ACCIDENTES!U37+ACCIDENTES!Z37+ACCIDENTES!AE37+ACCIDENTES!AJ37+ACCIDENTES!AO37)/(HH!F37+HH!J37+HH!N37+HH!R37+HH!V37+HH!Z37+HH!AD37+HH!AH37))*1000000</f>
        <v>0</v>
      </c>
      <c r="AA37" s="59">
        <f>((ACCIDENTES!AQ37+ACCIDENTES!AL37+ACCIDENTES!AG37+ACCIDENTES!AB37+ACCIDENTES!W37+ACCIDENTES!R37+ACCIDENTES!M37+ACCIDENTES!H37+ACCIDENTES!C37)/(HH!AL37+HH!AH37+HH!AD37+HH!Z37+HH!V37+HH!R37+HH!N37+HH!J37+HH!F37))*1000000</f>
        <v>0</v>
      </c>
      <c r="AB37" s="59">
        <f>((ACCIDENTES!AR37+ACCIDENTES!AM37+ACCIDENTES!AH37+ACCIDENTES!AC37+ACCIDENTES!X37+ACCIDENTES!S37+ACCIDENTES!N37+ACCIDENTES!I37+ACCIDENTES!D37)/(HH!AL37+HH!AH37+HH!AD37+HH!Z37+HH!V37+HH!R37+HH!N37+HH!J37+HH!F37))*1000000</f>
        <v>0</v>
      </c>
      <c r="AC37" s="59">
        <f>((ACCIDENTES!F37+ACCIDENTES!K37+ACCIDENTES!P37+ACCIDENTES!U37+ACCIDENTES!Z37+ACCIDENTES!AE37+ACCIDENTES!AJ37+ACCIDENTES!AO37+ACCIDENTES!AT37)/(HH!F37+HH!J37+HH!N37+HH!R37+HH!V37+HH!Z37+HH!AD37+HH!AH37+HH!AL37))*1000000</f>
        <v>0</v>
      </c>
      <c r="AD37" s="59">
        <f>((ACCIDENTES!AV37+ACCIDENTES!AQ37+ACCIDENTES!AL37+ACCIDENTES!AG37+ACCIDENTES!AB37+ACCIDENTES!W37+ACCIDENTES!R37+ACCIDENTES!M37+ACCIDENTES!H37+ACCIDENTES!C37)/(HH!F37+HH!J37+HH!N37+HH!R37+HH!V37+HH!Z37+HH!AD37+HH!AH37+HH!AL37+HH!AP37))*1000000</f>
        <v>0</v>
      </c>
      <c r="AE37" s="59">
        <f>((ACCIDENTES!D37+ACCIDENTES!I37+ACCIDENTES!N37+ACCIDENTES!S37+ACCIDENTES!X37+ACCIDENTES!AC37+ACCIDENTES!AH37+ACCIDENTES!AM37+ACCIDENTES!AR37+ACCIDENTES!AW37)/(HH!AP37+HH!AL37+HH!AH37+HH!AD37+HH!Z37+HH!V37+HH!R37+HH!N37+HH!J37+HH!F37))*1000000</f>
        <v>0</v>
      </c>
      <c r="AF37" s="59">
        <f>((ACCIDENTES!AY37+ACCIDENTES!AT37+ACCIDENTES!AO37+ACCIDENTES!AJ37+ACCIDENTES!AE37+ACCIDENTES!Z37+ACCIDENTES!U37+ACCIDENTES!P37+ACCIDENTES!K37+ACCIDENTES!F37)/(HH!F37+HH!J37+HH!N37+HH!R37+HH!V37+HH!Z37+HH!AD37+HH!AH37+HH!AL37+HH!AP37))*1000000</f>
        <v>0</v>
      </c>
      <c r="AG37" s="59">
        <f>((ACCIDENTES!BA37+ACCIDENTES!AV37+ACCIDENTES!AQ37+ACCIDENTES!AL37+ACCIDENTES!AG37+ACCIDENTES!AB37+ACCIDENTES!W37+ACCIDENTES!R37+ACCIDENTES!M37+ACCIDENTES!H37+ACCIDENTES!C37)/(HH!AT37+HH!AP37+HH!AL37+HH!AH37+HH!AD37+HH!Z37+HH!V37+HH!R37+HH!N37+HH!J37+HH!F37))*1000000</f>
        <v>0</v>
      </c>
      <c r="AH37" s="59">
        <f>((ACCIDENTES!D37+ACCIDENTES!I37+ACCIDENTES!N37+ACCIDENTES!S37+ACCIDENTES!X37+ACCIDENTES!AC37+ACCIDENTES!AH37+ACCIDENTES!AM37+ACCIDENTES!AR37+ACCIDENTES!AW37+ACCIDENTES!BB37)/(HH!F37+HH!J37+HH!N37+HH!R37+HH!V37+HH!Z37+HH!AD37+HH!AH37+HH!AL37+HH!AP37+HH!AT37))*1000000</f>
        <v>0</v>
      </c>
      <c r="AI37" s="59">
        <f>((ACCIDENTES!BD37+ACCIDENTES!AY37+ACCIDENTES!AT37+ACCIDENTES!AO37+ACCIDENTES!AJ37+ACCIDENTES!AE37+ACCIDENTES!Z37+ACCIDENTES!U37+ACCIDENTES!P37+ACCIDENTES!K37+ACCIDENTES!F37)/(HH!F37+HH!J37+HH!N37+HH!R37+HH!V37+HH!Z37+HH!AD37+HH!AH37+HH!AL37+HH!AP37+HH!AT37))*1000000</f>
        <v>0</v>
      </c>
      <c r="AJ37" s="59">
        <f>(ACCIDENTES!BK37/HH!BB37)*1000000</f>
        <v>0</v>
      </c>
      <c r="AK37" s="59">
        <f>(ACCIDENTES!BL37/HH!BB37)*1000000</f>
        <v>0</v>
      </c>
      <c r="AL37" s="59">
        <f>(ACCIDENTES!BN37/HH!BB37)*1000000</f>
        <v>0</v>
      </c>
      <c r="AN37" s="41">
        <f t="shared" si="0"/>
        <v>0</v>
      </c>
      <c r="AO37" s="41">
        <f t="shared" si="1"/>
        <v>0</v>
      </c>
      <c r="AP37" s="40"/>
      <c r="AR37" s="41"/>
      <c r="AS37" s="41"/>
      <c r="AT37" s="41"/>
      <c r="AV37" s="118"/>
      <c r="AW37" s="60"/>
      <c r="AX37" s="60"/>
      <c r="AY37" s="63"/>
      <c r="AZ37" s="118"/>
      <c r="BA37" s="60"/>
      <c r="BB37" s="60"/>
      <c r="BC37" s="63"/>
      <c r="BD37" s="118"/>
      <c r="BE37" s="60"/>
      <c r="BF37" s="60"/>
    </row>
    <row r="38" spans="1:65" outlineLevel="3" x14ac:dyDescent="0.3">
      <c r="A38" s="3" t="s">
        <v>25</v>
      </c>
      <c r="B38" s="4" t="s">
        <v>60</v>
      </c>
      <c r="C38" s="58">
        <f>(ACCIDENTES!C38/HH!F38)*1000000</f>
        <v>0</v>
      </c>
      <c r="D38" s="59">
        <f>(ACCIDENTES!D38/HH!F38)*1000000</f>
        <v>0</v>
      </c>
      <c r="E38" s="59">
        <f>(ACCIDENTES!F38/HH!F38)*1000000</f>
        <v>0</v>
      </c>
      <c r="F38" s="59">
        <f>((ACCIDENTES!C38+ACCIDENTES!H38)/(HH!F38+HH!J38))*1000000</f>
        <v>0</v>
      </c>
      <c r="G38" s="59">
        <f>((ACCIDENTES!D38+ACCIDENTES!I38)/(HH!F38+HH!J38))*1000000</f>
        <v>0</v>
      </c>
      <c r="H38" s="59">
        <f>((ACCIDENTES!F38+ACCIDENTES!K38)/(HH!F38+HH!J38))*1000000</f>
        <v>0</v>
      </c>
      <c r="I38" s="59">
        <f>((ACCIDENTES!C38+ACCIDENTES!H38+ACCIDENTES!M38)/(HH!F38+HH!J38+HH!N38))*1000000</f>
        <v>0</v>
      </c>
      <c r="J38" s="59">
        <f>((ACCIDENTES!D38+ACCIDENTES!I38+ACCIDENTES!N38)/(HH!F38+HH!J38+HH!N38))*1000000</f>
        <v>0</v>
      </c>
      <c r="K38" s="59">
        <f>((ACCIDENTES!F38+ACCIDENTES!K38+ACCIDENTES!P38)/(HH!J38+HH!N38+HH!F38))*1000000</f>
        <v>0</v>
      </c>
      <c r="L38" s="59">
        <f>((ACCIDENTES!C38+ACCIDENTES!H38+ACCIDENTES!M38+ACCIDENTES!R38)/(HH!F38+HH!J38+HH!N38+HH!R38))*1000000</f>
        <v>0</v>
      </c>
      <c r="M38" s="59">
        <f>((ACCIDENTES!D38+ACCIDENTES!I38+ACCIDENTES!N38+ACCIDENTES!S38)/(HH!F38+HH!J38+HH!N38+HH!R38))*1000000</f>
        <v>0</v>
      </c>
      <c r="N38" s="59">
        <f>((ACCIDENTES!F38+ACCIDENTES!K38+ACCIDENTES!P38+ACCIDENTES!U38)/(HH!F38+HH!J38+HH!N38+HH!R38))*1000000</f>
        <v>0</v>
      </c>
      <c r="O38" s="59">
        <f>((ACCIDENTES!C38+ACCIDENTES!H38+ACCIDENTES!M38+ACCIDENTES!R38+ACCIDENTES!W38)/(HH!F38+HH!J38+HH!N38+HH!R38+HH!V38))*1000000</f>
        <v>0</v>
      </c>
      <c r="P38" s="59">
        <f>(((ACCIDENTES!D38+ACCIDENTES!I38+ACCIDENTES!N38+ACCIDENTES!S38+ACCIDENTES!X38)/(HH!F38+HH!J38+HH!N38+HH!R38+HH!V38))*1000000)</f>
        <v>0</v>
      </c>
      <c r="Q38" s="59">
        <f>((ACCIDENTES!F38+ACCIDENTES!K38+ACCIDENTES!P38+ACCIDENTES!U38+ACCIDENTES!Z38)/(HH!F38+HH!J38+HH!N38+HH!R38+HH!V38))*1000000</f>
        <v>0</v>
      </c>
      <c r="R38" s="59">
        <f>(ACCIDENTES!C38+ACCIDENTES!H38+ACCIDENTES!M38+ACCIDENTES!R38+ACCIDENTES!W38+ACCIDENTES!AB38)*1000000/(HH!F38+HH!J38+HH!N38+HH!R38+HH!V38+HH!Z38)</f>
        <v>0</v>
      </c>
      <c r="S38" s="59">
        <f>(ACCIDENTES!D38+ACCIDENTES!I38+ACCIDENTES!N38+ACCIDENTES!S38+ACCIDENTES!X38+ACCIDENTES!AC38)*1000000/(HH!F38+HH!J38+HH!N38+HH!R38+HH!V38+HH!Z38)</f>
        <v>0</v>
      </c>
      <c r="T38" s="59">
        <f>(ACCIDENTES!F38+ACCIDENTES!K38+ACCIDENTES!P38+ACCIDENTES!U38+ACCIDENTES!Z38+ACCIDENTES!AE38)*1000000/(HH!F38+HH!J38+HH!N38+HH!R38+HH!V38+HH!Z38)</f>
        <v>0</v>
      </c>
      <c r="U38" s="59">
        <f>((ACCIDENTES!C38+ACCIDENTES!H38+ACCIDENTES!M38+ACCIDENTES!R38+ACCIDENTES!W38+ACCIDENTES!AB38+ACCIDENTES!AG38)/(HH!F38+HH!J38+HH!N38+HH!R38+HH!V38+HH!Z38+HH!AD38))*1000000</f>
        <v>0</v>
      </c>
      <c r="V38" s="59">
        <f>((ACCIDENTES!D38+ACCIDENTES!I38+ACCIDENTES!N38+ACCIDENTES!S38+ACCIDENTES!X38+ACCIDENTES!AC38+ACCIDENTES!AH38)/(HH!F38+HH!J38+HH!N38+HH!R38+HH!V38+HH!Z38+HH!AD38))*1000000</f>
        <v>0</v>
      </c>
      <c r="W38" s="59">
        <f>((ACCIDENTES!F38+ACCIDENTES!K38+ACCIDENTES!P38+ACCIDENTES!U38+ACCIDENTES!Z38+ACCIDENTES!AE38+ACCIDENTES!AJ38)/(HH!F38+HH!J38+HH!N38+HH!R38+HH!V38+HH!Z38+HH!AD38))*1000000</f>
        <v>0</v>
      </c>
      <c r="X38" s="59">
        <f>((ACCIDENTES!C38+ACCIDENTES!H38+ACCIDENTES!M38+ACCIDENTES!R38+ACCIDENTES!W38+ACCIDENTES!AB38+ACCIDENTES!AG38+ACCIDENTES!AL38)/(HH!F38+HH!J38+HH!N38+HH!R38+HH!V38+HH!Z38+HH!AD38+HH!AH38))*1000000</f>
        <v>0</v>
      </c>
      <c r="Y38" s="59">
        <f>((ACCIDENTES!D38+ACCIDENTES!I38+ACCIDENTES!N38+ACCIDENTES!S38+ACCIDENTES!X38+ACCIDENTES!AC38+ACCIDENTES!AH38+ACCIDENTES!AM38)/(HH!F38+HH!J38+HH!N38+HH!R38+HH!V38+HH!Z38+HH!AD38+HH!AH38))*1000000</f>
        <v>0</v>
      </c>
      <c r="Z38" s="59">
        <f>((ACCIDENTES!F38+ACCIDENTES!K38+ACCIDENTES!P38+ACCIDENTES!U38+ACCIDENTES!Z38+ACCIDENTES!AE38+ACCIDENTES!AJ38+ACCIDENTES!AO38)/(HH!F38+HH!J38+HH!N38+HH!R38+HH!V38+HH!Z38+HH!AD38+HH!AH38))*1000000</f>
        <v>0</v>
      </c>
      <c r="AA38" s="59">
        <f>((ACCIDENTES!AQ38+ACCIDENTES!AL38+ACCIDENTES!AG38+ACCIDENTES!AB38+ACCIDENTES!W38+ACCIDENTES!R38+ACCIDENTES!M38+ACCIDENTES!H38+ACCIDENTES!C38)/(HH!AL38+HH!AH38+HH!AD38+HH!Z38+HH!V38+HH!R38+HH!N38+HH!J38+HH!F38))*1000000</f>
        <v>0</v>
      </c>
      <c r="AB38" s="59">
        <f>((ACCIDENTES!AR38+ACCIDENTES!AM38+ACCIDENTES!AH38+ACCIDENTES!AC38+ACCIDENTES!X38+ACCIDENTES!S38+ACCIDENTES!N38+ACCIDENTES!I38+ACCIDENTES!D38)/(HH!AL38+HH!AH38+HH!AD38+HH!Z38+HH!V38+HH!R38+HH!N38+HH!J38+HH!F38))*1000000</f>
        <v>0</v>
      </c>
      <c r="AC38" s="59">
        <f>((ACCIDENTES!F38+ACCIDENTES!K38+ACCIDENTES!P38+ACCIDENTES!U38+ACCIDENTES!Z38+ACCIDENTES!AE38+ACCIDENTES!AJ38+ACCIDENTES!AO38+ACCIDENTES!AT38)/(HH!F38+HH!J38+HH!N38+HH!R38+HH!V38+HH!Z38+HH!AD38+HH!AH38+HH!AL38))*1000000</f>
        <v>0</v>
      </c>
      <c r="AD38" s="59">
        <f>((ACCIDENTES!AV38+ACCIDENTES!AQ38+ACCIDENTES!AL38+ACCIDENTES!AG38+ACCIDENTES!AB38+ACCIDENTES!W38+ACCIDENTES!R38+ACCIDENTES!M38+ACCIDENTES!H38+ACCIDENTES!C38)/(HH!F38+HH!J38+HH!N38+HH!R38+HH!V38+HH!Z38+HH!AD38+HH!AH38+HH!AL38+HH!AP38))*1000000</f>
        <v>0</v>
      </c>
      <c r="AE38" s="59">
        <f>((ACCIDENTES!D38+ACCIDENTES!I38+ACCIDENTES!N38+ACCIDENTES!S38+ACCIDENTES!X38+ACCIDENTES!AC38+ACCIDENTES!AH38+ACCIDENTES!AM38+ACCIDENTES!AR38+ACCIDENTES!AW38)/(HH!AP38+HH!AL38+HH!AH38+HH!AD38+HH!Z38+HH!V38+HH!R38+HH!N38+HH!J38+HH!F38))*1000000</f>
        <v>0</v>
      </c>
      <c r="AF38" s="59">
        <f>((ACCIDENTES!AY38+ACCIDENTES!AT38+ACCIDENTES!AO38+ACCIDENTES!AJ38+ACCIDENTES!AE38+ACCIDENTES!Z38+ACCIDENTES!U38+ACCIDENTES!P38+ACCIDENTES!K38+ACCIDENTES!F38)/(HH!F38+HH!J38+HH!N38+HH!R38+HH!V38+HH!Z38+HH!AD38+HH!AH38+HH!AL38+HH!AP38))*1000000</f>
        <v>0</v>
      </c>
      <c r="AG38" s="59">
        <f>((ACCIDENTES!BA38+ACCIDENTES!AV38+ACCIDENTES!AQ38+ACCIDENTES!AL38+ACCIDENTES!AG38+ACCIDENTES!AB38+ACCIDENTES!W38+ACCIDENTES!R38+ACCIDENTES!M38+ACCIDENTES!H38+ACCIDENTES!C38)/(HH!AT38+HH!AP38+HH!AL38+HH!AH38+HH!AD38+HH!Z38+HH!V38+HH!R38+HH!N38+HH!J38+HH!F38))*1000000</f>
        <v>0</v>
      </c>
      <c r="AH38" s="59">
        <f>((ACCIDENTES!D38+ACCIDENTES!I38+ACCIDENTES!N38+ACCIDENTES!S38+ACCIDENTES!X38+ACCIDENTES!AC38+ACCIDENTES!AH38+ACCIDENTES!AM38+ACCIDENTES!AR38+ACCIDENTES!AW38+ACCIDENTES!BB38)/(HH!F38+HH!J38+HH!N38+HH!R38+HH!V38+HH!Z38+HH!AD38+HH!AH38+HH!AL38+HH!AP38+HH!AT38))*1000000</f>
        <v>0</v>
      </c>
      <c r="AI38" s="59">
        <f>((ACCIDENTES!BD38+ACCIDENTES!AY38+ACCIDENTES!AT38+ACCIDENTES!AO38+ACCIDENTES!AJ38+ACCIDENTES!AE38+ACCIDENTES!Z38+ACCIDENTES!U38+ACCIDENTES!P38+ACCIDENTES!K38+ACCIDENTES!F38)/(HH!F38+HH!J38+HH!N38+HH!R38+HH!V38+HH!Z38+HH!AD38+HH!AH38+HH!AL38+HH!AP38+HH!AT38))*1000000</f>
        <v>0</v>
      </c>
      <c r="AJ38" s="59">
        <f>(ACCIDENTES!BK38/HH!BB38)*1000000</f>
        <v>0</v>
      </c>
      <c r="AK38" s="59">
        <f>(ACCIDENTES!BL38/HH!BB38)*1000000</f>
        <v>0</v>
      </c>
      <c r="AL38" s="59">
        <f>(ACCIDENTES!BN38/HH!BB38)*1000000</f>
        <v>0</v>
      </c>
      <c r="AN38" s="41">
        <f t="shared" si="0"/>
        <v>0</v>
      </c>
      <c r="AO38" s="41">
        <f t="shared" si="1"/>
        <v>0</v>
      </c>
      <c r="AP38" s="40"/>
      <c r="AR38" s="41"/>
      <c r="AS38" s="41"/>
      <c r="AT38" s="41"/>
      <c r="AV38" s="118"/>
      <c r="AW38" s="60"/>
      <c r="AX38" s="60"/>
      <c r="AY38" s="63"/>
      <c r="AZ38" s="118"/>
      <c r="BA38" s="60"/>
      <c r="BB38" s="60"/>
      <c r="BC38" s="63"/>
      <c r="BD38" s="118"/>
      <c r="BE38" s="60"/>
      <c r="BF38" s="60"/>
    </row>
    <row r="39" spans="1:65" outlineLevel="3" x14ac:dyDescent="0.3">
      <c r="A39" s="3" t="s">
        <v>25</v>
      </c>
      <c r="B39" s="4" t="s">
        <v>61</v>
      </c>
      <c r="C39" s="58">
        <f>(ACCIDENTES!C39/HH!F39)*1000000</f>
        <v>0</v>
      </c>
      <c r="D39" s="59">
        <f>(ACCIDENTES!D39/HH!F39)*1000000</f>
        <v>0</v>
      </c>
      <c r="E39" s="59">
        <f>(ACCIDENTES!F39/HH!F39)*1000000</f>
        <v>0</v>
      </c>
      <c r="F39" s="59">
        <f>((ACCIDENTES!C39+ACCIDENTES!H39)/(HH!F39+HH!J39))*1000000</f>
        <v>0</v>
      </c>
      <c r="G39" s="59">
        <f>((ACCIDENTES!D39+ACCIDENTES!I39)/(HH!F39+HH!J39))*1000000</f>
        <v>0</v>
      </c>
      <c r="H39" s="59">
        <f>((ACCIDENTES!F39+ACCIDENTES!K39)/(HH!F39+HH!J39))*1000000</f>
        <v>0</v>
      </c>
      <c r="I39" s="59">
        <f>((ACCIDENTES!C39+ACCIDENTES!H39+ACCIDENTES!M39)/(HH!F39+HH!J39+HH!N39))*1000000</f>
        <v>0</v>
      </c>
      <c r="J39" s="59">
        <f>((ACCIDENTES!D39+ACCIDENTES!I39+ACCIDENTES!N39)/(HH!F39+HH!J39+HH!N39))*1000000</f>
        <v>0</v>
      </c>
      <c r="K39" s="59">
        <f>((ACCIDENTES!F39+ACCIDENTES!K39+ACCIDENTES!P39)/(HH!J39+HH!N39+HH!F39))*1000000</f>
        <v>0</v>
      </c>
      <c r="L39" s="59">
        <f>((ACCIDENTES!C39+ACCIDENTES!H39+ACCIDENTES!M39+ACCIDENTES!R39)/(HH!F39+HH!J39+HH!N39+HH!R39))*1000000</f>
        <v>0</v>
      </c>
      <c r="M39" s="59">
        <f>((ACCIDENTES!D39+ACCIDENTES!I39+ACCIDENTES!N39+ACCIDENTES!S39)/(HH!F39+HH!J39+HH!N39+HH!R39))*1000000</f>
        <v>0</v>
      </c>
      <c r="N39" s="59">
        <f>((ACCIDENTES!F39+ACCIDENTES!K39+ACCIDENTES!P39+ACCIDENTES!U39)/(HH!F39+HH!J39+HH!N39+HH!R39))*1000000</f>
        <v>0</v>
      </c>
      <c r="O39" s="59">
        <f>((ACCIDENTES!C39+ACCIDENTES!H39+ACCIDENTES!M39+ACCIDENTES!R39+ACCIDENTES!W39)/(HH!F39+HH!J39+HH!N39+HH!R39+HH!V39))*1000000</f>
        <v>0</v>
      </c>
      <c r="P39" s="59">
        <f>(((ACCIDENTES!D39+ACCIDENTES!I39+ACCIDENTES!N39+ACCIDENTES!S39+ACCIDENTES!X39)/(HH!F39+HH!J39+HH!N39+HH!R39+HH!V39))*1000000)</f>
        <v>0</v>
      </c>
      <c r="Q39" s="59">
        <f>((ACCIDENTES!F39+ACCIDENTES!K39+ACCIDENTES!P39+ACCIDENTES!U39+ACCIDENTES!Z39)/(HH!F39+HH!J39+HH!N39+HH!R39+HH!V39))*1000000</f>
        <v>0</v>
      </c>
      <c r="R39" s="59">
        <f>(ACCIDENTES!C39+ACCIDENTES!H39+ACCIDENTES!M39+ACCIDENTES!R39+ACCIDENTES!W39+ACCIDENTES!AB39)*1000000/(HH!F39+HH!J39+HH!N39+HH!R39+HH!V39+HH!Z39)</f>
        <v>0</v>
      </c>
      <c r="S39" s="59">
        <f>(ACCIDENTES!D39+ACCIDENTES!I39+ACCIDENTES!N39+ACCIDENTES!S39+ACCIDENTES!X39+ACCIDENTES!AC39)*1000000/(HH!F39+HH!J39+HH!N39+HH!R39+HH!V39+HH!Z39)</f>
        <v>0</v>
      </c>
      <c r="T39" s="59">
        <f>(ACCIDENTES!F39+ACCIDENTES!K39+ACCIDENTES!P39+ACCIDENTES!U39+ACCIDENTES!Z39+ACCIDENTES!AE39)*1000000/(HH!F39+HH!J39+HH!N39+HH!R39+HH!V39+HH!Z39)</f>
        <v>0</v>
      </c>
      <c r="U39" s="59">
        <f>((ACCIDENTES!C39+ACCIDENTES!H39+ACCIDENTES!M39+ACCIDENTES!R39+ACCIDENTES!W39+ACCIDENTES!AB39+ACCIDENTES!AG39)/(HH!F39+HH!J39+HH!N39+HH!R39+HH!V39+HH!Z39+HH!AD39))*1000000</f>
        <v>0</v>
      </c>
      <c r="V39" s="59">
        <f>((ACCIDENTES!D39+ACCIDENTES!I39+ACCIDENTES!N39+ACCIDENTES!S39+ACCIDENTES!X39+ACCIDENTES!AC39+ACCIDENTES!AH39)/(HH!F39+HH!J39+HH!N39+HH!R39+HH!V39+HH!Z39+HH!AD39))*1000000</f>
        <v>0</v>
      </c>
      <c r="W39" s="59">
        <f>((ACCIDENTES!F39+ACCIDENTES!K39+ACCIDENTES!P39+ACCIDENTES!U39+ACCIDENTES!Z39+ACCIDENTES!AE39+ACCIDENTES!AJ39)/(HH!F39+HH!J39+HH!N39+HH!R39+HH!V39+HH!Z39+HH!AD39))*1000000</f>
        <v>0</v>
      </c>
      <c r="X39" s="59">
        <f>((ACCIDENTES!C39+ACCIDENTES!H39+ACCIDENTES!M39+ACCIDENTES!R39+ACCIDENTES!W39+ACCIDENTES!AB39+ACCIDENTES!AG39+ACCIDENTES!AL39)/(HH!F39+HH!J39+HH!N39+HH!R39+HH!V39+HH!Z39+HH!AD39+HH!AH39))*1000000</f>
        <v>0</v>
      </c>
      <c r="Y39" s="59">
        <f>((ACCIDENTES!D39+ACCIDENTES!I39+ACCIDENTES!N39+ACCIDENTES!S39+ACCIDENTES!X39+ACCIDENTES!AC39+ACCIDENTES!AH39+ACCIDENTES!AM39)/(HH!F39+HH!J39+HH!N39+HH!R39+HH!V39+HH!Z39+HH!AD39+HH!AH39))*1000000</f>
        <v>0</v>
      </c>
      <c r="Z39" s="59">
        <f>((ACCIDENTES!F39+ACCIDENTES!K39+ACCIDENTES!P39+ACCIDENTES!U39+ACCIDENTES!Z39+ACCIDENTES!AE39+ACCIDENTES!AJ39+ACCIDENTES!AO39)/(HH!F39+HH!J39+HH!N39+HH!R39+HH!V39+HH!Z39+HH!AD39+HH!AH39))*1000000</f>
        <v>0</v>
      </c>
      <c r="AA39" s="59">
        <f>((ACCIDENTES!AQ39+ACCIDENTES!AL39+ACCIDENTES!AG39+ACCIDENTES!AB39+ACCIDENTES!W39+ACCIDENTES!R39+ACCIDENTES!M39+ACCIDENTES!H39+ACCIDENTES!C39)/(HH!AL39+HH!AH39+HH!AD39+HH!Z39+HH!V39+HH!R39+HH!N39+HH!J39+HH!F39))*1000000</f>
        <v>0</v>
      </c>
      <c r="AB39" s="59">
        <f>((ACCIDENTES!AR39+ACCIDENTES!AM39+ACCIDENTES!AH39+ACCIDENTES!AC39+ACCIDENTES!X39+ACCIDENTES!S39+ACCIDENTES!N39+ACCIDENTES!I39+ACCIDENTES!D39)/(HH!AL39+HH!AH39+HH!AD39+HH!Z39+HH!V39+HH!R39+HH!N39+HH!J39+HH!F39))*1000000</f>
        <v>0</v>
      </c>
      <c r="AC39" s="59">
        <f>((ACCIDENTES!F39+ACCIDENTES!K39+ACCIDENTES!P39+ACCIDENTES!U39+ACCIDENTES!Z39+ACCIDENTES!AE39+ACCIDENTES!AJ39+ACCIDENTES!AO39+ACCIDENTES!AT39)/(HH!F39+HH!J39+HH!N39+HH!R39+HH!V39+HH!Z39+HH!AD39+HH!AH39+HH!AL39))*1000000</f>
        <v>0</v>
      </c>
      <c r="AD39" s="59">
        <f>((ACCIDENTES!AV39+ACCIDENTES!AQ39+ACCIDENTES!AL39+ACCIDENTES!AG39+ACCIDENTES!AB39+ACCIDENTES!W39+ACCIDENTES!R39+ACCIDENTES!M39+ACCIDENTES!H39+ACCIDENTES!C39)/(HH!F39+HH!J39+HH!N39+HH!R39+HH!V39+HH!Z39+HH!AD39+HH!AH39+HH!AL39+HH!AP39))*1000000</f>
        <v>0</v>
      </c>
      <c r="AE39" s="59">
        <f>((ACCIDENTES!D39+ACCIDENTES!I39+ACCIDENTES!N39+ACCIDENTES!S39+ACCIDENTES!X39+ACCIDENTES!AC39+ACCIDENTES!AH39+ACCIDENTES!AM39+ACCIDENTES!AR39+ACCIDENTES!AW39)/(HH!AP39+HH!AL39+HH!AH39+HH!AD39+HH!Z39+HH!V39+HH!R39+HH!N39+HH!J39+HH!F39))*1000000</f>
        <v>0</v>
      </c>
      <c r="AF39" s="59">
        <f>((ACCIDENTES!AY39+ACCIDENTES!AT39+ACCIDENTES!AO39+ACCIDENTES!AJ39+ACCIDENTES!AE39+ACCIDENTES!Z39+ACCIDENTES!U39+ACCIDENTES!P39+ACCIDENTES!K39+ACCIDENTES!F39)/(HH!F39+HH!J39+HH!N39+HH!R39+HH!V39+HH!Z39+HH!AD39+HH!AH39+HH!AL39+HH!AP39))*1000000</f>
        <v>0</v>
      </c>
      <c r="AG39" s="59">
        <f>((ACCIDENTES!BA39+ACCIDENTES!AV39+ACCIDENTES!AQ39+ACCIDENTES!AL39+ACCIDENTES!AG39+ACCIDENTES!AB39+ACCIDENTES!W39+ACCIDENTES!R39+ACCIDENTES!M39+ACCIDENTES!H39+ACCIDENTES!C39)/(HH!AT39+HH!AP39+HH!AL39+HH!AH39+HH!AD39+HH!Z39+HH!V39+HH!R39+HH!N39+HH!J39+HH!F39))*1000000</f>
        <v>0</v>
      </c>
      <c r="AH39" s="59">
        <f>((ACCIDENTES!D39+ACCIDENTES!I39+ACCIDENTES!N39+ACCIDENTES!S39+ACCIDENTES!X39+ACCIDENTES!AC39+ACCIDENTES!AH39+ACCIDENTES!AM39+ACCIDENTES!AR39+ACCIDENTES!AW39+ACCIDENTES!BB39)/(HH!F39+HH!J39+HH!N39+HH!R39+HH!V39+HH!Z39+HH!AD39+HH!AH39+HH!AL39+HH!AP39+HH!AT39))*1000000</f>
        <v>0</v>
      </c>
      <c r="AI39" s="59">
        <f>((ACCIDENTES!BD39+ACCIDENTES!AY39+ACCIDENTES!AT39+ACCIDENTES!AO39+ACCIDENTES!AJ39+ACCIDENTES!AE39+ACCIDENTES!Z39+ACCIDENTES!U39+ACCIDENTES!P39+ACCIDENTES!K39+ACCIDENTES!F39)/(HH!F39+HH!J39+HH!N39+HH!R39+HH!V39+HH!Z39+HH!AD39+HH!AH39+HH!AL39+HH!AP39+HH!AT39))*1000000</f>
        <v>0</v>
      </c>
      <c r="AJ39" s="59">
        <f>(ACCIDENTES!BK39/HH!BB39)*1000000</f>
        <v>0</v>
      </c>
      <c r="AK39" s="59">
        <f>(ACCIDENTES!BL39/HH!BB39)*1000000</f>
        <v>0</v>
      </c>
      <c r="AL39" s="59">
        <f>(ACCIDENTES!BN39/HH!BB39)*1000000</f>
        <v>0</v>
      </c>
      <c r="AN39" s="41">
        <f t="shared" si="0"/>
        <v>0</v>
      </c>
      <c r="AO39" s="41">
        <f t="shared" si="1"/>
        <v>0</v>
      </c>
      <c r="AP39" s="40"/>
      <c r="AR39" s="41"/>
      <c r="AS39" s="41"/>
      <c r="AT39" s="41"/>
      <c r="AV39" s="118"/>
      <c r="AW39" s="60"/>
      <c r="AX39" s="60"/>
      <c r="AY39" s="63"/>
      <c r="AZ39" s="118"/>
      <c r="BA39" s="60"/>
      <c r="BB39" s="60"/>
      <c r="BC39" s="63"/>
      <c r="BD39" s="118"/>
      <c r="BE39" s="60"/>
      <c r="BF39" s="60"/>
    </row>
    <row r="40" spans="1:65" s="30" customFormat="1" x14ac:dyDescent="0.3">
      <c r="A40" s="335" t="s">
        <v>62</v>
      </c>
      <c r="B40" s="336"/>
      <c r="C40" s="70">
        <f>(ACCIDENTES!C40/HH!F40)*1000000</f>
        <v>2.3746769829143179</v>
      </c>
      <c r="D40" s="71">
        <f>(ACCIDENTES!D40/HH!F40)*1000000</f>
        <v>296.83462286428977</v>
      </c>
      <c r="E40" s="71">
        <f>(ACCIDENTES!F40/HH!F40)*1000000</f>
        <v>4.7493539658286359</v>
      </c>
      <c r="F40" s="71">
        <f>((ACCIDENTES!C40+ACCIDENTES!H40)/(HH!F40+HH!J40))*1000000</f>
        <v>2.3962384870625182</v>
      </c>
      <c r="G40" s="71">
        <f>((ACCIDENTES!D40+ACCIDENTES!I40)/(HH!F40+HH!J40))*1000000</f>
        <v>164.94108252613668</v>
      </c>
      <c r="H40" s="71">
        <f>((ACCIDENTES!F40+ACCIDENTES!K40)/(HH!F40+HH!J40))*1000000</f>
        <v>4.7924769741250364</v>
      </c>
      <c r="I40" s="71">
        <f>((ACCIDENTES!C40+ACCIDENTES!H40+ACCIDENTES!M40)/(HH!F40+HH!J40+HH!N40))*1000000</f>
        <v>2.1236609562222877</v>
      </c>
      <c r="J40" s="71">
        <f>((ACCIDENTES!D40+ACCIDENTES!I40+ACCIDENTES!N40)/(HH!F40+HH!J40+HH!N40))*1000000</f>
        <v>113.3504035383646</v>
      </c>
      <c r="K40" s="71">
        <f>((ACCIDENTES!F40+ACCIDENTES!K40+ACCIDENTES!P40)/(HH!J40+HH!N40+HH!F40))*1000000</f>
        <v>5.3091523905557194</v>
      </c>
      <c r="L40" s="71">
        <f>((ACCIDENTES!C40+ACCIDENTES!H40+ACCIDENTES!M40+ACCIDENTES!R40)/(HH!F40+HH!J40+HH!N40+HH!R40))*1000000</f>
        <v>1.9508944709709555</v>
      </c>
      <c r="M40" s="71">
        <f>((ACCIDENTES!D40+ACCIDENTES!I40+ACCIDENTES!N40+ACCIDENTES!S40)/(HH!F40+HH!J40+HH!N40+HH!R40))*1000000</f>
        <v>110.22553760985899</v>
      </c>
      <c r="N40" s="71">
        <f>((ACCIDENTES!F40+ACCIDENTES!K40+ACCIDENTES!P40+ACCIDENTES!U40)/(HH!F40+HH!J40+HH!N40+HH!R40))*1000000</f>
        <v>5.2674150716215795</v>
      </c>
      <c r="O40" s="71">
        <f>((ACCIDENTES!C40+ACCIDENTES!H40+ACCIDENTES!M40+ACCIDENTES!R40+ACCIDENTES!W40)/(HH!F40+HH!J40+HH!N40+HH!R40+HH!V40))*1000000</f>
        <v>2.0007061312739784</v>
      </c>
      <c r="P40" s="71">
        <f>(((ACCIDENTES!D40+ACCIDENTES!I40+ACCIDENTES!N40+ACCIDENTES!S40+ACCIDENTES!X40)/(HH!F40+HH!J40+HH!N40+HH!R40+HH!V40))*1000000)</f>
        <v>89.262273549146727</v>
      </c>
      <c r="Q40" s="71">
        <f>((ACCIDENTES!F40+ACCIDENTES!K40+ACCIDENTES!P40+ACCIDENTES!U40+ACCIDENTES!Z40)/(HH!F40+HH!J40+HH!N40+HH!R40+HH!V40))*1000000</f>
        <v>4.9248150923667158</v>
      </c>
      <c r="R40" s="71">
        <f>(ACCIDENTES!C40+ACCIDENTES!H40+ACCIDENTES!M40+ACCIDENTES!R40+ACCIDENTES!W40+ACCIDENTES!AB40)*1000000/(HH!F40+HH!J40+HH!N40+HH!R40+HH!V40+HH!Z40)</f>
        <v>2.0396772985752381</v>
      </c>
      <c r="S40" s="71">
        <f>(ACCIDENTES!D40+ACCIDENTES!I40+ACCIDENTES!N40+ACCIDENTES!S40+ACCIDENTES!X40+ACCIDENTES!AC40)*1000000/(HH!F40+HH!J40+HH!N40+HH!R40+HH!V40+HH!Z40)</f>
        <v>96.757191851162844</v>
      </c>
      <c r="T40" s="71">
        <f>(ACCIDENTES!F40+ACCIDENTES!K40+ACCIDENTES!P40+ACCIDENTES!U40+ACCIDENTES!Z40+ACCIDENTES!AE40)*1000000/(HH!F40+HH!J40+HH!N40+HH!R40+HH!V40+HH!Z40)</f>
        <v>4.7167537529552375</v>
      </c>
      <c r="U40" s="71">
        <f>((ACCIDENTES!C40+ACCIDENTES!H40+ACCIDENTES!M40+ACCIDENTES!R40+ACCIDENTES!W40+ACCIDENTES!AB40+ACCIDENTES!AG40)/(HH!F40+HH!J40+HH!N40+HH!R40+HH!V40+HH!Z40+HH!AD40))*1000000</f>
        <v>1.9562677149324801</v>
      </c>
      <c r="V40" s="71">
        <f>((ACCIDENTES!D40+ACCIDENTES!I40+ACCIDENTES!N40+ACCIDENTES!S40+ACCIDENTES!X40+ACCIDENTES!AC40+ACCIDENTES!AH40)/(HH!F40+HH!J40+HH!N40+HH!R40+HH!V40+HH!Z40+HH!AD40))*1000000</f>
        <v>82.706651725756529</v>
      </c>
      <c r="W40" s="71">
        <f>((ACCIDENTES!F40+ACCIDENTES!K40+ACCIDENTES!P40+ACCIDENTES!U40+ACCIDENTES!Z40+ACCIDENTES!AE40+ACCIDENTES!AJ40)/(HH!F40+HH!J40+HH!N40+HH!R40+HH!V40+HH!Z40+HH!AD40))*1000000</f>
        <v>4.999350827049672</v>
      </c>
      <c r="X40" s="71">
        <f>((ACCIDENTES!C40+ACCIDENTES!H40+ACCIDENTES!M40+ACCIDENTES!R40+ACCIDENTES!W40+ACCIDENTES!AB40+ACCIDENTES!AG40+ACCIDENTES!AL40)/(HH!F40+HH!J40+HH!N40+HH!R40+HH!V40+HH!Z40+HH!AD40+HH!AH40))*1000000</f>
        <v>2.1778109367679903</v>
      </c>
      <c r="Y40" s="71">
        <f>((ACCIDENTES!D40+ACCIDENTES!I40+ACCIDENTES!N40+ACCIDENTES!S40+ACCIDENTES!X40+ACCIDENTES!AC40+ACCIDENTES!AH40+ACCIDENTES!AM40)/(HH!F40+HH!J40+HH!N40+HH!R40+HH!V40+HH!Z40+HH!AD40+HH!AH40))*1000000</f>
        <v>96.581180674058714</v>
      </c>
      <c r="Z40" s="71">
        <f>((ACCIDENTES!F40+ACCIDENTES!K40+ACCIDENTES!P40+ACCIDENTES!U40+ACCIDENTES!Z40+ACCIDENTES!AE40+ACCIDENTES!AJ40+ACCIDENTES!AO40)/(HH!F40+HH!J40+HH!N40+HH!R40+HH!V40+HH!Z40+HH!AD40+HH!AH40))*1000000</f>
        <v>5.4918710579366712</v>
      </c>
      <c r="AA40" s="71">
        <f>((ACCIDENTES!AQ40+ACCIDENTES!AL40+ACCIDENTES!AG40+ACCIDENTES!AB40+ACCIDENTES!W40+ACCIDENTES!R40+ACCIDENTES!M40+ACCIDENTES!H40+ACCIDENTES!C40)/(HH!AL40+HH!AH40+HH!AD40+HH!Z40+HH!V40+HH!R40+HH!N40+HH!J40+HH!F40))*1000000</f>
        <v>2.6772878834981864</v>
      </c>
      <c r="AB40" s="71">
        <f>((ACCIDENTES!AR40+ACCIDENTES!AM40+ACCIDENTES!AH40+ACCIDENTES!AC40+ACCIDENTES!X40+ACCIDENTES!S40+ACCIDENTES!N40+ACCIDENTES!I40+ACCIDENTES!D40)/(HH!AL40+HH!AH40+HH!AD40+HH!Z40+HH!V40+HH!R40+HH!N40+HH!J40+HH!F40))*1000000</f>
        <v>92.031770995250142</v>
      </c>
      <c r="AC40" s="71">
        <f>((ACCIDENTES!F40+ACCIDENTES!K40+ACCIDENTES!P40+ACCIDENTES!U40+ACCIDENTES!Z40+ACCIDENTES!AE40+ACCIDENTES!AJ40+ACCIDENTES!AO40+ACCIDENTES!AT40)/(HH!F40+HH!J40+HH!N40+HH!R40+HH!V40+HH!Z40+HH!AD40+HH!AH40+HH!AL40))*1000000</f>
        <v>6.1075629842302384</v>
      </c>
      <c r="AD40" s="71">
        <f>((ACCIDENTES!AV40+ACCIDENTES!AQ40+ACCIDENTES!AL40+ACCIDENTES!AG40+ACCIDENTES!AB40+ACCIDENTES!W40+ACCIDENTES!R40+ACCIDENTES!M40+ACCIDENTES!H40+ACCIDENTES!C40)/(HH!F40+HH!J40+HH!N40+HH!R40+HH!V40+HH!Z40+HH!AD40+HH!AH40+HH!AL40+HH!AP40))*1000000</f>
        <v>2.8415744080118022</v>
      </c>
      <c r="AE40" s="71">
        <f>((ACCIDENTES!D40+ACCIDENTES!I40+ACCIDENTES!N40+ACCIDENTES!S40+ACCIDENTES!X40+ACCIDENTES!AC40+ACCIDENTES!AH40+ACCIDENTES!AM40+ACCIDENTES!AR40+ACCIDENTES!AW40)/(HH!AP40+HH!AL40+HH!AH40+HH!AD40+HH!Z40+HH!V40+HH!R40+HH!N40+HH!J40+HH!F40))*1000000</f>
        <v>85.546345335934262</v>
      </c>
      <c r="AF40" s="71">
        <f>((ACCIDENTES!AY40+ACCIDENTES!AT40+ACCIDENTES!AO40+ACCIDENTES!AJ40+ACCIDENTES!AE40+ACCIDENTES!Z40+ACCIDENTES!U40+ACCIDENTES!P40+ACCIDENTES!K40+ACCIDENTES!F40)/(HH!F40+HH!J40+HH!N40+HH!R40+HH!V40+HH!Z40+HH!AD40+HH!AH40+HH!AL40+HH!AP40))*1000000</f>
        <v>6.2813750071839838</v>
      </c>
      <c r="AG40" s="71">
        <f>((ACCIDENTES!BA40+ACCIDENTES!AV40+ACCIDENTES!AQ40+ACCIDENTES!AL40+ACCIDENTES!AG40+ACCIDENTES!AB40+ACCIDENTES!W40+ACCIDENTES!R40+ACCIDENTES!M40+ACCIDENTES!H40+ACCIDENTES!C40)/(HH!AT40+HH!AP40+HH!AL40+HH!AH40+HH!AD40+HH!Z40+HH!V40+HH!R40+HH!N40+HH!J40+HH!F40))*1000000</f>
        <v>2.7086919800603564</v>
      </c>
      <c r="AH40" s="71">
        <f>((ACCIDENTES!D40+ACCIDENTES!I40+ACCIDENTES!N40+ACCIDENTES!S40+ACCIDENTES!X40+ACCIDENTES!AC40+ACCIDENTES!AH40+ACCIDENTES!AM40+ACCIDENTES!AR40+ACCIDENTES!AW40+ACCIDENTES!BB40)/(HH!F40+HH!J40+HH!N40+HH!R40+HH!V40+HH!Z40+HH!AD40+HH!AH40+HH!AL40+HH!AP40+HH!AT40))*1000000</f>
        <v>78.890653919257886</v>
      </c>
      <c r="AI40" s="71">
        <f>((ACCIDENTES!BD40+ACCIDENTES!AY40+ACCIDENTES!AT40+ACCIDENTES!AO40+ACCIDENTES!AJ40+ACCIDENTES!AE40+ACCIDENTES!Z40+ACCIDENTES!U40+ACCIDENTES!P40+ACCIDENTES!K40+ACCIDENTES!F40)/(HH!F40+HH!J40+HH!N40+HH!R40+HH!V40+HH!Z40+HH!AD40+HH!AH40+HH!AL40+HH!AP40+HH!AT40))*1000000</f>
        <v>6.1622742546373104</v>
      </c>
      <c r="AJ40" s="71">
        <f>(ACCIDENTES!BK40/HH!BB40)*1000000</f>
        <v>2.6596326210093912</v>
      </c>
      <c r="AK40" s="71">
        <f>(ACCIDENTES!BL40/HH!BB40)*1000000</f>
        <v>73.480082645561794</v>
      </c>
      <c r="AL40" s="71">
        <f>(ACCIDENTES!BN40/HH!BB40)*1000000</f>
        <v>5.9377844562070132</v>
      </c>
      <c r="AM40" s="36"/>
      <c r="AN40" s="70">
        <f t="shared" si="0"/>
        <v>2.5876957135841891</v>
      </c>
      <c r="AO40" s="70">
        <f t="shared" si="1"/>
        <v>30.995752544973186</v>
      </c>
      <c r="AP40" s="73"/>
      <c r="AQ40" s="124"/>
      <c r="AR40" s="70">
        <v>3.8</v>
      </c>
      <c r="AS40" s="70">
        <v>121</v>
      </c>
      <c r="AT40" s="70">
        <f>1*5</f>
        <v>5</v>
      </c>
      <c r="AU40" s="36"/>
      <c r="AV40" s="72">
        <v>1.9808606312977384</v>
      </c>
      <c r="AW40" s="72">
        <v>2.5876957135841891</v>
      </c>
      <c r="AX40" s="72">
        <v>3.1002040991421755</v>
      </c>
      <c r="AY40" s="63"/>
      <c r="AZ40" s="72">
        <v>22.959117983708079</v>
      </c>
      <c r="BA40" s="72">
        <v>30.995752544973186</v>
      </c>
      <c r="BB40" s="72">
        <v>40.315230181745406</v>
      </c>
      <c r="BC40" s="63"/>
      <c r="BD40" s="72"/>
      <c r="BE40" s="72"/>
      <c r="BF40" s="72"/>
      <c r="BG40" s="36"/>
      <c r="BH40" s="36"/>
      <c r="BI40" s="36"/>
      <c r="BJ40" s="36"/>
      <c r="BK40" s="36"/>
      <c r="BL40" s="36"/>
      <c r="BM40" s="36"/>
    </row>
    <row r="41" spans="1:65" outlineLevel="1" x14ac:dyDescent="0.3">
      <c r="A41" s="10" t="s">
        <v>63</v>
      </c>
      <c r="B41" s="4" t="s">
        <v>64</v>
      </c>
      <c r="C41" s="58">
        <f>(ACCIDENTES!C41/HH!F41)*1000000</f>
        <v>0</v>
      </c>
      <c r="D41" s="59">
        <f>(ACCIDENTES!D41/HH!F41)*1000000</f>
        <v>0</v>
      </c>
      <c r="E41" s="59">
        <f>(ACCIDENTES!F41/HH!F41)*1000000</f>
        <v>0</v>
      </c>
      <c r="F41" s="59">
        <f>((ACCIDENTES!C41+ACCIDENTES!H41)/(HH!F41+HH!J41))*1000000</f>
        <v>0</v>
      </c>
      <c r="G41" s="59">
        <f>((ACCIDENTES!D41+ACCIDENTES!I41)/(HH!F41+HH!J41))*1000000</f>
        <v>0</v>
      </c>
      <c r="H41" s="59">
        <f>((ACCIDENTES!F41+ACCIDENTES!K41)/(HH!F41+HH!J41))*1000000</f>
        <v>0</v>
      </c>
      <c r="I41" s="59">
        <f>((ACCIDENTES!C41+ACCIDENTES!H41+ACCIDENTES!M41)/(HH!F41+HH!J41+HH!N41))*1000000</f>
        <v>0</v>
      </c>
      <c r="J41" s="59">
        <f>((ACCIDENTES!D41+ACCIDENTES!I41+ACCIDENTES!N41)/(HH!F41+HH!J41+HH!N41))*1000000</f>
        <v>0</v>
      </c>
      <c r="K41" s="59">
        <f>((ACCIDENTES!F41+ACCIDENTES!K41+ACCIDENTES!P41)/(HH!J41+HH!N41+HH!F41))*1000000</f>
        <v>0</v>
      </c>
      <c r="L41" s="59">
        <f>((ACCIDENTES!C41+ACCIDENTES!H41+ACCIDENTES!M41+ACCIDENTES!R41)/(HH!F41+HH!J41+HH!N41+HH!R41))*1000000</f>
        <v>0</v>
      </c>
      <c r="M41" s="59">
        <f>((ACCIDENTES!D41+ACCIDENTES!I41+ACCIDENTES!N41+ACCIDENTES!S41)/(HH!F41+HH!J41+HH!N41+HH!R41))*1000000</f>
        <v>0</v>
      </c>
      <c r="N41" s="59">
        <f>((ACCIDENTES!F41+ACCIDENTES!K41+ACCIDENTES!P41+ACCIDENTES!U41)/(HH!F41+HH!J41+HH!N41+HH!R41))*1000000</f>
        <v>9.5027246370458087</v>
      </c>
      <c r="O41" s="59">
        <f>((ACCIDENTES!C41+ACCIDENTES!H41+ACCIDENTES!M41+ACCIDENTES!R41+ACCIDENTES!W41)/(HH!F41+HH!J41+HH!N41+HH!R41+HH!V41))*1000000</f>
        <v>0</v>
      </c>
      <c r="P41" s="59">
        <f>(((ACCIDENTES!D41+ACCIDENTES!I41+ACCIDENTES!N41+ACCIDENTES!S41+ACCIDENTES!X41)/(HH!F41+HH!J41+HH!N41+HH!R41+HH!V41))*1000000)</f>
        <v>0</v>
      </c>
      <c r="Q41" s="59">
        <f>((ACCIDENTES!F41+ACCIDENTES!K41+ACCIDENTES!P41+ACCIDENTES!U41+ACCIDENTES!Z41)/(HH!F41+HH!J41+HH!N41+HH!R41+HH!V41))*1000000</f>
        <v>7.5820520191952285</v>
      </c>
      <c r="R41" s="59">
        <f>(ACCIDENTES!C41+ACCIDENTES!H41+ACCIDENTES!M41+ACCIDENTES!R41+ACCIDENTES!W41+ACCIDENTES!AB41)*1000000/(HH!F41+HH!J41+HH!N41+HH!R41+HH!V41+HH!Z41)</f>
        <v>0</v>
      </c>
      <c r="S41" s="59">
        <f>(ACCIDENTES!D41+ACCIDENTES!I41+ACCIDENTES!N41+ACCIDENTES!S41+ACCIDENTES!X41+ACCIDENTES!AC41)*1000000/(HH!F41+HH!J41+HH!N41+HH!R41+HH!V41+HH!Z41)</f>
        <v>0</v>
      </c>
      <c r="T41" s="59">
        <f>(ACCIDENTES!F41+ACCIDENTES!K41+ACCIDENTES!P41+ACCIDENTES!U41+ACCIDENTES!Z41+ACCIDENTES!AE41)*1000000/(HH!F41+HH!J41+HH!N41+HH!R41+HH!V41+HH!Z41)</f>
        <v>11.10565843847816</v>
      </c>
      <c r="U41" s="59">
        <f>((ACCIDENTES!C41+ACCIDENTES!H41+ACCIDENTES!M41+ACCIDENTES!R41+ACCIDENTES!W41+ACCIDENTES!AB41+ACCIDENTES!AG41)/(HH!F41+HH!J41+HH!N41+HH!R41+HH!V41+HH!Z41+HH!AD41))*1000000</f>
        <v>0</v>
      </c>
      <c r="V41" s="59">
        <f>((ACCIDENTES!D41+ACCIDENTES!I41+ACCIDENTES!N41+ACCIDENTES!S41+ACCIDENTES!X41+ACCIDENTES!AC41+ACCIDENTES!AH41)/(HH!F41+HH!J41+HH!N41+HH!R41+HH!V41+HH!Z41+HH!AD41))*1000000</f>
        <v>0</v>
      </c>
      <c r="W41" s="59">
        <f>((ACCIDENTES!F41+ACCIDENTES!K41+ACCIDENTES!P41+ACCIDENTES!U41+ACCIDENTES!Z41+ACCIDENTES!AE41+ACCIDENTES!AJ41)/(HH!F41+HH!J41+HH!N41+HH!R41+HH!V41+HH!Z41+HH!AD41))*1000000</f>
        <v>7.6214174685657499</v>
      </c>
      <c r="X41" s="59">
        <f>((ACCIDENTES!C41+ACCIDENTES!H41+ACCIDENTES!M41+ACCIDENTES!R41+ACCIDENTES!W41+ACCIDENTES!AB41+ACCIDENTES!AG41+ACCIDENTES!AL41)/(HH!F41+HH!J41+HH!N41+HH!R41+HH!V41+HH!Z41+HH!AD41+HH!AH41))*1000000</f>
        <v>0</v>
      </c>
      <c r="Y41" s="59">
        <f>((ACCIDENTES!D41+ACCIDENTES!I41+ACCIDENTES!N41+ACCIDENTES!S41+ACCIDENTES!X41+ACCIDENTES!AC41+ACCIDENTES!AH41+ACCIDENTES!AM41)/(HH!F41+HH!J41+HH!N41+HH!R41+HH!V41+HH!Z41+HH!AD41+HH!AH41))*1000000</f>
        <v>0</v>
      </c>
      <c r="Z41" s="59">
        <f>((ACCIDENTES!F41+ACCIDENTES!K41+ACCIDENTES!P41+ACCIDENTES!U41+ACCIDENTES!Z41+ACCIDENTES!AE41+ACCIDENTES!AJ41+ACCIDENTES!AO41)/(HH!F41+HH!J41+HH!N41+HH!R41+HH!V41+HH!Z41+HH!AD41+HH!AH41))*1000000</f>
        <v>10.853064528731133</v>
      </c>
      <c r="AA41" s="59">
        <f>((ACCIDENTES!AQ41+ACCIDENTES!AL41+ACCIDENTES!AG41+ACCIDENTES!AB41+ACCIDENTES!W41+ACCIDENTES!R41+ACCIDENTES!M41+ACCIDENTES!H41+ACCIDENTES!C41)/(HH!AL41+HH!AH41+HH!AD41+HH!Z41+HH!V41+HH!R41+HH!N41+HH!J41+HH!F41))*1000000</f>
        <v>2.2529959608063113</v>
      </c>
      <c r="AB41" s="59">
        <f>((ACCIDENTES!AR41+ACCIDENTES!AM41+ACCIDENTES!AH41+ACCIDENTES!AC41+ACCIDENTES!X41+ACCIDENTES!S41+ACCIDENTES!N41+ACCIDENTES!I41+ACCIDENTES!D41)/(HH!AL41+HH!AH41+HH!AD41+HH!Z41+HH!V41+HH!R41+HH!N41+HH!J41+HH!F41))*1000000</f>
        <v>128.42076976595976</v>
      </c>
      <c r="AC41" s="59">
        <f>((ACCIDENTES!F41+ACCIDENTES!K41+ACCIDENTES!P41+ACCIDENTES!U41+ACCIDENTES!Z41+ACCIDENTES!AE41+ACCIDENTES!AJ41+ACCIDENTES!AO41+ACCIDENTES!AT41)/(HH!F41+HH!J41+HH!N41+HH!R41+HH!V41+HH!Z41+HH!AD41+HH!AH41+HH!AL41))*1000000</f>
        <v>11.264979804031558</v>
      </c>
      <c r="AD41" s="59">
        <f>((ACCIDENTES!AV41+ACCIDENTES!AQ41+ACCIDENTES!AL41+ACCIDENTES!AG41+ACCIDENTES!AB41+ACCIDENTES!W41+ACCIDENTES!R41+ACCIDENTES!M41+ACCIDENTES!H41+ACCIDENTES!C41)/(HH!F41+HH!J41+HH!N41+HH!R41+HH!V41+HH!Z41+HH!AD41+HH!AH41+HH!AL41+HH!AP41))*1000000</f>
        <v>3.7291645284828521</v>
      </c>
      <c r="AE41" s="59">
        <f>((ACCIDENTES!D41+ACCIDENTES!I41+ACCIDENTES!N41+ACCIDENTES!S41+ACCIDENTES!X41+ACCIDENTES!AC41+ACCIDENTES!AH41+ACCIDENTES!AM41+ACCIDENTES!AR41+ACCIDENTES!AW41)/(HH!AP41+HH!AL41+HH!AH41+HH!AD41+HH!Z41+HH!V41+HH!R41+HH!N41+HH!J41+HH!F41))*1000000</f>
        <v>121.19784717569267</v>
      </c>
      <c r="AF41" s="59">
        <f>((ACCIDENTES!AY41+ACCIDENTES!AT41+ACCIDENTES!AO41+ACCIDENTES!AJ41+ACCIDENTES!AE41+ACCIDENTES!Z41+ACCIDENTES!U41+ACCIDENTES!P41+ACCIDENTES!K41+ACCIDENTES!F41)/(HH!F41+HH!J41+HH!N41+HH!R41+HH!V41+HH!Z41+HH!AD41+HH!AH41+HH!AL41+HH!AP41))*1000000</f>
        <v>11.187493585448559</v>
      </c>
      <c r="AG41" s="59">
        <f>((ACCIDENTES!BA41+ACCIDENTES!AV41+ACCIDENTES!AQ41+ACCIDENTES!AL41+ACCIDENTES!AG41+ACCIDENTES!AB41+ACCIDENTES!W41+ACCIDENTES!R41+ACCIDENTES!M41+ACCIDENTES!H41+ACCIDENTES!C41)/(HH!AT41+HH!AP41+HH!AL41+HH!AH41+HH!AD41+HH!Z41+HH!V41+HH!R41+HH!N41+HH!J41+HH!F41))*1000000</f>
        <v>3.1807987815929057</v>
      </c>
      <c r="AH41" s="59">
        <f>((ACCIDENTES!D41+ACCIDENTES!I41+ACCIDENTES!N41+ACCIDENTES!S41+ACCIDENTES!X41+ACCIDENTES!AC41+ACCIDENTES!AH41+ACCIDENTES!AM41+ACCIDENTES!AR41+ACCIDENTES!AW41+ACCIDENTES!BB41)/(HH!F41+HH!J41+HH!N41+HH!R41+HH!V41+HH!Z41+HH!AD41+HH!AH41+HH!AL41+HH!AP41+HH!AT41))*1000000</f>
        <v>103.37596040176948</v>
      </c>
      <c r="AI41" s="59">
        <f>((ACCIDENTES!BD41+ACCIDENTES!AY41+ACCIDENTES!AT41+ACCIDENTES!AO41+ACCIDENTES!AJ41+ACCIDENTES!AE41+ACCIDENTES!Z41+ACCIDENTES!U41+ACCIDENTES!P41+ACCIDENTES!K41+ACCIDENTES!F41)/(HH!F41+HH!J41+HH!N41+HH!R41+HH!V41+HH!Z41+HH!AD41+HH!AH41+HH!AL41+HH!AP41+HH!AT41))*1000000</f>
        <v>9.5423963447787195</v>
      </c>
      <c r="AJ41" s="59">
        <f>(ACCIDENTES!BK41/HH!BB41)*1000000</f>
        <v>2.773030516429007</v>
      </c>
      <c r="AK41" s="59">
        <f>(ACCIDENTES!BL41/HH!BB41)*1000000</f>
        <v>90.123491783942725</v>
      </c>
      <c r="AL41" s="59">
        <f>(ACCIDENTES!BN41/HH!BB41)*1000000</f>
        <v>8.3190915492870214</v>
      </c>
      <c r="AN41" s="41">
        <f t="shared" si="0"/>
        <v>1.25</v>
      </c>
      <c r="AO41" s="41">
        <f t="shared" si="1"/>
        <v>18.75</v>
      </c>
      <c r="AP41" s="40">
        <v>5</v>
      </c>
      <c r="AQ41" s="124"/>
      <c r="AR41" s="41">
        <v>2.1079863545194906</v>
      </c>
      <c r="AS41" s="41">
        <v>20.025870367935159</v>
      </c>
      <c r="AT41" s="41">
        <v>7.38</v>
      </c>
      <c r="AV41" s="118">
        <v>2.5</v>
      </c>
      <c r="AW41" s="60">
        <v>1.25</v>
      </c>
      <c r="AX41" s="60">
        <v>0</v>
      </c>
      <c r="AY41" s="63"/>
      <c r="AZ41" s="118">
        <v>37.5</v>
      </c>
      <c r="BA41" s="60">
        <v>18.75</v>
      </c>
      <c r="BB41" s="60">
        <v>0</v>
      </c>
      <c r="BC41" s="63"/>
      <c r="BD41" s="118">
        <f>(5*1000000)/800000</f>
        <v>6.25</v>
      </c>
      <c r="BE41" s="60">
        <f>(3*1000000)/800000</f>
        <v>3.75</v>
      </c>
      <c r="BF41" s="60">
        <f>(1*1000000)/800000</f>
        <v>1.25</v>
      </c>
    </row>
    <row r="42" spans="1:65" outlineLevel="1" x14ac:dyDescent="0.3">
      <c r="A42" s="10" t="s">
        <v>63</v>
      </c>
      <c r="B42" s="4" t="s">
        <v>65</v>
      </c>
      <c r="C42" s="58">
        <f>(ACCIDENTES!C42/HH!F42)*1000000</f>
        <v>0</v>
      </c>
      <c r="D42" s="59">
        <f>(ACCIDENTES!D42/HH!F42)*1000000</f>
        <v>0</v>
      </c>
      <c r="E42" s="59">
        <f>(ACCIDENTES!F42/HH!F42)*1000000</f>
        <v>0</v>
      </c>
      <c r="F42" s="59">
        <f>((ACCIDENTES!C42+ACCIDENTES!H42)/(HH!F42+HH!J42))*1000000</f>
        <v>0</v>
      </c>
      <c r="G42" s="59">
        <f>((ACCIDENTES!D42+ACCIDENTES!I42)/(HH!F42+HH!J42))*1000000</f>
        <v>0</v>
      </c>
      <c r="H42" s="59">
        <f>((ACCIDENTES!F42+ACCIDENTES!K42)/(HH!F42+HH!J42))*1000000</f>
        <v>0</v>
      </c>
      <c r="I42" s="59">
        <f>((ACCIDENTES!C42+ACCIDENTES!H42+ACCIDENTES!M42)/(HH!F42+HH!J42+HH!N42))*1000000</f>
        <v>0</v>
      </c>
      <c r="J42" s="59">
        <f>((ACCIDENTES!D42+ACCIDENTES!I42+ACCIDENTES!N42)/(HH!F42+HH!J42+HH!N42))*1000000</f>
        <v>0</v>
      </c>
      <c r="K42" s="59">
        <f>((ACCIDENTES!F42+ACCIDENTES!K42+ACCIDENTES!P42)/(HH!J42+HH!N42+HH!F42))*1000000</f>
        <v>0</v>
      </c>
      <c r="L42" s="59">
        <f>((ACCIDENTES!C42+ACCIDENTES!H42+ACCIDENTES!M42+ACCIDENTES!R42)/(HH!F42+HH!J42+HH!N42+HH!R42))*1000000</f>
        <v>0</v>
      </c>
      <c r="M42" s="59">
        <f>((ACCIDENTES!D42+ACCIDENTES!I42+ACCIDENTES!N42+ACCIDENTES!S42)/(HH!F42+HH!J42+HH!N42+HH!R42))*1000000</f>
        <v>0</v>
      </c>
      <c r="N42" s="59">
        <f>((ACCIDENTES!F42+ACCIDENTES!K42+ACCIDENTES!P42+ACCIDENTES!U42)/(HH!F42+HH!J42+HH!N42+HH!R42))*1000000</f>
        <v>0</v>
      </c>
      <c r="O42" s="59">
        <f>((ACCIDENTES!C42+ACCIDENTES!H42+ACCIDENTES!M42+ACCIDENTES!R42+ACCIDENTES!W42)/(HH!F42+HH!J42+HH!N42+HH!R42+HH!V42))*1000000</f>
        <v>0</v>
      </c>
      <c r="P42" s="59">
        <f>(((ACCIDENTES!D42+ACCIDENTES!I42+ACCIDENTES!N42+ACCIDENTES!S42+ACCIDENTES!X42)/(HH!F42+HH!J42+HH!N42+HH!R42+HH!V42))*1000000)</f>
        <v>0</v>
      </c>
      <c r="Q42" s="59">
        <f>((ACCIDENTES!F42+ACCIDENTES!K42+ACCIDENTES!P42+ACCIDENTES!U42+ACCIDENTES!Z42)/(HH!F42+HH!J42+HH!N42+HH!R42+HH!V42))*1000000</f>
        <v>0</v>
      </c>
      <c r="R42" s="59">
        <f>(ACCIDENTES!C42+ACCIDENTES!H42+ACCIDENTES!M42+ACCIDENTES!R42+ACCIDENTES!W42+ACCIDENTES!AB42)*1000000/(HH!F42+HH!J42+HH!N42+HH!R42+HH!V42+HH!Z42)</f>
        <v>0</v>
      </c>
      <c r="S42" s="59">
        <f>(ACCIDENTES!D42+ACCIDENTES!I42+ACCIDENTES!N42+ACCIDENTES!S42+ACCIDENTES!X42+ACCIDENTES!AC42)*1000000/(HH!F42+HH!J42+HH!N42+HH!R42+HH!V42+HH!Z42)</f>
        <v>0</v>
      </c>
      <c r="T42" s="59">
        <f>(ACCIDENTES!F42+ACCIDENTES!K42+ACCIDENTES!P42+ACCIDENTES!U42+ACCIDENTES!Z42+ACCIDENTES!AE42)*1000000/(HH!F42+HH!J42+HH!N42+HH!R42+HH!V42+HH!Z42)</f>
        <v>0</v>
      </c>
      <c r="U42" s="59">
        <f>((ACCIDENTES!C42+ACCIDENTES!H42+ACCIDENTES!M42+ACCIDENTES!R42+ACCIDENTES!W42+ACCIDENTES!AB42+ACCIDENTES!AG42)/(HH!F42+HH!J42+HH!N42+HH!R42+HH!V42+HH!Z42+HH!AD42))*1000000</f>
        <v>0</v>
      </c>
      <c r="V42" s="59">
        <f>((ACCIDENTES!D42+ACCIDENTES!I42+ACCIDENTES!N42+ACCIDENTES!S42+ACCIDENTES!X42+ACCIDENTES!AC42+ACCIDENTES!AH42)/(HH!F42+HH!J42+HH!N42+HH!R42+HH!V42+HH!Z42+HH!AD42))*1000000</f>
        <v>0</v>
      </c>
      <c r="W42" s="59">
        <f>((ACCIDENTES!F42+ACCIDENTES!K42+ACCIDENTES!P42+ACCIDENTES!U42+ACCIDENTES!Z42+ACCIDENTES!AE42+ACCIDENTES!AJ42)/(HH!F42+HH!J42+HH!N42+HH!R42+HH!V42+HH!Z42+HH!AD42))*1000000</f>
        <v>0</v>
      </c>
      <c r="X42" s="59">
        <f>((ACCIDENTES!C42+ACCIDENTES!H42+ACCIDENTES!M42+ACCIDENTES!R42+ACCIDENTES!W42+ACCIDENTES!AB42+ACCIDENTES!AG42+ACCIDENTES!AL42)/(HH!F42+HH!J42+HH!N42+HH!R42+HH!V42+HH!Z42+HH!AD42+HH!AH42))*1000000</f>
        <v>0</v>
      </c>
      <c r="Y42" s="59">
        <f>((ACCIDENTES!D42+ACCIDENTES!I42+ACCIDENTES!N42+ACCIDENTES!S42+ACCIDENTES!X42+ACCIDENTES!AC42+ACCIDENTES!AH42+ACCIDENTES!AM42)/(HH!F42+HH!J42+HH!N42+HH!R42+HH!V42+HH!Z42+HH!AD42+HH!AH42))*1000000</f>
        <v>0</v>
      </c>
      <c r="Z42" s="59">
        <f>((ACCIDENTES!F42+ACCIDENTES!K42+ACCIDENTES!P42+ACCIDENTES!U42+ACCIDENTES!Z42+ACCIDENTES!AE42+ACCIDENTES!AJ42+ACCIDENTES!AO42)/(HH!F42+HH!J42+HH!N42+HH!R42+HH!V42+HH!Z42+HH!AD42+HH!AH42))*1000000</f>
        <v>0</v>
      </c>
      <c r="AA42" s="59">
        <f>((ACCIDENTES!AQ42+ACCIDENTES!AL42+ACCIDENTES!AG42+ACCIDENTES!AB42+ACCIDENTES!W42+ACCIDENTES!R42+ACCIDENTES!M42+ACCIDENTES!H42+ACCIDENTES!C42)/(HH!AL42+HH!AH42+HH!AD42+HH!Z42+HH!V42+HH!R42+HH!N42+HH!J42+HH!F42))*1000000</f>
        <v>0</v>
      </c>
      <c r="AB42" s="59">
        <f>((ACCIDENTES!AR42+ACCIDENTES!AM42+ACCIDENTES!AH42+ACCIDENTES!AC42+ACCIDENTES!X42+ACCIDENTES!S42+ACCIDENTES!N42+ACCIDENTES!I42+ACCIDENTES!D42)/(HH!AL42+HH!AH42+HH!AD42+HH!Z42+HH!V42+HH!R42+HH!N42+HH!J42+HH!F42))*1000000</f>
        <v>0</v>
      </c>
      <c r="AC42" s="59">
        <f>((ACCIDENTES!F42+ACCIDENTES!K42+ACCIDENTES!P42+ACCIDENTES!U42+ACCIDENTES!Z42+ACCIDENTES!AE42+ACCIDENTES!AJ42+ACCIDENTES!AO42+ACCIDENTES!AT42)/(HH!F42+HH!J42+HH!N42+HH!R42+HH!V42+HH!Z42+HH!AD42+HH!AH42+HH!AL42))*1000000</f>
        <v>0</v>
      </c>
      <c r="AD42" s="59">
        <f>((ACCIDENTES!AV42+ACCIDENTES!AQ42+ACCIDENTES!AL42+ACCIDENTES!AG42+ACCIDENTES!AB42+ACCIDENTES!W42+ACCIDENTES!R42+ACCIDENTES!M42+ACCIDENTES!H42+ACCIDENTES!C42)/(HH!F42+HH!J42+HH!N42+HH!R42+HH!V42+HH!Z42+HH!AD42+HH!AH42+HH!AL42+HH!AP42))*1000000</f>
        <v>0</v>
      </c>
      <c r="AE42" s="59">
        <f>((ACCIDENTES!D42+ACCIDENTES!I42+ACCIDENTES!N42+ACCIDENTES!S42+ACCIDENTES!X42+ACCIDENTES!AC42+ACCIDENTES!AH42+ACCIDENTES!AM42+ACCIDENTES!AR42+ACCIDENTES!AW42)/(HH!AP42+HH!AL42+HH!AH42+HH!AD42+HH!Z42+HH!V42+HH!R42+HH!N42+HH!J42+HH!F42))*1000000</f>
        <v>0</v>
      </c>
      <c r="AF42" s="59">
        <f>((ACCIDENTES!AY42+ACCIDENTES!AT42+ACCIDENTES!AO42+ACCIDENTES!AJ42+ACCIDENTES!AE42+ACCIDENTES!Z42+ACCIDENTES!U42+ACCIDENTES!P42+ACCIDENTES!K42+ACCIDENTES!F42)/(HH!F42+HH!J42+HH!N42+HH!R42+HH!V42+HH!Z42+HH!AD42+HH!AH42+HH!AL42+HH!AP42))*1000000</f>
        <v>0</v>
      </c>
      <c r="AG42" s="59">
        <f>((ACCIDENTES!BA42+ACCIDENTES!AV42+ACCIDENTES!AQ42+ACCIDENTES!AL42+ACCIDENTES!AG42+ACCIDENTES!AB42+ACCIDENTES!W42+ACCIDENTES!R42+ACCIDENTES!M42+ACCIDENTES!H42+ACCIDENTES!C42)/(HH!AT42+HH!AP42+HH!AL42+HH!AH42+HH!AD42+HH!Z42+HH!V42+HH!R42+HH!N42+HH!J42+HH!F42))*1000000</f>
        <v>0</v>
      </c>
      <c r="AH42" s="59">
        <f>((ACCIDENTES!D42+ACCIDENTES!I42+ACCIDENTES!N42+ACCIDENTES!S42+ACCIDENTES!X42+ACCIDENTES!AC42+ACCIDENTES!AH42+ACCIDENTES!AM42+ACCIDENTES!AR42+ACCIDENTES!AW42+ACCIDENTES!BB42)/(HH!F42+HH!J42+HH!N42+HH!R42+HH!V42+HH!Z42+HH!AD42+HH!AH42+HH!AL42+HH!AP42+HH!AT42))*1000000</f>
        <v>0</v>
      </c>
      <c r="AI42" s="59">
        <f>((ACCIDENTES!BD42+ACCIDENTES!AY42+ACCIDENTES!AT42+ACCIDENTES!AO42+ACCIDENTES!AJ42+ACCIDENTES!AE42+ACCIDENTES!Z42+ACCIDENTES!U42+ACCIDENTES!P42+ACCIDENTES!K42+ACCIDENTES!F42)/(HH!F42+HH!J42+HH!N42+HH!R42+HH!V42+HH!Z42+HH!AD42+HH!AH42+HH!AL42+HH!AP42+HH!AT42))*1000000</f>
        <v>0</v>
      </c>
      <c r="AJ42" s="59">
        <f>(ACCIDENTES!BK42/HH!BB42)*1000000</f>
        <v>0</v>
      </c>
      <c r="AK42" s="59">
        <f>(ACCIDENTES!BL42/HH!BB42)*1000000</f>
        <v>0</v>
      </c>
      <c r="AL42" s="59">
        <f>(ACCIDENTES!BN42/HH!BB42)*1000000</f>
        <v>0</v>
      </c>
      <c r="AN42" s="41">
        <f t="shared" si="0"/>
        <v>0</v>
      </c>
      <c r="AO42" s="41">
        <f t="shared" si="1"/>
        <v>0</v>
      </c>
      <c r="AP42" s="40">
        <v>0</v>
      </c>
      <c r="AQ42" s="124"/>
      <c r="AR42" s="41">
        <v>0</v>
      </c>
      <c r="AS42" s="41">
        <v>0</v>
      </c>
      <c r="AT42" s="41">
        <v>0</v>
      </c>
      <c r="AV42" s="118">
        <v>0</v>
      </c>
      <c r="AW42" s="60">
        <v>0</v>
      </c>
      <c r="AX42" s="60">
        <v>0</v>
      </c>
      <c r="AY42" s="63"/>
      <c r="AZ42" s="118">
        <v>0</v>
      </c>
      <c r="BA42" s="60">
        <v>0</v>
      </c>
      <c r="BB42" s="60">
        <v>0</v>
      </c>
      <c r="BC42" s="63"/>
      <c r="BD42" s="118">
        <v>0</v>
      </c>
      <c r="BE42" s="60">
        <v>0</v>
      </c>
      <c r="BF42" s="60">
        <v>0</v>
      </c>
    </row>
    <row r="43" spans="1:65" outlineLevel="1" x14ac:dyDescent="0.3">
      <c r="A43" s="10" t="s">
        <v>63</v>
      </c>
      <c r="B43" s="4" t="s">
        <v>66</v>
      </c>
      <c r="C43" s="58">
        <f>(ACCIDENTES!C43/HH!F43)*1000000</f>
        <v>0</v>
      </c>
      <c r="D43" s="59">
        <f>(ACCIDENTES!D43/HH!F43)*1000000</f>
        <v>0</v>
      </c>
      <c r="E43" s="59">
        <f>(ACCIDENTES!F43/HH!F43)*1000000</f>
        <v>0</v>
      </c>
      <c r="F43" s="59">
        <f>((ACCIDENTES!C43+ACCIDENTES!H43)/(HH!F43+HH!J43))*1000000</f>
        <v>0</v>
      </c>
      <c r="G43" s="59">
        <f>((ACCIDENTES!D43+ACCIDENTES!I43)/(HH!F43+HH!J43))*1000000</f>
        <v>0</v>
      </c>
      <c r="H43" s="59">
        <f>((ACCIDENTES!F43+ACCIDENTES!K43)/(HH!F43+HH!J43))*1000000</f>
        <v>0</v>
      </c>
      <c r="I43" s="59">
        <f>((ACCIDENTES!C43+ACCIDENTES!H43+ACCIDENTES!M43)/(HH!F43+HH!J43+HH!N43))*1000000</f>
        <v>0</v>
      </c>
      <c r="J43" s="59">
        <f>((ACCIDENTES!D43+ACCIDENTES!I43+ACCIDENTES!N43)/(HH!F43+HH!J43+HH!N43))*1000000</f>
        <v>0</v>
      </c>
      <c r="K43" s="59">
        <f>((ACCIDENTES!F43+ACCIDENTES!K43+ACCIDENTES!P43)/(HH!J43+HH!N43+HH!F43))*1000000</f>
        <v>0</v>
      </c>
      <c r="L43" s="59">
        <f>((ACCIDENTES!C43+ACCIDENTES!H43+ACCIDENTES!M43+ACCIDENTES!R43)/(HH!F43+HH!J43+HH!N43+HH!R43))*1000000</f>
        <v>0</v>
      </c>
      <c r="M43" s="59">
        <f>((ACCIDENTES!D43+ACCIDENTES!I43+ACCIDENTES!N43+ACCIDENTES!S43)/(HH!F43+HH!J43+HH!N43+HH!R43))*1000000</f>
        <v>0</v>
      </c>
      <c r="N43" s="59">
        <f>((ACCIDENTES!F43+ACCIDENTES!K43+ACCIDENTES!P43+ACCIDENTES!U43)/(HH!F43+HH!J43+HH!N43+HH!R43))*1000000</f>
        <v>0</v>
      </c>
      <c r="O43" s="59">
        <f>((ACCIDENTES!C43+ACCIDENTES!H43+ACCIDENTES!M43+ACCIDENTES!R43+ACCIDENTES!W43)/(HH!F43+HH!J43+HH!N43+HH!R43+HH!V43))*1000000</f>
        <v>0</v>
      </c>
      <c r="P43" s="59">
        <f>(((ACCIDENTES!D43+ACCIDENTES!I43+ACCIDENTES!N43+ACCIDENTES!S43+ACCIDENTES!X43)/(HH!F43+HH!J43+HH!N43+HH!R43+HH!V43))*1000000)</f>
        <v>0</v>
      </c>
      <c r="Q43" s="59">
        <f>((ACCIDENTES!F43+ACCIDENTES!K43+ACCIDENTES!P43+ACCIDENTES!U43+ACCIDENTES!Z43)/(HH!F43+HH!J43+HH!N43+HH!R43+HH!V43))*1000000</f>
        <v>0</v>
      </c>
      <c r="R43" s="59">
        <f>(ACCIDENTES!C43+ACCIDENTES!H43+ACCIDENTES!M43+ACCIDENTES!R43+ACCIDENTES!W43+ACCIDENTES!AB43)*1000000/(HH!F43+HH!J43+HH!N43+HH!R43+HH!V43+HH!Z43)</f>
        <v>0</v>
      </c>
      <c r="S43" s="59">
        <f>(ACCIDENTES!D43+ACCIDENTES!I43+ACCIDENTES!N43+ACCIDENTES!S43+ACCIDENTES!X43+ACCIDENTES!AC43)*1000000/(HH!F43+HH!J43+HH!N43+HH!R43+HH!V43+HH!Z43)</f>
        <v>0</v>
      </c>
      <c r="T43" s="59">
        <f>(ACCIDENTES!F43+ACCIDENTES!K43+ACCIDENTES!P43+ACCIDENTES!U43+ACCIDENTES!Z43+ACCIDENTES!AE43)*1000000/(HH!F43+HH!J43+HH!N43+HH!R43+HH!V43+HH!Z43)</f>
        <v>0</v>
      </c>
      <c r="U43" s="59">
        <f>((ACCIDENTES!C43+ACCIDENTES!H43+ACCIDENTES!M43+ACCIDENTES!R43+ACCIDENTES!W43+ACCIDENTES!AB43+ACCIDENTES!AG43)/(HH!F43+HH!J43+HH!N43+HH!R43+HH!V43+HH!Z43+HH!AD43))*1000000</f>
        <v>0</v>
      </c>
      <c r="V43" s="59">
        <f>((ACCIDENTES!D43+ACCIDENTES!I43+ACCIDENTES!N43+ACCIDENTES!S43+ACCIDENTES!X43+ACCIDENTES!AC43+ACCIDENTES!AH43)/(HH!F43+HH!J43+HH!N43+HH!R43+HH!V43+HH!Z43+HH!AD43))*1000000</f>
        <v>0</v>
      </c>
      <c r="W43" s="59">
        <f>((ACCIDENTES!F43+ACCIDENTES!K43+ACCIDENTES!P43+ACCIDENTES!U43+ACCIDENTES!Z43+ACCIDENTES!AE43+ACCIDENTES!AJ43)/(HH!F43+HH!J43+HH!N43+HH!R43+HH!V43+HH!Z43+HH!AD43))*1000000</f>
        <v>0</v>
      </c>
      <c r="X43" s="59">
        <f>((ACCIDENTES!C43+ACCIDENTES!H43+ACCIDENTES!M43+ACCIDENTES!R43+ACCIDENTES!W43+ACCIDENTES!AB43+ACCIDENTES!AG43+ACCIDENTES!AL43)/(HH!F43+HH!J43+HH!N43+HH!R43+HH!V43+HH!Z43+HH!AD43+HH!AH43))*1000000</f>
        <v>0</v>
      </c>
      <c r="Y43" s="59">
        <f>((ACCIDENTES!D43+ACCIDENTES!I43+ACCIDENTES!N43+ACCIDENTES!S43+ACCIDENTES!X43+ACCIDENTES!AC43+ACCIDENTES!AH43+ACCIDENTES!AM43)/(HH!F43+HH!J43+HH!N43+HH!R43+HH!V43+HH!Z43+HH!AD43+HH!AH43))*1000000</f>
        <v>0</v>
      </c>
      <c r="Z43" s="59">
        <f>((ACCIDENTES!F43+ACCIDENTES!K43+ACCIDENTES!P43+ACCIDENTES!U43+ACCIDENTES!Z43+ACCIDENTES!AE43+ACCIDENTES!AJ43+ACCIDENTES!AO43)/(HH!F43+HH!J43+HH!N43+HH!R43+HH!V43+HH!Z43+HH!AD43+HH!AH43))*1000000</f>
        <v>0</v>
      </c>
      <c r="AA43" s="59">
        <f>((ACCIDENTES!AQ43+ACCIDENTES!AL43+ACCIDENTES!AG43+ACCIDENTES!AB43+ACCIDENTES!W43+ACCIDENTES!R43+ACCIDENTES!M43+ACCIDENTES!H43+ACCIDENTES!C43)/(HH!AL43+HH!AH43+HH!AD43+HH!Z43+HH!V43+HH!R43+HH!N43+HH!J43+HH!F43))*1000000</f>
        <v>0</v>
      </c>
      <c r="AB43" s="59">
        <f>((ACCIDENTES!AR43+ACCIDENTES!AM43+ACCIDENTES!AH43+ACCIDENTES!AC43+ACCIDENTES!X43+ACCIDENTES!S43+ACCIDENTES!N43+ACCIDENTES!I43+ACCIDENTES!D43)/(HH!AL43+HH!AH43+HH!AD43+HH!Z43+HH!V43+HH!R43+HH!N43+HH!J43+HH!F43))*1000000</f>
        <v>0</v>
      </c>
      <c r="AC43" s="59">
        <f>((ACCIDENTES!F43+ACCIDENTES!K43+ACCIDENTES!P43+ACCIDENTES!U43+ACCIDENTES!Z43+ACCIDENTES!AE43+ACCIDENTES!AJ43+ACCIDENTES!AO43+ACCIDENTES!AT43)/(HH!F43+HH!J43+HH!N43+HH!R43+HH!V43+HH!Z43+HH!AD43+HH!AH43+HH!AL43))*1000000</f>
        <v>0</v>
      </c>
      <c r="AD43" s="59">
        <f>((ACCIDENTES!AV43+ACCIDENTES!AQ43+ACCIDENTES!AL43+ACCIDENTES!AG43+ACCIDENTES!AB43+ACCIDENTES!W43+ACCIDENTES!R43+ACCIDENTES!M43+ACCIDENTES!H43+ACCIDENTES!C43)/(HH!F43+HH!J43+HH!N43+HH!R43+HH!V43+HH!Z43+HH!AD43+HH!AH43+HH!AL43+HH!AP43))*1000000</f>
        <v>0</v>
      </c>
      <c r="AE43" s="59">
        <f>((ACCIDENTES!D43+ACCIDENTES!I43+ACCIDENTES!N43+ACCIDENTES!S43+ACCIDENTES!X43+ACCIDENTES!AC43+ACCIDENTES!AH43+ACCIDENTES!AM43+ACCIDENTES!AR43+ACCIDENTES!AW43)/(HH!AP43+HH!AL43+HH!AH43+HH!AD43+HH!Z43+HH!V43+HH!R43+HH!N43+HH!J43+HH!F43))*1000000</f>
        <v>0</v>
      </c>
      <c r="AF43" s="59">
        <f>((ACCIDENTES!AY43+ACCIDENTES!AT43+ACCIDENTES!AO43+ACCIDENTES!AJ43+ACCIDENTES!AE43+ACCIDENTES!Z43+ACCIDENTES!U43+ACCIDENTES!P43+ACCIDENTES!K43+ACCIDENTES!F43)/(HH!F43+HH!J43+HH!N43+HH!R43+HH!V43+HH!Z43+HH!AD43+HH!AH43+HH!AL43+HH!AP43))*1000000</f>
        <v>0</v>
      </c>
      <c r="AG43" s="59">
        <f>((ACCIDENTES!BA43+ACCIDENTES!AV43+ACCIDENTES!AQ43+ACCIDENTES!AL43+ACCIDENTES!AG43+ACCIDENTES!AB43+ACCIDENTES!W43+ACCIDENTES!R43+ACCIDENTES!M43+ACCIDENTES!H43+ACCIDENTES!C43)/(HH!AT43+HH!AP43+HH!AL43+HH!AH43+HH!AD43+HH!Z43+HH!V43+HH!R43+HH!N43+HH!J43+HH!F43))*1000000</f>
        <v>0</v>
      </c>
      <c r="AH43" s="59">
        <f>((ACCIDENTES!D43+ACCIDENTES!I43+ACCIDENTES!N43+ACCIDENTES!S43+ACCIDENTES!X43+ACCIDENTES!AC43+ACCIDENTES!AH43+ACCIDENTES!AM43+ACCIDENTES!AR43+ACCIDENTES!AW43+ACCIDENTES!BB43)/(HH!F43+HH!J43+HH!N43+HH!R43+HH!V43+HH!Z43+HH!AD43+HH!AH43+HH!AL43+HH!AP43+HH!AT43))*1000000</f>
        <v>0</v>
      </c>
      <c r="AI43" s="59">
        <f>((ACCIDENTES!BD43+ACCIDENTES!AY43+ACCIDENTES!AT43+ACCIDENTES!AO43+ACCIDENTES!AJ43+ACCIDENTES!AE43+ACCIDENTES!Z43+ACCIDENTES!U43+ACCIDENTES!P43+ACCIDENTES!K43+ACCIDENTES!F43)/(HH!F43+HH!J43+HH!N43+HH!R43+HH!V43+HH!Z43+HH!AD43+HH!AH43+HH!AL43+HH!AP43+HH!AT43))*1000000</f>
        <v>0</v>
      </c>
      <c r="AJ43" s="59">
        <f>(ACCIDENTES!BK43/HH!BB43)*1000000</f>
        <v>0</v>
      </c>
      <c r="AK43" s="59">
        <f>(ACCIDENTES!BL43/HH!BB43)*1000000</f>
        <v>0</v>
      </c>
      <c r="AL43" s="59">
        <f>(ACCIDENTES!BN43/HH!BB43)*1000000</f>
        <v>0</v>
      </c>
      <c r="AN43" s="41">
        <f t="shared" si="0"/>
        <v>0</v>
      </c>
      <c r="AO43" s="41">
        <f t="shared" si="1"/>
        <v>0</v>
      </c>
      <c r="AP43" s="40">
        <v>0</v>
      </c>
      <c r="AQ43" s="124"/>
      <c r="AR43" s="41">
        <v>0</v>
      </c>
      <c r="AS43" s="41">
        <v>0</v>
      </c>
      <c r="AT43" s="41">
        <v>0</v>
      </c>
      <c r="AV43" s="118">
        <v>0</v>
      </c>
      <c r="AW43" s="60">
        <v>0</v>
      </c>
      <c r="AX43" s="60">
        <v>0</v>
      </c>
      <c r="AY43" s="63"/>
      <c r="AZ43" s="118">
        <v>0</v>
      </c>
      <c r="BA43" s="60">
        <v>0</v>
      </c>
      <c r="BB43" s="60">
        <v>0</v>
      </c>
      <c r="BC43" s="63"/>
      <c r="BD43" s="118">
        <v>0</v>
      </c>
      <c r="BE43" s="60">
        <v>0</v>
      </c>
      <c r="BF43" s="60">
        <v>0</v>
      </c>
    </row>
    <row r="44" spans="1:65" outlineLevel="1" x14ac:dyDescent="0.3">
      <c r="A44" s="10" t="s">
        <v>63</v>
      </c>
      <c r="B44" s="4" t="s">
        <v>67</v>
      </c>
      <c r="C44" s="58">
        <f>(ACCIDENTES!C44/HH!F44)*1000000</f>
        <v>0</v>
      </c>
      <c r="D44" s="59">
        <f>(ACCIDENTES!D44/HH!F44)*1000000</f>
        <v>0</v>
      </c>
      <c r="E44" s="59">
        <f>(ACCIDENTES!F44/HH!F44)*1000000</f>
        <v>0</v>
      </c>
      <c r="F44" s="59">
        <f>((ACCIDENTES!C44+ACCIDENTES!H44)/(HH!F44+HH!J44))*1000000</f>
        <v>14.438973677750985</v>
      </c>
      <c r="G44" s="59">
        <f>((ACCIDENTES!D44+ACCIDENTES!I44)/(HH!F44+HH!J44))*1000000</f>
        <v>101.0728157442569</v>
      </c>
      <c r="H44" s="59">
        <f>((ACCIDENTES!F44+ACCIDENTES!K44)/(HH!F44+HH!J44))*1000000</f>
        <v>28.87794735550197</v>
      </c>
      <c r="I44" s="59">
        <f>((ACCIDENTES!C44+ACCIDENTES!H44+ACCIDENTES!M44)/(HH!F44+HH!J44+HH!N44))*1000000</f>
        <v>9.4955038789133344</v>
      </c>
      <c r="J44" s="59">
        <f>((ACCIDENTES!D44+ACCIDENTES!I44+ACCIDENTES!N44)/(HH!F44+HH!J44+HH!N44))*1000000</f>
        <v>66.468527152393335</v>
      </c>
      <c r="K44" s="59">
        <f>((ACCIDENTES!F44+ACCIDENTES!K44+ACCIDENTES!P44)/(HH!J44+HH!N44+HH!F44))*1000000</f>
        <v>18.991007757826669</v>
      </c>
      <c r="L44" s="59">
        <f>((ACCIDENTES!C44+ACCIDENTES!H44+ACCIDENTES!M44+ACCIDENTES!R44)/(HH!F44+HH!J44+HH!N44+HH!R44))*1000000</f>
        <v>6.9188830155259735</v>
      </c>
      <c r="M44" s="59">
        <f>((ACCIDENTES!D44+ACCIDENTES!I44+ACCIDENTES!N44+ACCIDENTES!S44)/(HH!F44+HH!J44+HH!N44+HH!R44))*1000000</f>
        <v>48.432181108681817</v>
      </c>
      <c r="N44" s="59">
        <f>((ACCIDENTES!F44+ACCIDENTES!K44+ACCIDENTES!P44+ACCIDENTES!U44)/(HH!F44+HH!J44+HH!N44+HH!R44))*1000000</f>
        <v>27.675532062103894</v>
      </c>
      <c r="O44" s="59">
        <f>((ACCIDENTES!C44+ACCIDENTES!H44+ACCIDENTES!M44+ACCIDENTES!R44+ACCIDENTES!W44)/(HH!F44+HH!J44+HH!N44+HH!R44+HH!V44))*1000000</f>
        <v>5.5514844669464614</v>
      </c>
      <c r="P44" s="59">
        <f>(((ACCIDENTES!D44+ACCIDENTES!I44+ACCIDENTES!N44+ACCIDENTES!S44+ACCIDENTES!X44)/(HH!F44+HH!J44+HH!N44+HH!R44+HH!V44))*1000000)</f>
        <v>38.860391268625229</v>
      </c>
      <c r="Q44" s="59">
        <f>((ACCIDENTES!F44+ACCIDENTES!K44+ACCIDENTES!P44+ACCIDENTES!U44+ACCIDENTES!Z44)/(HH!F44+HH!J44+HH!N44+HH!R44+HH!V44))*1000000</f>
        <v>22.205937867785845</v>
      </c>
      <c r="R44" s="59">
        <f>(ACCIDENTES!C44+ACCIDENTES!H44+ACCIDENTES!M44+ACCIDENTES!R44+ACCIDENTES!W44+ACCIDENTES!AB44)*1000000/(HH!F44+HH!J44+HH!N44+HH!R44+HH!V44+HH!Z44)</f>
        <v>4.6641791044776122</v>
      </c>
      <c r="S44" s="59">
        <f>(ACCIDENTES!D44+ACCIDENTES!I44+ACCIDENTES!N44+ACCIDENTES!S44+ACCIDENTES!X44+ACCIDENTES!AC44)*1000000/(HH!F44+HH!J44+HH!N44+HH!R44+HH!V44+HH!Z44)</f>
        <v>32.649253731343286</v>
      </c>
      <c r="T44" s="59">
        <f>(ACCIDENTES!F44+ACCIDENTES!K44+ACCIDENTES!P44+ACCIDENTES!U44+ACCIDENTES!Z44+ACCIDENTES!AE44)*1000000/(HH!F44+HH!J44+HH!N44+HH!R44+HH!V44+HH!Z44)</f>
        <v>18.656716417910449</v>
      </c>
      <c r="U44" s="59">
        <f>((ACCIDENTES!C44+ACCIDENTES!H44+ACCIDENTES!M44+ACCIDENTES!R44+ACCIDENTES!W44+ACCIDENTES!AB44+ACCIDENTES!AG44)/(HH!F44+HH!J44+HH!N44+HH!R44+HH!V44+HH!Z44+HH!AD44))*1000000</f>
        <v>3.9556023195651999</v>
      </c>
      <c r="V44" s="59">
        <f>((ACCIDENTES!D44+ACCIDENTES!I44+ACCIDENTES!N44+ACCIDENTES!S44+ACCIDENTES!X44+ACCIDENTES!AC44+ACCIDENTES!AH44)/(HH!F44+HH!J44+HH!N44+HH!R44+HH!V44+HH!Z44+HH!AD44))*1000000</f>
        <v>27.689216236956401</v>
      </c>
      <c r="W44" s="59">
        <f>((ACCIDENTES!F44+ACCIDENTES!K44+ACCIDENTES!P44+ACCIDENTES!U44+ACCIDENTES!Z44+ACCIDENTES!AE44+ACCIDENTES!AJ44)/(HH!F44+HH!J44+HH!N44+HH!R44+HH!V44+HH!Z44+HH!AD44))*1000000</f>
        <v>15.8224092782608</v>
      </c>
      <c r="X44" s="59">
        <f>((ACCIDENTES!C44+ACCIDENTES!H44+ACCIDENTES!M44+ACCIDENTES!R44+ACCIDENTES!W44+ACCIDENTES!AB44+ACCIDENTES!AG44+ACCIDENTES!AL44)/(HH!F44+HH!J44+HH!N44+HH!R44+HH!V44+HH!Z44+HH!AD44+HH!AH44))*1000000</f>
        <v>3.4423289420690462</v>
      </c>
      <c r="Y44" s="59">
        <f>((ACCIDENTES!D44+ACCIDENTES!I44+ACCIDENTES!N44+ACCIDENTES!S44+ACCIDENTES!X44+ACCIDENTES!AC44+ACCIDENTES!AH44+ACCIDENTES!AM44)/(HH!F44+HH!J44+HH!N44+HH!R44+HH!V44+HH!Z44+HH!AD44+HH!AH44))*1000000</f>
        <v>24.096302594483323</v>
      </c>
      <c r="Z44" s="59">
        <f>((ACCIDENTES!F44+ACCIDENTES!K44+ACCIDENTES!P44+ACCIDENTES!U44+ACCIDENTES!Z44+ACCIDENTES!AE44+ACCIDENTES!AJ44+ACCIDENTES!AO44)/(HH!F44+HH!J44+HH!N44+HH!R44+HH!V44+HH!Z44+HH!AD44+HH!AH44))*1000000</f>
        <v>13.769315768276185</v>
      </c>
      <c r="AA44" s="59">
        <f>((ACCIDENTES!AQ44+ACCIDENTES!AL44+ACCIDENTES!AG44+ACCIDENTES!AB44+ACCIDENTES!W44+ACCIDENTES!R44+ACCIDENTES!M44+ACCIDENTES!H44+ACCIDENTES!C44)/(HH!AL44+HH!AH44+HH!AD44+HH!Z44+HH!V44+HH!R44+HH!N44+HH!J44+HH!F44))*1000000</f>
        <v>3.0469597435678679</v>
      </c>
      <c r="AB44" s="59">
        <f>((ACCIDENTES!AR44+ACCIDENTES!AM44+ACCIDENTES!AH44+ACCIDENTES!AC44+ACCIDENTES!X44+ACCIDENTES!S44+ACCIDENTES!N44+ACCIDENTES!I44+ACCIDENTES!D44)/(HH!AL44+HH!AH44+HH!AD44+HH!Z44+HH!V44+HH!R44+HH!N44+HH!J44+HH!F44))*1000000</f>
        <v>21.328718204975075</v>
      </c>
      <c r="AC44" s="59">
        <f>((ACCIDENTES!F44+ACCIDENTES!K44+ACCIDENTES!P44+ACCIDENTES!U44+ACCIDENTES!Z44+ACCIDENTES!AE44+ACCIDENTES!AJ44+ACCIDENTES!AO44+ACCIDENTES!AT44)/(HH!F44+HH!J44+HH!N44+HH!R44+HH!V44+HH!Z44+HH!AD44+HH!AH44+HH!AL44))*1000000</f>
        <v>12.187838974271472</v>
      </c>
      <c r="AD44" s="59">
        <f>((ACCIDENTES!AV44+ACCIDENTES!AQ44+ACCIDENTES!AL44+ACCIDENTES!AG44+ACCIDENTES!AB44+ACCIDENTES!W44+ACCIDENTES!R44+ACCIDENTES!M44+ACCIDENTES!H44+ACCIDENTES!C44)/(HH!F44+HH!J44+HH!N44+HH!R44+HH!V44+HH!Z44+HH!AD44+HH!AH44+HH!AL44+HH!AP44))*1000000</f>
        <v>2.7330543795829905</v>
      </c>
      <c r="AE44" s="59">
        <f>((ACCIDENTES!D44+ACCIDENTES!I44+ACCIDENTES!N44+ACCIDENTES!S44+ACCIDENTES!X44+ACCIDENTES!AC44+ACCIDENTES!AH44+ACCIDENTES!AM44+ACCIDENTES!AR44+ACCIDENTES!AW44)/(HH!AP44+HH!AL44+HH!AH44+HH!AD44+HH!Z44+HH!V44+HH!R44+HH!N44+HH!J44+HH!F44))*1000000</f>
        <v>19.131380657080932</v>
      </c>
      <c r="AF44" s="59">
        <f>((ACCIDENTES!AY44+ACCIDENTES!AT44+ACCIDENTES!AO44+ACCIDENTES!AJ44+ACCIDENTES!AE44+ACCIDENTES!Z44+ACCIDENTES!U44+ACCIDENTES!P44+ACCIDENTES!K44+ACCIDENTES!F44)/(HH!F44+HH!J44+HH!N44+HH!R44+HH!V44+HH!Z44+HH!AD44+HH!AH44+HH!AL44+HH!AP44))*1000000</f>
        <v>10.932217518331962</v>
      </c>
      <c r="AG44" s="59">
        <f>((ACCIDENTES!BA44+ACCIDENTES!AV44+ACCIDENTES!AQ44+ACCIDENTES!AL44+ACCIDENTES!AG44+ACCIDENTES!AB44+ACCIDENTES!W44+ACCIDENTES!R44+ACCIDENTES!M44+ACCIDENTES!H44+ACCIDENTES!C44)/(HH!AT44+HH!AP44+HH!AL44+HH!AH44+HH!AD44+HH!Z44+HH!V44+HH!R44+HH!N44+HH!J44+HH!F44))*1000000</f>
        <v>4.9555732854955332</v>
      </c>
      <c r="AH44" s="59">
        <f>((ACCIDENTES!D44+ACCIDENTES!I44+ACCIDENTES!N44+ACCIDENTES!S44+ACCIDENTES!X44+ACCIDENTES!AC44+ACCIDENTES!AH44+ACCIDENTES!AM44+ACCIDENTES!AR44+ACCIDENTES!AW44+ACCIDENTES!BB44)/(HH!F44+HH!J44+HH!N44+HH!R44+HH!V44+HH!Z44+HH!AD44+HH!AH44+HH!AL44+HH!AP44+HH!AT44))*1000000</f>
        <v>34.689012998468726</v>
      </c>
      <c r="AI44" s="59">
        <f>((ACCIDENTES!BD44+ACCIDENTES!AY44+ACCIDENTES!AT44+ACCIDENTES!AO44+ACCIDENTES!AJ44+ACCIDENTES!AE44+ACCIDENTES!Z44+ACCIDENTES!U44+ACCIDENTES!P44+ACCIDENTES!K44+ACCIDENTES!F44)/(HH!F44+HH!J44+HH!N44+HH!R44+HH!V44+HH!Z44+HH!AD44+HH!AH44+HH!AL44+HH!AP44+HH!AT44))*1000000</f>
        <v>12.388933213738831</v>
      </c>
      <c r="AJ44" s="59">
        <f>(ACCIDENTES!BK44/HH!BB44)*1000000</f>
        <v>4.5499734964043839</v>
      </c>
      <c r="AK44" s="59">
        <f>(ACCIDENTES!BL44/HH!BB44)*1000000</f>
        <v>31.849814474830684</v>
      </c>
      <c r="AL44" s="59">
        <f>(ACCIDENTES!BN44/HH!BB44)*1000000</f>
        <v>11.374933741010958</v>
      </c>
      <c r="AN44" s="41">
        <f t="shared" si="0"/>
        <v>0</v>
      </c>
      <c r="AO44" s="41">
        <f t="shared" si="1"/>
        <v>0</v>
      </c>
      <c r="AP44" s="42"/>
      <c r="AQ44" s="126"/>
      <c r="AR44" s="41">
        <v>0</v>
      </c>
      <c r="AS44" s="41">
        <v>0</v>
      </c>
      <c r="AT44" s="41">
        <v>0</v>
      </c>
      <c r="AV44" s="118"/>
      <c r="AW44" s="60"/>
      <c r="AX44" s="60"/>
      <c r="AY44" s="63"/>
      <c r="AZ44" s="118"/>
      <c r="BA44" s="60"/>
      <c r="BB44" s="60"/>
      <c r="BC44" s="63"/>
      <c r="BD44" s="118"/>
      <c r="BE44" s="60"/>
      <c r="BF44" s="60"/>
    </row>
    <row r="45" spans="1:65" outlineLevel="1" x14ac:dyDescent="0.3">
      <c r="A45" s="10" t="s">
        <v>63</v>
      </c>
      <c r="B45" s="4" t="s">
        <v>68</v>
      </c>
      <c r="C45" s="58">
        <f>(ACCIDENTES!C45/HH!F45)*1000000</f>
        <v>0</v>
      </c>
      <c r="D45" s="59">
        <f>(ACCIDENTES!D45/HH!F45)*1000000</f>
        <v>0</v>
      </c>
      <c r="E45" s="59">
        <f>(ACCIDENTES!F45/HH!F45)*1000000</f>
        <v>0</v>
      </c>
      <c r="F45" s="59">
        <f>((ACCIDENTES!C45+ACCIDENTES!H45)/(HH!F45+HH!J45))*1000000</f>
        <v>0</v>
      </c>
      <c r="G45" s="59">
        <f>((ACCIDENTES!D45+ACCIDENTES!I45)/(HH!F45+HH!J45))*1000000</f>
        <v>0</v>
      </c>
      <c r="H45" s="59">
        <f>((ACCIDENTES!F45+ACCIDENTES!K45)/(HH!F45+HH!J45))*1000000</f>
        <v>0</v>
      </c>
      <c r="I45" s="59">
        <f>((ACCIDENTES!C45+ACCIDENTES!H45+ACCIDENTES!M45)/(HH!F45+HH!J45+HH!N45))*1000000</f>
        <v>0</v>
      </c>
      <c r="J45" s="59">
        <f>((ACCIDENTES!D45+ACCIDENTES!I45+ACCIDENTES!N45)/(HH!F45+HH!J45+HH!N45))*1000000</f>
        <v>0</v>
      </c>
      <c r="K45" s="59">
        <f>((ACCIDENTES!F45+ACCIDENTES!K45+ACCIDENTES!P45)/(HH!J45+HH!N45+HH!F45))*1000000</f>
        <v>0</v>
      </c>
      <c r="L45" s="59">
        <f>((ACCIDENTES!C45+ACCIDENTES!H45+ACCIDENTES!M45+ACCIDENTES!R45)/(HH!F45+HH!J45+HH!N45+HH!R45))*1000000</f>
        <v>0</v>
      </c>
      <c r="M45" s="59">
        <f>((ACCIDENTES!D45+ACCIDENTES!I45+ACCIDENTES!N45+ACCIDENTES!S45)/(HH!F45+HH!J45+HH!N45+HH!R45))*1000000</f>
        <v>0</v>
      </c>
      <c r="N45" s="59">
        <f>((ACCIDENTES!F45+ACCIDENTES!K45+ACCIDENTES!P45+ACCIDENTES!U45)/(HH!F45+HH!J45+HH!N45+HH!R45))*1000000</f>
        <v>0</v>
      </c>
      <c r="O45" s="59">
        <f>((ACCIDENTES!C45+ACCIDENTES!H45+ACCIDENTES!M45+ACCIDENTES!R45+ACCIDENTES!W45)/(HH!F45+HH!J45+HH!N45+HH!R45+HH!V45))*1000000</f>
        <v>0</v>
      </c>
      <c r="P45" s="59">
        <f>(((ACCIDENTES!D45+ACCIDENTES!I45+ACCIDENTES!N45+ACCIDENTES!S45+ACCIDENTES!X45)/(HH!F45+HH!J45+HH!N45+HH!R45+HH!V45))*1000000)</f>
        <v>0</v>
      </c>
      <c r="Q45" s="59">
        <f>((ACCIDENTES!F45+ACCIDENTES!K45+ACCIDENTES!P45+ACCIDENTES!U45+ACCIDENTES!Z45)/(HH!F45+HH!J45+HH!N45+HH!R45+HH!V45))*1000000</f>
        <v>0</v>
      </c>
      <c r="R45" s="59">
        <f>(ACCIDENTES!C45+ACCIDENTES!H45+ACCIDENTES!M45+ACCIDENTES!R45+ACCIDENTES!W45+ACCIDENTES!AB45)*1000000/(HH!F45+HH!J45+HH!N45+HH!R45+HH!V45+HH!Z45)</f>
        <v>0</v>
      </c>
      <c r="S45" s="59">
        <f>(ACCIDENTES!D45+ACCIDENTES!I45+ACCIDENTES!N45+ACCIDENTES!S45+ACCIDENTES!X45+ACCIDENTES!AC45)*1000000/(HH!F45+HH!J45+HH!N45+HH!R45+HH!V45+HH!Z45)</f>
        <v>0</v>
      </c>
      <c r="T45" s="59">
        <f>(ACCIDENTES!F45+ACCIDENTES!K45+ACCIDENTES!P45+ACCIDENTES!U45+ACCIDENTES!Z45+ACCIDENTES!AE45)*1000000/(HH!F45+HH!J45+HH!N45+HH!R45+HH!V45+HH!Z45)</f>
        <v>0</v>
      </c>
      <c r="U45" s="59">
        <f>((ACCIDENTES!C45+ACCIDENTES!H45+ACCIDENTES!M45+ACCIDENTES!R45+ACCIDENTES!W45+ACCIDENTES!AB45+ACCIDENTES!AG45)/(HH!F45+HH!J45+HH!N45+HH!R45+HH!V45+HH!Z45+HH!AD45))*1000000</f>
        <v>0</v>
      </c>
      <c r="V45" s="59">
        <f>((ACCIDENTES!D45+ACCIDENTES!I45+ACCIDENTES!N45+ACCIDENTES!S45+ACCIDENTES!X45+ACCIDENTES!AC45+ACCIDENTES!AH45)/(HH!F45+HH!J45+HH!N45+HH!R45+HH!V45+HH!Z45+HH!AD45))*1000000</f>
        <v>0</v>
      </c>
      <c r="W45" s="59">
        <f>((ACCIDENTES!F45+ACCIDENTES!K45+ACCIDENTES!P45+ACCIDENTES!U45+ACCIDENTES!Z45+ACCIDENTES!AE45+ACCIDENTES!AJ45)/(HH!F45+HH!J45+HH!N45+HH!R45+HH!V45+HH!Z45+HH!AD45))*1000000</f>
        <v>0</v>
      </c>
      <c r="X45" s="59">
        <f>((ACCIDENTES!C45+ACCIDENTES!H45+ACCIDENTES!M45+ACCIDENTES!R45+ACCIDENTES!W45+ACCIDENTES!AB45+ACCIDENTES!AG45+ACCIDENTES!AL45)/(HH!F45+HH!J45+HH!N45+HH!R45+HH!V45+HH!Z45+HH!AD45+HH!AH45))*1000000</f>
        <v>0</v>
      </c>
      <c r="Y45" s="59">
        <f>((ACCIDENTES!D45+ACCIDENTES!I45+ACCIDENTES!N45+ACCIDENTES!S45+ACCIDENTES!X45+ACCIDENTES!AC45+ACCIDENTES!AH45+ACCIDENTES!AM45)/(HH!F45+HH!J45+HH!N45+HH!R45+HH!V45+HH!Z45+HH!AD45+HH!AH45))*1000000</f>
        <v>0</v>
      </c>
      <c r="Z45" s="59">
        <f>((ACCIDENTES!F45+ACCIDENTES!K45+ACCIDENTES!P45+ACCIDENTES!U45+ACCIDENTES!Z45+ACCIDENTES!AE45+ACCIDENTES!AJ45+ACCIDENTES!AO45)/(HH!F45+HH!J45+HH!N45+HH!R45+HH!V45+HH!Z45+HH!AD45+HH!AH45))*1000000</f>
        <v>0</v>
      </c>
      <c r="AA45" s="59">
        <f>((ACCIDENTES!AQ45+ACCIDENTES!AL45+ACCIDENTES!AG45+ACCIDENTES!AB45+ACCIDENTES!W45+ACCIDENTES!R45+ACCIDENTES!M45+ACCIDENTES!H45+ACCIDENTES!C45)/(HH!AL45+HH!AH45+HH!AD45+HH!Z45+HH!V45+HH!R45+HH!N45+HH!J45+HH!F45))*1000000</f>
        <v>0</v>
      </c>
      <c r="AB45" s="59">
        <f>((ACCIDENTES!AR45+ACCIDENTES!AM45+ACCIDENTES!AH45+ACCIDENTES!AC45+ACCIDENTES!X45+ACCIDENTES!S45+ACCIDENTES!N45+ACCIDENTES!I45+ACCIDENTES!D45)/(HH!AL45+HH!AH45+HH!AD45+HH!Z45+HH!V45+HH!R45+HH!N45+HH!J45+HH!F45))*1000000</f>
        <v>0</v>
      </c>
      <c r="AC45" s="59">
        <f>((ACCIDENTES!F45+ACCIDENTES!K45+ACCIDENTES!P45+ACCIDENTES!U45+ACCIDENTES!Z45+ACCIDENTES!AE45+ACCIDENTES!AJ45+ACCIDENTES!AO45+ACCIDENTES!AT45)/(HH!F45+HH!J45+HH!N45+HH!R45+HH!V45+HH!Z45+HH!AD45+HH!AH45+HH!AL45))*1000000</f>
        <v>0</v>
      </c>
      <c r="AD45" s="59">
        <f>((ACCIDENTES!AV45+ACCIDENTES!AQ45+ACCIDENTES!AL45+ACCIDENTES!AG45+ACCIDENTES!AB45+ACCIDENTES!W45+ACCIDENTES!R45+ACCIDENTES!M45+ACCIDENTES!H45+ACCIDENTES!C45)/(HH!F45+HH!J45+HH!N45+HH!R45+HH!V45+HH!Z45+HH!AD45+HH!AH45+HH!AL45+HH!AP45))*1000000</f>
        <v>0</v>
      </c>
      <c r="AE45" s="59">
        <f>((ACCIDENTES!D45+ACCIDENTES!I45+ACCIDENTES!N45+ACCIDENTES!S45+ACCIDENTES!X45+ACCIDENTES!AC45+ACCIDENTES!AH45+ACCIDENTES!AM45+ACCIDENTES!AR45+ACCIDENTES!AW45)/(HH!AP45+HH!AL45+HH!AH45+HH!AD45+HH!Z45+HH!V45+HH!R45+HH!N45+HH!J45+HH!F45))*1000000</f>
        <v>0</v>
      </c>
      <c r="AF45" s="59">
        <f>((ACCIDENTES!AY45+ACCIDENTES!AT45+ACCIDENTES!AO45+ACCIDENTES!AJ45+ACCIDENTES!AE45+ACCIDENTES!Z45+ACCIDENTES!U45+ACCIDENTES!P45+ACCIDENTES!K45+ACCIDENTES!F45)/(HH!F45+HH!J45+HH!N45+HH!R45+HH!V45+HH!Z45+HH!AD45+HH!AH45+HH!AL45+HH!AP45))*1000000</f>
        <v>0</v>
      </c>
      <c r="AG45" s="59">
        <f>((ACCIDENTES!BA45+ACCIDENTES!AV45+ACCIDENTES!AQ45+ACCIDENTES!AL45+ACCIDENTES!AG45+ACCIDENTES!AB45+ACCIDENTES!W45+ACCIDENTES!R45+ACCIDENTES!M45+ACCIDENTES!H45+ACCIDENTES!C45)/(HH!AT45+HH!AP45+HH!AL45+HH!AH45+HH!AD45+HH!Z45+HH!V45+HH!R45+HH!N45+HH!J45+HH!F45))*1000000</f>
        <v>0</v>
      </c>
      <c r="AH45" s="59">
        <f>((ACCIDENTES!D45+ACCIDENTES!I45+ACCIDENTES!N45+ACCIDENTES!S45+ACCIDENTES!X45+ACCIDENTES!AC45+ACCIDENTES!AH45+ACCIDENTES!AM45+ACCIDENTES!AR45+ACCIDENTES!AW45+ACCIDENTES!BB45)/(HH!F45+HH!J45+HH!N45+HH!R45+HH!V45+HH!Z45+HH!AD45+HH!AH45+HH!AL45+HH!AP45+HH!AT45))*1000000</f>
        <v>0</v>
      </c>
      <c r="AI45" s="59">
        <f>((ACCIDENTES!BD45+ACCIDENTES!AY45+ACCIDENTES!AT45+ACCIDENTES!AO45+ACCIDENTES!AJ45+ACCIDENTES!AE45+ACCIDENTES!Z45+ACCIDENTES!U45+ACCIDENTES!P45+ACCIDENTES!K45+ACCIDENTES!F45)/(HH!F45+HH!J45+HH!N45+HH!R45+HH!V45+HH!Z45+HH!AD45+HH!AH45+HH!AL45+HH!AP45+HH!AT45))*1000000</f>
        <v>0</v>
      </c>
      <c r="AJ45" s="59">
        <f>(ACCIDENTES!BK45/HH!BB45)*1000000</f>
        <v>0</v>
      </c>
      <c r="AK45" s="59">
        <f>(ACCIDENTES!BL45/HH!BB45)*1000000</f>
        <v>0</v>
      </c>
      <c r="AL45" s="59">
        <f>(ACCIDENTES!BN45/HH!BB45)*1000000</f>
        <v>0</v>
      </c>
      <c r="AN45" s="41">
        <f t="shared" si="0"/>
        <v>0</v>
      </c>
      <c r="AO45" s="41">
        <f t="shared" si="1"/>
        <v>0</v>
      </c>
      <c r="AP45" s="40"/>
      <c r="AQ45" s="124"/>
      <c r="AR45" s="41">
        <v>0</v>
      </c>
      <c r="AS45" s="41">
        <v>0</v>
      </c>
      <c r="AT45" s="41">
        <v>0</v>
      </c>
      <c r="AV45" s="118"/>
      <c r="AW45" s="60"/>
      <c r="AX45" s="60"/>
      <c r="AY45" s="63"/>
      <c r="AZ45" s="118"/>
      <c r="BA45" s="60"/>
      <c r="BB45" s="60"/>
      <c r="BC45" s="63"/>
      <c r="BD45" s="118"/>
      <c r="BE45" s="60"/>
      <c r="BF45" s="60"/>
    </row>
    <row r="46" spans="1:65" outlineLevel="1" x14ac:dyDescent="0.3">
      <c r="A46" s="10" t="s">
        <v>63</v>
      </c>
      <c r="B46" s="4" t="s">
        <v>69</v>
      </c>
      <c r="C46" s="58">
        <f>(ACCIDENTES!C46/HH!F46)*1000000</f>
        <v>0</v>
      </c>
      <c r="D46" s="59">
        <f>(ACCIDENTES!D46/HH!F46)*1000000</f>
        <v>0</v>
      </c>
      <c r="E46" s="59">
        <f>(ACCIDENTES!F46/HH!F46)*1000000</f>
        <v>0</v>
      </c>
      <c r="F46" s="59">
        <f>((ACCIDENTES!C46+ACCIDENTES!H46)/(HH!F46+HH!J46))*1000000</f>
        <v>0</v>
      </c>
      <c r="G46" s="59">
        <f>((ACCIDENTES!D46+ACCIDENTES!I46)/(HH!F46+HH!J46))*1000000</f>
        <v>0</v>
      </c>
      <c r="H46" s="59">
        <f>((ACCIDENTES!F46+ACCIDENTES!K46)/(HH!F46+HH!J46))*1000000</f>
        <v>0</v>
      </c>
      <c r="I46" s="59">
        <f>((ACCIDENTES!C46+ACCIDENTES!H46+ACCIDENTES!M46)/(HH!F46+HH!J46+HH!N46))*1000000</f>
        <v>0</v>
      </c>
      <c r="J46" s="59">
        <f>((ACCIDENTES!D46+ACCIDENTES!I46+ACCIDENTES!N46)/(HH!F46+HH!J46+HH!N46))*1000000</f>
        <v>0</v>
      </c>
      <c r="K46" s="59">
        <f>((ACCIDENTES!F46+ACCIDENTES!K46+ACCIDENTES!P46)/(HH!J46+HH!N46+HH!F46))*1000000</f>
        <v>0</v>
      </c>
      <c r="L46" s="59">
        <f>((ACCIDENTES!C46+ACCIDENTES!H46+ACCIDENTES!M46+ACCIDENTES!R46)/(HH!F46+HH!J46+HH!N46+HH!R46))*1000000</f>
        <v>0</v>
      </c>
      <c r="M46" s="59">
        <f>((ACCIDENTES!D46+ACCIDENTES!I46+ACCIDENTES!N46+ACCIDENTES!S46)/(HH!F46+HH!J46+HH!N46+HH!R46))*1000000</f>
        <v>0</v>
      </c>
      <c r="N46" s="59">
        <f>((ACCIDENTES!F46+ACCIDENTES!K46+ACCIDENTES!P46+ACCIDENTES!U46)/(HH!F46+HH!J46+HH!N46+HH!R46))*1000000</f>
        <v>0</v>
      </c>
      <c r="O46" s="59">
        <f>((ACCIDENTES!C46+ACCIDENTES!H46+ACCIDENTES!M46+ACCIDENTES!R46+ACCIDENTES!W46)/(HH!F46+HH!J46+HH!N46+HH!R46+HH!V46))*1000000</f>
        <v>0</v>
      </c>
      <c r="P46" s="59">
        <f>(((ACCIDENTES!D46+ACCIDENTES!I46+ACCIDENTES!N46+ACCIDENTES!S46+ACCIDENTES!X46)/(HH!F46+HH!J46+HH!N46+HH!R46+HH!V46))*1000000)</f>
        <v>0</v>
      </c>
      <c r="Q46" s="59">
        <f>((ACCIDENTES!F46+ACCIDENTES!K46+ACCIDENTES!P46+ACCIDENTES!U46+ACCIDENTES!Z46)/(HH!F46+HH!J46+HH!N46+HH!R46+HH!V46))*1000000</f>
        <v>0</v>
      </c>
      <c r="R46" s="59">
        <f>(ACCIDENTES!C46+ACCIDENTES!H46+ACCIDENTES!M46+ACCIDENTES!R46+ACCIDENTES!W46+ACCIDENTES!AB46)*1000000/(HH!F46+HH!J46+HH!N46+HH!R46+HH!V46+HH!Z46)</f>
        <v>0</v>
      </c>
      <c r="S46" s="59">
        <f>(ACCIDENTES!D46+ACCIDENTES!I46+ACCIDENTES!N46+ACCIDENTES!S46+ACCIDENTES!X46+ACCIDENTES!AC46)*1000000/(HH!F46+HH!J46+HH!N46+HH!R46+HH!V46+HH!Z46)</f>
        <v>0</v>
      </c>
      <c r="T46" s="59">
        <f>(ACCIDENTES!F46+ACCIDENTES!K46+ACCIDENTES!P46+ACCIDENTES!U46+ACCIDENTES!Z46+ACCIDENTES!AE46)*1000000/(HH!F46+HH!J46+HH!N46+HH!R46+HH!V46+HH!Z46)</f>
        <v>0</v>
      </c>
      <c r="U46" s="59">
        <f>((ACCIDENTES!C46+ACCIDENTES!H46+ACCIDENTES!M46+ACCIDENTES!R46+ACCIDENTES!W46+ACCIDENTES!AB46+ACCIDENTES!AG46)/(HH!F46+HH!J46+HH!N46+HH!R46+HH!V46+HH!Z46+HH!AD46))*1000000</f>
        <v>0</v>
      </c>
      <c r="V46" s="59">
        <f>((ACCIDENTES!D46+ACCIDENTES!I46+ACCIDENTES!N46+ACCIDENTES!S46+ACCIDENTES!X46+ACCIDENTES!AC46+ACCIDENTES!AH46)/(HH!F46+HH!J46+HH!N46+HH!R46+HH!V46+HH!Z46+HH!AD46))*1000000</f>
        <v>0</v>
      </c>
      <c r="W46" s="59">
        <f>((ACCIDENTES!F46+ACCIDENTES!K46+ACCIDENTES!P46+ACCIDENTES!U46+ACCIDENTES!Z46+ACCIDENTES!AE46+ACCIDENTES!AJ46)/(HH!F46+HH!J46+HH!N46+HH!R46+HH!V46+HH!Z46+HH!AD46))*1000000</f>
        <v>0</v>
      </c>
      <c r="X46" s="59">
        <f>((ACCIDENTES!C46+ACCIDENTES!H46+ACCIDENTES!M46+ACCIDENTES!R46+ACCIDENTES!W46+ACCIDENTES!AB46+ACCIDENTES!AG46+ACCIDENTES!AL46)/(HH!F46+HH!J46+HH!N46+HH!R46+HH!V46+HH!Z46+HH!AD46+HH!AH46))*1000000</f>
        <v>0</v>
      </c>
      <c r="Y46" s="59">
        <f>((ACCIDENTES!D46+ACCIDENTES!I46+ACCIDENTES!N46+ACCIDENTES!S46+ACCIDENTES!X46+ACCIDENTES!AC46+ACCIDENTES!AH46+ACCIDENTES!AM46)/(HH!F46+HH!J46+HH!N46+HH!R46+HH!V46+HH!Z46+HH!AD46+HH!AH46))*1000000</f>
        <v>0</v>
      </c>
      <c r="Z46" s="59">
        <f>((ACCIDENTES!F46+ACCIDENTES!K46+ACCIDENTES!P46+ACCIDENTES!U46+ACCIDENTES!Z46+ACCIDENTES!AE46+ACCIDENTES!AJ46+ACCIDENTES!AO46)/(HH!F46+HH!J46+HH!N46+HH!R46+HH!V46+HH!Z46+HH!AD46+HH!AH46))*1000000</f>
        <v>0</v>
      </c>
      <c r="AA46" s="59">
        <f>((ACCIDENTES!AQ46+ACCIDENTES!AL46+ACCIDENTES!AG46+ACCIDENTES!AB46+ACCIDENTES!W46+ACCIDENTES!R46+ACCIDENTES!M46+ACCIDENTES!H46+ACCIDENTES!C46)/(HH!AL46+HH!AH46+HH!AD46+HH!Z46+HH!V46+HH!R46+HH!N46+HH!J46+HH!F46))*1000000</f>
        <v>0</v>
      </c>
      <c r="AB46" s="59">
        <f>((ACCIDENTES!AR46+ACCIDENTES!AM46+ACCIDENTES!AH46+ACCIDENTES!AC46+ACCIDENTES!X46+ACCIDENTES!S46+ACCIDENTES!N46+ACCIDENTES!I46+ACCIDENTES!D46)/(HH!AL46+HH!AH46+HH!AD46+HH!Z46+HH!V46+HH!R46+HH!N46+HH!J46+HH!F46))*1000000</f>
        <v>0</v>
      </c>
      <c r="AC46" s="59">
        <f>((ACCIDENTES!F46+ACCIDENTES!K46+ACCIDENTES!P46+ACCIDENTES!U46+ACCIDENTES!Z46+ACCIDENTES!AE46+ACCIDENTES!AJ46+ACCIDENTES!AO46+ACCIDENTES!AT46)/(HH!F46+HH!J46+HH!N46+HH!R46+HH!V46+HH!Z46+HH!AD46+HH!AH46+HH!AL46))*1000000</f>
        <v>0</v>
      </c>
      <c r="AD46" s="59">
        <f>((ACCIDENTES!AV46+ACCIDENTES!AQ46+ACCIDENTES!AL46+ACCIDENTES!AG46+ACCIDENTES!AB46+ACCIDENTES!W46+ACCIDENTES!R46+ACCIDENTES!M46+ACCIDENTES!H46+ACCIDENTES!C46)/(HH!F46+HH!J46+HH!N46+HH!R46+HH!V46+HH!Z46+HH!AD46+HH!AH46+HH!AL46+HH!AP46))*1000000</f>
        <v>0</v>
      </c>
      <c r="AE46" s="59">
        <f>((ACCIDENTES!D46+ACCIDENTES!I46+ACCIDENTES!N46+ACCIDENTES!S46+ACCIDENTES!X46+ACCIDENTES!AC46+ACCIDENTES!AH46+ACCIDENTES!AM46+ACCIDENTES!AR46+ACCIDENTES!AW46)/(HH!AP46+HH!AL46+HH!AH46+HH!AD46+HH!Z46+HH!V46+HH!R46+HH!N46+HH!J46+HH!F46))*1000000</f>
        <v>0</v>
      </c>
      <c r="AF46" s="59">
        <f>((ACCIDENTES!AY46+ACCIDENTES!AT46+ACCIDENTES!AO46+ACCIDENTES!AJ46+ACCIDENTES!AE46+ACCIDENTES!Z46+ACCIDENTES!U46+ACCIDENTES!P46+ACCIDENTES!K46+ACCIDENTES!F46)/(HH!F46+HH!J46+HH!N46+HH!R46+HH!V46+HH!Z46+HH!AD46+HH!AH46+HH!AL46+HH!AP46))*1000000</f>
        <v>0</v>
      </c>
      <c r="AG46" s="59">
        <f>((ACCIDENTES!BA46+ACCIDENTES!AV46+ACCIDENTES!AQ46+ACCIDENTES!AL46+ACCIDENTES!AG46+ACCIDENTES!AB46+ACCIDENTES!W46+ACCIDENTES!R46+ACCIDENTES!M46+ACCIDENTES!H46+ACCIDENTES!C46)/(HH!AT46+HH!AP46+HH!AL46+HH!AH46+HH!AD46+HH!Z46+HH!V46+HH!R46+HH!N46+HH!J46+HH!F46))*1000000</f>
        <v>0</v>
      </c>
      <c r="AH46" s="59">
        <f>((ACCIDENTES!D46+ACCIDENTES!I46+ACCIDENTES!N46+ACCIDENTES!S46+ACCIDENTES!X46+ACCIDENTES!AC46+ACCIDENTES!AH46+ACCIDENTES!AM46+ACCIDENTES!AR46+ACCIDENTES!AW46+ACCIDENTES!BB46)/(HH!F46+HH!J46+HH!N46+HH!R46+HH!V46+HH!Z46+HH!AD46+HH!AH46+HH!AL46+HH!AP46+HH!AT46))*1000000</f>
        <v>0</v>
      </c>
      <c r="AI46" s="59">
        <f>((ACCIDENTES!BD46+ACCIDENTES!AY46+ACCIDENTES!AT46+ACCIDENTES!AO46+ACCIDENTES!AJ46+ACCIDENTES!AE46+ACCIDENTES!Z46+ACCIDENTES!U46+ACCIDENTES!P46+ACCIDENTES!K46+ACCIDENTES!F46)/(HH!F46+HH!J46+HH!N46+HH!R46+HH!V46+HH!Z46+HH!AD46+HH!AH46+HH!AL46+HH!AP46+HH!AT46))*1000000</f>
        <v>0</v>
      </c>
      <c r="AJ46" s="59">
        <f>(ACCIDENTES!BK46/HH!BB46)*1000000</f>
        <v>0</v>
      </c>
      <c r="AK46" s="59">
        <f>(ACCIDENTES!BL46/HH!BB46)*1000000</f>
        <v>0</v>
      </c>
      <c r="AL46" s="59">
        <f>(ACCIDENTES!BN46/HH!BB46)*1000000</f>
        <v>0</v>
      </c>
      <c r="AN46" s="41">
        <f t="shared" si="0"/>
        <v>0</v>
      </c>
      <c r="AO46" s="41">
        <f t="shared" si="1"/>
        <v>0</v>
      </c>
      <c r="AP46" s="40"/>
      <c r="AQ46" s="124"/>
      <c r="AR46" s="41">
        <v>0</v>
      </c>
      <c r="AS46" s="41">
        <v>0</v>
      </c>
      <c r="AT46" s="41">
        <v>0</v>
      </c>
      <c r="AV46" s="118"/>
      <c r="AW46" s="60"/>
      <c r="AX46" s="60"/>
      <c r="AY46" s="63"/>
      <c r="AZ46" s="118"/>
      <c r="BA46" s="60"/>
      <c r="BB46" s="60"/>
      <c r="BC46" s="63"/>
      <c r="BD46" s="118"/>
      <c r="BE46" s="60"/>
      <c r="BF46" s="60"/>
    </row>
    <row r="47" spans="1:65" outlineLevel="1" x14ac:dyDescent="0.3">
      <c r="A47" s="10" t="s">
        <v>63</v>
      </c>
      <c r="B47" s="4" t="s">
        <v>70</v>
      </c>
      <c r="C47" s="58">
        <f>(ACCIDENTES!C47/HH!F47)*1000000</f>
        <v>0</v>
      </c>
      <c r="D47" s="59">
        <f>(ACCIDENTES!D47/HH!F47)*1000000</f>
        <v>0</v>
      </c>
      <c r="E47" s="59">
        <f>(ACCIDENTES!F47/HH!F47)*1000000</f>
        <v>0</v>
      </c>
      <c r="F47" s="59">
        <f>((ACCIDENTES!C47+ACCIDENTES!H47)/(HH!F47+HH!J47))*1000000</f>
        <v>0</v>
      </c>
      <c r="G47" s="59">
        <f>((ACCIDENTES!D47+ACCIDENTES!I47)/(HH!F47+HH!J47))*1000000</f>
        <v>0</v>
      </c>
      <c r="H47" s="59">
        <f>((ACCIDENTES!F47+ACCIDENTES!K47)/(HH!F47+HH!J47))*1000000</f>
        <v>0</v>
      </c>
      <c r="I47" s="59">
        <f>((ACCIDENTES!C47+ACCIDENTES!H47+ACCIDENTES!M47)/(HH!F47+HH!J47+HH!N47))*1000000</f>
        <v>0</v>
      </c>
      <c r="J47" s="59">
        <f>((ACCIDENTES!D47+ACCIDENTES!I47+ACCIDENTES!N47)/(HH!F47+HH!J47+HH!N47))*1000000</f>
        <v>0</v>
      </c>
      <c r="K47" s="59">
        <f>((ACCIDENTES!F47+ACCIDENTES!K47+ACCIDENTES!P47)/(HH!J47+HH!N47+HH!F47))*1000000</f>
        <v>0</v>
      </c>
      <c r="L47" s="59">
        <f>((ACCIDENTES!C47+ACCIDENTES!H47+ACCIDENTES!M47+ACCIDENTES!R47)/(HH!F47+HH!J47+HH!N47+HH!R47))*1000000</f>
        <v>0</v>
      </c>
      <c r="M47" s="59">
        <f>((ACCIDENTES!D47+ACCIDENTES!I47+ACCIDENTES!N47+ACCIDENTES!S47)/(HH!F47+HH!J47+HH!N47+HH!R47))*1000000</f>
        <v>0</v>
      </c>
      <c r="N47" s="59">
        <f>((ACCIDENTES!F47+ACCIDENTES!K47+ACCIDENTES!P47+ACCIDENTES!U47)/(HH!F47+HH!J47+HH!N47+HH!R47))*1000000</f>
        <v>0</v>
      </c>
      <c r="O47" s="59">
        <f>((ACCIDENTES!C47+ACCIDENTES!H47+ACCIDENTES!M47+ACCIDENTES!R47+ACCIDENTES!W47)/(HH!F47+HH!J47+HH!N47+HH!R47+HH!V47))*1000000</f>
        <v>0</v>
      </c>
      <c r="P47" s="59">
        <f>(((ACCIDENTES!D47+ACCIDENTES!I47+ACCIDENTES!N47+ACCIDENTES!S47+ACCIDENTES!X47)/(HH!F47+HH!J47+HH!N47+HH!R47+HH!V47))*1000000)</f>
        <v>0</v>
      </c>
      <c r="Q47" s="59">
        <f>((ACCIDENTES!F47+ACCIDENTES!K47+ACCIDENTES!P47+ACCIDENTES!U47+ACCIDENTES!Z47)/(HH!F47+HH!J47+HH!N47+HH!R47+HH!V47))*1000000</f>
        <v>0</v>
      </c>
      <c r="R47" s="59">
        <f>(ACCIDENTES!C47+ACCIDENTES!H47+ACCIDENTES!M47+ACCIDENTES!R47+ACCIDENTES!W47+ACCIDENTES!AB47)*1000000/(HH!F47+HH!J47+HH!N47+HH!R47+HH!V47+HH!Z47)</f>
        <v>0</v>
      </c>
      <c r="S47" s="59">
        <f>(ACCIDENTES!D47+ACCIDENTES!I47+ACCIDENTES!N47+ACCIDENTES!S47+ACCIDENTES!X47+ACCIDENTES!AC47)*1000000/(HH!F47+HH!J47+HH!N47+HH!R47+HH!V47+HH!Z47)</f>
        <v>0</v>
      </c>
      <c r="T47" s="59">
        <f>(ACCIDENTES!F47+ACCIDENTES!K47+ACCIDENTES!P47+ACCIDENTES!U47+ACCIDENTES!Z47+ACCIDENTES!AE47)*1000000/(HH!F47+HH!J47+HH!N47+HH!R47+HH!V47+HH!Z47)</f>
        <v>0</v>
      </c>
      <c r="U47" s="59">
        <f>((ACCIDENTES!C47+ACCIDENTES!H47+ACCIDENTES!M47+ACCIDENTES!R47+ACCIDENTES!W47+ACCIDENTES!AB47+ACCIDENTES!AG47)/(HH!F47+HH!J47+HH!N47+HH!R47+HH!V47+HH!Z47+HH!AD47))*1000000</f>
        <v>0</v>
      </c>
      <c r="V47" s="59">
        <f>((ACCIDENTES!D47+ACCIDENTES!I47+ACCIDENTES!N47+ACCIDENTES!S47+ACCIDENTES!X47+ACCIDENTES!AC47+ACCIDENTES!AH47)/(HH!F47+HH!J47+HH!N47+HH!R47+HH!V47+HH!Z47+HH!AD47))*1000000</f>
        <v>0</v>
      </c>
      <c r="W47" s="59">
        <f>((ACCIDENTES!F47+ACCIDENTES!K47+ACCIDENTES!P47+ACCIDENTES!U47+ACCIDENTES!Z47+ACCIDENTES!AE47+ACCIDENTES!AJ47)/(HH!F47+HH!J47+HH!N47+HH!R47+HH!V47+HH!Z47+HH!AD47))*1000000</f>
        <v>0</v>
      </c>
      <c r="X47" s="59">
        <f>((ACCIDENTES!C47+ACCIDENTES!H47+ACCIDENTES!M47+ACCIDENTES!R47+ACCIDENTES!W47+ACCIDENTES!AB47+ACCIDENTES!AG47+ACCIDENTES!AL47)/(HH!F47+HH!J47+HH!N47+HH!R47+HH!V47+HH!Z47+HH!AD47+HH!AH47))*1000000</f>
        <v>0</v>
      </c>
      <c r="Y47" s="59">
        <f>((ACCIDENTES!D47+ACCIDENTES!I47+ACCIDENTES!N47+ACCIDENTES!S47+ACCIDENTES!X47+ACCIDENTES!AC47+ACCIDENTES!AH47+ACCIDENTES!AM47)/(HH!F47+HH!J47+HH!N47+HH!R47+HH!V47+HH!Z47+HH!AD47+HH!AH47))*1000000</f>
        <v>0</v>
      </c>
      <c r="Z47" s="59">
        <f>((ACCIDENTES!F47+ACCIDENTES!K47+ACCIDENTES!P47+ACCIDENTES!U47+ACCIDENTES!Z47+ACCIDENTES!AE47+ACCIDENTES!AJ47+ACCIDENTES!AO47)/(HH!F47+HH!J47+HH!N47+HH!R47+HH!V47+HH!Z47+HH!AD47+HH!AH47))*1000000</f>
        <v>0</v>
      </c>
      <c r="AA47" s="59">
        <f>((ACCIDENTES!AQ47+ACCIDENTES!AL47+ACCIDENTES!AG47+ACCIDENTES!AB47+ACCIDENTES!W47+ACCIDENTES!R47+ACCIDENTES!M47+ACCIDENTES!H47+ACCIDENTES!C47)/(HH!AL47+HH!AH47+HH!AD47+HH!Z47+HH!V47+HH!R47+HH!N47+HH!J47+HH!F47))*1000000</f>
        <v>0</v>
      </c>
      <c r="AB47" s="59">
        <f>((ACCIDENTES!AR47+ACCIDENTES!AM47+ACCIDENTES!AH47+ACCIDENTES!AC47+ACCIDENTES!X47+ACCIDENTES!S47+ACCIDENTES!N47+ACCIDENTES!I47+ACCIDENTES!D47)/(HH!AL47+HH!AH47+HH!AD47+HH!Z47+HH!V47+HH!R47+HH!N47+HH!J47+HH!F47))*1000000</f>
        <v>0</v>
      </c>
      <c r="AC47" s="59">
        <f>((ACCIDENTES!F47+ACCIDENTES!K47+ACCIDENTES!P47+ACCIDENTES!U47+ACCIDENTES!Z47+ACCIDENTES!AE47+ACCIDENTES!AJ47+ACCIDENTES!AO47+ACCIDENTES!AT47)/(HH!F47+HH!J47+HH!N47+HH!R47+HH!V47+HH!Z47+HH!AD47+HH!AH47+HH!AL47))*1000000</f>
        <v>0</v>
      </c>
      <c r="AD47" s="59">
        <f>((ACCIDENTES!AV47+ACCIDENTES!AQ47+ACCIDENTES!AL47+ACCIDENTES!AG47+ACCIDENTES!AB47+ACCIDENTES!W47+ACCIDENTES!R47+ACCIDENTES!M47+ACCIDENTES!H47+ACCIDENTES!C47)/(HH!F47+HH!J47+HH!N47+HH!R47+HH!V47+HH!Z47+HH!AD47+HH!AH47+HH!AL47+HH!AP47))*1000000</f>
        <v>0</v>
      </c>
      <c r="AE47" s="59">
        <f>((ACCIDENTES!D47+ACCIDENTES!I47+ACCIDENTES!N47+ACCIDENTES!S47+ACCIDENTES!X47+ACCIDENTES!AC47+ACCIDENTES!AH47+ACCIDENTES!AM47+ACCIDENTES!AR47+ACCIDENTES!AW47)/(HH!AP47+HH!AL47+HH!AH47+HH!AD47+HH!Z47+HH!V47+HH!R47+HH!N47+HH!J47+HH!F47))*1000000</f>
        <v>0</v>
      </c>
      <c r="AF47" s="59">
        <f>((ACCIDENTES!AY47+ACCIDENTES!AT47+ACCIDENTES!AO47+ACCIDENTES!AJ47+ACCIDENTES!AE47+ACCIDENTES!Z47+ACCIDENTES!U47+ACCIDENTES!P47+ACCIDENTES!K47+ACCIDENTES!F47)/(HH!F47+HH!J47+HH!N47+HH!R47+HH!V47+HH!Z47+HH!AD47+HH!AH47+HH!AL47+HH!AP47))*1000000</f>
        <v>0</v>
      </c>
      <c r="AG47" s="59">
        <f>((ACCIDENTES!BA47+ACCIDENTES!AV47+ACCIDENTES!AQ47+ACCIDENTES!AL47+ACCIDENTES!AG47+ACCIDENTES!AB47+ACCIDENTES!W47+ACCIDENTES!R47+ACCIDENTES!M47+ACCIDENTES!H47+ACCIDENTES!C47)/(HH!AT47+HH!AP47+HH!AL47+HH!AH47+HH!AD47+HH!Z47+HH!V47+HH!R47+HH!N47+HH!J47+HH!F47))*1000000</f>
        <v>0</v>
      </c>
      <c r="AH47" s="59">
        <f>((ACCIDENTES!D47+ACCIDENTES!I47+ACCIDENTES!N47+ACCIDENTES!S47+ACCIDENTES!X47+ACCIDENTES!AC47+ACCIDENTES!AH47+ACCIDENTES!AM47+ACCIDENTES!AR47+ACCIDENTES!AW47+ACCIDENTES!BB47)/(HH!F47+HH!J47+HH!N47+HH!R47+HH!V47+HH!Z47+HH!AD47+HH!AH47+HH!AL47+HH!AP47+HH!AT47))*1000000</f>
        <v>0</v>
      </c>
      <c r="AI47" s="59">
        <f>((ACCIDENTES!BD47+ACCIDENTES!AY47+ACCIDENTES!AT47+ACCIDENTES!AO47+ACCIDENTES!AJ47+ACCIDENTES!AE47+ACCIDENTES!Z47+ACCIDENTES!U47+ACCIDENTES!P47+ACCIDENTES!K47+ACCIDENTES!F47)/(HH!F47+HH!J47+HH!N47+HH!R47+HH!V47+HH!Z47+HH!AD47+HH!AH47+HH!AL47+HH!AP47+HH!AT47))*1000000</f>
        <v>0</v>
      </c>
      <c r="AJ47" s="59">
        <f>(ACCIDENTES!BK47/HH!BB47)*1000000</f>
        <v>0</v>
      </c>
      <c r="AK47" s="59">
        <f>(ACCIDENTES!BL47/HH!BB47)*1000000</f>
        <v>0</v>
      </c>
      <c r="AL47" s="59">
        <f>(ACCIDENTES!BN47/HH!BB47)*1000000</f>
        <v>0</v>
      </c>
      <c r="AN47" s="41">
        <f t="shared" si="0"/>
        <v>0</v>
      </c>
      <c r="AO47" s="41">
        <f t="shared" si="1"/>
        <v>0</v>
      </c>
      <c r="AP47" s="42"/>
      <c r="AQ47" s="124"/>
      <c r="AR47" s="41">
        <v>0</v>
      </c>
      <c r="AS47" s="41">
        <v>0</v>
      </c>
      <c r="AT47" s="41">
        <v>0</v>
      </c>
      <c r="AV47" s="118"/>
      <c r="AW47" s="60"/>
      <c r="AX47" s="60"/>
      <c r="AY47" s="63"/>
      <c r="AZ47" s="118"/>
      <c r="BA47" s="60"/>
      <c r="BB47" s="60"/>
      <c r="BC47" s="63"/>
      <c r="BD47" s="118"/>
      <c r="BE47" s="60"/>
      <c r="BF47" s="60"/>
    </row>
    <row r="48" spans="1:65" outlineLevel="1" x14ac:dyDescent="0.3">
      <c r="A48" s="10" t="s">
        <v>63</v>
      </c>
      <c r="B48" s="4" t="s">
        <v>71</v>
      </c>
      <c r="C48" s="58">
        <f>(ACCIDENTES!C48/HH!F48)*1000000</f>
        <v>0</v>
      </c>
      <c r="D48" s="59">
        <f>(ACCIDENTES!D48/HH!F48)*1000000</f>
        <v>0</v>
      </c>
      <c r="E48" s="59">
        <f>(ACCIDENTES!F48/HH!F48)*1000000</f>
        <v>0</v>
      </c>
      <c r="F48" s="59">
        <f>((ACCIDENTES!C48+ACCIDENTES!H48)/(HH!F48+HH!J48))*1000000</f>
        <v>0</v>
      </c>
      <c r="G48" s="59">
        <f>((ACCIDENTES!D48+ACCIDENTES!I48)/(HH!F48+HH!J48))*1000000</f>
        <v>0</v>
      </c>
      <c r="H48" s="59">
        <f>((ACCIDENTES!F48+ACCIDENTES!K48)/(HH!F48+HH!J48))*1000000</f>
        <v>0</v>
      </c>
      <c r="I48" s="59">
        <f>((ACCIDENTES!C48+ACCIDENTES!H48+ACCIDENTES!M48)/(HH!F48+HH!J48+HH!N48))*1000000</f>
        <v>0</v>
      </c>
      <c r="J48" s="59">
        <f>((ACCIDENTES!D48+ACCIDENTES!I48+ACCIDENTES!N48)/(HH!F48+HH!J48+HH!N48))*1000000</f>
        <v>0</v>
      </c>
      <c r="K48" s="59">
        <f>((ACCIDENTES!F48+ACCIDENTES!K48+ACCIDENTES!P48)/(HH!J48+HH!N48+HH!F48))*1000000</f>
        <v>0</v>
      </c>
      <c r="L48" s="59">
        <f>((ACCIDENTES!C48+ACCIDENTES!H48+ACCIDENTES!M48+ACCIDENTES!R48)/(HH!F48+HH!J48+HH!N48+HH!R48))*1000000</f>
        <v>0</v>
      </c>
      <c r="M48" s="59">
        <f>((ACCIDENTES!D48+ACCIDENTES!I48+ACCIDENTES!N48+ACCIDENTES!S48)/(HH!F48+HH!J48+HH!N48+HH!R48))*1000000</f>
        <v>0</v>
      </c>
      <c r="N48" s="59">
        <f>((ACCIDENTES!F48+ACCIDENTES!K48+ACCIDENTES!P48+ACCIDENTES!U48)/(HH!F48+HH!J48+HH!N48+HH!R48))*1000000</f>
        <v>0</v>
      </c>
      <c r="O48" s="59">
        <f>((ACCIDENTES!C48+ACCIDENTES!H48+ACCIDENTES!M48+ACCIDENTES!R48+ACCIDENTES!W48)/(HH!F48+HH!J48+HH!N48+HH!R48+HH!V48))*1000000</f>
        <v>0</v>
      </c>
      <c r="P48" s="59">
        <f>(((ACCIDENTES!D48+ACCIDENTES!I48+ACCIDENTES!N48+ACCIDENTES!S48+ACCIDENTES!X48)/(HH!F48+HH!J48+HH!N48+HH!R48+HH!V48))*1000000)</f>
        <v>0</v>
      </c>
      <c r="Q48" s="59">
        <f>((ACCIDENTES!F48+ACCIDENTES!K48+ACCIDENTES!P48+ACCIDENTES!U48+ACCIDENTES!Z48)/(HH!F48+HH!J48+HH!N48+HH!R48+HH!V48))*1000000</f>
        <v>0</v>
      </c>
      <c r="R48" s="59">
        <f>(ACCIDENTES!C48+ACCIDENTES!H48+ACCIDENTES!M48+ACCIDENTES!R48+ACCIDENTES!W48+ACCIDENTES!AB48)*1000000/(HH!F48+HH!J48+HH!N48+HH!R48+HH!V48+HH!Z48)</f>
        <v>0</v>
      </c>
      <c r="S48" s="59">
        <f>(ACCIDENTES!D48+ACCIDENTES!I48+ACCIDENTES!N48+ACCIDENTES!S48+ACCIDENTES!X48+ACCIDENTES!AC48)*1000000/(HH!F48+HH!J48+HH!N48+HH!R48+HH!V48+HH!Z48)</f>
        <v>0</v>
      </c>
      <c r="T48" s="59">
        <f>(ACCIDENTES!F48+ACCIDENTES!K48+ACCIDENTES!P48+ACCIDENTES!U48+ACCIDENTES!Z48+ACCIDENTES!AE48)*1000000/(HH!F48+HH!J48+HH!N48+HH!R48+HH!V48+HH!Z48)</f>
        <v>0</v>
      </c>
      <c r="U48" s="59">
        <f>((ACCIDENTES!C48+ACCIDENTES!H48+ACCIDENTES!M48+ACCIDENTES!R48+ACCIDENTES!W48+ACCIDENTES!AB48+ACCIDENTES!AG48)/(HH!F48+HH!J48+HH!N48+HH!R48+HH!V48+HH!Z48+HH!AD48))*1000000</f>
        <v>0</v>
      </c>
      <c r="V48" s="59">
        <f>((ACCIDENTES!D48+ACCIDENTES!I48+ACCIDENTES!N48+ACCIDENTES!S48+ACCIDENTES!X48+ACCIDENTES!AC48+ACCIDENTES!AH48)/(HH!F48+HH!J48+HH!N48+HH!R48+HH!V48+HH!Z48+HH!AD48))*1000000</f>
        <v>0</v>
      </c>
      <c r="W48" s="59">
        <f>((ACCIDENTES!F48+ACCIDENTES!K48+ACCIDENTES!P48+ACCIDENTES!U48+ACCIDENTES!Z48+ACCIDENTES!AE48+ACCIDENTES!AJ48)/(HH!F48+HH!J48+HH!N48+HH!R48+HH!V48+HH!Z48+HH!AD48))*1000000</f>
        <v>0</v>
      </c>
      <c r="X48" s="59">
        <f>((ACCIDENTES!C48+ACCIDENTES!H48+ACCIDENTES!M48+ACCIDENTES!R48+ACCIDENTES!W48+ACCIDENTES!AB48+ACCIDENTES!AG48+ACCIDENTES!AL48)/(HH!F48+HH!J48+HH!N48+HH!R48+HH!V48+HH!Z48+HH!AD48+HH!AH48))*1000000</f>
        <v>0</v>
      </c>
      <c r="Y48" s="59">
        <f>((ACCIDENTES!D48+ACCIDENTES!I48+ACCIDENTES!N48+ACCIDENTES!S48+ACCIDENTES!X48+ACCIDENTES!AC48+ACCIDENTES!AH48+ACCIDENTES!AM48)/(HH!F48+HH!J48+HH!N48+HH!R48+HH!V48+HH!Z48+HH!AD48+HH!AH48))*1000000</f>
        <v>0</v>
      </c>
      <c r="Z48" s="59">
        <f>((ACCIDENTES!F48+ACCIDENTES!K48+ACCIDENTES!P48+ACCIDENTES!U48+ACCIDENTES!Z48+ACCIDENTES!AE48+ACCIDENTES!AJ48+ACCIDENTES!AO48)/(HH!F48+HH!J48+HH!N48+HH!R48+HH!V48+HH!Z48+HH!AD48+HH!AH48))*1000000</f>
        <v>0</v>
      </c>
      <c r="AA48" s="59">
        <f>((ACCIDENTES!AQ48+ACCIDENTES!AL48+ACCIDENTES!AG48+ACCIDENTES!AB48+ACCIDENTES!W48+ACCIDENTES!R48+ACCIDENTES!M48+ACCIDENTES!H48+ACCIDENTES!C48)/(HH!AL48+HH!AH48+HH!AD48+HH!Z48+HH!V48+HH!R48+HH!N48+HH!J48+HH!F48))*1000000</f>
        <v>0</v>
      </c>
      <c r="AB48" s="59">
        <f>((ACCIDENTES!AR48+ACCIDENTES!AM48+ACCIDENTES!AH48+ACCIDENTES!AC48+ACCIDENTES!X48+ACCIDENTES!S48+ACCIDENTES!N48+ACCIDENTES!I48+ACCIDENTES!D48)/(HH!AL48+HH!AH48+HH!AD48+HH!Z48+HH!V48+HH!R48+HH!N48+HH!J48+HH!F48))*1000000</f>
        <v>0</v>
      </c>
      <c r="AC48" s="59">
        <f>((ACCIDENTES!F48+ACCIDENTES!K48+ACCIDENTES!P48+ACCIDENTES!U48+ACCIDENTES!Z48+ACCIDENTES!AE48+ACCIDENTES!AJ48+ACCIDENTES!AO48+ACCIDENTES!AT48)/(HH!F48+HH!J48+HH!N48+HH!R48+HH!V48+HH!Z48+HH!AD48+HH!AH48+HH!AL48))*1000000</f>
        <v>0</v>
      </c>
      <c r="AD48" s="59">
        <f>((ACCIDENTES!AV48+ACCIDENTES!AQ48+ACCIDENTES!AL48+ACCIDENTES!AG48+ACCIDENTES!AB48+ACCIDENTES!W48+ACCIDENTES!R48+ACCIDENTES!M48+ACCIDENTES!H48+ACCIDENTES!C48)/(HH!F48+HH!J48+HH!N48+HH!R48+HH!V48+HH!Z48+HH!AD48+HH!AH48+HH!AL48+HH!AP48))*1000000</f>
        <v>0</v>
      </c>
      <c r="AE48" s="59">
        <f>((ACCIDENTES!D48+ACCIDENTES!I48+ACCIDENTES!N48+ACCIDENTES!S48+ACCIDENTES!X48+ACCIDENTES!AC48+ACCIDENTES!AH48+ACCIDENTES!AM48+ACCIDENTES!AR48+ACCIDENTES!AW48)/(HH!AP48+HH!AL48+HH!AH48+HH!AD48+HH!Z48+HH!V48+HH!R48+HH!N48+HH!J48+HH!F48))*1000000</f>
        <v>0</v>
      </c>
      <c r="AF48" s="59">
        <f>((ACCIDENTES!AY48+ACCIDENTES!AT48+ACCIDENTES!AO48+ACCIDENTES!AJ48+ACCIDENTES!AE48+ACCIDENTES!Z48+ACCIDENTES!U48+ACCIDENTES!P48+ACCIDENTES!K48+ACCIDENTES!F48)/(HH!F48+HH!J48+HH!N48+HH!R48+HH!V48+HH!Z48+HH!AD48+HH!AH48+HH!AL48+HH!AP48))*1000000</f>
        <v>0</v>
      </c>
      <c r="AG48" s="59">
        <f>((ACCIDENTES!BA48+ACCIDENTES!AV48+ACCIDENTES!AQ48+ACCIDENTES!AL48+ACCIDENTES!AG48+ACCIDENTES!AB48+ACCIDENTES!W48+ACCIDENTES!R48+ACCIDENTES!M48+ACCIDENTES!H48+ACCIDENTES!C48)/(HH!AT48+HH!AP48+HH!AL48+HH!AH48+HH!AD48+HH!Z48+HH!V48+HH!R48+HH!N48+HH!J48+HH!F48))*1000000</f>
        <v>0</v>
      </c>
      <c r="AH48" s="59">
        <f>((ACCIDENTES!D48+ACCIDENTES!I48+ACCIDENTES!N48+ACCIDENTES!S48+ACCIDENTES!X48+ACCIDENTES!AC48+ACCIDENTES!AH48+ACCIDENTES!AM48+ACCIDENTES!AR48+ACCIDENTES!AW48+ACCIDENTES!BB48)/(HH!F48+HH!J48+HH!N48+HH!R48+HH!V48+HH!Z48+HH!AD48+HH!AH48+HH!AL48+HH!AP48+HH!AT48))*1000000</f>
        <v>0</v>
      </c>
      <c r="AI48" s="59">
        <f>((ACCIDENTES!BD48+ACCIDENTES!AY48+ACCIDENTES!AT48+ACCIDENTES!AO48+ACCIDENTES!AJ48+ACCIDENTES!AE48+ACCIDENTES!Z48+ACCIDENTES!U48+ACCIDENTES!P48+ACCIDENTES!K48+ACCIDENTES!F48)/(HH!F48+HH!J48+HH!N48+HH!R48+HH!V48+HH!Z48+HH!AD48+HH!AH48+HH!AL48+HH!AP48+HH!AT48))*1000000</f>
        <v>0</v>
      </c>
      <c r="AJ48" s="59">
        <f>(ACCIDENTES!BK48/HH!BB48)*1000000</f>
        <v>0</v>
      </c>
      <c r="AK48" s="59">
        <f>(ACCIDENTES!BL48/HH!BB48)*1000000</f>
        <v>0</v>
      </c>
      <c r="AL48" s="59">
        <f>(ACCIDENTES!BN48/HH!BB48)*1000000</f>
        <v>0</v>
      </c>
      <c r="AN48" s="41">
        <f t="shared" si="0"/>
        <v>0</v>
      </c>
      <c r="AO48" s="41">
        <f t="shared" si="1"/>
        <v>0</v>
      </c>
      <c r="AP48" s="42"/>
      <c r="AQ48" s="127"/>
      <c r="AR48" s="41">
        <v>0</v>
      </c>
      <c r="AS48" s="41">
        <v>0</v>
      </c>
      <c r="AT48" s="41">
        <v>0</v>
      </c>
      <c r="AV48" s="118"/>
      <c r="AW48" s="60"/>
      <c r="AX48" s="60"/>
      <c r="AY48" s="63"/>
      <c r="AZ48" s="118"/>
      <c r="BA48" s="60"/>
      <c r="BB48" s="60"/>
      <c r="BC48" s="63"/>
      <c r="BD48" s="118"/>
      <c r="BE48" s="60"/>
      <c r="BF48" s="60"/>
    </row>
    <row r="49" spans="1:65" s="19" customFormat="1" x14ac:dyDescent="0.3">
      <c r="A49" s="333" t="s">
        <v>63</v>
      </c>
      <c r="B49" s="334"/>
      <c r="C49" s="66">
        <f>(ACCIDENTES!C49/HH!F49)*1000000</f>
        <v>0</v>
      </c>
      <c r="D49" s="67">
        <f>(ACCIDENTES!D49/HH!F49)*1000000</f>
        <v>0</v>
      </c>
      <c r="E49" s="67">
        <f>(ACCIDENTES!F49/HH!F49)*1000000</f>
        <v>0</v>
      </c>
      <c r="F49" s="67">
        <f>((ACCIDENTES!C49+ACCIDENTES!H49)/(HH!F49+HH!J49))*1000000</f>
        <v>6.316396113664644</v>
      </c>
      <c r="G49" s="67">
        <f>((ACCIDENTES!D49+ACCIDENTES!I49)/(HH!F49+HH!J49))*1000000</f>
        <v>44.2147727956525</v>
      </c>
      <c r="H49" s="67">
        <f>((ACCIDENTES!F49+ACCIDENTES!K49)/(HH!F49+HH!J49))*1000000</f>
        <v>12.632792227329288</v>
      </c>
      <c r="I49" s="67">
        <f>((ACCIDENTES!C49+ACCIDENTES!H49+ACCIDENTES!M49)/(HH!F49+HH!J49+HH!N49))*1000000</f>
        <v>4.1381839488700338</v>
      </c>
      <c r="J49" s="67">
        <f>((ACCIDENTES!D49+ACCIDENTES!I49+ACCIDENTES!N49)/(HH!F49+HH!J49+HH!N49))*1000000</f>
        <v>28.967287642090238</v>
      </c>
      <c r="K49" s="67">
        <f>((ACCIDENTES!F49+ACCIDENTES!K49+ACCIDENTES!P49)/(HH!J49+HH!N49+HH!F49))*1000000</f>
        <v>8.2763678977400676</v>
      </c>
      <c r="L49" s="67">
        <f>((ACCIDENTES!C49+ACCIDENTES!H49+ACCIDENTES!M49+ACCIDENTES!R49)/(HH!F49+HH!J49+HH!N49+HH!R49))*1000000</f>
        <v>2.9670084973639863</v>
      </c>
      <c r="M49" s="67">
        <f>((ACCIDENTES!D49+ACCIDENTES!I49+ACCIDENTES!N49+ACCIDENTES!S49)/(HH!F49+HH!J49+HH!N49+HH!R49))*1000000</f>
        <v>20.769059481547902</v>
      </c>
      <c r="N49" s="67">
        <f>((ACCIDENTES!F49+ACCIDENTES!K49+ACCIDENTES!P49+ACCIDENTES!U49)/(HH!F49+HH!J49+HH!N49+HH!R49))*1000000</f>
        <v>14.835042486819932</v>
      </c>
      <c r="O49" s="67">
        <f>((ACCIDENTES!C49+ACCIDENTES!H49+ACCIDENTES!M49+ACCIDENTES!R49+ACCIDENTES!W49)/(HH!F49+HH!J49+HH!N49+HH!R49+HH!V49))*1000000</f>
        <v>2.3647357737259376</v>
      </c>
      <c r="P49" s="67">
        <f>(((ACCIDENTES!D49+ACCIDENTES!I49+ACCIDENTES!N49+ACCIDENTES!S49+ACCIDENTES!X49)/(HH!F49+HH!J49+HH!N49+HH!R49+HH!V49))*1000000)</f>
        <v>16.553150416081564</v>
      </c>
      <c r="Q49" s="67">
        <f>((ACCIDENTES!F49+ACCIDENTES!K49+ACCIDENTES!P49+ACCIDENTES!U49+ACCIDENTES!Z49)/(HH!F49+HH!J49+HH!N49+HH!R49+HH!V49))*1000000</f>
        <v>11.823678868629688</v>
      </c>
      <c r="R49" s="213">
        <f>(ACCIDENTES!C49+ACCIDENTES!H49+ACCIDENTES!M49+ACCIDENTES!R49+ACCIDENTES!W49+ACCIDENTES!AB49)*1000000/(HH!F49+HH!J49+HH!N49+HH!R49+HH!V49+HH!Z49)</f>
        <v>1.8870327231288035</v>
      </c>
      <c r="S49" s="213">
        <f>(ACCIDENTES!D49+ACCIDENTES!I49+ACCIDENTES!N49+ACCIDENTES!S49+ACCIDENTES!X49+ACCIDENTES!AC49)*1000000/(HH!F49+HH!J49+HH!N49+HH!R49+HH!V49+HH!Z49)</f>
        <v>13.209229061901626</v>
      </c>
      <c r="T49" s="213">
        <f>(ACCIDENTES!F49+ACCIDENTES!K49+ACCIDENTES!P49+ACCIDENTES!U49+ACCIDENTES!Z49+ACCIDENTES!AE49)*1000000/(HH!F49+HH!J49+HH!N49+HH!R49+HH!V49+HH!Z49)</f>
        <v>11.322196338772821</v>
      </c>
      <c r="U49" s="213">
        <f>((ACCIDENTES!C49+ACCIDENTES!H49+ACCIDENTES!M49+ACCIDENTES!R49+ACCIDENTES!W49+ACCIDENTES!AB49+ACCIDENTES!AG49)/(HH!F49+HH!J49+HH!N49+HH!R49+HH!V49+HH!Z49+HH!AD49))*1000000</f>
        <v>1.478930957320981</v>
      </c>
      <c r="V49" s="213">
        <f>((ACCIDENTES!D49+ACCIDENTES!I49+ACCIDENTES!N49+ACCIDENTES!S49+ACCIDENTES!X49+ACCIDENTES!AC49+ACCIDENTES!AH49)/(HH!F49+HH!J49+HH!N49+HH!R49+HH!V49+HH!Z49+HH!AD49))*1000000</f>
        <v>10.352516701246866</v>
      </c>
      <c r="W49" s="213">
        <f>((ACCIDENTES!F49+ACCIDENTES!K49+ACCIDENTES!P49+ACCIDENTES!U49+ACCIDENTES!Z49+ACCIDENTES!AE49+ACCIDENTES!AJ49)/(HH!F49+HH!J49+HH!N49+HH!R49+HH!V49+HH!Z49+HH!AD49))*1000000</f>
        <v>8.8735857439258847</v>
      </c>
      <c r="X49" s="213">
        <f>((ACCIDENTES!C49+ACCIDENTES!H49+ACCIDENTES!M49+ACCIDENTES!R49+ACCIDENTES!W49+ACCIDENTES!AB49+ACCIDENTES!AG49+ACCIDENTES!AL49)/(HH!F49+HH!J49+HH!N49+HH!R49+HH!V49+HH!Z49+HH!AD49+HH!AH49))*1000000</f>
        <v>1.1820052559991319</v>
      </c>
      <c r="Y49" s="213">
        <f>((ACCIDENTES!D49+ACCIDENTES!I49+ACCIDENTES!N49+ACCIDENTES!S49+ACCIDENTES!X49+ACCIDENTES!AC49+ACCIDENTES!AH49+ACCIDENTES!AM49)/(HH!F49+HH!J49+HH!N49+HH!R49+HH!V49+HH!Z49+HH!AD49+HH!AH49))*1000000</f>
        <v>8.2740367919939235</v>
      </c>
      <c r="Z49" s="213">
        <f>((ACCIDENTES!F49+ACCIDENTES!K49+ACCIDENTES!P49+ACCIDENTES!U49+ACCIDENTES!Z49+ACCIDENTES!AE49+ACCIDENTES!AJ49+ACCIDENTES!AO49)/(HH!F49+HH!J49+HH!N49+HH!R49+HH!V49+HH!Z49+HH!AD49+HH!AH49))*1000000</f>
        <v>9.4560420479930549</v>
      </c>
      <c r="AA49" s="67">
        <f>((ACCIDENTES!AQ49+ACCIDENTES!AL49+ACCIDENTES!AG49+ACCIDENTES!AB49+ACCIDENTES!W49+ACCIDENTES!R49+ACCIDENTES!M49+ACCIDENTES!H49+ACCIDENTES!C49)/(HH!AL49+HH!AH49+HH!AD49+HH!Z49+HH!V49+HH!R49+HH!N49+HH!J49+HH!F49))*1000000</f>
        <v>2.0322233259528173</v>
      </c>
      <c r="AB49" s="67">
        <f>((ACCIDENTES!AR49+ACCIDENTES!AM49+ACCIDENTES!AH49+ACCIDENTES!AC49+ACCIDENTES!X49+ACCIDENTES!S49+ACCIDENTES!N49+ACCIDENTES!I49+ACCIDENTES!D49)/(HH!AL49+HH!AH49+HH!AD49+HH!Z49+HH!V49+HH!R49+HH!N49+HH!J49+HH!F49))*1000000</f>
        <v>65.031146430490153</v>
      </c>
      <c r="AC49" s="67">
        <f>((ACCIDENTES!F49+ACCIDENTES!K49+ACCIDENTES!P49+ACCIDENTES!U49+ACCIDENTES!Z49+ACCIDENTES!AE49+ACCIDENTES!AJ49+ACCIDENTES!AO49+ACCIDENTES!AT49)/(HH!F49+HH!J49+HH!N49+HH!R49+HH!V49+HH!Z49+HH!AD49+HH!AH49+HH!AL49))*1000000</f>
        <v>9.1450049667876794</v>
      </c>
      <c r="AD49" s="67">
        <f>((ACCIDENTES!AV49+ACCIDENTES!AQ49+ACCIDENTES!AL49+ACCIDENTES!AG49+ACCIDENTES!AB49+ACCIDENTES!W49+ACCIDENTES!R49+ACCIDENTES!M49+ACCIDENTES!H49+ACCIDENTES!C49)/(HH!F49+HH!J49+HH!N49+HH!R49+HH!V49+HH!Z49+HH!AD49+HH!AH49+HH!AL49+HH!AP49))*1000000</f>
        <v>2.6311433854305086</v>
      </c>
      <c r="AE49" s="67">
        <f>((ACCIDENTES!D49+ACCIDENTES!I49+ACCIDENTES!N49+ACCIDENTES!S49+ACCIDENTES!X49+ACCIDENTES!AC49+ACCIDENTES!AH49+ACCIDENTES!AM49+ACCIDENTES!AR49+ACCIDENTES!AW49)/(HH!AP49+HH!AL49+HH!AH49+HH!AD49+HH!Z49+HH!V49+HH!R49+HH!N49+HH!J49+HH!F49))*1000000</f>
        <v>63.147441250332193</v>
      </c>
      <c r="AF49" s="67">
        <f>((ACCIDENTES!AY49+ACCIDENTES!AT49+ACCIDENTES!AO49+ACCIDENTES!AJ49+ACCIDENTES!AE49+ACCIDENTES!Z49+ACCIDENTES!U49+ACCIDENTES!P49+ACCIDENTES!K49+ACCIDENTES!F49)/(HH!F49+HH!J49+HH!N49+HH!R49+HH!V49+HH!Z49+HH!AD49+HH!AH49+HH!AL49+HH!AP49))*1000000</f>
        <v>8.7704779514350282</v>
      </c>
      <c r="AG49" s="67">
        <f>((ACCIDENTES!BA49+ACCIDENTES!AV49+ACCIDENTES!AQ49+ACCIDENTES!AL49+ACCIDENTES!AG49+ACCIDENTES!AB49+ACCIDENTES!W49+ACCIDENTES!R49+ACCIDENTES!M49+ACCIDENTES!H49+ACCIDENTES!C49)/(HH!AT49+HH!AP49+HH!AL49+HH!AH49+HH!AD49+HH!Z49+HH!V49+HH!R49+HH!N49+HH!J49+HH!F49))*1000000</f>
        <v>3.0858634722246876</v>
      </c>
      <c r="AH49" s="67">
        <f>((ACCIDENTES!D49+ACCIDENTES!I49+ACCIDENTES!N49+ACCIDENTES!S49+ACCIDENTES!X49+ACCIDENTES!AC49+ACCIDENTES!AH49+ACCIDENTES!AM49+ACCIDENTES!AR49+ACCIDENTES!AW49+ACCIDENTES!BB49)/(HH!F49+HH!J49+HH!N49+HH!R49+HH!V49+HH!Z49+HH!AD49+HH!AH49+HH!AL49+HH!AP49+HH!AT49))*1000000</f>
        <v>60.945803576437598</v>
      </c>
      <c r="AI49" s="67">
        <f>((ACCIDENTES!BD49+ACCIDENTES!AY49+ACCIDENTES!AT49+ACCIDENTES!AO49+ACCIDENTES!AJ49+ACCIDENTES!AE49+ACCIDENTES!Z49+ACCIDENTES!U49+ACCIDENTES!P49+ACCIDENTES!K49+ACCIDENTES!F49)/(HH!F49+HH!J49+HH!N49+HH!R49+HH!V49+HH!Z49+HH!AD49+HH!AH49+HH!AL49+HH!AP49+HH!AT49))*1000000</f>
        <v>8.4861245486178944</v>
      </c>
      <c r="AJ49" s="67">
        <f>(ACCIDENTES!BK49/HH!BB49)*1000000</f>
        <v>2.7575546824070161</v>
      </c>
      <c r="AK49" s="67">
        <f>(ACCIDENTES!BL49/HH!BB49)*1000000</f>
        <v>54.461704977538567</v>
      </c>
      <c r="AL49" s="67">
        <f>(ACCIDENTES!BN49/HH!BB49)*1000000</f>
        <v>7.5832753766192944</v>
      </c>
      <c r="AM49" s="36"/>
      <c r="AN49" s="66">
        <f t="shared" si="0"/>
        <v>0</v>
      </c>
      <c r="AO49" s="66">
        <f t="shared" si="1"/>
        <v>0</v>
      </c>
      <c r="AP49" s="74"/>
      <c r="AQ49" s="127"/>
      <c r="AR49" s="66">
        <v>1.2</v>
      </c>
      <c r="AS49" s="66">
        <v>11</v>
      </c>
      <c r="AT49" s="66">
        <f>0.2*5</f>
        <v>1</v>
      </c>
      <c r="AU49" s="36"/>
      <c r="AV49" s="68"/>
      <c r="AW49" s="68"/>
      <c r="AX49" s="68"/>
      <c r="AY49" s="63"/>
      <c r="AZ49" s="68"/>
      <c r="BA49" s="68"/>
      <c r="BB49" s="68"/>
      <c r="BC49" s="63"/>
      <c r="BD49" s="68"/>
      <c r="BE49" s="68"/>
      <c r="BF49" s="68"/>
      <c r="BG49" s="36"/>
      <c r="BH49" s="36"/>
      <c r="BI49" s="36"/>
      <c r="BJ49" s="36"/>
      <c r="BK49" s="36"/>
      <c r="BL49" s="36"/>
      <c r="BM49" s="36"/>
    </row>
    <row r="50" spans="1:65" outlineLevel="1" x14ac:dyDescent="0.3">
      <c r="A50" s="10" t="s">
        <v>72</v>
      </c>
      <c r="B50" s="5" t="s">
        <v>73</v>
      </c>
      <c r="C50" s="58">
        <f>(ACCIDENTES!C50/HH!F50)*1000000</f>
        <v>0</v>
      </c>
      <c r="D50" s="59">
        <f>(ACCIDENTES!D50/HH!F50)*1000000</f>
        <v>0</v>
      </c>
      <c r="E50" s="59">
        <f>(ACCIDENTES!F50/HH!F50)*1000000</f>
        <v>34.479913037061998</v>
      </c>
      <c r="F50" s="59">
        <f>((ACCIDENTES!C50+ACCIDENTES!H50)/(HH!F50+HH!J50))*1000000</f>
        <v>0</v>
      </c>
      <c r="G50" s="59">
        <f>((ACCIDENTES!D50+ACCIDENTES!I50)/(HH!F50+HH!J50))*1000000</f>
        <v>0</v>
      </c>
      <c r="H50" s="59">
        <f>((ACCIDENTES!F50+ACCIDENTES!K50)/(HH!F50+HH!J50))*1000000</f>
        <v>17.060837410731303</v>
      </c>
      <c r="I50" s="59">
        <f>((ACCIDENTES!C50+ACCIDENTES!H50+ACCIDENTES!M50)/(HH!F50+HH!J50+HH!N50))*1000000</f>
        <v>5.794371208742918</v>
      </c>
      <c r="J50" s="59">
        <f>((ACCIDENTES!D50+ACCIDENTES!I50+ACCIDENTES!N50)/(HH!F50+HH!J50+HH!N50))*1000000</f>
        <v>1037.1924463649825</v>
      </c>
      <c r="K50" s="59">
        <f>((ACCIDENTES!F50+ACCIDENTES!K50+ACCIDENTES!P50)/(HH!J50+HH!N50+HH!F50))*1000000</f>
        <v>17.383113626228756</v>
      </c>
      <c r="L50" s="59">
        <f>((ACCIDENTES!C50+ACCIDENTES!H50+ACCIDENTES!M50+ACCIDENTES!R50)/(HH!F50+HH!J50+HH!N50+HH!R50))*1000000</f>
        <v>8.3624066337299219</v>
      </c>
      <c r="M50" s="59">
        <f>((ACCIDENTES!D50+ACCIDENTES!I50+ACCIDENTES!N50+ACCIDENTES!S50)/(HH!F50+HH!J50+HH!N50+HH!R50))*1000000</f>
        <v>765.1602069862879</v>
      </c>
      <c r="N50" s="59">
        <f>((ACCIDENTES!F50+ACCIDENTES!K50+ACCIDENTES!P50+ACCIDENTES!U50)/(HH!F50+HH!J50+HH!N50+HH!R50))*1000000</f>
        <v>25.087219901189766</v>
      </c>
      <c r="O50" s="59">
        <f>((ACCIDENTES!C50+ACCIDENTES!H50+ACCIDENTES!M50+ACCIDENTES!R50+ACCIDENTES!W50)/(HH!F50+HH!J50+HH!N50+HH!R50+HH!V50))*1000000</f>
        <v>9.7045302645049389</v>
      </c>
      <c r="P50" s="59">
        <f>(((ACCIDENTES!D50+ACCIDENTES!I50+ACCIDENTES!N50+ACCIDENTES!S50+ACCIDENTES!X50)/(HH!F50+HH!J50+HH!N50+HH!R50+HH!V50))*1000000)</f>
        <v>656.67321456483421</v>
      </c>
      <c r="Q50" s="59">
        <f>((ACCIDENTES!F50+ACCIDENTES!K50+ACCIDENTES!P50+ACCIDENTES!U50+ACCIDENTES!Z50)/(HH!F50+HH!J50+HH!N50+HH!R50+HH!V50))*1000000</f>
        <v>22.643903950511522</v>
      </c>
      <c r="R50" s="59">
        <f>(ACCIDENTES!C50+ACCIDENTES!H50+ACCIDENTES!M50+ACCIDENTES!R50+ACCIDENTES!W50+ACCIDENTES!AB58)*1000000/(HH!F50+HH!J50+HH!N50+HH!R50+HH!V50+HH!Z50)</f>
        <v>7.9847970174547314</v>
      </c>
      <c r="S50" s="59">
        <f>(ACCIDENTES!D50+ACCIDENTES!I50+ACCIDENTES!N50+ACCIDENTES!S50+ACCIDENTES!X50+ACCIDENTES!AC58)*1000000/(HH!F50+HH!J50+HH!N50+HH!R50+HH!V50+HH!Z50)</f>
        <v>540.30459818110353</v>
      </c>
      <c r="T50" s="59">
        <f>(ACCIDENTES!F50+ACCIDENTES!K50+ACCIDENTES!P50+ACCIDENTES!U50+ACCIDENTES!Z50+ACCIDENTES!AE50)*1000000/(HH!F50+HH!J50+HH!N50+HH!R50+HH!V50+HH!Z50)</f>
        <v>18.631193040727705</v>
      </c>
      <c r="U50" s="59">
        <f>((ACCIDENTES!C50+ACCIDENTES!H50+ACCIDENTES!M50+ACCIDENTES!R50+ACCIDENTES!W50+ACCIDENTES!AB58+ACCIDENTES!AG50)/(HH!F50+HH!J50+HH!N50+HH!R50+HH!V50+HH!Z50+HH!AD50))*1000000</f>
        <v>11.394787381585653</v>
      </c>
      <c r="V50" s="59">
        <f>((ACCIDENTES!D50+ACCIDENTES!I50+ACCIDENTES!N50+ACCIDENTES!S50+ACCIDENTES!X50+ACCIDENTES!AC58+ACCIDENTES!AH50)/(HH!F50+HH!J50+HH!N50+HH!R50+HH!V50+HH!Z50+HH!AD50))*1000000</f>
        <v>553.78666674506269</v>
      </c>
      <c r="W50" s="59">
        <f>((ACCIDENTES!F50+ACCIDENTES!K50+ACCIDENTES!P50+ACCIDENTES!U50+ACCIDENTES!Z50+ACCIDENTES!AE50+ACCIDENTES!AJ50)/(HH!F50+HH!J50+HH!N50+HH!R50+HH!V50+HH!Z50+HH!AD50))*1000000</f>
        <v>22.789574763171306</v>
      </c>
      <c r="X50" s="59">
        <f>((ACCIDENTES!C50+ACCIDENTES!H50+ACCIDENTES!M50+ACCIDENTES!R50+ACCIDENTES!W50+ACCIDENTES!AB58+ACCIDENTES!AG50+ACCIDENTES!AL50)/(HH!F50+HH!J50+HH!N50+HH!R50+HH!V50+HH!Z50+HH!AD50+HH!AH50))*1000000</f>
        <v>9.9586914144043259</v>
      </c>
      <c r="Y50" s="59">
        <f>((ACCIDENTES!D50+ACCIDENTES!I50+ACCIDENTES!N50+ACCIDENTES!S50+ACCIDENTES!X50+ACCIDENTES!AC58+ACCIDENTES!AH50+ACCIDENTES!AM50)/(HH!F50+HH!J50+HH!N50+HH!R50+HH!V50+HH!Z50+HH!AD50+HH!AH50))*1000000</f>
        <v>483.9924027400503</v>
      </c>
      <c r="Z50" s="59">
        <f>((ACCIDENTES!F50+ACCIDENTES!K50+ACCIDENTES!P50+ACCIDENTES!U50+ACCIDENTES!Z50+ACCIDENTES!AE50+ACCIDENTES!AJ50+ACCIDENTES!AO50)/(HH!F50+HH!J50+HH!N50+HH!R50+HH!V50+HH!Z50+HH!AD50+HH!AH50))*1000000</f>
        <v>21.909121111689519</v>
      </c>
      <c r="AA50" s="59">
        <f>((ACCIDENTES!AQ50+ACCIDENTES!AL50+ACCIDENTES!AG50+ACCIDENTES!AB50+ACCIDENTES!W50+ACCIDENTES!R50+ACCIDENTES!M50+ACCIDENTES!H50+ACCIDENTES!C50)/(HH!AL50+HH!AH50+HH!AD50+HH!Z50+HH!V50+HH!R50+HH!N50+HH!J50+HH!F50))*1000000</f>
        <v>10.577478496250656</v>
      </c>
      <c r="AB50" s="59">
        <f>((ACCIDENTES!AR50+ACCIDENTES!AM50+ACCIDENTES!AH50+ACCIDENTES!AC50+ACCIDENTES!X50+ACCIDENTES!S50+ACCIDENTES!N50+ACCIDENTES!I50+ACCIDENTES!D50)/(HH!AL50+HH!AH50+HH!AD50+HH!Z50+HH!V50+HH!R50+HH!N50+HH!J50+HH!F50))*1000000</f>
        <v>456.59448842148663</v>
      </c>
      <c r="AC50" s="59">
        <f>((ACCIDENTES!F50+ACCIDENTES!K50+ACCIDENTES!P50+ACCIDENTES!U50+ACCIDENTES!Z50+ACCIDENTES!AE50+ACCIDENTES!AJ50+ACCIDENTES!AO50+ACCIDENTES!AT50)/(HH!F50+HH!J50+HH!N50+HH!R50+HH!V50+HH!Z50+HH!AD50+HH!AH50+HH!AL50))*1000000</f>
        <v>26.443696240626632</v>
      </c>
      <c r="AD50" s="59">
        <f>((ACCIDENTES!AV50+ACCIDENTES!AQ50+ACCIDENTES!AL50+ACCIDENTES!AG50+ACCIDENTES!AB50+ACCIDENTES!W50+ACCIDENTES!R50+ACCIDENTES!M50+ACCIDENTES!H50+ACCIDENTES!C50)/(HH!F50+HH!J50+HH!N50+HH!R50+HH!V50+HH!Z50+HH!AD50+HH!AH50+HH!AL50+HH!AP50))*1000000</f>
        <v>9.4719954534421831</v>
      </c>
      <c r="AE50" s="59">
        <f>((ACCIDENTES!D50+ACCIDENTES!I50+ACCIDENTES!N50+ACCIDENTES!S50+ACCIDENTES!X50+ACCIDENTES!AC50+ACCIDENTES!AH50+ACCIDENTES!AM50+ACCIDENTES!AR50+ACCIDENTES!AW50)/(HH!AP50+HH!AL50+HH!AH50+HH!AD50+HH!Z50+HH!V50+HH!R50+HH!N50+HH!J50+HH!F50))*1000000</f>
        <v>408.87447040692092</v>
      </c>
      <c r="AF50" s="59">
        <f>((ACCIDENTES!AY50+ACCIDENTES!AT50+ACCIDENTES!AO50+ACCIDENTES!AJ50+ACCIDENTES!AE50+ACCIDENTES!Z50+ACCIDENTES!U50+ACCIDENTES!P50+ACCIDENTES!K50+ACCIDENTES!F50)/(HH!F50+HH!J50+HH!N50+HH!R50+HH!V50+HH!Z50+HH!AD50+HH!AH50+HH!AL50+HH!AP50))*1000000</f>
        <v>28.415986360326546</v>
      </c>
      <c r="AG50" s="59">
        <f>((ACCIDENTES!BA50+ACCIDENTES!AV50+ACCIDENTES!AQ50+ACCIDENTES!AL50+ACCIDENTES!AG50+ACCIDENTES!AB50+ACCIDENTES!W50+ACCIDENTES!R50+ACCIDENTES!M50+ACCIDENTES!H50+ACCIDENTES!C50)/(HH!AT50+HH!AP50+HH!AL50+HH!AH50+HH!AD50+HH!Z50+HH!V50+HH!R50+HH!N50+HH!J50+HH!F50))*1000000</f>
        <v>8.5948445295762745</v>
      </c>
      <c r="AH50" s="59">
        <f>((ACCIDENTES!D50+ACCIDENTES!I50+ACCIDENTES!N50+ACCIDENTES!S50+ACCIDENTES!X50+ACCIDENTES!AC50+ACCIDENTES!AH50+ACCIDENTES!AM50+ACCIDENTES!AR50+ACCIDENTES!AW50+ACCIDENTES!BB50)/(HH!F50+HH!J50+HH!N50+HH!R50+HH!V50+HH!Z50+HH!AD50+HH!AH50+HH!AL50+HH!AP50+HH!AT50))*1000000</f>
        <v>371.0107888600424</v>
      </c>
      <c r="AI50" s="59">
        <f>((ACCIDENTES!BD50+ACCIDENTES!AY50+ACCIDENTES!AT50+ACCIDENTES!AO50+ACCIDENTES!AJ50+ACCIDENTES!AE50+ACCIDENTES!Z50+ACCIDENTES!U50+ACCIDENTES!P50+ACCIDENTES!K50+ACCIDENTES!F50)/(HH!F50+HH!J50+HH!N50+HH!R50+HH!V50+HH!Z50+HH!AD50+HH!AH50+HH!AL50+HH!AP50+HH!AT50))*1000000</f>
        <v>31.514429941779664</v>
      </c>
      <c r="AJ50" s="59">
        <f>(ACCIDENTES!BK50/HH!BB50)*1000000</f>
        <v>7.8928654713962603</v>
      </c>
      <c r="AK50" s="59">
        <f>(ACCIDENTES!BL50/HH!BB50)*1000000</f>
        <v>340.70869284860527</v>
      </c>
      <c r="AL50" s="59">
        <f>(ACCIDENTES!BN50/HH!BB50)*1000000</f>
        <v>31.571461885585041</v>
      </c>
      <c r="AN50" s="41">
        <f t="shared" si="0"/>
        <v>3.6832111354374928</v>
      </c>
      <c r="AO50" s="41">
        <f t="shared" si="1"/>
        <v>142.0667152240176</v>
      </c>
      <c r="AP50" s="42"/>
      <c r="AQ50" s="127"/>
      <c r="AR50" s="41"/>
      <c r="AS50" s="41"/>
      <c r="AT50" s="41"/>
      <c r="AV50" s="118">
        <v>3.1570381160892795</v>
      </c>
      <c r="AW50" s="60">
        <v>3.6832111354374928</v>
      </c>
      <c r="AX50" s="60">
        <v>4.209384154785706</v>
      </c>
      <c r="AY50" s="63"/>
      <c r="AZ50" s="118">
        <v>126.28152464357119</v>
      </c>
      <c r="BA50" s="60">
        <v>142.0667152240176</v>
      </c>
      <c r="BB50" s="60">
        <v>157.851905804464</v>
      </c>
      <c r="BC50" s="63"/>
      <c r="BD50" s="118">
        <v>6.7350146476571302</v>
      </c>
      <c r="BE50" s="60">
        <v>7.1559530631357005</v>
      </c>
      <c r="BF50" s="60">
        <v>7.5768914786142707</v>
      </c>
    </row>
    <row r="51" spans="1:65" outlineLevel="1" x14ac:dyDescent="0.3">
      <c r="A51" s="10" t="s">
        <v>72</v>
      </c>
      <c r="B51" s="5" t="s">
        <v>74</v>
      </c>
      <c r="C51" s="58">
        <f>(ACCIDENTES!C51/HH!F51)*1000000</f>
        <v>0</v>
      </c>
      <c r="D51" s="59">
        <f>(ACCIDENTES!D51/HH!F51)*1000000</f>
        <v>0</v>
      </c>
      <c r="E51" s="59">
        <f>(ACCIDENTES!F51/HH!F51)*1000000</f>
        <v>50.987751722282141</v>
      </c>
      <c r="F51" s="59">
        <f>((ACCIDENTES!C51+ACCIDENTES!H51)/(HH!F51+HH!J51))*1000000</f>
        <v>0</v>
      </c>
      <c r="G51" s="59">
        <f>((ACCIDENTES!D51+ACCIDENTES!I51)/(HH!F51+HH!J51))*1000000</f>
        <v>0</v>
      </c>
      <c r="H51" s="59">
        <f>((ACCIDENTES!F51+ACCIDENTES!K51)/(HH!F51+HH!J51))*1000000</f>
        <v>24.843226817170457</v>
      </c>
      <c r="I51" s="59">
        <f>((ACCIDENTES!C51+ACCIDENTES!H51+ACCIDENTES!M51)/(HH!F51+HH!J51+HH!N51))*1000000</f>
        <v>0</v>
      </c>
      <c r="J51" s="59">
        <f>((ACCIDENTES!D51+ACCIDENTES!I51+ACCIDENTES!N51)/(HH!F51+HH!J51+HH!N51))*1000000</f>
        <v>0</v>
      </c>
      <c r="K51" s="59">
        <f>((ACCIDENTES!F51+ACCIDENTES!K51+ACCIDENTES!P51)/(HH!J51+HH!N51+HH!F51))*1000000</f>
        <v>16.470870113243912</v>
      </c>
      <c r="L51" s="59">
        <f>((ACCIDENTES!C51+ACCIDENTES!H51+ACCIDENTES!M51+ACCIDENTES!R51)/(HH!F51+HH!J51+HH!N51+HH!R51))*1000000</f>
        <v>0</v>
      </c>
      <c r="M51" s="59">
        <f>((ACCIDENTES!D51+ACCIDENTES!I51+ACCIDENTES!N51+ACCIDENTES!S51)/(HH!F51+HH!J51+HH!N51+HH!R51))*1000000</f>
        <v>0</v>
      </c>
      <c r="N51" s="59">
        <f>((ACCIDENTES!F51+ACCIDENTES!K51+ACCIDENTES!P51+ACCIDENTES!U51)/(HH!F51+HH!J51+HH!N51+HH!R51))*1000000</f>
        <v>12.245197841579843</v>
      </c>
      <c r="O51" s="59">
        <f>((ACCIDENTES!C51+ACCIDENTES!H51+ACCIDENTES!M51+ACCIDENTES!R51+ACCIDENTES!W51)/(HH!F51+HH!J51+HH!N51+HH!R51+HH!V51))*1000000</f>
        <v>0</v>
      </c>
      <c r="P51" s="59">
        <f>(((ACCIDENTES!D51+ACCIDENTES!I51+ACCIDENTES!N51+ACCIDENTES!S51+ACCIDENTES!X51)/(HH!F51+HH!J51+HH!N51+HH!R51+HH!V51))*1000000)</f>
        <v>0</v>
      </c>
      <c r="Q51" s="59">
        <f>((ACCIDENTES!F51+ACCIDENTES!K51+ACCIDENTES!P51+ACCIDENTES!U51+ACCIDENTES!Z51)/(HH!F51+HH!J51+HH!N51+HH!R51+HH!V51))*1000000</f>
        <v>9.8562890631430005</v>
      </c>
      <c r="R51" s="59">
        <f>(ACCIDENTES!C51+ACCIDENTES!H51+ACCIDENTES!M51+ACCIDENTES!R51+ACCIDENTES!W51+ACCIDENTES!AB51)*1000000/(HH!F51+HH!J51+HH!N51+HH!R51+HH!V51+HH!Z51)</f>
        <v>0</v>
      </c>
      <c r="S51" s="59">
        <f>(ACCIDENTES!D51+ACCIDENTES!I51+ACCIDENTES!N51+ACCIDENTES!S51+ACCIDENTES!X51+ACCIDENTES!AC51)*1000000/(HH!F51+HH!J51+HH!N51+HH!R51+HH!V51+HH!Z51)</f>
        <v>0</v>
      </c>
      <c r="T51" s="59">
        <f>(ACCIDENTES!F51+ACCIDENTES!K51+ACCIDENTES!P51+ACCIDENTES!U51+ACCIDENTES!Z51+ACCIDENTES!AE51)*1000000/(HH!F51+HH!J51+HH!N51+HH!R51+HH!V51+HH!Z51)</f>
        <v>8.0494003505299414</v>
      </c>
      <c r="U51" s="59">
        <f>((ACCIDENTES!C51+ACCIDENTES!H51+ACCIDENTES!M51+ACCIDENTES!R51+ACCIDENTES!W51+ACCIDENTES!AB51+ACCIDENTES!AG51)/(HH!F51+HH!J51+HH!N51+HH!R51+HH!V51+HH!Z51+HH!AD51))*1000000</f>
        <v>0</v>
      </c>
      <c r="V51" s="59">
        <f>((ACCIDENTES!D51+ACCIDENTES!I51+ACCIDENTES!N51+ACCIDENTES!S51+ACCIDENTES!X51+ACCIDENTES!AC51+ACCIDENTES!AH51)/(HH!F51+HH!J51+HH!N51+HH!R51+HH!V51+HH!Z51+HH!AD51))*1000000</f>
        <v>0</v>
      </c>
      <c r="W51" s="59">
        <f>((ACCIDENTES!F51+ACCIDENTES!K51+ACCIDENTES!P51+ACCIDENTES!U51+ACCIDENTES!Z51+ACCIDENTES!AE51+ACCIDENTES!AJ51)/(HH!F51+HH!J51+HH!N51+HH!R51+HH!V51+HH!Z51+HH!AD51))*1000000</f>
        <v>13.255977048247583</v>
      </c>
      <c r="X51" s="59">
        <f>((ACCIDENTES!C51+ACCIDENTES!H51+ACCIDENTES!M51+ACCIDENTES!R51+ACCIDENTES!W51+ACCIDENTES!AB51+ACCIDENTES!AG51+ACCIDENTES!AL51)/(HH!F51+HH!J51+HH!N51+HH!R51+HH!V51+HH!Z51+HH!AD51+HH!AH51))*1000000</f>
        <v>0</v>
      </c>
      <c r="Y51" s="59">
        <f>((ACCIDENTES!D51+ACCIDENTES!I51+ACCIDENTES!N51+ACCIDENTES!S51+ACCIDENTES!X51+ACCIDENTES!AC51+ACCIDENTES!AH51+ACCIDENTES!AM51)/(HH!F51+HH!J51+HH!N51+HH!R51+HH!V51+HH!Z51+HH!AD51+HH!AH51))*1000000</f>
        <v>0</v>
      </c>
      <c r="Z51" s="59">
        <f>((ACCIDENTES!F51+ACCIDENTES!K51+ACCIDENTES!P51+ACCIDENTES!U51+ACCIDENTES!Z51+ACCIDENTES!AE51+ACCIDENTES!AJ51+ACCIDENTES!AO51)/(HH!F51+HH!J51+HH!N51+HH!R51+HH!V51+HH!Z51+HH!AD51+HH!AH51))*1000000</f>
        <v>11.36816317482463</v>
      </c>
      <c r="AA51" s="59">
        <f>((ACCIDENTES!AQ51+ACCIDENTES!AL51+ACCIDENTES!AG51+ACCIDENTES!AB51+ACCIDENTES!W51+ACCIDENTES!R51+ACCIDENTES!M51+ACCIDENTES!H51+ACCIDENTES!C51)/(HH!AL51+HH!AH51+HH!AD51+HH!Z51+HH!V51+HH!R51+HH!N51+HH!J51+HH!F51))*1000000</f>
        <v>0</v>
      </c>
      <c r="AB51" s="59">
        <f>((ACCIDENTES!AR51+ACCIDENTES!AM51+ACCIDENTES!AH51+ACCIDENTES!AC51+ACCIDENTES!X51+ACCIDENTES!S51+ACCIDENTES!N51+ACCIDENTES!I51+ACCIDENTES!D51)/(HH!AL51+HH!AH51+HH!AD51+HH!Z51+HH!V51+HH!R51+HH!N51+HH!J51+HH!F51))*1000000</f>
        <v>0</v>
      </c>
      <c r="AC51" s="59">
        <f>((ACCIDENTES!F51+ACCIDENTES!K51+ACCIDENTES!P51+ACCIDENTES!U51+ACCIDENTES!Z51+ACCIDENTES!AE51+ACCIDENTES!AJ51+ACCIDENTES!AO51+ACCIDENTES!AT51)/(HH!F51+HH!J51+HH!N51+HH!R51+HH!V51+HH!Z51+HH!AD51+HH!AH51+HH!AL51))*1000000</f>
        <v>9.9100862826615774</v>
      </c>
      <c r="AD51" s="59">
        <f>((ACCIDENTES!AV51+ACCIDENTES!AQ51+ACCIDENTES!AL51+ACCIDENTES!AG51+ACCIDENTES!AB51+ACCIDENTES!W51+ACCIDENTES!R51+ACCIDENTES!M51+ACCIDENTES!H51+ACCIDENTES!C51)/(HH!F51+HH!J51+HH!N51+HH!R51+HH!V51+HH!Z51+HH!AD51+HH!AH51+HH!AL51+HH!AP51))*1000000</f>
        <v>0</v>
      </c>
      <c r="AE51" s="59">
        <f>((ACCIDENTES!D51+ACCIDENTES!I51+ACCIDENTES!N51+ACCIDENTES!S51+ACCIDENTES!X51+ACCIDENTES!AC51+ACCIDENTES!AH51+ACCIDENTES!AM51+ACCIDENTES!AR51+ACCIDENTES!AW51)/(HH!AP51+HH!AL51+HH!AH51+HH!AD51+HH!Z51+HH!V51+HH!R51+HH!N51+HH!J51+HH!F51))*1000000</f>
        <v>0</v>
      </c>
      <c r="AF51" s="59">
        <f>((ACCIDENTES!AY51+ACCIDENTES!AT51+ACCIDENTES!AO51+ACCIDENTES!AJ51+ACCIDENTES!AE51+ACCIDENTES!Z51+ACCIDENTES!U51+ACCIDENTES!P51+ACCIDENTES!K51+ACCIDENTES!F51)/(HH!F51+HH!J51+HH!N51+HH!R51+HH!V51+HH!Z51+HH!AD51+HH!AH51+HH!AL51+HH!AP51))*1000000</f>
        <v>8.8125308548735397</v>
      </c>
      <c r="AG51" s="59">
        <f>((ACCIDENTES!BA51+ACCIDENTES!AV51+ACCIDENTES!AQ51+ACCIDENTES!AL51+ACCIDENTES!AG51+ACCIDENTES!AB51+ACCIDENTES!W51+ACCIDENTES!R51+ACCIDENTES!M51+ACCIDENTES!H51+ACCIDENTES!C51)/(HH!AT51+HH!AP51+HH!AL51+HH!AH51+HH!AD51+HH!Z51+HH!V51+HH!R51+HH!N51+HH!J51+HH!F51))*1000000</f>
        <v>0</v>
      </c>
      <c r="AH51" s="59">
        <f>((ACCIDENTES!D51+ACCIDENTES!I51+ACCIDENTES!N51+ACCIDENTES!S51+ACCIDENTES!X51+ACCIDENTES!AC51+ACCIDENTES!AH51+ACCIDENTES!AM51+ACCIDENTES!AR51+ACCIDENTES!AW51+ACCIDENTES!BB51)/(HH!F51+HH!J51+HH!N51+HH!R51+HH!V51+HH!Z51+HH!AD51+HH!AH51+HH!AL51+HH!AP51+HH!AT51))*1000000</f>
        <v>0</v>
      </c>
      <c r="AI51" s="59">
        <f>((ACCIDENTES!BD51+ACCIDENTES!AY51+ACCIDENTES!AT51+ACCIDENTES!AO51+ACCIDENTES!AJ51+ACCIDENTES!AE51+ACCIDENTES!Z51+ACCIDENTES!U51+ACCIDENTES!P51+ACCIDENTES!K51+ACCIDENTES!F51)/(HH!F51+HH!J51+HH!N51+HH!R51+HH!V51+HH!Z51+HH!AD51+HH!AH51+HH!AL51+HH!AP51+HH!AT51))*1000000</f>
        <v>7.9421081733134375</v>
      </c>
      <c r="AJ51" s="59">
        <f>(ACCIDENTES!BK51/HH!BB51)*1000000</f>
        <v>0</v>
      </c>
      <c r="AK51" s="59">
        <f>(ACCIDENTES!BL51/HH!BB51)*1000000</f>
        <v>0</v>
      </c>
      <c r="AL51" s="59">
        <f>(ACCIDENTES!BN51/HH!BB51)*1000000</f>
        <v>7.283308198028835</v>
      </c>
      <c r="AN51" s="41">
        <f t="shared" si="0"/>
        <v>2.7931830691288067</v>
      </c>
      <c r="AO51" s="41">
        <f t="shared" si="1"/>
        <v>13.965915345644035</v>
      </c>
      <c r="AP51" s="42"/>
      <c r="AQ51" s="127"/>
      <c r="AR51" s="41"/>
      <c r="AS51" s="41"/>
      <c r="AT51" s="41"/>
      <c r="AV51" s="118">
        <v>2.39415691639612</v>
      </c>
      <c r="AW51" s="60">
        <v>2.7931830691288067</v>
      </c>
      <c r="AX51" s="60">
        <v>3.1922092218614941</v>
      </c>
      <c r="AY51" s="63"/>
      <c r="AZ51" s="118">
        <v>11.970784581980601</v>
      </c>
      <c r="BA51" s="60">
        <v>13.965915345644035</v>
      </c>
      <c r="BB51" s="60">
        <v>19.951307636634336</v>
      </c>
      <c r="BC51" s="63"/>
      <c r="BD51" s="118">
        <v>3.1922092218614941</v>
      </c>
      <c r="BE51" s="60">
        <v>3.3917222982278372</v>
      </c>
      <c r="BF51" s="60">
        <v>3.5912353745941807</v>
      </c>
    </row>
    <row r="52" spans="1:65" outlineLevel="1" x14ac:dyDescent="0.3">
      <c r="A52" s="10" t="s">
        <v>72</v>
      </c>
      <c r="B52" s="5" t="s">
        <v>75</v>
      </c>
      <c r="C52" s="58">
        <f>(ACCIDENTES!C52/HH!F52)*1000000</f>
        <v>8.6793380373028466</v>
      </c>
      <c r="D52" s="59">
        <f>(ACCIDENTES!D52/HH!F52)*1000000</f>
        <v>69.434704298422773</v>
      </c>
      <c r="E52" s="59">
        <f>(ACCIDENTES!F52/HH!F52)*1000000</f>
        <v>17.358676074605693</v>
      </c>
      <c r="F52" s="59">
        <f>((ACCIDENTES!C52+ACCIDENTES!H52)/(HH!F52+HH!J52))*1000000</f>
        <v>4.4983147963277839</v>
      </c>
      <c r="G52" s="59">
        <f>((ACCIDENTES!D52+ACCIDENTES!I52)/(HH!F52+HH!J52))*1000000</f>
        <v>35.986518370622271</v>
      </c>
      <c r="H52" s="59">
        <f>((ACCIDENTES!F52+ACCIDENTES!K52)/(HH!F52+HH!J52))*1000000</f>
        <v>17.993259185311135</v>
      </c>
      <c r="I52" s="59">
        <f>((ACCIDENTES!C52+ACCIDENTES!H52+ACCIDENTES!M52)/(HH!F52+HH!J52+HH!N52))*1000000</f>
        <v>2.9443232015769665</v>
      </c>
      <c r="J52" s="59">
        <f>((ACCIDENTES!D52+ACCIDENTES!I52+ACCIDENTES!N52)/(HH!F52+HH!J52+HH!N52))*1000000</f>
        <v>23.554585612615732</v>
      </c>
      <c r="K52" s="59">
        <f>((ACCIDENTES!F52+ACCIDENTES!K52+ACCIDENTES!P52)/(HH!J52+HH!N52+HH!F52))*1000000</f>
        <v>14.721616007884831</v>
      </c>
      <c r="L52" s="59">
        <f>((ACCIDENTES!C52+ACCIDENTES!H52+ACCIDENTES!M52+ACCIDENTES!R52)/(HH!F52+HH!J52+HH!N52+HH!R52))*1000000</f>
        <v>4.3362553238013444</v>
      </c>
      <c r="M52" s="59">
        <f>((ACCIDENTES!D52+ACCIDENTES!I52+ACCIDENTES!N52+ACCIDENTES!S52)/(HH!F52+HH!J52+HH!N52+HH!R52))*1000000</f>
        <v>39.026297914212094</v>
      </c>
      <c r="N52" s="59">
        <f>((ACCIDENTES!F52+ACCIDENTES!K52+ACCIDENTES!P52+ACCIDENTES!U52)/(HH!F52+HH!J52+HH!N52+HH!R52))*1000000</f>
        <v>19.513148957106047</v>
      </c>
      <c r="O52" s="59">
        <f>((ACCIDENTES!C52+ACCIDENTES!H52+ACCIDENTES!M52+ACCIDENTES!R52+ACCIDENTES!W52)/(HH!F52+HH!J52+HH!N52+HH!R52+HH!V52))*1000000</f>
        <v>3.4345449461495052</v>
      </c>
      <c r="P52" s="59">
        <f>(((ACCIDENTES!D52+ACCIDENTES!I52+ACCIDENTES!N52+ACCIDENTES!S52+ACCIDENTES!X52)/(HH!F52+HH!J52+HH!N52+HH!R52+HH!V52))*1000000)</f>
        <v>30.910904515345546</v>
      </c>
      <c r="Q52" s="59">
        <f>((ACCIDENTES!F52+ACCIDENTES!K52+ACCIDENTES!P52+ACCIDENTES!U52+ACCIDENTES!Z52)/(HH!F52+HH!J52+HH!N52+HH!R52+HH!V52))*1000000</f>
        <v>18.889997203822279</v>
      </c>
      <c r="R52" s="59">
        <f>(ACCIDENTES!C52+ACCIDENTES!H52+ACCIDENTES!M52+ACCIDENTES!R52+ACCIDENTES!W52+ACCIDENTES!AB52)*1000000/(HH!F52+HH!J52+HH!N52+HH!R52+HH!V52+HH!Z52)</f>
        <v>2.8490062851262778</v>
      </c>
      <c r="S52" s="59">
        <f>(ACCIDENTES!D52+ACCIDENTES!I52+ACCIDENTES!N52+ACCIDENTES!S52+ACCIDENTES!X52+ACCIDENTES!AC52)*1000000/(HH!F52+HH!J52+HH!N52+HH!R52+HH!V52+HH!Z52)</f>
        <v>25.641056566136502</v>
      </c>
      <c r="T52" s="59">
        <f>(ACCIDENTES!F52+ACCIDENTES!K52+ACCIDENTES!P52+ACCIDENTES!U52+ACCIDENTES!Z52+ACCIDENTES!AE52)*1000000/(HH!F52+HH!J52+HH!N52+HH!R52+HH!V52+HH!Z52)</f>
        <v>21.367547138447083</v>
      </c>
      <c r="U52" s="59">
        <f>((ACCIDENTES!C52+ACCIDENTES!H52+ACCIDENTES!M52+ACCIDENTES!R52+ACCIDENTES!W52+ACCIDENTES!AB52+ACCIDENTES!AG52)/(HH!F52+HH!J52+HH!N52+HH!R52+HH!V52+HH!Z52+HH!AD52))*1000000</f>
        <v>4.8737032202774548</v>
      </c>
      <c r="V52" s="59">
        <f>((ACCIDENTES!D52+ACCIDENTES!I52+ACCIDENTES!N52+ACCIDENTES!S52+ACCIDENTES!X52+ACCIDENTES!AC52+ACCIDENTES!AH52)/(HH!F52+HH!J52+HH!N52+HH!R52+HH!V52+HH!Z52+HH!AD52))*1000000</f>
        <v>216.87979330234674</v>
      </c>
      <c r="W52" s="59">
        <f>((ACCIDENTES!F52+ACCIDENTES!K52+ACCIDENTES!P52+ACCIDENTES!U52+ACCIDENTES!Z52+ACCIDENTES!AE52+ACCIDENTES!AJ52)/(HH!F52+HH!J52+HH!N52+HH!R52+HH!V52+HH!Z52+HH!AD52))*1000000</f>
        <v>21.931664491248547</v>
      </c>
      <c r="X52" s="59">
        <f>((ACCIDENTES!C52+ACCIDENTES!H52+ACCIDENTES!M52+ACCIDENTES!R52+ACCIDENTES!W52+ACCIDENTES!AB52+ACCIDENTES!AG52+ACCIDENTES!AL52)/(HH!F52+HH!J52+HH!N52+HH!R52+HH!V52+HH!Z52+HH!AD52+HH!AH52))*1000000</f>
        <v>4.2370497716209021</v>
      </c>
      <c r="Y52" s="59">
        <f>((ACCIDENTES!D52+ACCIDENTES!I52+ACCIDENTES!N52+ACCIDENTES!S52+ACCIDENTES!X52+ACCIDENTES!AC52+ACCIDENTES!AH52+ACCIDENTES!AM52)/(HH!F52+HH!J52+HH!N52+HH!R52+HH!V52+HH!Z52+HH!AD52+HH!AH52))*1000000</f>
        <v>188.54871483713012</v>
      </c>
      <c r="Z52" s="59">
        <f>((ACCIDENTES!F52+ACCIDENTES!K52+ACCIDENTES!P52+ACCIDENTES!U52+ACCIDENTES!Z52+ACCIDENTES!AE52+ACCIDENTES!AJ52+ACCIDENTES!AO52)/(HH!F52+HH!J52+HH!N52+HH!R52+HH!V52+HH!Z52+HH!AD52+HH!AH52))*1000000</f>
        <v>22.244511301009737</v>
      </c>
      <c r="AA52" s="59">
        <f>((ACCIDENTES!AQ52+ACCIDENTES!AL52+ACCIDENTES!AG52+ACCIDENTES!AB52+ACCIDENTES!W52+ACCIDENTES!R52+ACCIDENTES!M52+ACCIDENTES!H52+ACCIDENTES!C52)/(HH!AL52+HH!AH52+HH!AD52+HH!Z52+HH!V52+HH!R52+HH!N52+HH!J52+HH!F52))*1000000</f>
        <v>3.7653402786959305</v>
      </c>
      <c r="AB52" s="59">
        <f>((ACCIDENTES!AR52+ACCIDENTES!AM52+ACCIDENTES!AH52+ACCIDENTES!AC52+ACCIDENTES!X52+ACCIDENTES!S52+ACCIDENTES!N52+ACCIDENTES!I52+ACCIDENTES!D52)/(HH!AL52+HH!AH52+HH!AD52+HH!Z52+HH!V52+HH!R52+HH!N52+HH!J52+HH!F52))*1000000</f>
        <v>167.55764240196891</v>
      </c>
      <c r="AC52" s="59">
        <f>((ACCIDENTES!F52+ACCIDENTES!K52+ACCIDENTES!P52+ACCIDENTES!U52+ACCIDENTES!Z52+ACCIDENTES!AE52+ACCIDENTES!AJ52+ACCIDENTES!AO52+ACCIDENTES!AT52)/(HH!F52+HH!J52+HH!N52+HH!R52+HH!V52+HH!Z52+HH!AD52+HH!AH52+HH!AL52))*1000000</f>
        <v>20.709371532827621</v>
      </c>
      <c r="AD52" s="59">
        <f>((ACCIDENTES!AV52+ACCIDENTES!AQ52+ACCIDENTES!AL52+ACCIDENTES!AG52+ACCIDENTES!AB52+ACCIDENTES!W52+ACCIDENTES!R52+ACCIDENTES!M52+ACCIDENTES!H52+ACCIDENTES!C52)/(HH!F52+HH!J52+HH!N52+HH!R52+HH!V52+HH!Z52+HH!AD52+HH!AH52+HH!AL52+HH!AP52))*1000000</f>
        <v>3.3839360169437711</v>
      </c>
      <c r="AE52" s="59">
        <f>((ACCIDENTES!D52+ACCIDENTES!I52+ACCIDENTES!N52+ACCIDENTES!S52+ACCIDENTES!X52+ACCIDENTES!AC52+ACCIDENTES!AH52+ACCIDENTES!AM52+ACCIDENTES!AR52+ACCIDENTES!AW52)/(HH!AP52+HH!AL52+HH!AH52+HH!AD52+HH!Z52+HH!V52+HH!R52+HH!N52+HH!J52+HH!F52))*1000000</f>
        <v>150.58515275399776</v>
      </c>
      <c r="AF52" s="59">
        <f>((ACCIDENTES!AY52+ACCIDENTES!AT52+ACCIDENTES!AO52+ACCIDENTES!AJ52+ACCIDENTES!AE52+ACCIDENTES!Z52+ACCIDENTES!U52+ACCIDENTES!P52+ACCIDENTES!K52+ACCIDENTES!F52)/(HH!F52+HH!J52+HH!N52+HH!R52+HH!V52+HH!Z52+HH!AD52+HH!AH52+HH!AL52+HH!AP52))*1000000</f>
        <v>21.149600105898568</v>
      </c>
      <c r="AG52" s="59">
        <f>((ACCIDENTES!BA52+ACCIDENTES!AV52+ACCIDENTES!AQ52+ACCIDENTES!AL52+ACCIDENTES!AG52+ACCIDENTES!AB52+ACCIDENTES!W52+ACCIDENTES!R52+ACCIDENTES!M52+ACCIDENTES!H52+ACCIDENTES!C52)/(HH!AT52+HH!AP52+HH!AL52+HH!AH52+HH!AD52+HH!Z52+HH!V52+HH!R52+HH!N52+HH!J52+HH!F52))*1000000</f>
        <v>4.5966772469066699</v>
      </c>
      <c r="AH52" s="59">
        <f>((ACCIDENTES!D52+ACCIDENTES!I52+ACCIDENTES!N52+ACCIDENTES!S52+ACCIDENTES!X52+ACCIDENTES!AC52+ACCIDENTES!AH52+ACCIDENTES!AM52+ACCIDENTES!AR52+ACCIDENTES!AW52+ACCIDENTES!BB52)/(HH!F52+HH!J52+HH!N52+HH!R52+HH!V52+HH!Z52+HH!AD52+HH!AH52+HH!AL52+HH!AP52+HH!AT52))*1000000</f>
        <v>145.56144615204457</v>
      </c>
      <c r="AI52" s="59">
        <f>((ACCIDENTES!BD52+ACCIDENTES!AY52+ACCIDENTES!AT52+ACCIDENTES!AO52+ACCIDENTES!AJ52+ACCIDENTES!AE52+ACCIDENTES!Z52+ACCIDENTES!U52+ACCIDENTES!P52+ACCIDENTES!K52+ACCIDENTES!F52)/(HH!F52+HH!J52+HH!N52+HH!R52+HH!V52+HH!Z52+HH!AD52+HH!AH52+HH!AL52+HH!AP52+HH!AT52))*1000000</f>
        <v>22.217273360048907</v>
      </c>
      <c r="AJ52" s="59">
        <f>(ACCIDENTES!BK52/HH!BB52)*1000000</f>
        <v>4.892105760589418</v>
      </c>
      <c r="AK52" s="59">
        <f>(ACCIDENTES!BL52/HH!BB52)*1000000</f>
        <v>135.58121679347815</v>
      </c>
      <c r="AL52" s="59">
        <f>(ACCIDENTES!BN52/HH!BB52)*1000000</f>
        <v>22.363912048408768</v>
      </c>
      <c r="AN52" s="41">
        <f t="shared" si="0"/>
        <v>1.1120945675228922</v>
      </c>
      <c r="AO52" s="41">
        <f t="shared" si="1"/>
        <v>22.983287728806438</v>
      </c>
      <c r="AP52" s="42"/>
      <c r="AQ52" s="127"/>
      <c r="AR52" s="41"/>
      <c r="AS52" s="41"/>
      <c r="AT52" s="41"/>
      <c r="AV52" s="118">
        <v>0.95322391501962178</v>
      </c>
      <c r="AW52" s="60">
        <v>1.1120945675228922</v>
      </c>
      <c r="AX52" s="60">
        <v>1.2709652200261627</v>
      </c>
      <c r="AY52" s="63"/>
      <c r="AZ52" s="118">
        <v>21.182753667102709</v>
      </c>
      <c r="BA52" s="60">
        <v>22.983287728806438</v>
      </c>
      <c r="BB52" s="60">
        <v>26.266614547207357</v>
      </c>
      <c r="BC52" s="63"/>
      <c r="BD52" s="118">
        <v>4.7449368214310068</v>
      </c>
      <c r="BE52" s="60">
        <v>5.041495372770445</v>
      </c>
      <c r="BF52" s="60">
        <v>5.3380539241098832</v>
      </c>
    </row>
    <row r="53" spans="1:65" outlineLevel="1" x14ac:dyDescent="0.3">
      <c r="A53" s="10" t="s">
        <v>72</v>
      </c>
      <c r="B53" s="5" t="s">
        <v>76</v>
      </c>
      <c r="C53" s="58">
        <f>(ACCIDENTES!C53/HH!F53)*1000000</f>
        <v>0</v>
      </c>
      <c r="D53" s="59">
        <f>(ACCIDENTES!D53/HH!F53)*1000000</f>
        <v>0</v>
      </c>
      <c r="E53" s="59">
        <f>(ACCIDENTES!F53/HH!F53)*1000000</f>
        <v>36.696937970799901</v>
      </c>
      <c r="F53" s="59">
        <f>((ACCIDENTES!C53+ACCIDENTES!H53)/(HH!F53+HH!J53))*1000000</f>
        <v>4.6847896295998357</v>
      </c>
      <c r="G53" s="59">
        <f>((ACCIDENTES!D53+ACCIDENTES!I53)/(HH!F53+HH!J53))*1000000</f>
        <v>140.54368888799507</v>
      </c>
      <c r="H53" s="59">
        <f>((ACCIDENTES!F53+ACCIDENTES!K53)/(HH!F53+HH!J53))*1000000</f>
        <v>56.217475555198028</v>
      </c>
      <c r="I53" s="59">
        <f>((ACCIDENTES!C53+ACCIDENTES!H53+ACCIDENTES!M53)/(HH!F53+HH!J53+HH!N53))*1000000</f>
        <v>6.2740290738717084</v>
      </c>
      <c r="J53" s="59">
        <f>((ACCIDENTES!D53+ACCIDENTES!I53+ACCIDENTES!N53)/(HH!F53+HH!J53+HH!N53))*1000000</f>
        <v>150.57669777292099</v>
      </c>
      <c r="K53" s="59">
        <f>((ACCIDENTES!F53+ACCIDENTES!K53+ACCIDENTES!P53)/(HH!J53+HH!N53+HH!F53))*1000000</f>
        <v>59.60327620178122</v>
      </c>
      <c r="L53" s="59">
        <f>((ACCIDENTES!C53+ACCIDENTES!H53+ACCIDENTES!M53+ACCIDENTES!R53)/(HH!F53+HH!J53+HH!N53+HH!R53))*1000000</f>
        <v>6.9386302363702992</v>
      </c>
      <c r="M53" s="59">
        <f>((ACCIDENTES!D53+ACCIDENTES!I53+ACCIDENTES!N53+ACCIDENTES!S53)/(HH!F53+HH!J53+HH!N53+HH!R53))*1000000</f>
        <v>134.14685123649247</v>
      </c>
      <c r="N53" s="59">
        <f>((ACCIDENTES!F53+ACCIDENTES!K53+ACCIDENTES!P53+ACCIDENTES!U53)/(HH!F53+HH!J53+HH!N53+HH!R53))*1000000</f>
        <v>64.760548872789457</v>
      </c>
      <c r="O53" s="59">
        <f>((ACCIDENTES!C53+ACCIDENTES!H53+ACCIDENTES!M53+ACCIDENTES!R53+ACCIDENTES!W53)/(HH!F53+HH!J53+HH!N53+HH!R53+HH!V53))*1000000</f>
        <v>5.503828603830188</v>
      </c>
      <c r="P53" s="59">
        <f>(((ACCIDENTES!D53+ACCIDENTES!I53+ACCIDENTES!N53+ACCIDENTES!S53+ACCIDENTES!X53)/(HH!F53+HH!J53+HH!N53+HH!R53+HH!V53))*1000000)</f>
        <v>106.40735300738365</v>
      </c>
      <c r="Q53" s="59">
        <f>((ACCIDENTES!F53+ACCIDENTES!K53+ACCIDENTES!P53+ACCIDENTES!U53+ACCIDENTES!Z53)/(HH!F53+HH!J53+HH!N53+HH!R53+HH!V53))*1000000</f>
        <v>71.54977184979245</v>
      </c>
      <c r="R53" s="59">
        <f>(ACCIDENTES!C53+ACCIDENTES!H53+ACCIDENTES!M53+ACCIDENTES!R53+ACCIDENTES!W53+ACCIDENTES!AB53)*1000000/(HH!F53+HH!J53+HH!N53+HH!R53+HH!V53+HH!Z53)</f>
        <v>6.1305629360295519</v>
      </c>
      <c r="S53" s="59">
        <f>(ACCIDENTES!D53+ACCIDENTES!I53+ACCIDENTES!N53+ACCIDENTES!S53+ACCIDENTES!X53+ACCIDENTES!AC53)*1000000/(HH!F53+HH!J53+HH!N53+HH!R53+HH!V53+HH!Z53)</f>
        <v>193.11273248493089</v>
      </c>
      <c r="T53" s="59">
        <f>(ACCIDENTES!F53+ACCIDENTES!K53+ACCIDENTES!P53+ACCIDENTES!U53+ACCIDENTES!Z53+ACCIDENTES!AE53)*1000000/(HH!F53+HH!J53+HH!N53+HH!R53+HH!V53+HH!Z53)</f>
        <v>72.034114498347236</v>
      </c>
      <c r="U53" s="59">
        <f>((ACCIDENTES!C53+ACCIDENTES!H53+ACCIDENTES!M53+ACCIDENTES!R53+ACCIDENTES!W53+ACCIDENTES!AB53+ACCIDENTES!AG53)/(HH!F53+HH!J53+HH!N53+HH!R53+HH!V53+HH!Z53+HH!AD53))*1000000</f>
        <v>5.2506680523412781</v>
      </c>
      <c r="V53" s="59">
        <f>((ACCIDENTES!D53+ACCIDENTES!I53+ACCIDENTES!N53+ACCIDENTES!S53+ACCIDENTES!X53+ACCIDENTES!AC53+ACCIDENTES!AH53)/(HH!F53+HH!J53+HH!N53+HH!R53+HH!V53+HH!Z53+HH!AD53))*1000000</f>
        <v>165.39604364875026</v>
      </c>
      <c r="W53" s="59">
        <f>((ACCIDENTES!F53+ACCIDENTES!K53+ACCIDENTES!P53+ACCIDENTES!U53+ACCIDENTES!Z53+ACCIDENTES!AE53+ACCIDENTES!AJ53)/(HH!F53+HH!J53+HH!N53+HH!R53+HH!V53+HH!Z53+HH!AD53))*1000000</f>
        <v>72.196685719692567</v>
      </c>
      <c r="X53" s="59">
        <f>((ACCIDENTES!C53+ACCIDENTES!H53+ACCIDENTES!M53+ACCIDENTES!R53+ACCIDENTES!W53+ACCIDENTES!AB53+ACCIDENTES!AG53+ACCIDENTES!AL53)/(HH!F53+HH!J53+HH!N53+HH!R53+HH!V53+HH!Z53+HH!AD53+HH!AH53))*1000000</f>
        <v>4.6163559677010451</v>
      </c>
      <c r="Y53" s="59">
        <f>((ACCIDENTES!D53+ACCIDENTES!I53+ACCIDENTES!N53+ACCIDENTES!S53+ACCIDENTES!X53+ACCIDENTES!AC53+ACCIDENTES!AH53+ACCIDENTES!AM53)/(HH!F53+HH!J53+HH!N53+HH!R53+HH!V53+HH!Z53+HH!AD53+HH!AH53))*1000000</f>
        <v>145.41521298258291</v>
      </c>
      <c r="Z53" s="59">
        <f>((ACCIDENTES!F53+ACCIDENTES!K53+ACCIDENTES!P53+ACCIDENTES!U53+ACCIDENTES!Z53+ACCIDENTES!AE53+ACCIDENTES!AJ53+ACCIDENTES!AO53)/(HH!F53+HH!J53+HH!N53+HH!R53+HH!V53+HH!Z53+HH!AD53+HH!AH53))*1000000</f>
        <v>73.861695483216721</v>
      </c>
      <c r="AA53" s="59">
        <f>((ACCIDENTES!AQ53+ACCIDENTES!AL53+ACCIDENTES!AG53+ACCIDENTES!AB53+ACCIDENTES!W53+ACCIDENTES!R53+ACCIDENTES!M53+ACCIDENTES!H53+ACCIDENTES!C53)/(HH!AL53+HH!AH53+HH!AD53+HH!Z53+HH!V53+HH!R53+HH!N53+HH!J53+HH!F53))*1000000</f>
        <v>6.1780547504977754</v>
      </c>
      <c r="AB53" s="59">
        <f>((ACCIDENTES!AR53+ACCIDENTES!AM53+ACCIDENTES!AH53+ACCIDENTES!AC53+ACCIDENTES!X53+ACCIDENTES!S53+ACCIDENTES!N53+ACCIDENTES!I53+ACCIDENTES!D53)/(HH!AL53+HH!AH53+HH!AD53+HH!Z53+HH!V53+HH!R53+HH!N53+HH!J53+HH!F53))*1000000</f>
        <v>153.42169297069475</v>
      </c>
      <c r="AC53" s="59">
        <f>((ACCIDENTES!F53+ACCIDENTES!K53+ACCIDENTES!P53+ACCIDENTES!U53+ACCIDENTES!Z53+ACCIDENTES!AE53+ACCIDENTES!AJ53+ACCIDENTES!AO53+ACCIDENTES!AT53)/(HH!F53+HH!J53+HH!N53+HH!R53+HH!V53+HH!Z53+HH!AD53+HH!AH53+HH!AL53))*1000000</f>
        <v>74.136657005973291</v>
      </c>
      <c r="AD53" s="59">
        <f>((ACCIDENTES!AV53+ACCIDENTES!AQ53+ACCIDENTES!AL53+ACCIDENTES!AG53+ACCIDENTES!AB53+ACCIDENTES!W53+ACCIDENTES!R53+ACCIDENTES!M53+ACCIDENTES!H53+ACCIDENTES!C53)/(HH!F53+HH!J53+HH!N53+HH!R53+HH!V53+HH!Z53+HH!AD53+HH!AH53+HH!AL53+HH!AP53))*1000000</f>
        <v>5.6015537166470208</v>
      </c>
      <c r="AE53" s="59">
        <f>((ACCIDENTES!D53+ACCIDENTES!I53+ACCIDENTES!N53+ACCIDENTES!S53+ACCIDENTES!X53+ACCIDENTES!AC53+ACCIDENTES!AH53+ACCIDENTES!AM53+ACCIDENTES!AR53+ACCIDENTES!AW53)/(HH!AP53+HH!AL53+HH!AH53+HH!AD53+HH!Z53+HH!V53+HH!R53+HH!N53+HH!J53+HH!F53))*1000000</f>
        <v>139.10525063006773</v>
      </c>
      <c r="AF53" s="59">
        <f>((ACCIDENTES!AY53+ACCIDENTES!AT53+ACCIDENTES!AO53+ACCIDENTES!AJ53+ACCIDENTES!AE53+ACCIDENTES!Z53+ACCIDENTES!U53+ACCIDENTES!P53+ACCIDENTES!K53+ACCIDENTES!F53)/(HH!F53+HH!J53+HH!N53+HH!R53+HH!V53+HH!Z53+HH!AD53+HH!AH53+HH!AL53+HH!AP53))*1000000</f>
        <v>70.953013744195601</v>
      </c>
      <c r="AG53" s="59">
        <f>((ACCIDENTES!BA53+ACCIDENTES!AV53+ACCIDENTES!AQ53+ACCIDENTES!AL53+ACCIDENTES!AG53+ACCIDENTES!AB53+ACCIDENTES!W53+ACCIDENTES!R53+ACCIDENTES!M53+ACCIDENTES!H53+ACCIDENTES!C53)/(HH!AT53+HH!AP53+HH!AL53+HH!AH53+HH!AD53+HH!Z53+HH!V53+HH!R53+HH!N53+HH!J53+HH!F53))*1000000</f>
        <v>5.133619722196463</v>
      </c>
      <c r="AH53" s="59">
        <f>((ACCIDENTES!D53+ACCIDENTES!I53+ACCIDENTES!N53+ACCIDENTES!S53+ACCIDENTES!X53+ACCIDENTES!AC53+ACCIDENTES!AH53+ACCIDENTES!AM53+ACCIDENTES!AR53+ACCIDENTES!AW53+ACCIDENTES!BB53)/(HH!F53+HH!J53+HH!N53+HH!R53+HH!V53+HH!Z53+HH!AD53+HH!AH53+HH!AL53+HH!AP53+HH!AT53))*1000000</f>
        <v>127.48488976787884</v>
      </c>
      <c r="AI53" s="59">
        <f>((ACCIDENTES!BD53+ACCIDENTES!AY53+ACCIDENTES!AT53+ACCIDENTES!AO53+ACCIDENTES!AJ53+ACCIDENTES!AE53+ACCIDENTES!Z53+ACCIDENTES!U53+ACCIDENTES!P53+ACCIDENTES!K53+ACCIDENTES!F53)/(HH!F53+HH!J53+HH!N53+HH!R53+HH!V53+HH!Z53+HH!AD53+HH!AH53+HH!AL53+HH!AP53+HH!AT53))*1000000</f>
        <v>68.448262962619509</v>
      </c>
      <c r="AJ53" s="59">
        <f>(ACCIDENTES!BK53/HH!BB53)*1000000</f>
        <v>4.8335423997063396</v>
      </c>
      <c r="AK53" s="59">
        <f>(ACCIDENTES!BL53/HH!BB53)*1000000</f>
        <v>120.03296959270743</v>
      </c>
      <c r="AL53" s="59">
        <f>(ACCIDENTES!BN53/HH!BB53)*1000000</f>
        <v>69.280774395790857</v>
      </c>
      <c r="AN53" s="41">
        <f t="shared" si="0"/>
        <v>2.1949885980141386</v>
      </c>
      <c r="AO53" s="41">
        <f t="shared" si="1"/>
        <v>62.713959943261102</v>
      </c>
      <c r="AP53" s="42"/>
      <c r="AQ53" s="128"/>
      <c r="AR53" s="41"/>
      <c r="AS53" s="41"/>
      <c r="AT53" s="41"/>
      <c r="AV53" s="118">
        <v>1.8814187982978332</v>
      </c>
      <c r="AW53" s="60">
        <v>2.1949885980141386</v>
      </c>
      <c r="AX53" s="60">
        <v>2.5085583977304444</v>
      </c>
      <c r="AY53" s="63"/>
      <c r="AZ53" s="118">
        <v>58.79433744680729</v>
      </c>
      <c r="BA53" s="60">
        <v>62.713959943261102</v>
      </c>
      <c r="BB53" s="60">
        <v>74.472827432622566</v>
      </c>
      <c r="BC53" s="63"/>
      <c r="BD53" s="118">
        <v>15.427634146042232</v>
      </c>
      <c r="BE53" s="60">
        <v>16.39186128016987</v>
      </c>
      <c r="BF53" s="60">
        <v>17.35608841429751</v>
      </c>
    </row>
    <row r="54" spans="1:65" outlineLevel="1" x14ac:dyDescent="0.3">
      <c r="A54" s="10" t="s">
        <v>72</v>
      </c>
      <c r="B54" s="5" t="s">
        <v>77</v>
      </c>
      <c r="C54" s="58">
        <f>(ACCIDENTES!C54/HH!F54)*1000000</f>
        <v>0</v>
      </c>
      <c r="D54" s="59">
        <f>(ACCIDENTES!D54/HH!F54)*1000000</f>
        <v>0</v>
      </c>
      <c r="E54" s="59">
        <f>(ACCIDENTES!F54/HH!F54)*1000000</f>
        <v>0</v>
      </c>
      <c r="F54" s="59">
        <f>((ACCIDENTES!C54+ACCIDENTES!H54)/(HH!F54+HH!J54))*1000000</f>
        <v>0</v>
      </c>
      <c r="G54" s="59">
        <f>((ACCIDENTES!D54+ACCIDENTES!I54)/(HH!F54+HH!J54))*1000000</f>
        <v>0</v>
      </c>
      <c r="H54" s="59">
        <f>((ACCIDENTES!F54+ACCIDENTES!K54)/(HH!F54+HH!J54))*1000000</f>
        <v>0</v>
      </c>
      <c r="I54" s="59">
        <f>((ACCIDENTES!C54+ACCIDENTES!H54+ACCIDENTES!M54)/(HH!F54+HH!J54+HH!N54))*1000000</f>
        <v>0</v>
      </c>
      <c r="J54" s="59">
        <f>((ACCIDENTES!D54+ACCIDENTES!I54+ACCIDENTES!N54)/(HH!F54+HH!J54+HH!N54))*1000000</f>
        <v>0</v>
      </c>
      <c r="K54" s="59">
        <f>((ACCIDENTES!F54+ACCIDENTES!K54+ACCIDENTES!P54)/(HH!J54+HH!N54+HH!F54))*1000000</f>
        <v>0</v>
      </c>
      <c r="L54" s="59">
        <f>((ACCIDENTES!C54+ACCIDENTES!H54+ACCIDENTES!M54+ACCIDENTES!R54)/(HH!F54+HH!J54+HH!N54+HH!R54))*1000000</f>
        <v>0</v>
      </c>
      <c r="M54" s="59">
        <f>((ACCIDENTES!D54+ACCIDENTES!I54+ACCIDENTES!N54+ACCIDENTES!S54)/(HH!F54+HH!J54+HH!N54+HH!R54))*1000000</f>
        <v>0</v>
      </c>
      <c r="N54" s="59">
        <f>((ACCIDENTES!F54+ACCIDENTES!K54+ACCIDENTES!P54+ACCIDENTES!U54)/(HH!F54+HH!J54+HH!N54+HH!R54))*1000000</f>
        <v>0</v>
      </c>
      <c r="O54" s="59">
        <f>((ACCIDENTES!C54+ACCIDENTES!H54+ACCIDENTES!M54+ACCIDENTES!R54+ACCIDENTES!W54)/(HH!F54+HH!J54+HH!N54+HH!R54+HH!V54))*1000000</f>
        <v>0</v>
      </c>
      <c r="P54" s="59">
        <f>(((ACCIDENTES!D54+ACCIDENTES!I54+ACCIDENTES!N54+ACCIDENTES!S54+ACCIDENTES!X54)/(HH!F54+HH!J54+HH!N54+HH!R54+HH!V54))*1000000)</f>
        <v>0</v>
      </c>
      <c r="Q54" s="59">
        <f>((ACCIDENTES!F54+ACCIDENTES!K54+ACCIDENTES!P54+ACCIDENTES!U54+ACCIDENTES!Z54)/(HH!F54+HH!J54+HH!N54+HH!R54+HH!V54))*1000000</f>
        <v>0</v>
      </c>
      <c r="R54" s="59">
        <f>(ACCIDENTES!C54+ACCIDENTES!H54+ACCIDENTES!M54+ACCIDENTES!R54+ACCIDENTES!W54+ACCIDENTES!AB54)*1000000/(HH!F54+HH!J54+HH!N54+HH!R54+HH!V54+HH!Z54)</f>
        <v>0</v>
      </c>
      <c r="S54" s="59">
        <f>(ACCIDENTES!D54+ACCIDENTES!I54+ACCIDENTES!N54+ACCIDENTES!S54+ACCIDENTES!X54+ACCIDENTES!AC54)*1000000/(HH!F54+HH!J54+HH!N54+HH!R54+HH!V54+HH!Z54)</f>
        <v>0</v>
      </c>
      <c r="T54" s="59">
        <f>(ACCIDENTES!F54+ACCIDENTES!K54+ACCIDENTES!P54+ACCIDENTES!U54+ACCIDENTES!Z54+ACCIDENTES!AE54)*1000000/(HH!F54+HH!J54+HH!N54+HH!R54+HH!V54+HH!Z54)</f>
        <v>0</v>
      </c>
      <c r="U54" s="59">
        <f>((ACCIDENTES!C54+ACCIDENTES!H54+ACCIDENTES!M54+ACCIDENTES!R54+ACCIDENTES!W54+ACCIDENTES!AB54+ACCIDENTES!AG54)/(HH!F54+HH!J54+HH!N54+HH!R54+HH!V54+HH!Z54+HH!AD54))*1000000</f>
        <v>0</v>
      </c>
      <c r="V54" s="59">
        <f>((ACCIDENTES!D54+ACCIDENTES!I54+ACCIDENTES!N54+ACCIDENTES!S54+ACCIDENTES!X54+ACCIDENTES!AC54+ACCIDENTES!AH54)/(HH!F54+HH!J54+HH!N54+HH!R54+HH!V54+HH!Z54+HH!AD54))*1000000</f>
        <v>0</v>
      </c>
      <c r="W54" s="59">
        <f>((ACCIDENTES!F54+ACCIDENTES!K54+ACCIDENTES!P54+ACCIDENTES!U54+ACCIDENTES!Z54+ACCIDENTES!AE54+ACCIDENTES!AJ54)/(HH!F54+HH!J54+HH!N54+HH!R54+HH!V54+HH!Z54+HH!AD54))*1000000</f>
        <v>0</v>
      </c>
      <c r="X54" s="59">
        <f>((ACCIDENTES!C54+ACCIDENTES!H54+ACCIDENTES!M54+ACCIDENTES!R54+ACCIDENTES!W54+ACCIDENTES!AB54+ACCIDENTES!AG54+ACCIDENTES!AL54)/(HH!F54+HH!J54+HH!N54+HH!R54+HH!V54+HH!Z54+HH!AD54+HH!AH54))*1000000</f>
        <v>6.6930267808080579</v>
      </c>
      <c r="Y54" s="59">
        <f>((ACCIDENTES!D54+ACCIDENTES!I54+ACCIDENTES!N54+ACCIDENTES!S54+ACCIDENTES!X54+ACCIDENTES!AC54+ACCIDENTES!AH54+ACCIDENTES!AM54)/(HH!F54+HH!J54+HH!N54+HH!R54+HH!V54+HH!Z54+HH!AD54+HH!AH54))*1000000</f>
        <v>100.39540171212087</v>
      </c>
      <c r="Z54" s="59">
        <f>((ACCIDENTES!F54+ACCIDENTES!K54+ACCIDENTES!P54+ACCIDENTES!U54+ACCIDENTES!Z54+ACCIDENTES!AE54+ACCIDENTES!AJ54+ACCIDENTES!AO54)/(HH!F54+HH!J54+HH!N54+HH!R54+HH!V54+HH!Z54+HH!AD54+HH!AH54))*1000000</f>
        <v>6.6930267808080579</v>
      </c>
      <c r="AA54" s="59">
        <f>((ACCIDENTES!AQ54+ACCIDENTES!AL54+ACCIDENTES!AG54+ACCIDENTES!AB54+ACCIDENTES!W54+ACCIDENTES!R54+ACCIDENTES!M54+ACCIDENTES!H54+ACCIDENTES!C54)/(HH!AL54+HH!AH54+HH!AD54+HH!Z54+HH!V54+HH!R54+HH!N54+HH!J54+HH!F54))*1000000</f>
        <v>5.8698995464524275</v>
      </c>
      <c r="AB54" s="59">
        <f>((ACCIDENTES!AR54+ACCIDENTES!AM54+ACCIDENTES!AH54+ACCIDENTES!AC54+ACCIDENTES!X54+ACCIDENTES!S54+ACCIDENTES!N54+ACCIDENTES!I54+ACCIDENTES!D54)/(HH!AL54+HH!AH54+HH!AD54+HH!Z54+HH!V54+HH!R54+HH!N54+HH!J54+HH!F54))*1000000</f>
        <v>88.04849319678641</v>
      </c>
      <c r="AC54" s="59">
        <f>((ACCIDENTES!F54+ACCIDENTES!K54+ACCIDENTES!P54+ACCIDENTES!U54+ACCIDENTES!Z54+ACCIDENTES!AE54+ACCIDENTES!AJ54+ACCIDENTES!AO54+ACCIDENTES!AT54)/(HH!F54+HH!J54+HH!N54+HH!R54+HH!V54+HH!Z54+HH!AD54+HH!AH54+HH!AL54))*1000000</f>
        <v>17.609698639357283</v>
      </c>
      <c r="AD54" s="59">
        <f>((ACCIDENTES!AV54+ACCIDENTES!AQ54+ACCIDENTES!AL54+ACCIDENTES!AG54+ACCIDENTES!AB54+ACCIDENTES!W54+ACCIDENTES!R54+ACCIDENTES!M54+ACCIDENTES!H54+ACCIDENTES!C54)/(HH!F54+HH!J54+HH!N54+HH!R54+HH!V54+HH!Z54+HH!AD54+HH!AH54+HH!AL54+HH!AP54))*1000000</f>
        <v>5.2511885014935427</v>
      </c>
      <c r="AE54" s="59">
        <f>((ACCIDENTES!D54+ACCIDENTES!I54+ACCIDENTES!N54+ACCIDENTES!S54+ACCIDENTES!X54+ACCIDENTES!AC54+ACCIDENTES!AH54+ACCIDENTES!AM54+ACCIDENTES!AR54+ACCIDENTES!AW54)/(HH!AP54+HH!AL54+HH!AH54+HH!AD54+HH!Z54+HH!V54+HH!R54+HH!N54+HH!J54+HH!F54))*1000000</f>
        <v>78.767827522403138</v>
      </c>
      <c r="AF54" s="59">
        <f>((ACCIDENTES!AY54+ACCIDENTES!AT54+ACCIDENTES!AO54+ACCIDENTES!AJ54+ACCIDENTES!AE54+ACCIDENTES!Z54+ACCIDENTES!U54+ACCIDENTES!P54+ACCIDENTES!K54+ACCIDENTES!F54)/(HH!F54+HH!J54+HH!N54+HH!R54+HH!V54+HH!Z54+HH!AD54+HH!AH54+HH!AL54+HH!AP54))*1000000</f>
        <v>21.004754005974171</v>
      </c>
      <c r="AG54" s="59">
        <f>((ACCIDENTES!BA54+ACCIDENTES!AV54+ACCIDENTES!AQ54+ACCIDENTES!AL54+ACCIDENTES!AG54+ACCIDENTES!AB54+ACCIDENTES!W54+ACCIDENTES!R54+ACCIDENTES!M54+ACCIDENTES!H54+ACCIDENTES!C54)/(HH!AT54+HH!AP54+HH!AL54+HH!AH54+HH!AD54+HH!Z54+HH!V54+HH!R54+HH!N54+HH!J54+HH!F54))*1000000</f>
        <v>9.4700541892284136</v>
      </c>
      <c r="AH54" s="59">
        <f>((ACCIDENTES!D54+ACCIDENTES!I54+ACCIDENTES!N54+ACCIDENTES!S54+ACCIDENTES!X54+ACCIDENTES!AC54+ACCIDENTES!AH54+ACCIDENTES!AM54+ACCIDENTES!AR54+ACCIDENTES!AW54+ACCIDENTES!BB54)/(HH!F54+HH!J54+HH!N54+HH!R54+HH!V54+HH!Z54+HH!AD54+HH!AH54+HH!AL54+HH!AP54+HH!AT54))*1000000</f>
        <v>118.37567736535514</v>
      </c>
      <c r="AI54" s="59">
        <f>((ACCIDENTES!BD54+ACCIDENTES!AY54+ACCIDENTES!AT54+ACCIDENTES!AO54+ACCIDENTES!AJ54+ACCIDENTES!AE54+ACCIDENTES!Z54+ACCIDENTES!U54+ACCIDENTES!P54+ACCIDENTES!K54+ACCIDENTES!F54)/(HH!F54+HH!J54+HH!N54+HH!R54+HH!V54+HH!Z54+HH!AD54+HH!AH54+HH!AL54+HH!AP54+HH!AT54))*1000000</f>
        <v>28.410162567685237</v>
      </c>
      <c r="AJ54" s="59">
        <f>(ACCIDENTES!BK54/HH!BB54)*1000000</f>
        <v>8.6819624806386813</v>
      </c>
      <c r="AK54" s="59">
        <f>(ACCIDENTES!BL54/HH!BB54)*1000000</f>
        <v>108.52453100798351</v>
      </c>
      <c r="AL54" s="59">
        <f>(ACCIDENTES!BN54/HH!BB54)*1000000</f>
        <v>26.045887441916044</v>
      </c>
      <c r="AN54" s="41">
        <f t="shared" si="0"/>
        <v>4.2353855450284712</v>
      </c>
      <c r="AO54" s="41">
        <f t="shared" si="1"/>
        <v>127.06156635085414</v>
      </c>
      <c r="AP54" s="42"/>
      <c r="AQ54" s="128"/>
      <c r="AR54" s="41"/>
      <c r="AS54" s="41"/>
      <c r="AT54" s="41"/>
      <c r="AV54" s="118">
        <v>3.6303304671672607</v>
      </c>
      <c r="AW54" s="60">
        <v>4.2353855450284712</v>
      </c>
      <c r="AX54" s="60">
        <v>4.8404406228896812</v>
      </c>
      <c r="AY54" s="63"/>
      <c r="AZ54" s="118">
        <v>108.90991401501783</v>
      </c>
      <c r="BA54" s="60">
        <v>127.06156635085414</v>
      </c>
      <c r="BB54" s="60">
        <v>145.21321868669045</v>
      </c>
      <c r="BC54" s="63"/>
      <c r="BD54" s="118">
        <v>5.8085287474676184</v>
      </c>
      <c r="BE54" s="60">
        <v>6.1715617941843437</v>
      </c>
      <c r="BF54" s="60">
        <v>6.5345948409010699</v>
      </c>
    </row>
    <row r="55" spans="1:65" outlineLevel="1" x14ac:dyDescent="0.3">
      <c r="A55" s="10" t="s">
        <v>72</v>
      </c>
      <c r="B55" s="5" t="s">
        <v>78</v>
      </c>
      <c r="C55" s="58">
        <f>(ACCIDENTES!C55/HH!F55)*1000000</f>
        <v>0</v>
      </c>
      <c r="D55" s="59">
        <f>(ACCIDENTES!D55/HH!F55)*1000000</f>
        <v>0</v>
      </c>
      <c r="E55" s="59">
        <f>(ACCIDENTES!F55/HH!F55)*1000000</f>
        <v>0</v>
      </c>
      <c r="F55" s="59">
        <f>((ACCIDENTES!C55+ACCIDENTES!H55)/(HH!F55+HH!J55))*1000000</f>
        <v>0</v>
      </c>
      <c r="G55" s="59">
        <f>((ACCIDENTES!D55+ACCIDENTES!I55)/(HH!F55+HH!J55))*1000000</f>
        <v>0</v>
      </c>
      <c r="H55" s="59">
        <f>((ACCIDENTES!F55+ACCIDENTES!K55)/(HH!F55+HH!J55))*1000000</f>
        <v>0</v>
      </c>
      <c r="I55" s="59">
        <f>((ACCIDENTES!C55+ACCIDENTES!H55+ACCIDENTES!M55)/(HH!F55+HH!J55+HH!N55))*1000000</f>
        <v>0</v>
      </c>
      <c r="J55" s="59">
        <f>((ACCIDENTES!D55+ACCIDENTES!I55+ACCIDENTES!N55)/(HH!F55+HH!J55+HH!N55))*1000000</f>
        <v>0</v>
      </c>
      <c r="K55" s="59">
        <f>((ACCIDENTES!F55+ACCIDENTES!K55+ACCIDENTES!P55)/(HH!J55+HH!N55+HH!F55))*1000000</f>
        <v>0</v>
      </c>
      <c r="L55" s="59">
        <f>((ACCIDENTES!C55+ACCIDENTES!H55+ACCIDENTES!M55+ACCIDENTES!R55)/(HH!F55+HH!J55+HH!N55+HH!R55))*1000000</f>
        <v>0</v>
      </c>
      <c r="M55" s="59">
        <f>((ACCIDENTES!D55+ACCIDENTES!I55+ACCIDENTES!N55+ACCIDENTES!S55)/(HH!F55+HH!J55+HH!N55+HH!R55))*1000000</f>
        <v>0</v>
      </c>
      <c r="N55" s="59">
        <f>((ACCIDENTES!F55+ACCIDENTES!K55+ACCIDENTES!P55+ACCIDENTES!U55)/(HH!F55+HH!J55+HH!N55+HH!R55))*1000000</f>
        <v>0</v>
      </c>
      <c r="O55" s="59">
        <f>((ACCIDENTES!C55+ACCIDENTES!H55+ACCIDENTES!M55+ACCIDENTES!R55+ACCIDENTES!W55)/(HH!F55+HH!J55+HH!N55+HH!R55+HH!V55))*1000000</f>
        <v>0</v>
      </c>
      <c r="P55" s="59">
        <f>(((ACCIDENTES!D55+ACCIDENTES!I55+ACCIDENTES!N55+ACCIDENTES!S55+ACCIDENTES!X55)/(HH!F55+HH!J55+HH!N55+HH!R55+HH!V55))*1000000)</f>
        <v>0</v>
      </c>
      <c r="Q55" s="59">
        <f>((ACCIDENTES!F55+ACCIDENTES!K55+ACCIDENTES!P55+ACCIDENTES!U55+ACCIDENTES!Z55)/(HH!F55+HH!J55+HH!N55+HH!R55+HH!V55))*1000000</f>
        <v>0</v>
      </c>
      <c r="R55" s="59">
        <f>(ACCIDENTES!C55+ACCIDENTES!H55+ACCIDENTES!M55+ACCIDENTES!R55+ACCIDENTES!W55+ACCIDENTES!AB55)*1000000/(HH!F55+HH!J55+HH!N55+HH!R55+HH!V55+HH!Z55)</f>
        <v>0</v>
      </c>
      <c r="S55" s="59">
        <f>(ACCIDENTES!D55+ACCIDENTES!I55+ACCIDENTES!N55+ACCIDENTES!S55+ACCIDENTES!X55+ACCIDENTES!AC55)*1000000/(HH!F55+HH!J55+HH!N55+HH!R55+HH!V55+HH!Z55)</f>
        <v>0</v>
      </c>
      <c r="T55" s="59">
        <f>(ACCIDENTES!F55+ACCIDENTES!K55+ACCIDENTES!P55+ACCIDENTES!U55+ACCIDENTES!Z55+ACCIDENTES!AE55)*1000000/(HH!F55+HH!J55+HH!N55+HH!R55+HH!V55+HH!Z55)</f>
        <v>0</v>
      </c>
      <c r="U55" s="59">
        <f>((ACCIDENTES!C55+ACCIDENTES!H55+ACCIDENTES!M55+ACCIDENTES!R55+ACCIDENTES!W55+ACCIDENTES!AB55+ACCIDENTES!AG55)/(HH!F55+HH!J55+HH!N55+HH!R55+HH!V55+HH!Z55+HH!AD55))*1000000</f>
        <v>0</v>
      </c>
      <c r="V55" s="59">
        <f>((ACCIDENTES!D55+ACCIDENTES!I55+ACCIDENTES!N55+ACCIDENTES!S55+ACCIDENTES!X55+ACCIDENTES!AC55+ACCIDENTES!AH55)/(HH!F55+HH!J55+HH!N55+HH!R55+HH!V55+HH!Z55+HH!AD55))*1000000</f>
        <v>0</v>
      </c>
      <c r="W55" s="59">
        <f>((ACCIDENTES!F55+ACCIDENTES!K55+ACCIDENTES!P55+ACCIDENTES!U55+ACCIDENTES!Z55+ACCIDENTES!AE55+ACCIDENTES!AJ55)/(HH!F55+HH!J55+HH!N55+HH!R55+HH!V55+HH!Z55+HH!AD55))*1000000</f>
        <v>0</v>
      </c>
      <c r="X55" s="59">
        <f>((ACCIDENTES!C55+ACCIDENTES!H55+ACCIDENTES!M55+ACCIDENTES!R55+ACCIDENTES!W55+ACCIDENTES!AB55+ACCIDENTES!AG55+ACCIDENTES!AL55)/(HH!F55+HH!J55+HH!N55+HH!R55+HH!V55+HH!Z55+HH!AD55+HH!AH55))*1000000</f>
        <v>0</v>
      </c>
      <c r="Y55" s="59">
        <f>((ACCIDENTES!D55+ACCIDENTES!I55+ACCIDENTES!N55+ACCIDENTES!S55+ACCIDENTES!X55+ACCIDENTES!AC55+ACCIDENTES!AH55+ACCIDENTES!AM55)/(HH!F55+HH!J55+HH!N55+HH!R55+HH!V55+HH!Z55+HH!AD55+HH!AH55))*1000000</f>
        <v>0</v>
      </c>
      <c r="Z55" s="59">
        <f>((ACCIDENTES!F55+ACCIDENTES!K55+ACCIDENTES!P55+ACCIDENTES!U55+ACCIDENTES!Z55+ACCIDENTES!AE55+ACCIDENTES!AJ55+ACCIDENTES!AO55)/(HH!F55+HH!J55+HH!N55+HH!R55+HH!V55+HH!Z55+HH!AD55+HH!AH55))*1000000</f>
        <v>0</v>
      </c>
      <c r="AA55" s="59">
        <f>((ACCIDENTES!AQ55+ACCIDENTES!AL55+ACCIDENTES!AG55+ACCIDENTES!AB55+ACCIDENTES!W55+ACCIDENTES!R55+ACCIDENTES!M55+ACCIDENTES!H55+ACCIDENTES!C55)/(HH!AL55+HH!AH55+HH!AD55+HH!Z55+HH!V55+HH!R55+HH!N55+HH!J55+HH!F55))*1000000</f>
        <v>0</v>
      </c>
      <c r="AB55" s="59">
        <f>((ACCIDENTES!AR55+ACCIDENTES!AM55+ACCIDENTES!AH55+ACCIDENTES!AC55+ACCIDENTES!X55+ACCIDENTES!S55+ACCIDENTES!N55+ACCIDENTES!I55+ACCIDENTES!D55)/(HH!AL55+HH!AH55+HH!AD55+HH!Z55+HH!V55+HH!R55+HH!N55+HH!J55+HH!F55))*1000000</f>
        <v>0</v>
      </c>
      <c r="AC55" s="59">
        <f>((ACCIDENTES!F55+ACCIDENTES!K55+ACCIDENTES!P55+ACCIDENTES!U55+ACCIDENTES!Z55+ACCIDENTES!AE55+ACCIDENTES!AJ55+ACCIDENTES!AO55+ACCIDENTES!AT55)/(HH!F55+HH!J55+HH!N55+HH!R55+HH!V55+HH!Z55+HH!AD55+HH!AH55+HH!AL55))*1000000</f>
        <v>0</v>
      </c>
      <c r="AD55" s="59">
        <f>((ACCIDENTES!AV55+ACCIDENTES!AQ55+ACCIDENTES!AL55+ACCIDENTES!AG55+ACCIDENTES!AB55+ACCIDENTES!W55+ACCIDENTES!R55+ACCIDENTES!M55+ACCIDENTES!H55+ACCIDENTES!C55)/(HH!F55+HH!J55+HH!N55+HH!R55+HH!V55+HH!Z55+HH!AD55+HH!AH55+HH!AL55+HH!AP55))*1000000</f>
        <v>0</v>
      </c>
      <c r="AE55" s="59">
        <f>((ACCIDENTES!D55+ACCIDENTES!I55+ACCIDENTES!N55+ACCIDENTES!S55+ACCIDENTES!X55+ACCIDENTES!AC55+ACCIDENTES!AH55+ACCIDENTES!AM55+ACCIDENTES!AR55+ACCIDENTES!AW55)/(HH!AP55+HH!AL55+HH!AH55+HH!AD55+HH!Z55+HH!V55+HH!R55+HH!N55+HH!J55+HH!F55))*1000000</f>
        <v>0</v>
      </c>
      <c r="AF55" s="59">
        <f>((ACCIDENTES!AY55+ACCIDENTES!AT55+ACCIDENTES!AO55+ACCIDENTES!AJ55+ACCIDENTES!AE55+ACCIDENTES!Z55+ACCIDENTES!U55+ACCIDENTES!P55+ACCIDENTES!K55+ACCIDENTES!F55)/(HH!F55+HH!J55+HH!N55+HH!R55+HH!V55+HH!Z55+HH!AD55+HH!AH55+HH!AL55+HH!AP55))*1000000</f>
        <v>0</v>
      </c>
      <c r="AG55" s="59">
        <f>((ACCIDENTES!BA55+ACCIDENTES!AV55+ACCIDENTES!AQ55+ACCIDENTES!AL55+ACCIDENTES!AG55+ACCIDENTES!AB55+ACCIDENTES!W55+ACCIDENTES!R55+ACCIDENTES!M55+ACCIDENTES!H55+ACCIDENTES!C55)/(HH!AT55+HH!AP55+HH!AL55+HH!AH55+HH!AD55+HH!Z55+HH!V55+HH!R55+HH!N55+HH!J55+HH!F55))*1000000</f>
        <v>0</v>
      </c>
      <c r="AH55" s="59">
        <f>((ACCIDENTES!D55+ACCIDENTES!I55+ACCIDENTES!N55+ACCIDENTES!S55+ACCIDENTES!X55+ACCIDENTES!AC55+ACCIDENTES!AH55+ACCIDENTES!AM55+ACCIDENTES!AR55+ACCIDENTES!AW55+ACCIDENTES!BB55)/(HH!F55+HH!J55+HH!N55+HH!R55+HH!V55+HH!Z55+HH!AD55+HH!AH55+HH!AL55+HH!AP55+HH!AT55))*1000000</f>
        <v>0</v>
      </c>
      <c r="AI55" s="59">
        <f>((ACCIDENTES!BD55+ACCIDENTES!AY55+ACCIDENTES!AT55+ACCIDENTES!AO55+ACCIDENTES!AJ55+ACCIDENTES!AE55+ACCIDENTES!Z55+ACCIDENTES!U55+ACCIDENTES!P55+ACCIDENTES!K55+ACCIDENTES!F55)/(HH!F55+HH!J55+HH!N55+HH!R55+HH!V55+HH!Z55+HH!AD55+HH!AH55+HH!AL55+HH!AP55+HH!AT55))*1000000</f>
        <v>0</v>
      </c>
      <c r="AJ55" s="59">
        <f>(ACCIDENTES!BK55/HH!BB55)*1000000</f>
        <v>0</v>
      </c>
      <c r="AK55" s="59">
        <f>(ACCIDENTES!BL55/HH!BB55)*1000000</f>
        <v>0</v>
      </c>
      <c r="AL55" s="59">
        <f>(ACCIDENTES!BN55/HH!BB55)*1000000</f>
        <v>0</v>
      </c>
      <c r="AN55" s="41">
        <f t="shared" si="0"/>
        <v>0</v>
      </c>
      <c r="AO55" s="41">
        <f t="shared" si="1"/>
        <v>2.31786063804382</v>
      </c>
      <c r="AP55" s="42"/>
      <c r="AQ55" s="128"/>
      <c r="AR55" s="41"/>
      <c r="AS55" s="41"/>
      <c r="AT55" s="41"/>
      <c r="AV55" s="118">
        <v>0</v>
      </c>
      <c r="AW55" s="60">
        <v>0</v>
      </c>
      <c r="AX55" s="60">
        <v>2.1461672574479813</v>
      </c>
      <c r="AY55" s="63"/>
      <c r="AZ55" s="118">
        <v>1.6310871156604658</v>
      </c>
      <c r="BA55" s="60">
        <v>2.31786063804382</v>
      </c>
      <c r="BB55" s="60">
        <v>3.0046341604271736</v>
      </c>
      <c r="BC55" s="63"/>
      <c r="BD55" s="118">
        <v>0</v>
      </c>
      <c r="BE55" s="60">
        <v>0.85846690297919248</v>
      </c>
      <c r="BF55" s="60">
        <v>0.42923345148959624</v>
      </c>
    </row>
    <row r="56" spans="1:65" outlineLevel="1" x14ac:dyDescent="0.3">
      <c r="A56" s="10" t="s">
        <v>72</v>
      </c>
      <c r="B56" s="5" t="s">
        <v>79</v>
      </c>
      <c r="C56" s="58">
        <f>(ACCIDENTES!C56/HH!F56)*1000000</f>
        <v>0</v>
      </c>
      <c r="D56" s="59">
        <f>(ACCIDENTES!D56/HH!F56)*1000000</f>
        <v>0</v>
      </c>
      <c r="E56" s="59">
        <f>(ACCIDENTES!F56/HH!F56)*1000000</f>
        <v>25.962447396836271</v>
      </c>
      <c r="F56" s="59">
        <f>((ACCIDENTES!C56+ACCIDENTES!H56)/(HH!F56+HH!J56))*1000000</f>
        <v>0</v>
      </c>
      <c r="G56" s="59">
        <f>((ACCIDENTES!D56+ACCIDENTES!I56)/(HH!F56+HH!J56))*1000000</f>
        <v>0</v>
      </c>
      <c r="H56" s="59">
        <f>((ACCIDENTES!F56+ACCIDENTES!K56)/(HH!F56+HH!J56))*1000000</f>
        <v>13.862158668023987</v>
      </c>
      <c r="I56" s="59">
        <f>((ACCIDENTES!C56+ACCIDENTES!H56+ACCIDENTES!M56)/(HH!F56+HH!J56+HH!N56))*1000000</f>
        <v>0</v>
      </c>
      <c r="J56" s="59">
        <f>((ACCIDENTES!D56+ACCIDENTES!I56+ACCIDENTES!N56)/(HH!F56+HH!J56+HH!N56))*1000000</f>
        <v>0</v>
      </c>
      <c r="K56" s="59">
        <f>((ACCIDENTES!F56+ACCIDENTES!K56+ACCIDENTES!P56)/(HH!J56+HH!N56+HH!F56))*1000000</f>
        <v>8.7764425070602421</v>
      </c>
      <c r="L56" s="59">
        <f>((ACCIDENTES!C56+ACCIDENTES!H56+ACCIDENTES!M56+ACCIDENTES!R56)/(HH!F56+HH!J56+HH!N56+HH!R56))*1000000</f>
        <v>0</v>
      </c>
      <c r="M56" s="59">
        <f>((ACCIDENTES!D56+ACCIDENTES!I56+ACCIDENTES!N56+ACCIDENTES!S56)/(HH!F56+HH!J56+HH!N56+HH!R56))*1000000</f>
        <v>0</v>
      </c>
      <c r="N56" s="59">
        <f>((ACCIDENTES!F56+ACCIDENTES!K56+ACCIDENTES!P56+ACCIDENTES!U56)/(HH!F56+HH!J56+HH!N56+HH!R56))*1000000</f>
        <v>6.293841061127913</v>
      </c>
      <c r="O56" s="59">
        <f>((ACCIDENTES!C56+ACCIDENTES!H56+ACCIDENTES!M56+ACCIDENTES!R56+ACCIDENTES!W56)/(HH!F56+HH!J56+HH!N56+HH!R56+HH!V56))*1000000</f>
        <v>0</v>
      </c>
      <c r="P56" s="59">
        <f>(((ACCIDENTES!D56+ACCIDENTES!I56+ACCIDENTES!N56+ACCIDENTES!S56+ACCIDENTES!X56)/(HH!F56+HH!J56+HH!N56+HH!R56+HH!V56))*1000000)</f>
        <v>0</v>
      </c>
      <c r="Q56" s="59">
        <f>((ACCIDENTES!F56+ACCIDENTES!K56+ACCIDENTES!P56+ACCIDENTES!U56+ACCIDENTES!Z56)/(HH!F56+HH!J56+HH!N56+HH!R56+HH!V56))*1000000</f>
        <v>4.9063700236097825</v>
      </c>
      <c r="R56" s="59">
        <f>(ACCIDENTES!C56+ACCIDENTES!H56+ACCIDENTES!M56+ACCIDENTES!R56+ACCIDENTES!W56+ACCIDENTES!AB56)*1000000/(HH!F56+HH!J56+HH!N56+HH!R56+HH!V56+HH!Z56)</f>
        <v>0</v>
      </c>
      <c r="S56" s="59">
        <f>(ACCIDENTES!D56+ACCIDENTES!I56+ACCIDENTES!N56+ACCIDENTES!S56+ACCIDENTES!X56+ACCIDENTES!AC56)*1000000/(HH!F56+HH!J56+HH!N56+HH!R56+HH!V56+HH!Z56)</f>
        <v>0</v>
      </c>
      <c r="T56" s="59">
        <f>(ACCIDENTES!F56+ACCIDENTES!K56+ACCIDENTES!P56+ACCIDENTES!U56+ACCIDENTES!Z56+ACCIDENTES!AE56)*1000000/(HH!F56+HH!J56+HH!N56+HH!R56+HH!V56+HH!Z56)</f>
        <v>8.1943440561420875</v>
      </c>
      <c r="U56" s="59">
        <f>((ACCIDENTES!C56+ACCIDENTES!H56+ACCIDENTES!M56+ACCIDENTES!R56+ACCIDENTES!W56+ACCIDENTES!AB56+ACCIDENTES!AG56)/(HH!F56+HH!J56+HH!N56+HH!R56+HH!V56+HH!Z56+HH!AD56))*1000000</f>
        <v>0</v>
      </c>
      <c r="V56" s="59">
        <f>((ACCIDENTES!D56+ACCIDENTES!I56+ACCIDENTES!N56+ACCIDENTES!S56+ACCIDENTES!X56+ACCIDENTES!AC56+ACCIDENTES!AH56)/(HH!F56+HH!J56+HH!N56+HH!R56+HH!V56+HH!Z56+HH!AD56))*1000000</f>
        <v>0</v>
      </c>
      <c r="W56" s="59">
        <f>((ACCIDENTES!F56+ACCIDENTES!K56+ACCIDENTES!P56+ACCIDENTES!U56+ACCIDENTES!Z56+ACCIDENTES!AE56+ACCIDENTES!AJ56)/(HH!F56+HH!J56+HH!N56+HH!R56+HH!V56+HH!Z56+HH!AD56))*1000000</f>
        <v>7.0441918313764686</v>
      </c>
      <c r="X56" s="59">
        <f>((ACCIDENTES!C56+ACCIDENTES!H56+ACCIDENTES!M56+ACCIDENTES!R56+ACCIDENTES!W56+ACCIDENTES!AB56+ACCIDENTES!AG56+ACCIDENTES!AL56)/(HH!F56+HH!J56+HH!N56+HH!R56+HH!V56+HH!Z56+HH!AD56+HH!AH56))*1000000</f>
        <v>0</v>
      </c>
      <c r="Y56" s="59">
        <f>((ACCIDENTES!D56+ACCIDENTES!I56+ACCIDENTES!N56+ACCIDENTES!S56+ACCIDENTES!X56+ACCIDENTES!AC56+ACCIDENTES!AH56+ACCIDENTES!AM56)/(HH!F56+HH!J56+HH!N56+HH!R56+HH!V56+HH!Z56+HH!AD56+HH!AH56))*1000000</f>
        <v>0</v>
      </c>
      <c r="Z56" s="59">
        <f>((ACCIDENTES!F56+ACCIDENTES!K56+ACCIDENTES!P56+ACCIDENTES!U56+ACCIDENTES!Z56+ACCIDENTES!AE56+ACCIDENTES!AJ56+ACCIDENTES!AO56)/(HH!F56+HH!J56+HH!N56+HH!R56+HH!V56+HH!Z56+HH!AD56+HH!AH56))*1000000</f>
        <v>6.1695461618089631</v>
      </c>
      <c r="AA56" s="59">
        <f>((ACCIDENTES!AQ56+ACCIDENTES!AL56+ACCIDENTES!AG56+ACCIDENTES!AB56+ACCIDENTES!W56+ACCIDENTES!R56+ACCIDENTES!M56+ACCIDENTES!H56+ACCIDENTES!C56)/(HH!AL56+HH!AH56+HH!AD56+HH!Z56+HH!V56+HH!R56+HH!N56+HH!J56+HH!F56))*1000000</f>
        <v>2.6468437830416431</v>
      </c>
      <c r="AB56" s="59">
        <f>((ACCIDENTES!AR56+ACCIDENTES!AM56+ACCIDENTES!AH56+ACCIDENTES!AC56+ACCIDENTES!X56+ACCIDENTES!S56+ACCIDENTES!N56+ACCIDENTES!I56+ACCIDENTES!D56)/(HH!AL56+HH!AH56+HH!AD56+HH!Z56+HH!V56+HH!R56+HH!N56+HH!J56+HH!F56))*1000000</f>
        <v>29.115281613458073</v>
      </c>
      <c r="AC56" s="59">
        <f>((ACCIDENTES!F56+ACCIDENTES!K56+ACCIDENTES!P56+ACCIDENTES!U56+ACCIDENTES!Z56+ACCIDENTES!AE56+ACCIDENTES!AJ56+ACCIDENTES!AO56+ACCIDENTES!AT56)/(HH!F56+HH!J56+HH!N56+HH!R56+HH!V56+HH!Z56+HH!AD56+HH!AH56+HH!AL56))*1000000</f>
        <v>7.9405313491249316</v>
      </c>
      <c r="AD56" s="59">
        <f>((ACCIDENTES!AV56+ACCIDENTES!AQ56+ACCIDENTES!AL56+ACCIDENTES!AG56+ACCIDENTES!AB56+ACCIDENTES!W56+ACCIDENTES!R56+ACCIDENTES!M56+ACCIDENTES!H56+ACCIDENTES!C56)/(HH!F56+HH!J56+HH!N56+HH!R56+HH!V56+HH!Z56+HH!AD56+HH!AH56+HH!AL56+HH!AP56))*1000000</f>
        <v>2.3374369844519443</v>
      </c>
      <c r="AE56" s="59">
        <f>((ACCIDENTES!D56+ACCIDENTES!I56+ACCIDENTES!N56+ACCIDENTES!S56+ACCIDENTES!X56+ACCIDENTES!AC56+ACCIDENTES!AH56+ACCIDENTES!AM56+ACCIDENTES!AR56+ACCIDENTES!AW56)/(HH!AP56+HH!AL56+HH!AH56+HH!AD56+HH!Z56+HH!V56+HH!R56+HH!N56+HH!J56+HH!F56))*1000000</f>
        <v>25.711806828971383</v>
      </c>
      <c r="AF56" s="59">
        <f>((ACCIDENTES!AY56+ACCIDENTES!AT56+ACCIDENTES!AO56+ACCIDENTES!AJ56+ACCIDENTES!AE56+ACCIDENTES!Z56+ACCIDENTES!U56+ACCIDENTES!P56+ACCIDENTES!K56+ACCIDENTES!F56)/(HH!F56+HH!J56+HH!N56+HH!R56+HH!V56+HH!Z56+HH!AD56+HH!AH56+HH!AL56+HH!AP56))*1000000</f>
        <v>7.0123109533558337</v>
      </c>
      <c r="AG56" s="59">
        <f>((ACCIDENTES!BA56+ACCIDENTES!AV56+ACCIDENTES!AQ56+ACCIDENTES!AL56+ACCIDENTES!AG56+ACCIDENTES!AB56+ACCIDENTES!W56+ACCIDENTES!R56+ACCIDENTES!M56+ACCIDENTES!H56+ACCIDENTES!C56)/(HH!AT56+HH!AP56+HH!AL56+HH!AH56+HH!AD56+HH!Z56+HH!V56+HH!R56+HH!N56+HH!J56+HH!F56))*1000000</f>
        <v>2.1227992524434796</v>
      </c>
      <c r="AH56" s="59">
        <f>((ACCIDENTES!D56+ACCIDENTES!I56+ACCIDENTES!N56+ACCIDENTES!S56+ACCIDENTES!X56+ACCIDENTES!AC56+ACCIDENTES!AH56+ACCIDENTES!AM56+ACCIDENTES!AR56+ACCIDENTES!AW56+ACCIDENTES!BB56)/(HH!F56+HH!J56+HH!N56+HH!R56+HH!V56+HH!Z56+HH!AD56+HH!AH56+HH!AL56+HH!AP56+HH!AT56))*1000000</f>
        <v>23.350791776878275</v>
      </c>
      <c r="AI56" s="59">
        <f>((ACCIDENTES!BD56+ACCIDENTES!AY56+ACCIDENTES!AT56+ACCIDENTES!AO56+ACCIDENTES!AJ56+ACCIDENTES!AE56+ACCIDENTES!Z56+ACCIDENTES!U56+ACCIDENTES!P56+ACCIDENTES!K56+ACCIDENTES!F56)/(HH!F56+HH!J56+HH!N56+HH!R56+HH!V56+HH!Z56+HH!AD56+HH!AH56+HH!AL56+HH!AP56+HH!AT56))*1000000</f>
        <v>6.3683977573304391</v>
      </c>
      <c r="AJ56" s="59">
        <f>(ACCIDENTES!BK56/HH!BB56)*1000000</f>
        <v>1.9301145910331632</v>
      </c>
      <c r="AK56" s="59">
        <f>(ACCIDENTES!BL56/HH!BB56)*1000000</f>
        <v>21.231260501364797</v>
      </c>
      <c r="AL56" s="59">
        <f>(ACCIDENTES!BN56/HH!BB56)*1000000</f>
        <v>5.7903437730994893</v>
      </c>
      <c r="AN56" s="41">
        <f t="shared" si="0"/>
        <v>2.7</v>
      </c>
      <c r="AO56" s="41">
        <f t="shared" si="1"/>
        <v>95.774348124106027</v>
      </c>
      <c r="AP56" s="42"/>
      <c r="AQ56" s="128"/>
      <c r="AR56" s="41"/>
      <c r="AS56" s="41"/>
      <c r="AT56" s="41"/>
      <c r="AV56" s="118">
        <v>2.6082338813754364</v>
      </c>
      <c r="AW56" s="60">
        <v>2.7</v>
      </c>
      <c r="AX56" s="60">
        <v>5.2164677627508729</v>
      </c>
      <c r="AY56" s="63"/>
      <c r="AZ56" s="118">
        <v>67.396763494741279</v>
      </c>
      <c r="BA56" s="60">
        <v>95.774348124106027</v>
      </c>
      <c r="BB56" s="60">
        <v>124.15193275347076</v>
      </c>
      <c r="BC56" s="63"/>
      <c r="BD56" s="118">
        <v>1.6783181154585465</v>
      </c>
      <c r="BE56" s="60">
        <v>1.7832129976747055</v>
      </c>
      <c r="BF56" s="60">
        <v>1.8881078798908646</v>
      </c>
    </row>
    <row r="57" spans="1:65" outlineLevel="1" x14ac:dyDescent="0.3">
      <c r="A57" s="10" t="s">
        <v>72</v>
      </c>
      <c r="B57" s="5" t="s">
        <v>80</v>
      </c>
      <c r="C57" s="58">
        <f>(ACCIDENTES!C57/HH!F57)*1000000</f>
        <v>0</v>
      </c>
      <c r="D57" s="59">
        <f>(ACCIDENTES!D57/HH!F57)*1000000</f>
        <v>0</v>
      </c>
      <c r="E57" s="59">
        <f>(ACCIDENTES!F57/HH!F57)*1000000</f>
        <v>0</v>
      </c>
      <c r="F57" s="59">
        <f>((ACCIDENTES!C57+ACCIDENTES!H57)/(HH!F57+HH!J57))*1000000</f>
        <v>0</v>
      </c>
      <c r="G57" s="59">
        <f>((ACCIDENTES!D57+ACCIDENTES!I57)/(HH!F57+HH!J57))*1000000</f>
        <v>0</v>
      </c>
      <c r="H57" s="59">
        <f>((ACCIDENTES!F57+ACCIDENTES!K57)/(HH!F57+HH!J57))*1000000</f>
        <v>10.08328795853752</v>
      </c>
      <c r="I57" s="59">
        <f>((ACCIDENTES!C57+ACCIDENTES!H57+ACCIDENTES!M57)/(HH!F57+HH!J57+HH!N57))*1000000</f>
        <v>0</v>
      </c>
      <c r="J57" s="59">
        <f>((ACCIDENTES!D57+ACCIDENTES!I57+ACCIDENTES!N57)/(HH!F57+HH!J57+HH!N57))*1000000</f>
        <v>0</v>
      </c>
      <c r="K57" s="59">
        <f>((ACCIDENTES!F57+ACCIDENTES!K57+ACCIDENTES!P57)/(HH!J57+HH!N57+HH!F57))*1000000</f>
        <v>6.7220564114974053</v>
      </c>
      <c r="L57" s="59">
        <f>((ACCIDENTES!C57+ACCIDENTES!H57+ACCIDENTES!M57+ACCIDENTES!R57)/(HH!F57+HH!J57+HH!N57+HH!R57))*1000000</f>
        <v>0</v>
      </c>
      <c r="M57" s="59">
        <f>((ACCIDENTES!D57+ACCIDENTES!I57+ACCIDENTES!N57+ACCIDENTES!S57)/(HH!F57+HH!J57+HH!N57+HH!R57))*1000000</f>
        <v>0</v>
      </c>
      <c r="N57" s="59">
        <f>((ACCIDENTES!F57+ACCIDENTES!K57+ACCIDENTES!P57+ACCIDENTES!U57)/(HH!F57+HH!J57+HH!N57+HH!R57))*1000000</f>
        <v>5.0480575074711247</v>
      </c>
      <c r="O57" s="59">
        <f>((ACCIDENTES!C57+ACCIDENTES!H57+ACCIDENTES!M57+ACCIDENTES!R57+ACCIDENTES!W57)/(HH!F57+HH!J57+HH!N57+HH!R57+HH!V57))*1000000</f>
        <v>0</v>
      </c>
      <c r="P57" s="59">
        <f>(((ACCIDENTES!D57+ACCIDENTES!I57+ACCIDENTES!N57+ACCIDENTES!S57+ACCIDENTES!X57)/(HH!F57+HH!J57+HH!N57+HH!R57+HH!V57))*1000000)</f>
        <v>0</v>
      </c>
      <c r="Q57" s="59">
        <f>((ACCIDENTES!F57+ACCIDENTES!K57+ACCIDENTES!P57+ACCIDENTES!U57+ACCIDENTES!Z57)/(HH!F57+HH!J57+HH!N57+HH!R57+HH!V57))*1000000</f>
        <v>4.0361966112093253</v>
      </c>
      <c r="R57" s="59">
        <f>(ACCIDENTES!C57+ACCIDENTES!H57+ACCIDENTES!M57+ACCIDENTES!R57+ACCIDENTES!W57+ACCIDENTES!AB57)*1000000/(HH!F57+HH!J57+HH!N57+HH!R57+HH!V57+HH!Z57)</f>
        <v>0</v>
      </c>
      <c r="S57" s="59">
        <f>(ACCIDENTES!D57+ACCIDENTES!I57+ACCIDENTES!N57+ACCIDENTES!S57+ACCIDENTES!X57+ACCIDENTES!AC57)*1000000/(HH!F57+HH!J57+HH!N57+HH!R57+HH!V57+HH!Z57)</f>
        <v>0</v>
      </c>
      <c r="T57" s="59">
        <f>(ACCIDENTES!F57+ACCIDENTES!K57+ACCIDENTES!P57+ACCIDENTES!U57+ACCIDENTES!Z57+ACCIDENTES!AE57)*1000000/(HH!F57+HH!J57+HH!N57+HH!R57+HH!V57+HH!Z57)</f>
        <v>3.366799318559818</v>
      </c>
      <c r="U57" s="59">
        <f>((ACCIDENTES!C57+ACCIDENTES!H57+ACCIDENTES!M57+ACCIDENTES!R57+ACCIDENTES!W57+ACCIDENTES!AB57+ACCIDENTES!AG57)/(HH!F57+HH!J57+HH!N57+HH!R57+HH!V57+HH!Z57+HH!AD57))*1000000</f>
        <v>0</v>
      </c>
      <c r="V57" s="59">
        <f>((ACCIDENTES!D57+ACCIDENTES!I57+ACCIDENTES!N57+ACCIDENTES!S57+ACCIDENTES!X57+ACCIDENTES!AC57+ACCIDENTES!AH57)/(HH!F57+HH!J57+HH!N57+HH!R57+HH!V57+HH!Z57+HH!AD57))*1000000</f>
        <v>0</v>
      </c>
      <c r="W57" s="59">
        <f>((ACCIDENTES!F57+ACCIDENTES!K57+ACCIDENTES!P57+ACCIDENTES!U57+ACCIDENTES!Z57+ACCIDENTES!AE57+ACCIDENTES!AJ57)/(HH!F57+HH!J57+HH!N57+HH!R57+HH!V57+HH!Z57+HH!AD57))*1000000</f>
        <v>2.891075827136794</v>
      </c>
      <c r="X57" s="59">
        <f>((ACCIDENTES!C57+ACCIDENTES!H57+ACCIDENTES!M57+ACCIDENTES!R57+ACCIDENTES!W57+ACCIDENTES!AB57+ACCIDENTES!AG57+ACCIDENTES!AL57)/(HH!F57+HH!J57+HH!N57+HH!R57+HH!V57+HH!Z57+HH!AD57+HH!AH57))*1000000</f>
        <v>0</v>
      </c>
      <c r="Y57" s="59">
        <f>((ACCIDENTES!D57+ACCIDENTES!I57+ACCIDENTES!N57+ACCIDENTES!S57+ACCIDENTES!X57+ACCIDENTES!AC57+ACCIDENTES!AH57+ACCIDENTES!AM57)/(HH!F57+HH!J57+HH!N57+HH!R57+HH!V57+HH!Z57+HH!AD57+HH!AH57))*1000000</f>
        <v>0</v>
      </c>
      <c r="Z57" s="59">
        <f>((ACCIDENTES!F57+ACCIDENTES!K57+ACCIDENTES!P57+ACCIDENTES!U57+ACCIDENTES!Z57+ACCIDENTES!AE57+ACCIDENTES!AJ57+ACCIDENTES!AO57)/(HH!F57+HH!J57+HH!N57+HH!R57+HH!V57+HH!Z57+HH!AD57+HH!AH57))*1000000</f>
        <v>2.535664115788566</v>
      </c>
      <c r="AA57" s="59">
        <f>((ACCIDENTES!AQ57+ACCIDENTES!AL57+ACCIDENTES!AG57+ACCIDENTES!AB57+ACCIDENTES!W57+ACCIDENTES!R57+ACCIDENTES!M57+ACCIDENTES!H57+ACCIDENTES!C57)/(HH!AL57+HH!AH57+HH!AD57+HH!Z57+HH!V57+HH!R57+HH!N57+HH!J57+HH!F57))*1000000</f>
        <v>0</v>
      </c>
      <c r="AB57" s="59">
        <f>((ACCIDENTES!AR57+ACCIDENTES!AM57+ACCIDENTES!AH57+ACCIDENTES!AC57+ACCIDENTES!X57+ACCIDENTES!S57+ACCIDENTES!N57+ACCIDENTES!I57+ACCIDENTES!D57)/(HH!AL57+HH!AH57+HH!AD57+HH!Z57+HH!V57+HH!R57+HH!N57+HH!J57+HH!F57))*1000000</f>
        <v>0</v>
      </c>
      <c r="AC57" s="59">
        <f>((ACCIDENTES!F57+ACCIDENTES!K57+ACCIDENTES!P57+ACCIDENTES!U57+ACCIDENTES!Z57+ACCIDENTES!AE57+ACCIDENTES!AJ57+ACCIDENTES!AO57+ACCIDENTES!AT57)/(HH!F57+HH!J57+HH!N57+HH!R57+HH!V57+HH!Z57+HH!AD57+HH!AH57+HH!AL57))*1000000</f>
        <v>2.2596112564794351</v>
      </c>
      <c r="AD57" s="59">
        <f>((ACCIDENTES!AV57+ACCIDENTES!AQ57+ACCIDENTES!AL57+ACCIDENTES!AG57+ACCIDENTES!AB57+ACCIDENTES!W57+ACCIDENTES!R57+ACCIDENTES!M57+ACCIDENTES!H57+ACCIDENTES!C57)/(HH!F57+HH!J57+HH!N57+HH!R57+HH!V57+HH!Z57+HH!AD57+HH!AH57+HH!AL57+HH!AP57))*1000000</f>
        <v>0</v>
      </c>
      <c r="AE57" s="59">
        <f>((ACCIDENTES!D57+ACCIDENTES!I57+ACCIDENTES!N57+ACCIDENTES!S57+ACCIDENTES!X57+ACCIDENTES!AC57+ACCIDENTES!AH57+ACCIDENTES!AM57+ACCIDENTES!AR57+ACCIDENTES!AW57)/(HH!AP57+HH!AL57+HH!AH57+HH!AD57+HH!Z57+HH!V57+HH!R57+HH!N57+HH!J57+HH!F57))*1000000</f>
        <v>0</v>
      </c>
      <c r="AF57" s="59">
        <f>((ACCIDENTES!AY57+ACCIDENTES!AT57+ACCIDENTES!AO57+ACCIDENTES!AJ57+ACCIDENTES!AE57+ACCIDENTES!Z57+ACCIDENTES!U57+ACCIDENTES!P57+ACCIDENTES!K57+ACCIDENTES!F57)/(HH!F57+HH!J57+HH!N57+HH!R57+HH!V57+HH!Z57+HH!AD57+HH!AH57+HH!AL57+HH!AP57))*1000000</f>
        <v>2.0364276172167739</v>
      </c>
      <c r="AG57" s="59">
        <f>((ACCIDENTES!BA57+ACCIDENTES!AV57+ACCIDENTES!AQ57+ACCIDENTES!AL57+ACCIDENTES!AG57+ACCIDENTES!AB57+ACCIDENTES!W57+ACCIDENTES!R57+ACCIDENTES!M57+ACCIDENTES!H57+ACCIDENTES!C57)/(HH!AT57+HH!AP57+HH!AL57+HH!AH57+HH!AD57+HH!Z57+HH!V57+HH!R57+HH!N57+HH!J57+HH!F57))*1000000</f>
        <v>0</v>
      </c>
      <c r="AH57" s="59">
        <f>((ACCIDENTES!D57+ACCIDENTES!I57+ACCIDENTES!N57+ACCIDENTES!S57+ACCIDENTES!X57+ACCIDENTES!AC57+ACCIDENTES!AH57+ACCIDENTES!AM57+ACCIDENTES!AR57+ACCIDENTES!AW57+ACCIDENTES!BB57)/(HH!F57+HH!J57+HH!N57+HH!R57+HH!V57+HH!Z57+HH!AD57+HH!AH57+HH!AL57+HH!AP57+HH!AT57))*1000000</f>
        <v>0</v>
      </c>
      <c r="AI57" s="59">
        <f>((ACCIDENTES!BD57+ACCIDENTES!AY57+ACCIDENTES!AT57+ACCIDENTES!AO57+ACCIDENTES!AJ57+ACCIDENTES!AE57+ACCIDENTES!Z57+ACCIDENTES!U57+ACCIDENTES!P57+ACCIDENTES!K57+ACCIDENTES!F57)/(HH!F57+HH!J57+HH!N57+HH!R57+HH!V57+HH!Z57+HH!AD57+HH!AH57+HH!AL57+HH!AP57+HH!AT57))*1000000</f>
        <v>1.8544343233540042</v>
      </c>
      <c r="AJ57" s="59">
        <f>(ACCIDENTES!BK57/HH!BB57)*1000000</f>
        <v>0</v>
      </c>
      <c r="AK57" s="59">
        <f>(ACCIDENTES!BL57/HH!BB57)*1000000</f>
        <v>0</v>
      </c>
      <c r="AL57" s="59">
        <f>(ACCIDENTES!BN57/HH!BB57)*1000000</f>
        <v>1.7014962958425639</v>
      </c>
      <c r="AN57" s="41">
        <f t="shared" si="0"/>
        <v>0</v>
      </c>
      <c r="AO57" s="41">
        <f t="shared" si="1"/>
        <v>0</v>
      </c>
      <c r="AP57" s="42"/>
      <c r="AQ57" s="129"/>
      <c r="AR57" s="41"/>
      <c r="AS57" s="41"/>
      <c r="AT57" s="43"/>
      <c r="AV57" s="118"/>
      <c r="AW57" s="60"/>
      <c r="AX57" s="60"/>
      <c r="AY57" s="63"/>
      <c r="AZ57" s="118"/>
      <c r="BA57" s="60"/>
      <c r="BB57" s="60"/>
      <c r="BC57" s="63"/>
      <c r="BD57" s="118"/>
      <c r="BE57" s="60"/>
      <c r="BF57" s="60"/>
    </row>
    <row r="58" spans="1:65" outlineLevel="1" x14ac:dyDescent="0.3">
      <c r="A58" s="10" t="s">
        <v>72</v>
      </c>
      <c r="B58" s="5" t="s">
        <v>81</v>
      </c>
      <c r="C58" s="58" t="e">
        <f>(ACCIDENTES!C58/HH!F58)*1000000</f>
        <v>#DIV/0!</v>
      </c>
      <c r="D58" s="59" t="e">
        <f>(ACCIDENTES!D58/HH!F58)*1000000</f>
        <v>#DIV/0!</v>
      </c>
      <c r="E58" s="59" t="e">
        <f>(ACCIDENTES!F58/HH!F58)*1000000</f>
        <v>#DIV/0!</v>
      </c>
      <c r="F58" s="59" t="e">
        <f>((ACCIDENTES!C58+ACCIDENTES!H58)/(HH!F58+HH!J58))*1000000</f>
        <v>#DIV/0!</v>
      </c>
      <c r="G58" s="59" t="e">
        <f>((ACCIDENTES!D58+ACCIDENTES!I58)/(HH!F58+HH!J58))*1000000</f>
        <v>#DIV/0!</v>
      </c>
      <c r="H58" s="59" t="e">
        <f>((ACCIDENTES!F58+ACCIDENTES!K58)/(HH!F58+HH!J58))*1000000</f>
        <v>#DIV/0!</v>
      </c>
      <c r="I58" s="59" t="e">
        <f>((ACCIDENTES!C58+ACCIDENTES!H58+ACCIDENTES!M58)/(HH!F58+HH!J58+HH!N58))*1000000</f>
        <v>#DIV/0!</v>
      </c>
      <c r="J58" s="59" t="e">
        <f>((ACCIDENTES!D58+ACCIDENTES!I58+ACCIDENTES!N58)/(HH!F58+HH!J58+HH!N58))*1000000</f>
        <v>#DIV/0!</v>
      </c>
      <c r="K58" s="59" t="e">
        <f>((ACCIDENTES!F58+ACCIDENTES!K58+ACCIDENTES!P58)/(HH!J58+HH!N58+HH!F58))*1000000</f>
        <v>#DIV/0!</v>
      </c>
      <c r="L58" s="59" t="e">
        <f>((ACCIDENTES!C58+ACCIDENTES!H58+ACCIDENTES!M58+ACCIDENTES!R58)/(HH!F58+HH!J58+HH!N58+HH!R58))*1000000</f>
        <v>#DIV/0!</v>
      </c>
      <c r="M58" s="59" t="e">
        <f>((ACCIDENTES!D58+ACCIDENTES!I58+ACCIDENTES!N58+ACCIDENTES!S58)/(HH!F58+HH!J58+HH!N58+HH!R58))*1000000</f>
        <v>#DIV/0!</v>
      </c>
      <c r="N58" s="59" t="e">
        <f>((ACCIDENTES!F58+ACCIDENTES!K58+ACCIDENTES!P58+ACCIDENTES!U58)/(HH!F58+HH!J58+HH!N58+HH!R58))*1000000</f>
        <v>#DIV/0!</v>
      </c>
      <c r="O58" s="59" t="e">
        <f>((ACCIDENTES!C58+ACCIDENTES!H58+ACCIDENTES!M58+ACCIDENTES!R58+ACCIDENTES!W58)/(HH!F58+HH!J58+HH!N58+HH!R58+HH!V58))*1000000</f>
        <v>#DIV/0!</v>
      </c>
      <c r="P58" s="59" t="e">
        <f>(((ACCIDENTES!D58+ACCIDENTES!I58+ACCIDENTES!N58+ACCIDENTES!S58+ACCIDENTES!X58)/(HH!F58+HH!J58+HH!N58+HH!R58+HH!V58))*1000000)</f>
        <v>#DIV/0!</v>
      </c>
      <c r="Q58" s="59" t="e">
        <f>((ACCIDENTES!F58+ACCIDENTES!K58+ACCIDENTES!P58+ACCIDENTES!U58+ACCIDENTES!Z58)/(HH!F58+HH!J58+HH!N58+HH!R58+HH!V58))*1000000</f>
        <v>#DIV/0!</v>
      </c>
      <c r="R58" s="59" t="e">
        <f>(ACCIDENTES!C58+ACCIDENTES!H58+ACCIDENTES!M58+ACCIDENTES!R58+ACCIDENTES!W58+ACCIDENTES!#REF!)*1000000/(HH!F58+HH!J58+HH!N58+HH!R58+HH!V58+HH!Z58)</f>
        <v>#REF!</v>
      </c>
      <c r="S58" s="59" t="e">
        <f>(ACCIDENTES!D58+ACCIDENTES!I58+ACCIDENTES!N58+ACCIDENTES!S58+ACCIDENTES!X58+ACCIDENTES!#REF!)*1000000/(HH!F58+HH!J58+HH!N58+HH!R58+HH!V58+HH!Z58)</f>
        <v>#REF!</v>
      </c>
      <c r="T58" s="59" t="e">
        <f>(ACCIDENTES!F58+ACCIDENTES!K58+ACCIDENTES!P58+ACCIDENTES!U58+ACCIDENTES!Z58+ACCIDENTES!AE58)*1000000/(HH!F58+HH!J58+HH!N58+HH!R58+HH!V58+HH!Z58)</f>
        <v>#DIV/0!</v>
      </c>
      <c r="U58" s="59" t="e">
        <f>((ACCIDENTES!C58+ACCIDENTES!H58+ACCIDENTES!M58+ACCIDENTES!R58+ACCIDENTES!W58+ACCIDENTES!#REF!+ACCIDENTES!AG58)/(HH!F58+HH!J58+HH!N58+HH!R58+HH!V58+HH!Z58+HH!AD58))*1000000</f>
        <v>#REF!</v>
      </c>
      <c r="V58" s="59" t="e">
        <f>((ACCIDENTES!D58+ACCIDENTES!I58+ACCIDENTES!N58+ACCIDENTES!S58+ACCIDENTES!X58+ACCIDENTES!#REF!+ACCIDENTES!AH58)/(HH!F58+HH!J58+HH!N58+HH!R58+HH!V58+HH!Z58+HH!AD58))*1000000</f>
        <v>#REF!</v>
      </c>
      <c r="W58" s="59" t="e">
        <f>((ACCIDENTES!F58+ACCIDENTES!K58+ACCIDENTES!P58+ACCIDENTES!U58+ACCIDENTES!Z58+ACCIDENTES!AE58+ACCIDENTES!AJ58)/(HH!F58+HH!J58+HH!N58+HH!R58+HH!V58+HH!Z58+HH!AD58))*1000000</f>
        <v>#DIV/0!</v>
      </c>
      <c r="X58" s="59" t="e">
        <f>((ACCIDENTES!C58+ACCIDENTES!H58+ACCIDENTES!M58+ACCIDENTES!R58+ACCIDENTES!W58+ACCIDENTES!AB58+ACCIDENTES!AG58+ACCIDENTES!AL58)/(HH!F58+HH!J58+HH!N58+HH!R58+HH!V58+HH!Z58+HH!AD58+HH!AH58))*1000000</f>
        <v>#DIV/0!</v>
      </c>
      <c r="Y58" s="59" t="e">
        <f>((ACCIDENTES!D58+ACCIDENTES!I58+ACCIDENTES!N58+ACCIDENTES!S58+ACCIDENTES!X58+ACCIDENTES!AC58+ACCIDENTES!AH58+ACCIDENTES!AM58)/(HH!F58+HH!J58+HH!N58+HH!R58+HH!V58+HH!Z58+HH!AD58+HH!AH58))*1000000</f>
        <v>#DIV/0!</v>
      </c>
      <c r="Z58" s="59" t="e">
        <f>((ACCIDENTES!F58+ACCIDENTES!K58+ACCIDENTES!P58+ACCIDENTES!U58+ACCIDENTES!Z58+ACCIDENTES!AE58+ACCIDENTES!AJ58+ACCIDENTES!AO58)/(HH!F58+HH!J58+HH!N58+HH!R58+HH!V58+HH!Z58+HH!AD58+HH!AH58))*1000000</f>
        <v>#DIV/0!</v>
      </c>
      <c r="AA58" s="59" t="e">
        <f>((ACCIDENTES!AQ58+ACCIDENTES!AL58+ACCIDENTES!AG58+ACCIDENTES!AB58+ACCIDENTES!W58+ACCIDENTES!R58+ACCIDENTES!M58+ACCIDENTES!H58+ACCIDENTES!C58)/(HH!AL58+HH!AH58+HH!AD58+HH!Z58+HH!V58+HH!R58+HH!N58+HH!J58+HH!F58))*1000000</f>
        <v>#DIV/0!</v>
      </c>
      <c r="AB58" s="59" t="e">
        <f>((ACCIDENTES!AR58+ACCIDENTES!AM58+ACCIDENTES!AH58+ACCIDENTES!AC58+ACCIDENTES!X58+ACCIDENTES!S58+ACCIDENTES!N58+ACCIDENTES!I58+ACCIDENTES!D58)/(HH!AL58+HH!AH58+HH!AD58+HH!Z58+HH!V58+HH!R58+HH!N58+HH!J58+HH!F58))*1000000</f>
        <v>#DIV/0!</v>
      </c>
      <c r="AC58" s="59" t="e">
        <f>((ACCIDENTES!F58+ACCIDENTES!K58+ACCIDENTES!P58+ACCIDENTES!U58+ACCIDENTES!Z58+ACCIDENTES!AE58+ACCIDENTES!AJ58+ACCIDENTES!AO58+ACCIDENTES!AT58)/(HH!F58+HH!J58+HH!N58+HH!R58+HH!V58+HH!Z58+HH!AD58+HH!AH58+HH!AL58))*1000000</f>
        <v>#DIV/0!</v>
      </c>
      <c r="AD58" s="59" t="e">
        <f>((ACCIDENTES!AV58+ACCIDENTES!AQ58+ACCIDENTES!AL58+ACCIDENTES!AG58+ACCIDENTES!AB58+ACCIDENTES!W58+ACCIDENTES!R58+ACCIDENTES!M58+ACCIDENTES!H58+ACCIDENTES!C58)/(HH!F58+HH!J58+HH!N58+HH!R58+HH!V58+HH!Z58+HH!AD58+HH!AH58+HH!AL58+HH!AP58))*1000000</f>
        <v>#DIV/0!</v>
      </c>
      <c r="AE58" s="59" t="e">
        <f>((ACCIDENTES!D58+ACCIDENTES!I58+ACCIDENTES!N58+ACCIDENTES!S58+ACCIDENTES!X58+ACCIDENTES!AC58+ACCIDENTES!AH58+ACCIDENTES!AM58+ACCIDENTES!AR58+ACCIDENTES!AW58)/(HH!AP58+HH!AL58+HH!AH58+HH!AD58+HH!Z58+HH!V58+HH!R58+HH!N58+HH!J58+HH!F58))*1000000</f>
        <v>#DIV/0!</v>
      </c>
      <c r="AF58" s="59" t="e">
        <f>((ACCIDENTES!AY58+ACCIDENTES!AT58+ACCIDENTES!AO58+ACCIDENTES!AJ58+ACCIDENTES!AE58+ACCIDENTES!Z58+ACCIDENTES!U58+ACCIDENTES!P58+ACCIDENTES!K58+ACCIDENTES!F58)/(HH!F58+HH!J58+HH!N58+HH!R58+HH!V58+HH!Z58+HH!AD58+HH!AH58+HH!AL58+HH!AP58))*1000000</f>
        <v>#DIV/0!</v>
      </c>
      <c r="AG58" s="59" t="e">
        <f>((ACCIDENTES!BA58+ACCIDENTES!AV58+ACCIDENTES!AQ58+ACCIDENTES!AL58+ACCIDENTES!AG58+ACCIDENTES!AB58+ACCIDENTES!W58+ACCIDENTES!R58+ACCIDENTES!M58+ACCIDENTES!H58+ACCIDENTES!C58)/(HH!AT58+HH!AP58+HH!AL58+HH!AH58+HH!AD58+HH!Z58+HH!V58+HH!R58+HH!N58+HH!J58+HH!F58))*1000000</f>
        <v>#DIV/0!</v>
      </c>
      <c r="AH58" s="59" t="e">
        <f>((ACCIDENTES!D58+ACCIDENTES!I58+ACCIDENTES!N58+ACCIDENTES!S58+ACCIDENTES!X58+ACCIDENTES!AC58+ACCIDENTES!AH58+ACCIDENTES!AM58+ACCIDENTES!AR58+ACCIDENTES!AW58+ACCIDENTES!BB58)/(HH!F58+HH!J58+HH!N58+HH!R58+HH!V58+HH!Z58+HH!AD58+HH!AH58+HH!AL58+HH!AP58+HH!AT58))*1000000</f>
        <v>#DIV/0!</v>
      </c>
      <c r="AI58" s="59" t="e">
        <f>((ACCIDENTES!BD58+ACCIDENTES!AY58+ACCIDENTES!AT58+ACCIDENTES!AO58+ACCIDENTES!AJ58+ACCIDENTES!AE58+ACCIDENTES!Z58+ACCIDENTES!U58+ACCIDENTES!P58+ACCIDENTES!K58+ACCIDENTES!F58)/(HH!F58+HH!J58+HH!N58+HH!R58+HH!V58+HH!Z58+HH!AD58+HH!AH58+HH!AL58+HH!AP58+HH!AT58))*1000000</f>
        <v>#DIV/0!</v>
      </c>
      <c r="AJ58" s="59" t="e">
        <f>(ACCIDENTES!BK58/HH!BB58)*1000000</f>
        <v>#DIV/0!</v>
      </c>
      <c r="AK58" s="59" t="e">
        <f>(ACCIDENTES!BL58/HH!BB58)*1000000</f>
        <v>#DIV/0!</v>
      </c>
      <c r="AL58" s="59" t="e">
        <f>(ACCIDENTES!BN58/HH!BB58)*1000000</f>
        <v>#DIV/0!</v>
      </c>
      <c r="AN58" s="41">
        <f t="shared" si="0"/>
        <v>0</v>
      </c>
      <c r="AO58" s="41">
        <f t="shared" si="1"/>
        <v>0</v>
      </c>
      <c r="AP58" s="42"/>
      <c r="AQ58" s="130"/>
      <c r="AR58" s="41"/>
      <c r="AS58" s="41"/>
      <c r="AT58" s="41"/>
      <c r="AV58" s="118"/>
      <c r="AW58" s="60"/>
      <c r="AX58" s="60"/>
      <c r="AY58" s="63"/>
      <c r="AZ58" s="118"/>
      <c r="BA58" s="60"/>
      <c r="BB58" s="60"/>
      <c r="BC58" s="63"/>
      <c r="BD58" s="118"/>
      <c r="BE58" s="60"/>
      <c r="BF58" s="60"/>
    </row>
    <row r="59" spans="1:65" s="19" customFormat="1" x14ac:dyDescent="0.3">
      <c r="A59" s="329" t="s">
        <v>82</v>
      </c>
      <c r="B59" s="330"/>
      <c r="C59" s="66">
        <f>(ACCIDENTES!C59/HH!F59)*1000000</f>
        <v>2.0304858086876418</v>
      </c>
      <c r="D59" s="67">
        <f>(ACCIDENTES!D59/HH!F59)*1000000</f>
        <v>16.243886469501135</v>
      </c>
      <c r="E59" s="67">
        <f>(ACCIDENTES!F59/HH!F59)*1000000</f>
        <v>20.304858086876415</v>
      </c>
      <c r="F59" s="67">
        <f>((ACCIDENTES!C59+ACCIDENTES!H59)/(HH!F59+HH!J59))*1000000</f>
        <v>2.0764352424217094</v>
      </c>
      <c r="G59" s="67">
        <f>((ACCIDENTES!D59+ACCIDENTES!I59)/(HH!F59+HH!J59))*1000000</f>
        <v>39.452269606012472</v>
      </c>
      <c r="H59" s="67">
        <f>((ACCIDENTES!F59+ACCIDENTES!K59)/(HH!F59+HH!J59))*1000000</f>
        <v>22.8407876666388</v>
      </c>
      <c r="I59" s="67">
        <f>((ACCIDENTES!C59+ACCIDENTES!H59+ACCIDENTES!M59)/(HH!F59+HH!J59+HH!N59))*1000000</f>
        <v>2.757962487642124</v>
      </c>
      <c r="J59" s="67">
        <f>((ACCIDENTES!D59+ACCIDENTES!I59+ACCIDENTES!N59)/(HH!F59+HH!J59+HH!N59))*1000000</f>
        <v>162.03029614897477</v>
      </c>
      <c r="K59" s="67">
        <f>((ACCIDENTES!F59+ACCIDENTES!K59+ACCIDENTES!P59)/(HH!J59+HH!N59+HH!F59))*1000000</f>
        <v>21.374209279226459</v>
      </c>
      <c r="L59" s="67">
        <f>((ACCIDENTES!C59+ACCIDENTES!H59+ACCIDENTES!M59+ACCIDENTES!R59)/(HH!F59+HH!J59+HH!N59+HH!R59))*1000000</f>
        <v>3.5632767879767311</v>
      </c>
      <c r="M59" s="67">
        <f>((ACCIDENTES!D59+ACCIDENTES!I59+ACCIDENTES!N59+ACCIDENTES!S59)/(HH!F59+HH!J59+HH!N59+HH!R59))*1000000</f>
        <v>131.84124115513904</v>
      </c>
      <c r="N59" s="67">
        <f>((ACCIDENTES!F59+ACCIDENTES!K59+ACCIDENTES!P59+ACCIDENTES!U59)/(HH!F59+HH!J59+HH!N59+HH!R59))*1000000</f>
        <v>23.92485843355805</v>
      </c>
      <c r="O59" s="67">
        <f>((ACCIDENTES!C59+ACCIDENTES!H59+ACCIDENTES!M59+ACCIDENTES!R59+ACCIDENTES!W59)/(HH!F59+HH!J59+HH!N59+HH!R59+HH!V59))*1000000</f>
        <v>3.2240414709098695</v>
      </c>
      <c r="P59" s="67">
        <f>(((ACCIDENTES!D59+ACCIDENTES!I59+ACCIDENTES!N59+ACCIDENTES!S59+ACCIDENTES!X59)/(HH!F59+HH!J59+HH!N59+HH!R59+HH!V59))*1000000)</f>
        <v>112.4384462979817</v>
      </c>
      <c r="Q59" s="67">
        <f>((ACCIDENTES!F59+ACCIDENTES!K59+ACCIDENTES!P59+ACCIDENTES!U59+ACCIDENTES!Z59)/(HH!F59+HH!J59+HH!N59+HH!R59+HH!V59))*1000000</f>
        <v>24.583316215687756</v>
      </c>
      <c r="R59" s="67">
        <f>(ACCIDENTES!C59+ACCIDENTES!H59+ACCIDENTES!M59+ACCIDENTES!R59+ACCIDENTES!W59+ACCIDENTES!AB59)*1000000/(HH!F59+HH!J59+HH!N59+HH!R59+HH!V59+HH!Z59)</f>
        <v>3.3515796045508059</v>
      </c>
      <c r="S59" s="67">
        <f>(ACCIDENTES!D59+ACCIDENTES!I59+ACCIDENTES!N59+ACCIDENTES!S59+ACCIDENTES!X59+ACCIDENTES!AC59)*1000000/(HH!F59+HH!J59+HH!N59+HH!R59+HH!V59+HH!Z59)</f>
        <v>121.66233964519427</v>
      </c>
      <c r="T59" s="67">
        <f>(ACCIDENTES!F59+ACCIDENTES!K59+ACCIDENTES!P59+ACCIDENTES!U59+ACCIDENTES!Z59+ACCIDENTES!AE59)*1000000/(HH!F59+HH!J59+HH!N59+HH!R59+HH!V59+HH!Z59)</f>
        <v>25.136847034131044</v>
      </c>
      <c r="U59" s="67">
        <f>((ACCIDENTES!C59+ACCIDENTES!H59+ACCIDENTES!M59+ACCIDENTES!R59+ACCIDENTES!W59+ACCIDENTES!AB59+ACCIDENTES!AG59)/(HH!F59+HH!J59+HH!N59+HH!R59+HH!V59+HH!Z59+HH!AD59))*1000000</f>
        <v>4.0140822300404357</v>
      </c>
      <c r="V59" s="67">
        <f>((ACCIDENTES!D59+ACCIDENTES!I59+ACCIDENTES!N59+ACCIDENTES!S59+ACCIDENTES!X59+ACCIDENTES!AC59+ACCIDENTES!AH59)/(HH!F59+HH!J59+HH!N59+HH!R59+HH!V59+HH!Z59+HH!AD59))*1000000</f>
        <v>161.42344967948327</v>
      </c>
      <c r="W59" s="67">
        <f>((ACCIDENTES!F59+ACCIDENTES!K59+ACCIDENTES!P59+ACCIDENTES!U59+ACCIDENTES!Z59+ACCIDENTES!AE59+ACCIDENTES!AJ59)/(HH!F59+HH!J59+HH!N59+HH!R59+HH!V59+HH!Z59+HH!AD59))*1000000</f>
        <v>25.804814335974232</v>
      </c>
      <c r="X59" s="213">
        <f>((ACCIDENTES!C59+ACCIDENTES!H59+ACCIDENTES!M59+ACCIDENTES!R59+ACCIDENTES!W59+ACCIDENTES!AB59+ACCIDENTES!AG59+ACCIDENTES!AL59)/(HH!F59+HH!J59+HH!N59+HH!R59+HH!V59+HH!Z59+HH!AD59+HH!AH59))*1000000</f>
        <v>3.7584044218206287</v>
      </c>
      <c r="Y59" s="213">
        <f>((ACCIDENTES!D59+ACCIDENTES!I59+ACCIDENTES!N59+ACCIDENTES!S59+ACCIDENTES!X59+ACCIDENTES!AC59+ACCIDENTES!AH59+ACCIDENTES!AM59)/(HH!F59+HH!J59+HH!N59+HH!R59+HH!V59+HH!Z59+HH!AD59+HH!AH59))*1000000</f>
        <v>144.82385038748822</v>
      </c>
      <c r="Z59" s="213">
        <f>((ACCIDENTES!F59+ACCIDENTES!K59+ACCIDENTES!P59+ACCIDENTES!U59+ACCIDENTES!Z59+ACCIDENTES!AE59+ACCIDENTES!AJ59+ACCIDENTES!AO59)/(HH!F59+HH!J59+HH!N59+HH!R59+HH!V59+HH!Z59+HH!AD59+HH!AH59))*1000000</f>
        <v>26.058270657956356</v>
      </c>
      <c r="AA59" s="67">
        <f>((ACCIDENTES!AQ59+ACCIDENTES!AL59+ACCIDENTES!AG59+ACCIDENTES!AB59+ACCIDENTES!W59+ACCIDENTES!R59+ACCIDENTES!M59+ACCIDENTES!H59+ACCIDENTES!C59)/(HH!AL59+HH!AH59+HH!AD59+HH!Z59+HH!V59+HH!R59+HH!N59+HH!J59+HH!F59))*1000000</f>
        <v>3.9952306238967759</v>
      </c>
      <c r="AB59" s="67">
        <f>((ACCIDENTES!AR59+ACCIDENTES!AM59+ACCIDENTES!AH59+ACCIDENTES!AC59+ACCIDENTES!X59+ACCIDENTES!S59+ACCIDENTES!N59+ACCIDENTES!I59+ACCIDENTES!D59)/(HH!AL59+HH!AH59+HH!AD59+HH!Z59+HH!V59+HH!R59+HH!N59+HH!J59+HH!F59))*1000000</f>
        <v>135.83784121249039</v>
      </c>
      <c r="AC59" s="67">
        <f>((ACCIDENTES!F59+ACCIDENTES!K59+ACCIDENTES!P59+ACCIDENTES!U59+ACCIDENTES!Z59+ACCIDENTES!AE59+ACCIDENTES!AJ59+ACCIDENTES!AO59+ACCIDENTES!AT59)/(HH!F59+HH!J59+HH!N59+HH!R59+HH!V59+HH!Z59+HH!AD59+HH!AH59+HH!AL59))*1000000</f>
        <v>26.634870825978503</v>
      </c>
      <c r="AD59" s="67">
        <f>((ACCIDENTES!AV59+ACCIDENTES!AQ59+ACCIDENTES!AL59+ACCIDENTES!AG59+ACCIDENTES!AB59+ACCIDENTES!W59+ACCIDENTES!R59+ACCIDENTES!M59+ACCIDENTES!H59+ACCIDENTES!C59)/(HH!F59+HH!J59+HH!N59+HH!R59+HH!V59+HH!Z59+HH!AD59+HH!AH59+HH!AL59+HH!AP59))*1000000</f>
        <v>3.5906762847883233</v>
      </c>
      <c r="AE59" s="67">
        <f>((ACCIDENTES!D59+ACCIDENTES!I59+ACCIDENTES!N59+ACCIDENTES!S59+ACCIDENTES!X59+ACCIDENTES!AC59+ACCIDENTES!AH59+ACCIDENTES!AM59+ACCIDENTES!AR59+ACCIDENTES!AW59)/(HH!AP59+HH!AL59+HH!AH59+HH!AD59+HH!Z59+HH!V59+HH!R59+HH!N59+HH!J59+HH!F59))*1000000</f>
        <v>122.08299368280304</v>
      </c>
      <c r="AF59" s="67">
        <f>((ACCIDENTES!AY59+ACCIDENTES!AT59+ACCIDENTES!AO59+ACCIDENTES!AJ59+ACCIDENTES!AE59+ACCIDENTES!Z59+ACCIDENTES!U59+ACCIDENTES!P59+ACCIDENTES!K59+ACCIDENTES!F59)/(HH!F59+HH!J59+HH!N59+HH!R59+HH!V59+HH!Z59+HH!AD59+HH!AH59+HH!AL59+HH!AP59))*1000000</f>
        <v>26.132144072626133</v>
      </c>
      <c r="AG59" s="67">
        <f>((ACCIDENTES!BA59+ACCIDENTES!AV59+ACCIDENTES!AQ59+ACCIDENTES!AL59+ACCIDENTES!AG59+ACCIDENTES!AB59+ACCIDENTES!W59+ACCIDENTES!R59+ACCIDENTES!M59+ACCIDENTES!H59+ACCIDENTES!C59)/(HH!AT59+HH!AP59+HH!AL59+HH!AH59+HH!AD59+HH!Z59+HH!V59+HH!R59+HH!N59+HH!J59+HH!F59))*1000000</f>
        <v>3.8087905986211865</v>
      </c>
      <c r="AH59" s="67">
        <f>((ACCIDENTES!D59+ACCIDENTES!I59+ACCIDENTES!N59+ACCIDENTES!S59+ACCIDENTES!X59+ACCIDENTES!AC59+ACCIDENTES!AH59+ACCIDENTES!AM59+ACCIDENTES!AR59+ACCIDENTES!AW59+ACCIDENTES!BB59)/(HH!F59+HH!J59+HH!N59+HH!R59+HH!V59+HH!Z59+HH!AD59+HH!AH59+HH!AL59+HH!AP59+HH!AT59))*1000000</f>
        <v>114.98920188218247</v>
      </c>
      <c r="AI59" s="67">
        <f>((ACCIDENTES!BD59+ACCIDENTES!AY59+ACCIDENTES!AT59+ACCIDENTES!AO59+ACCIDENTES!AJ59+ACCIDENTES!AE59+ACCIDENTES!Z59+ACCIDENTES!U59+ACCIDENTES!P59+ACCIDENTES!K59+ACCIDENTES!F59)/(HH!F59+HH!J59+HH!N59+HH!R59+HH!V59+HH!Z59+HH!AD59+HH!AH59+HH!AL59+HH!AP59+HH!AT59))*1000000</f>
        <v>26.298792228574857</v>
      </c>
      <c r="AJ59" s="67">
        <f>(ACCIDENTES!BK59/HH!BB59)*1000000</f>
        <v>3.6599215674489081</v>
      </c>
      <c r="AK59" s="67">
        <f>(ACCIDENTES!BL59/HH!BB59)*1000000</f>
        <v>106.13772545601834</v>
      </c>
      <c r="AL59" s="67">
        <f>(ACCIDENTES!BN59/HH!BB59)*1000000</f>
        <v>25.952171114637714</v>
      </c>
      <c r="AM59" s="36"/>
      <c r="AN59" s="66">
        <f t="shared" si="0"/>
        <v>1.8287867648263447</v>
      </c>
      <c r="AO59" s="66">
        <f t="shared" si="1"/>
        <v>76.216381745216438</v>
      </c>
      <c r="AP59" s="74">
        <f>6.9*5</f>
        <v>34.5</v>
      </c>
      <c r="AQ59" s="131"/>
      <c r="AR59" s="66">
        <v>3.0240387959273667</v>
      </c>
      <c r="AS59" s="66">
        <v>223.95675553367971</v>
      </c>
      <c r="AT59" s="66">
        <v>8.9</v>
      </c>
      <c r="AU59" s="36"/>
      <c r="AV59" s="68">
        <v>1.5917218138303373</v>
      </c>
      <c r="AW59" s="68">
        <v>1.8287867648263447</v>
      </c>
      <c r="AX59" s="68">
        <v>2.4045159315309346</v>
      </c>
      <c r="AY59" s="63"/>
      <c r="AZ59" s="68">
        <v>64.346200984630642</v>
      </c>
      <c r="BA59" s="68">
        <v>76.216381745216438</v>
      </c>
      <c r="BB59" s="68">
        <v>88.086562505802277</v>
      </c>
      <c r="BC59" s="63"/>
      <c r="BD59" s="68">
        <v>6.4481666670914084</v>
      </c>
      <c r="BE59" s="68">
        <v>6.8511770837846209</v>
      </c>
      <c r="BF59" s="68">
        <v>7.2541875004778342</v>
      </c>
      <c r="BG59" s="36"/>
      <c r="BH59" s="36"/>
      <c r="BI59" s="36"/>
      <c r="BJ59" s="36"/>
      <c r="BK59" s="36"/>
      <c r="BL59" s="36"/>
      <c r="BM59" s="36"/>
    </row>
    <row r="60" spans="1:65" s="30" customFormat="1" x14ac:dyDescent="0.3">
      <c r="A60" s="335" t="s">
        <v>83</v>
      </c>
      <c r="B60" s="336"/>
      <c r="C60" s="70">
        <f>(ACCIDENTES!C60/HH!F60)*1000000</f>
        <v>2.1880680999728321</v>
      </c>
      <c r="D60" s="71">
        <f>(ACCIDENTES!D60/HH!F60)*1000000</f>
        <v>209.50752057239868</v>
      </c>
      <c r="E60" s="71">
        <f>(ACCIDENTES!F60/HH!F60)*1000000</f>
        <v>8.7522723998913285</v>
      </c>
      <c r="F60" s="71">
        <f>((ACCIDENTES!C60+ACCIDENTES!H60)/(HH!F60+HH!J60))*1000000</f>
        <v>2.4824629713340647</v>
      </c>
      <c r="G60" s="71">
        <f>((ACCIDENTES!D60+ACCIDENTES!I60)/(HH!F60+HH!J60))*1000000</f>
        <v>126.32978231900016</v>
      </c>
      <c r="H60" s="71">
        <f>((ACCIDENTES!F60+ACCIDENTES!K60)/(HH!F60+HH!J60))*1000000</f>
        <v>9.9298518853362587</v>
      </c>
      <c r="I60" s="71">
        <f>((ACCIDENTES!C60+ACCIDENTES!H60+ACCIDENTES!M60)/(HH!F60+HH!J60+HH!N60))*1000000</f>
        <v>2.381354677241883</v>
      </c>
      <c r="J60" s="71">
        <f>((ACCIDENTES!D60+ACCIDENTES!I60+ACCIDENTES!N60)/(HH!F60+HH!J60+HH!N60))*1000000</f>
        <v>122.54817531344767</v>
      </c>
      <c r="K60" s="71">
        <f>((ACCIDENTES!F60+ACCIDENTES!K60+ACCIDENTES!P60)/(HH!J60+HH!N60+HH!F60))*1000000</f>
        <v>9.7085998379861387</v>
      </c>
      <c r="L60" s="71">
        <f>((ACCIDENTES!C60+ACCIDENTES!H60+ACCIDENTES!M60+ACCIDENTES!R60)/(HH!F60+HH!J60+HH!N60+HH!R60))*1000000</f>
        <v>2.4234663818920041</v>
      </c>
      <c r="M60" s="71">
        <f>((ACCIDENTES!D60+ACCIDENTES!I60+ACCIDENTES!N60+ACCIDENTES!S60)/(HH!F60+HH!J60+HH!N60+HH!R60))*1000000</f>
        <v>111.88336463068084</v>
      </c>
      <c r="N60" s="71">
        <f>((ACCIDENTES!F60+ACCIDENTES!K60+ACCIDENTES!P60+ACCIDENTES!U60)/(HH!F60+HH!J60+HH!N60+HH!R60))*1000000</f>
        <v>10.636324676081573</v>
      </c>
      <c r="O60" s="71">
        <f>((ACCIDENTES!C60+ACCIDENTES!H60+ACCIDENTES!M60+ACCIDENTES!R60+ACCIDENTES!W60)/(HH!F60+HH!J60+HH!N60+HH!R60+HH!V60))*1000000</f>
        <v>2.339941669317164</v>
      </c>
      <c r="P60" s="71">
        <f>(((ACCIDENTES!D60+ACCIDENTES!I60+ACCIDENTES!N60+ACCIDENTES!S60+ACCIDENTES!X60)/(HH!F60+HH!J60+HH!N60+HH!R60+HH!V60))*1000000)</f>
        <v>92.108612983121077</v>
      </c>
      <c r="Q60" s="71">
        <f>((ACCIDENTES!F60+ACCIDENTES!K60+ACCIDENTES!P60+ACCIDENTES!U60+ACCIDENTES!Z60)/(HH!F60+HH!J60+HH!N60+HH!R60+HH!V60))*1000000</f>
        <v>10.423376526958275</v>
      </c>
      <c r="R60" s="71">
        <f>(ACCIDENTES!C60+ACCIDENTES!H60+ACCIDENTES!M60+ACCIDENTES!R60+ACCIDENTES!W60+ACCIDENTES!AB60)*1000000/(HH!F60+HH!J60+HH!N60+HH!R60+HH!V60+HH!Z60)</f>
        <v>2.3771836002216742</v>
      </c>
      <c r="S60" s="71">
        <f>(ACCIDENTES!D60+ACCIDENTES!I60+ACCIDENTES!N60+ACCIDENTES!S60+ACCIDENTES!X60+ACCIDENTES!AC60)*1000000/(HH!F60+HH!J60+HH!N60+HH!R60+HH!V60+HH!Z60)</f>
        <v>99.401492024084092</v>
      </c>
      <c r="T60" s="71">
        <f>(ACCIDENTES!F60+ACCIDENTES!K60+ACCIDENTES!P60+ACCIDENTES!U60+ACCIDENTES!Z60+ACCIDENTES!AE60)*1000000/(HH!F60+HH!J60+HH!N60+HH!R60+HH!V60+HH!Z60)</f>
        <v>10.389172771339169</v>
      </c>
      <c r="U60" s="71">
        <f>((ACCIDENTES!C60+ACCIDENTES!H60+ACCIDENTES!M60+ACCIDENTES!R60+ACCIDENTES!W60+ACCIDENTES!AB60+ACCIDENTES!AG60)/(HH!F60+HH!J60+HH!N60+HH!R60+HH!V60+HH!Z60+HH!AD60))*1000000</f>
        <v>2.4691210234604952</v>
      </c>
      <c r="V60" s="71">
        <f>((ACCIDENTES!D60+ACCIDENTES!I60+ACCIDENTES!N60+ACCIDENTES!S60+ACCIDENTES!X60+ACCIDENTES!AC60+ACCIDENTES!AH60)/(HH!F60+HH!J60+HH!N60+HH!R60+HH!V60+HH!Z60+HH!AD60))*1000000</f>
        <v>99.587881279573324</v>
      </c>
      <c r="W60" s="71">
        <f>((ACCIDENTES!F60+ACCIDENTES!K60+ACCIDENTES!P60+ACCIDENTES!U60+ACCIDENTES!Z60+ACCIDENTES!AE60+ACCIDENTES!AJ60)/(HH!F60+HH!J60+HH!N60+HH!R60+HH!V60+HH!Z60+HH!AD60))*1000000</f>
        <v>10.624702585799708</v>
      </c>
      <c r="X60" s="71">
        <f>((ACCIDENTES!C60+ACCIDENTES!H60+ACCIDENTES!M60+ACCIDENTES!R60+ACCIDENTES!W60+ACCIDENTES!AB60+ACCIDENTES!AG60+ACCIDENTES!AL60)/(HH!F60+HH!J60+HH!N60+HH!R60+HH!V60+HH!Z60+HH!AD60+HH!AH60))*1000000</f>
        <v>2.5327736127313814</v>
      </c>
      <c r="Y60" s="71">
        <f>((ACCIDENTES!D60+ACCIDENTES!I60+ACCIDENTES!N60+ACCIDENTES!S60+ACCIDENTES!X60+ACCIDENTES!AC60+ACCIDENTES!AH60+ACCIDENTES!AM60)/(HH!F60+HH!J60+HH!N60+HH!R60+HH!V60+HH!Z60+HH!AD60+HH!AH60))*1000000</f>
        <v>104.23337560086837</v>
      </c>
      <c r="Z60" s="71">
        <f>((ACCIDENTES!F60+ACCIDENTES!K60+ACCIDENTES!P60+ACCIDENTES!U60+ACCIDENTES!Z60+ACCIDENTES!AE60+ACCIDENTES!AJ60+ACCIDENTES!AO60)/(HH!F60+HH!J60+HH!N60+HH!R60+HH!V60+HH!Z60+HH!AD60+HH!AH60))*1000000</f>
        <v>11.040295234982946</v>
      </c>
      <c r="AA60" s="71">
        <f>((ACCIDENTES!AQ60+ACCIDENTES!AL60+ACCIDENTES!AG60+ACCIDENTES!AB60+ACCIDENTES!W60+ACCIDENTES!R60+ACCIDENTES!M60+ACCIDENTES!H60+ACCIDENTES!C60)/(HH!AL60+HH!AH60+HH!AD60+HH!Z60+HH!V60+HH!R60+HH!N60+HH!J60+HH!F60))*1000000</f>
        <v>2.9813248840904594</v>
      </c>
      <c r="AB60" s="71">
        <f>((ACCIDENTES!AR60+ACCIDENTES!AM60+ACCIDENTES!AH60+ACCIDENTES!AC60+ACCIDENTES!X60+ACCIDENTES!S60+ACCIDENTES!N60+ACCIDENTES!I60+ACCIDENTES!D60)/(HH!AL60+HH!AH60+HH!AD60+HH!Z60+HH!V60+HH!R60+HH!N60+HH!J60+HH!F60))*1000000</f>
        <v>101.82371142585876</v>
      </c>
      <c r="AC60" s="71">
        <f>((ACCIDENTES!F60+ACCIDENTES!K60+ACCIDENTES!P60+ACCIDENTES!U60+ACCIDENTES!Z60+ACCIDENTES!AE60+ACCIDENTES!AJ60+ACCIDENTES!AO60+ACCIDENTES!AT60)/(HH!F60+HH!J60+HH!N60+HH!R60+HH!V60+HH!Z60+HH!AD60+HH!AH60+HH!AL60))*1000000</f>
        <v>11.581300511274479</v>
      </c>
      <c r="AD60" s="71">
        <f>((ACCIDENTES!AV60+ACCIDENTES!AQ60+ACCIDENTES!AL60+ACCIDENTES!AG60+ACCIDENTES!AB60+ACCIDENTES!W60+ACCIDENTES!R60+ACCIDENTES!M60+ACCIDENTES!H60+ACCIDENTES!C60)/(HH!F60+HH!J60+HH!N60+HH!R60+HH!V60+HH!Z60+HH!AD60+HH!AH60+HH!AL60+HH!AP60))*1000000</f>
        <v>3.0216059988675927</v>
      </c>
      <c r="AE60" s="71">
        <f>((ACCIDENTES!D60+ACCIDENTES!I60+ACCIDENTES!N60+ACCIDENTES!S60+ACCIDENTES!X60+ACCIDENTES!AC60+ACCIDENTES!AH60+ACCIDENTES!AM60+ACCIDENTES!AR60+ACCIDENTES!AW60)/(HH!AP60+HH!AL60+HH!AH60+HH!AD60+HH!Z60+HH!V60+HH!R60+HH!N60+HH!J60+HH!F60))*1000000</f>
        <v>93.618572303897622</v>
      </c>
      <c r="AF60" s="71">
        <f>((ACCIDENTES!AY60+ACCIDENTES!AT60+ACCIDENTES!AO60+ACCIDENTES!AJ60+ACCIDENTES!AE60+ACCIDENTES!Z60+ACCIDENTES!U60+ACCIDENTES!P60+ACCIDENTES!K60+ACCIDENTES!F60)/(HH!F60+HH!J60+HH!N60+HH!R60+HH!V60+HH!Z60+HH!AD60+HH!AH60+HH!AL60+HH!AP60))*1000000</f>
        <v>11.523073724495056</v>
      </c>
      <c r="AG60" s="71">
        <f>((ACCIDENTES!BA60+ACCIDENTES!AV60+ACCIDENTES!AQ60+ACCIDENTES!AL60+ACCIDENTES!AG60+ACCIDENTES!AB60+ACCIDENTES!W60+ACCIDENTES!R60+ACCIDENTES!M60+ACCIDENTES!H60+ACCIDENTES!C60)/(HH!AT60+HH!AP60+HH!AL60+HH!AH60+HH!AD60+HH!Z60+HH!V60+HH!R60+HH!N60+HH!J60+HH!F60))*1000000</f>
        <v>3.0124571992594431</v>
      </c>
      <c r="AH60" s="71">
        <f>((ACCIDENTES!D60+ACCIDENTES!I60+ACCIDENTES!N60+ACCIDENTES!S60+ACCIDENTES!X60+ACCIDENTES!AC60+ACCIDENTES!AH60+ACCIDENTES!AM60+ACCIDENTES!AR60+ACCIDENTES!AW60+ACCIDENTES!BB60)/(HH!F60+HH!J60+HH!N60+HH!R60+HH!V60+HH!Z60+HH!AD60+HH!AH60+HH!AL60+HH!AP60+HH!AT60))*1000000</f>
        <v>87.036840310911288</v>
      </c>
      <c r="AI60" s="71">
        <f>((ACCIDENTES!BD60+ACCIDENTES!AY60+ACCIDENTES!AT60+ACCIDENTES!AO60+ACCIDENTES!AJ60+ACCIDENTES!AE60+ACCIDENTES!Z60+ACCIDENTES!U60+ACCIDENTES!P60+ACCIDENTES!K60+ACCIDENTES!F60)/(HH!F60+HH!J60+HH!N60+HH!R60+HH!V60+HH!Z60+HH!AD60+HH!AH60+HH!AL60+HH!AP60+HH!AT60))*1000000</f>
        <v>11.447337357185884</v>
      </c>
      <c r="AJ60" s="71">
        <f>(ACCIDENTES!BK60/HH!BB60)*1000000</f>
        <v>2.9228015919499453</v>
      </c>
      <c r="AK60" s="71">
        <f>(ACCIDENTES!BL60/HH!BB60)*1000000</f>
        <v>80.694739603835444</v>
      </c>
      <c r="AL60" s="71">
        <f>(ACCIDENTES!BN60/HH!BB60)*1000000</f>
        <v>11.140533604099065</v>
      </c>
      <c r="AM60" s="36"/>
      <c r="AN60" s="70">
        <f t="shared" si="0"/>
        <v>2.3095097630554746</v>
      </c>
      <c r="AO60" s="70">
        <f t="shared" si="1"/>
        <v>41.361613109164693</v>
      </c>
      <c r="AP60" s="73"/>
      <c r="AQ60" s="36"/>
      <c r="AR60" s="70">
        <v>3.4</v>
      </c>
      <c r="AS60" s="70">
        <v>137</v>
      </c>
      <c r="AT60" s="70">
        <v>14.1</v>
      </c>
      <c r="AU60" s="36"/>
      <c r="AV60" s="72">
        <v>1.8104482520490999</v>
      </c>
      <c r="AW60" s="72">
        <v>2.3095097630554746</v>
      </c>
      <c r="AX60" s="72">
        <v>2.8241264380412696</v>
      </c>
      <c r="AY60" s="63"/>
      <c r="AZ60" s="72">
        <v>32.671029411440706</v>
      </c>
      <c r="BA60" s="72">
        <v>41.361613109164693</v>
      </c>
      <c r="BB60" s="72">
        <v>50.917236759299755</v>
      </c>
      <c r="BC60" s="63"/>
      <c r="BD60" s="72">
        <v>32.671029411440706</v>
      </c>
      <c r="BE60" s="72">
        <v>41.361613109164693</v>
      </c>
      <c r="BF60" s="72">
        <v>50.917236759299755</v>
      </c>
      <c r="BG60" s="36"/>
      <c r="BH60" s="36"/>
      <c r="BI60" s="36"/>
      <c r="BJ60" s="36"/>
      <c r="BK60" s="36"/>
      <c r="BL60" s="36"/>
      <c r="BM60" s="36"/>
    </row>
    <row r="61" spans="1:65" outlineLevel="1" x14ac:dyDescent="0.3">
      <c r="A61" s="10" t="s">
        <v>84</v>
      </c>
      <c r="B61" s="11" t="s">
        <v>85</v>
      </c>
      <c r="C61" s="58">
        <f>(ACCIDENTES!C61/HH!F61)*1000000</f>
        <v>12.149757424018151</v>
      </c>
      <c r="D61" s="59">
        <f>(ACCIDENTES!D61/HH!F61)*1000000</f>
        <v>279.44442075241744</v>
      </c>
      <c r="E61" s="59">
        <f>(ACCIDENTES!F61/HH!F61)*1000000</f>
        <v>24.299514848036303</v>
      </c>
      <c r="F61" s="59">
        <f>((ACCIDENTES!C61+ACCIDENTES!H61)/(HH!F61+HH!J61))*1000000</f>
        <v>5.9327551863404242</v>
      </c>
      <c r="G61" s="59">
        <f>((ACCIDENTES!D61+ACCIDENTES!I61)/(HH!F61+HH!J61))*1000000</f>
        <v>136.45336928582975</v>
      </c>
      <c r="H61" s="59">
        <f>((ACCIDENTES!F61+ACCIDENTES!K61)/(HH!F61+HH!J61))*1000000</f>
        <v>17.798265559021274</v>
      </c>
      <c r="I61" s="59">
        <f>((ACCIDENTES!C61+ACCIDENTES!H61+ACCIDENTES!M61)/(HH!F61+HH!J61+HH!N61))*1000000</f>
        <v>3.7916750589074635</v>
      </c>
      <c r="J61" s="59">
        <f>((ACCIDENTES!D61+ACCIDENTES!I61+ACCIDENTES!N61)/(HH!F61+HH!J61+HH!N61))*1000000</f>
        <v>87.208526354871665</v>
      </c>
      <c r="K61" s="59">
        <f>((ACCIDENTES!F61+ACCIDENTES!K61+ACCIDENTES!P61)/(HH!J61+HH!N61+HH!F61))*1000000</f>
        <v>11.375025176722392</v>
      </c>
      <c r="L61" s="59">
        <f>((ACCIDENTES!C61+ACCIDENTES!H61+ACCIDENTES!M61+ACCIDENTES!R61)/(HH!F61+HH!J61+HH!N61+HH!R61))*1000000</f>
        <v>2.654792523052957</v>
      </c>
      <c r="M61" s="59">
        <f>((ACCIDENTES!D61+ACCIDENTES!I61+ACCIDENTES!N61+ACCIDENTES!S61)/(HH!F61+HH!J61+HH!N61+HH!R61))*1000000</f>
        <v>61.060228030218013</v>
      </c>
      <c r="N61" s="59">
        <f>((ACCIDENTES!F61+ACCIDENTES!K61+ACCIDENTES!P61+ACCIDENTES!U61)/(HH!F61+HH!J61+HH!N61+HH!R61))*1000000</f>
        <v>13.273962615264786</v>
      </c>
      <c r="O61" s="59">
        <f>((ACCIDENTES!C61+ACCIDENTES!H61+ACCIDENTES!M61+ACCIDENTES!R61+ACCIDENTES!W61)/(HH!F61+HH!J61+HH!N61+HH!R61+HH!V61))*1000000</f>
        <v>2.0873143200845998</v>
      </c>
      <c r="P61" s="59">
        <f>(((ACCIDENTES!D61+ACCIDENTES!I61+ACCIDENTES!N61+ACCIDENTES!S61+ACCIDENTES!X61)/(HH!F61+HH!J61+HH!N61+HH!R61+HH!V61))*1000000)</f>
        <v>48.008229361945787</v>
      </c>
      <c r="Q61" s="59">
        <f>((ACCIDENTES!F61+ACCIDENTES!K61+ACCIDENTES!P61+ACCIDENTES!U61+ACCIDENTES!Z61)/(HH!F61+HH!J61+HH!N61+HH!R61+HH!V61))*1000000</f>
        <v>12.523885920507597</v>
      </c>
      <c r="R61" s="59">
        <f>(ACCIDENTES!C61+ACCIDENTES!H61+ACCIDENTES!M61+ACCIDENTES!R61+ACCIDENTES!W61+ACCIDENTES!AB61)*1000000/(HH!F61+HH!J61+HH!N61+HH!R61+HH!V61+HH!Z61)</f>
        <v>1.7716532747690901</v>
      </c>
      <c r="S61" s="59">
        <f>(ACCIDENTES!D61+ACCIDENTES!I61+ACCIDENTES!N61+ACCIDENTES!S61+ACCIDENTES!X61+ACCIDENTES!AC61)*1000000/(HH!F61+HH!J61+HH!N61+HH!R61+HH!V61+HH!Z61)</f>
        <v>40.74802531968907</v>
      </c>
      <c r="T61" s="59">
        <f>(ACCIDENTES!F61+ACCIDENTES!K61+ACCIDENTES!P61+ACCIDENTES!U61+ACCIDENTES!Z61+ACCIDENTES!AE61)*1000000/(HH!F61+HH!J61+HH!N61+HH!R61+HH!V61+HH!Z61)</f>
        <v>10.629919648614541</v>
      </c>
      <c r="U61" s="59">
        <f>((ACCIDENTES!C61+ACCIDENTES!H61+ACCIDENTES!M61+ACCIDENTES!R61+ACCIDENTES!W61+ACCIDENTES!AB61+ACCIDENTES!AG61)/(HH!F61+HH!J61+HH!N61+HH!R61+HH!V61+HH!Z61+HH!AD61))*1000000</f>
        <v>1.5438638029289966</v>
      </c>
      <c r="V61" s="59">
        <f>((ACCIDENTES!D61+ACCIDENTES!I61+ACCIDENTES!N61+ACCIDENTES!S61+ACCIDENTES!X61+ACCIDENTES!AC61+ACCIDENTES!AH61)/(HH!F61+HH!J61+HH!N61+HH!R61+HH!V61+HH!Z61+HH!AD61))*1000000</f>
        <v>35.508867467366926</v>
      </c>
      <c r="W61" s="59">
        <f>((ACCIDENTES!F61+ACCIDENTES!K61+ACCIDENTES!P61+ACCIDENTES!U61+ACCIDENTES!Z61+ACCIDENTES!AE61+ACCIDENTES!AJ61)/(HH!F61+HH!J61+HH!N61+HH!R61+HH!V61+HH!Z61+HH!AD61))*1000000</f>
        <v>9.2631828175739805</v>
      </c>
      <c r="X61" s="59">
        <f>((ACCIDENTES!C61+ACCIDENTES!H61+ACCIDENTES!M61+ACCIDENTES!R61+ACCIDENTES!W61+ACCIDENTES!AB61+ACCIDENTES!AG61+ACCIDENTES!AL61)/(HH!F61+HH!J61+HH!N61+HH!R61+HH!V61+HH!Z61+HH!AD61+HH!AH61))*1000000</f>
        <v>1.3267200231889433</v>
      </c>
      <c r="Y61" s="59">
        <f>((ACCIDENTES!D61+ACCIDENTES!I61+ACCIDENTES!N61+ACCIDENTES!S61+ACCIDENTES!X61+ACCIDENTES!AC61+ACCIDENTES!AH61+ACCIDENTES!AM61)/(HH!F61+HH!J61+HH!N61+HH!R61+HH!V61+HH!Z61+HH!AD61+HH!AH61))*1000000</f>
        <v>30.514560533345694</v>
      </c>
      <c r="Z61" s="59">
        <f>((ACCIDENTES!F61+ACCIDENTES!K61+ACCIDENTES!P61+ACCIDENTES!U61+ACCIDENTES!Z61+ACCIDENTES!AE61+ACCIDENTES!AJ61+ACCIDENTES!AO61)/(HH!F61+HH!J61+HH!N61+HH!R61+HH!V61+HH!Z61+HH!AD61+HH!AH61))*1000000</f>
        <v>9.2870401623226027</v>
      </c>
      <c r="AA61" s="59">
        <f>((ACCIDENTES!AQ61+ACCIDENTES!AL61+ACCIDENTES!AG61+ACCIDENTES!AB61+ACCIDENTES!W61+ACCIDENTES!R61+ACCIDENTES!M61+ACCIDENTES!H61+ACCIDENTES!C61)/(HH!AL61+HH!AH61+HH!AD61+HH!Z61+HH!V61+HH!R61+HH!N61+HH!J61+HH!F61))*1000000</f>
        <v>1.1825663281054164</v>
      </c>
      <c r="AB61" s="59">
        <f>((ACCIDENTES!AR61+ACCIDENTES!AM61+ACCIDENTES!AH61+ACCIDENTES!AC61+ACCIDENTES!X61+ACCIDENTES!S61+ACCIDENTES!N61+ACCIDENTES!I61+ACCIDENTES!D61)/(HH!AL61+HH!AH61+HH!AD61+HH!Z61+HH!V61+HH!R61+HH!N61+HH!J61+HH!F61))*1000000</f>
        <v>27.199025546424579</v>
      </c>
      <c r="AC61" s="59">
        <f>((ACCIDENTES!F61+ACCIDENTES!K61+ACCIDENTES!P61+ACCIDENTES!U61+ACCIDENTES!Z61+ACCIDENTES!AE61+ACCIDENTES!AJ61+ACCIDENTES!AO61+ACCIDENTES!AT61)/(HH!F61+HH!J61+HH!N61+HH!R61+HH!V61+HH!Z61+HH!AD61+HH!AH61+HH!AL61))*1000000</f>
        <v>8.2779642967379168</v>
      </c>
      <c r="AD61" s="59">
        <f>((ACCIDENTES!AV61+ACCIDENTES!AQ61+ACCIDENTES!AL61+ACCIDENTES!AG61+ACCIDENTES!AB61+ACCIDENTES!W61+ACCIDENTES!R61+ACCIDENTES!M61+ACCIDENTES!H61+ACCIDENTES!C61)/(HH!F61+HH!J61+HH!N61+HH!R61+HH!V61+HH!Z61+HH!AD61+HH!AH61+HH!AL61+HH!AP61))*1000000</f>
        <v>2.1564573184371301</v>
      </c>
      <c r="AE61" s="59">
        <f>((ACCIDENTES!D61+ACCIDENTES!I61+ACCIDENTES!N61+ACCIDENTES!S61+ACCIDENTES!X61+ACCIDENTES!AC61+ACCIDENTES!AH61+ACCIDENTES!AM61+ACCIDENTES!AR61+ACCIDENTES!AW61)/(HH!AP61+HH!AL61+HH!AH61+HH!AD61+HH!Z61+HH!V61+HH!R61+HH!N61+HH!J61+HH!F61))*1000000</f>
        <v>30.19040245811982</v>
      </c>
      <c r="AF61" s="59">
        <f>((ACCIDENTES!AY61+ACCIDENTES!AT61+ACCIDENTES!AO61+ACCIDENTES!AJ61+ACCIDENTES!AE61+ACCIDENTES!Z61+ACCIDENTES!U61+ACCIDENTES!P61+ACCIDENTES!K61+ACCIDENTES!F61)/(HH!F61+HH!J61+HH!N61+HH!R61+HH!V61+HH!Z61+HH!AD61+HH!AH61+HH!AL61+HH!AP61))*1000000</f>
        <v>8.6258292737485203</v>
      </c>
      <c r="AG61" s="59">
        <f>((ACCIDENTES!BA61+ACCIDENTES!AV61+ACCIDENTES!AQ61+ACCIDENTES!AL61+ACCIDENTES!AG61+ACCIDENTES!AB61+ACCIDENTES!W61+ACCIDENTES!R61+ACCIDENTES!M61+ACCIDENTES!H61+ACCIDENTES!C61)/(HH!AT61+HH!AP61+HH!AL61+HH!AH61+HH!AD61+HH!Z61+HH!V61+HH!R61+HH!N61+HH!J61+HH!F61))*1000000</f>
        <v>2.1564573184371301</v>
      </c>
      <c r="AH61" s="59">
        <f>((ACCIDENTES!D61+ACCIDENTES!I61+ACCIDENTES!N61+ACCIDENTES!S61+ACCIDENTES!X61+ACCIDENTES!AC61+ACCIDENTES!AH61+ACCIDENTES!AM61+ACCIDENTES!AR61+ACCIDENTES!AW61+ACCIDENTES!BB61)/(HH!F61+HH!J61+HH!N61+HH!R61+HH!V61+HH!Z61+HH!AD61+HH!AH61+HH!AL61+HH!AP61+HH!AT61))*1000000</f>
        <v>30.19040245811982</v>
      </c>
      <c r="AI61" s="59">
        <f>((ACCIDENTES!BD61+ACCIDENTES!AY61+ACCIDENTES!AT61+ACCIDENTES!AO61+ACCIDENTES!AJ61+ACCIDENTES!AE61+ACCIDENTES!Z61+ACCIDENTES!U61+ACCIDENTES!P61+ACCIDENTES!K61+ACCIDENTES!F61)/(HH!F61+HH!J61+HH!N61+HH!R61+HH!V61+HH!Z61+HH!AD61+HH!AH61+HH!AL61+HH!AP61+HH!AT61))*1000000</f>
        <v>8.6258292737485203</v>
      </c>
      <c r="AJ61" s="59">
        <f>(ACCIDENTES!BK61/HH!BB61)*1000000</f>
        <v>2.1564573184371301</v>
      </c>
      <c r="AK61" s="59">
        <f>(ACCIDENTES!BL61/HH!BB61)*1000000</f>
        <v>30.19040245811982</v>
      </c>
      <c r="AL61" s="59">
        <f>(ACCIDENTES!BN61/HH!BB61)*1000000</f>
        <v>8.6258292737485203</v>
      </c>
      <c r="AN61" s="41">
        <f t="shared" si="0"/>
        <v>0</v>
      </c>
      <c r="AO61" s="41">
        <f t="shared" si="1"/>
        <v>0</v>
      </c>
      <c r="AP61" s="42"/>
      <c r="AR61" s="41">
        <v>4.1215881876161609</v>
      </c>
      <c r="AS61" s="41">
        <v>104.07010173730805</v>
      </c>
      <c r="AT61" s="41"/>
      <c r="AV61" s="118"/>
      <c r="AW61" s="60"/>
      <c r="AX61" s="60"/>
      <c r="AY61" s="63"/>
      <c r="AZ61" s="118"/>
      <c r="BA61" s="60"/>
      <c r="BB61" s="60"/>
      <c r="BC61" s="63"/>
      <c r="BD61" s="118"/>
      <c r="BE61" s="60"/>
      <c r="BF61" s="60"/>
    </row>
    <row r="62" spans="1:65" outlineLevel="1" x14ac:dyDescent="0.3">
      <c r="A62" s="10" t="s">
        <v>84</v>
      </c>
      <c r="B62" s="11" t="s">
        <v>86</v>
      </c>
      <c r="C62" s="58">
        <f>(ACCIDENTES!C62/HH!F62)*1000000</f>
        <v>0</v>
      </c>
      <c r="D62" s="59">
        <f>(ACCIDENTES!D62/HH!F62)*1000000</f>
        <v>0</v>
      </c>
      <c r="E62" s="59">
        <f>(ACCIDENTES!F62/HH!F62)*1000000</f>
        <v>15.502433882119494</v>
      </c>
      <c r="F62" s="59">
        <f>((ACCIDENTES!C62+ACCIDENTES!H62)/(HH!F62+HH!J62))*1000000</f>
        <v>0</v>
      </c>
      <c r="G62" s="59">
        <f>((ACCIDENTES!D62+ACCIDENTES!I62)/(HH!F62+HH!J62))*1000000</f>
        <v>0</v>
      </c>
      <c r="H62" s="59">
        <f>((ACCIDENTES!F62+ACCIDENTES!K62)/(HH!F62+HH!J62))*1000000</f>
        <v>15.138441043341357</v>
      </c>
      <c r="I62" s="59">
        <f>((ACCIDENTES!C62+ACCIDENTES!H62+ACCIDENTES!M62)/(HH!F62+HH!J62+HH!N62))*1000000</f>
        <v>0</v>
      </c>
      <c r="J62" s="59">
        <f>((ACCIDENTES!D62+ACCIDENTES!I62+ACCIDENTES!N62)/(HH!F62+HH!J62+HH!N62))*1000000</f>
        <v>0</v>
      </c>
      <c r="K62" s="59">
        <f>((ACCIDENTES!F62+ACCIDENTES!K62+ACCIDENTES!P62)/(HH!J62+HH!N62+HH!F62))*1000000</f>
        <v>19.661140247828673</v>
      </c>
      <c r="L62" s="59">
        <f>((ACCIDENTES!C62+ACCIDENTES!H62+ACCIDENTES!M62+ACCIDENTES!R62)/(HH!F62+HH!J62+HH!N62+HH!R62))*1000000</f>
        <v>0</v>
      </c>
      <c r="M62" s="59">
        <f>((ACCIDENTES!D62+ACCIDENTES!I62+ACCIDENTES!N62+ACCIDENTES!S62)/(HH!F62+HH!J62+HH!N62+HH!R62))*1000000</f>
        <v>0</v>
      </c>
      <c r="N62" s="59">
        <f>((ACCIDENTES!F62+ACCIDENTES!K62+ACCIDENTES!P62+ACCIDENTES!U62)/(HH!F62+HH!J62+HH!N62+HH!R62))*1000000</f>
        <v>14.151777817088272</v>
      </c>
      <c r="O62" s="59">
        <f>((ACCIDENTES!C62+ACCIDENTES!H62+ACCIDENTES!M62+ACCIDENTES!R62+ACCIDENTES!W62)/(HH!F62+HH!J62+HH!N62+HH!R62+HH!V62))*1000000</f>
        <v>0</v>
      </c>
      <c r="P62" s="59">
        <f>(((ACCIDENTES!D62+ACCIDENTES!I62+ACCIDENTES!N62+ACCIDENTES!S62+ACCIDENTES!X62)/(HH!F62+HH!J62+HH!N62+HH!R62+HH!V62))*1000000)</f>
        <v>0</v>
      </c>
      <c r="Q62" s="59">
        <f>((ACCIDENTES!F62+ACCIDENTES!K62+ACCIDENTES!P62+ACCIDENTES!U62+ACCIDENTES!Z62)/(HH!F62+HH!J62+HH!N62+HH!R62+HH!V62))*1000000</f>
        <v>11.062864728821529</v>
      </c>
      <c r="R62" s="59">
        <f>(ACCIDENTES!C62+ACCIDENTES!H62+ACCIDENTES!M62+ACCIDENTES!R62+ACCIDENTES!W62+ACCIDENTES!AB62)*1000000/(HH!F62+HH!J62+HH!N62+HH!R62+HH!V62+HH!Z62)</f>
        <v>0</v>
      </c>
      <c r="S62" s="59">
        <f>(ACCIDENTES!D62+ACCIDENTES!I62+ACCIDENTES!N62+ACCIDENTES!S62+ACCIDENTES!X62+ACCIDENTES!AC62)*1000000/(HH!F62+HH!J62+HH!N62+HH!R62+HH!V62+HH!Z62)</f>
        <v>0</v>
      </c>
      <c r="T62" s="59">
        <f>(ACCIDENTES!F62+ACCIDENTES!K62+ACCIDENTES!P62+ACCIDENTES!U62+ACCIDENTES!Z62+ACCIDENTES!AE62)*1000000/(HH!F62+HH!J62+HH!N62+HH!R62+HH!V62+HH!Z62)</f>
        <v>8.9989561210899538</v>
      </c>
      <c r="U62" s="59">
        <f>((ACCIDENTES!C62+ACCIDENTES!H62+ACCIDENTES!M62+ACCIDENTES!R62+ACCIDENTES!W62+ACCIDENTES!AB62+ACCIDENTES!AG62)/(HH!F62+HH!J62+HH!N62+HH!R62+HH!V62+HH!Z62+HH!AD62))*1000000</f>
        <v>1.9013828757655442</v>
      </c>
      <c r="V62" s="59">
        <f>((ACCIDENTES!D62+ACCIDENTES!I62+ACCIDENTES!N62+ACCIDENTES!S62+ACCIDENTES!X62+ACCIDENTES!AC62+ACCIDENTES!AH62)/(HH!F62+HH!J62+HH!N62+HH!R62+HH!V62+HH!Z62+HH!AD62))*1000000</f>
        <v>55.140103397200782</v>
      </c>
      <c r="W62" s="59">
        <f>((ACCIDENTES!F62+ACCIDENTES!K62+ACCIDENTES!P62+ACCIDENTES!U62+ACCIDENTES!Z62+ACCIDENTES!AE62+ACCIDENTES!AJ62)/(HH!F62+HH!J62+HH!N62+HH!R62+HH!V62+HH!Z62+HH!AD62))*1000000</f>
        <v>11.408297254593267</v>
      </c>
      <c r="X62" s="59">
        <f>((ACCIDENTES!C62+ACCIDENTES!H62+ACCIDENTES!M62+ACCIDENTES!R62+ACCIDENTES!W62+ACCIDENTES!AB62+ACCIDENTES!AG62+ACCIDENTES!AL62)/(HH!F62+HH!J62+HH!N62+HH!R62+HH!V62+HH!Z62+HH!AD62+HH!AH62))*1000000</f>
        <v>1.6673864218054126</v>
      </c>
      <c r="Y62" s="59">
        <f>((ACCIDENTES!D62+ACCIDENTES!I62+ACCIDENTES!N62+ACCIDENTES!S62+ACCIDENTES!X62+ACCIDENTES!AC62+ACCIDENTES!AH62+ACCIDENTES!AM62)/(HH!F62+HH!J62+HH!N62+HH!R62+HH!V62+HH!Z62+HH!AD62+HH!AH62))*1000000</f>
        <v>48.354206232356965</v>
      </c>
      <c r="Z62" s="59">
        <f>((ACCIDENTES!F62+ACCIDENTES!K62+ACCIDENTES!P62+ACCIDENTES!U62+ACCIDENTES!Z62+ACCIDENTES!AE62+ACCIDENTES!AJ62+ACCIDENTES!AO62)/(HH!F62+HH!J62+HH!N62+HH!R62+HH!V62+HH!Z62+HH!AD62+HH!AH62))*1000000</f>
        <v>13.339091374443301</v>
      </c>
      <c r="AA62" s="59">
        <f>((ACCIDENTES!AQ62+ACCIDENTES!AL62+ACCIDENTES!AG62+ACCIDENTES!AB62+ACCIDENTES!W62+ACCIDENTES!R62+ACCIDENTES!M62+ACCIDENTES!H62+ACCIDENTES!C62)/(HH!AL62+HH!AH62+HH!AD62+HH!Z62+HH!V62+HH!R62+HH!N62+HH!J62+HH!F62))*1000000</f>
        <v>1.4711983499039307</v>
      </c>
      <c r="AB62" s="59">
        <f>((ACCIDENTES!AR62+ACCIDENTES!AM62+ACCIDENTES!AH62+ACCIDENTES!AC62+ACCIDENTES!X62+ACCIDENTES!S62+ACCIDENTES!N62+ACCIDENTES!I62+ACCIDENTES!D62)/(HH!AL62+HH!AH62+HH!AD62+HH!Z62+HH!V62+HH!R62+HH!N62+HH!J62+HH!F62))*1000000</f>
        <v>42.664752147213996</v>
      </c>
      <c r="AC62" s="59">
        <f>((ACCIDENTES!F62+ACCIDENTES!K62+ACCIDENTES!P62+ACCIDENTES!U62+ACCIDENTES!Z62+ACCIDENTES!AE62+ACCIDENTES!AJ62+ACCIDENTES!AO62+ACCIDENTES!AT62)/(HH!F62+HH!J62+HH!N62+HH!R62+HH!V62+HH!Z62+HH!AD62+HH!AH62+HH!AL62))*1000000</f>
        <v>13.240785149135377</v>
      </c>
      <c r="AD62" s="59">
        <f>((ACCIDENTES!AV62+ACCIDENTES!AQ62+ACCIDENTES!AL62+ACCIDENTES!AG62+ACCIDENTES!AB62+ACCIDENTES!W62+ACCIDENTES!R62+ACCIDENTES!M62+ACCIDENTES!H62+ACCIDENTES!C62)/(HH!F62+HH!J62+HH!N62+HH!R62+HH!V62+HH!Z62+HH!AD62+HH!AH62+HH!AL62+HH!AP62))*1000000</f>
        <v>1.3386181979789544</v>
      </c>
      <c r="AE62" s="59">
        <f>((ACCIDENTES!D62+ACCIDENTES!I62+ACCIDENTES!N62+ACCIDENTES!S62+ACCIDENTES!X62+ACCIDENTES!AC62+ACCIDENTES!AH62+ACCIDENTES!AM62+ACCIDENTES!AR62+ACCIDENTES!AW62)/(HH!AP62+HH!AL62+HH!AH62+HH!AD62+HH!Z62+HH!V62+HH!R62+HH!N62+HH!J62+HH!F62))*1000000</f>
        <v>38.819927741389677</v>
      </c>
      <c r="AF62" s="59">
        <f>((ACCIDENTES!AY62+ACCIDENTES!AT62+ACCIDENTES!AO62+ACCIDENTES!AJ62+ACCIDENTES!AE62+ACCIDENTES!Z62+ACCIDENTES!U62+ACCIDENTES!P62+ACCIDENTES!K62+ACCIDENTES!F62)/(HH!F62+HH!J62+HH!N62+HH!R62+HH!V62+HH!Z62+HH!AD62+HH!AH62+HH!AL62+HH!AP62))*1000000</f>
        <v>13.386181979789542</v>
      </c>
      <c r="AG62" s="59">
        <f>((ACCIDENTES!BA62+ACCIDENTES!AV62+ACCIDENTES!AQ62+ACCIDENTES!AL62+ACCIDENTES!AG62+ACCIDENTES!AB62+ACCIDENTES!W62+ACCIDENTES!R62+ACCIDENTES!M62+ACCIDENTES!H62+ACCIDENTES!C62)/(HH!AT62+HH!AP62+HH!AL62+HH!AH62+HH!AD62+HH!Z62+HH!V62+HH!R62+HH!N62+HH!J62+HH!F62))*1000000</f>
        <v>1.2286672646180687</v>
      </c>
      <c r="AH62" s="59">
        <f>((ACCIDENTES!D62+ACCIDENTES!I62+ACCIDENTES!N62+ACCIDENTES!S62+ACCIDENTES!X62+ACCIDENTES!AC62+ACCIDENTES!AH62+ACCIDENTES!AM62+ACCIDENTES!AR62+ACCIDENTES!AW62+ACCIDENTES!BB62)/(HH!F62+HH!J62+HH!N62+HH!R62+HH!V62+HH!Z62+HH!AD62+HH!AH62+HH!AL62+HH!AP62+HH!AT62))*1000000</f>
        <v>35.63135067392399</v>
      </c>
      <c r="AI62" s="59">
        <f>((ACCIDENTES!BD62+ACCIDENTES!AY62+ACCIDENTES!AT62+ACCIDENTES!AO62+ACCIDENTES!AJ62+ACCIDENTES!AE62+ACCIDENTES!Z62+ACCIDENTES!U62+ACCIDENTES!P62+ACCIDENTES!K62+ACCIDENTES!F62)/(HH!F62+HH!J62+HH!N62+HH!R62+HH!V62+HH!Z62+HH!AD62+HH!AH62+HH!AL62+HH!AP62+HH!AT62))*1000000</f>
        <v>12.286672646180687</v>
      </c>
      <c r="AJ62" s="59">
        <f>(ACCIDENTES!BK62/HH!BB62)*1000000</f>
        <v>1.1335863498066101</v>
      </c>
      <c r="AK62" s="59">
        <f>(ACCIDENTES!BL62/HH!BB62)*1000000</f>
        <v>32.874004144391698</v>
      </c>
      <c r="AL62" s="59">
        <f>(ACCIDENTES!BN62/HH!BB62)*1000000</f>
        <v>11.335863498066102</v>
      </c>
      <c r="AN62" s="41">
        <f t="shared" si="0"/>
        <v>0</v>
      </c>
      <c r="AO62" s="41">
        <f t="shared" si="1"/>
        <v>0</v>
      </c>
      <c r="AP62" s="42"/>
      <c r="AR62" s="41">
        <v>3.0313965989710674</v>
      </c>
      <c r="AS62" s="41">
        <v>108.11981202996806</v>
      </c>
      <c r="AT62" s="41"/>
      <c r="AV62" s="118"/>
      <c r="AW62" s="60"/>
      <c r="AX62" s="60"/>
      <c r="AY62" s="63"/>
      <c r="AZ62" s="118"/>
      <c r="BA62" s="60"/>
      <c r="BB62" s="60"/>
      <c r="BC62" s="63"/>
      <c r="BD62" s="118"/>
      <c r="BE62" s="60"/>
      <c r="BF62" s="60"/>
    </row>
    <row r="63" spans="1:65" outlineLevel="1" x14ac:dyDescent="0.3">
      <c r="A63" s="10" t="s">
        <v>84</v>
      </c>
      <c r="B63" s="11" t="s">
        <v>87</v>
      </c>
      <c r="C63" s="58">
        <f>(ACCIDENTES!C63/HH!F63)*1000000</f>
        <v>0</v>
      </c>
      <c r="D63" s="59">
        <f>(ACCIDENTES!D63/HH!F63)*1000000</f>
        <v>0</v>
      </c>
      <c r="E63" s="59">
        <f>(ACCIDENTES!F63/HH!F63)*1000000</f>
        <v>25.052296669297156</v>
      </c>
      <c r="F63" s="59">
        <f>((ACCIDENTES!C63+ACCIDENTES!H63)/(HH!F63+HH!J63))*1000000</f>
        <v>0</v>
      </c>
      <c r="G63" s="59">
        <f>((ACCIDENTES!D63+ACCIDENTES!I63)/(HH!F63+HH!J63))*1000000</f>
        <v>0</v>
      </c>
      <c r="H63" s="59">
        <f>((ACCIDENTES!F63+ACCIDENTES!K63)/(HH!F63+HH!J63))*1000000</f>
        <v>11.800872084447041</v>
      </c>
      <c r="I63" s="59">
        <f>((ACCIDENTES!C63+ACCIDENTES!H63+ACCIDENTES!M63)/(HH!F63+HH!J63+HH!N63))*1000000</f>
        <v>0</v>
      </c>
      <c r="J63" s="59">
        <f>((ACCIDENTES!D63+ACCIDENTES!I63+ACCIDENTES!N63)/(HH!F63+HH!J63+HH!N63))*1000000</f>
        <v>0</v>
      </c>
      <c r="K63" s="59">
        <f>((ACCIDENTES!F63+ACCIDENTES!K63+ACCIDENTES!P63)/(HH!J63+HH!N63+HH!F63))*1000000</f>
        <v>6.9838498472282851</v>
      </c>
      <c r="L63" s="59">
        <f>((ACCIDENTES!C63+ACCIDENTES!H63+ACCIDENTES!M63+ACCIDENTES!R63)/(HH!F63+HH!J63+HH!N63+HH!R63))*1000000</f>
        <v>5.1285338803769474</v>
      </c>
      <c r="M63" s="59">
        <f>((ACCIDENTES!D63+ACCIDENTES!I63+ACCIDENTES!N63+ACCIDENTES!S63)/(HH!F63+HH!J63+HH!N63+HH!R63))*1000000</f>
        <v>71.799474325277259</v>
      </c>
      <c r="N63" s="59">
        <f>((ACCIDENTES!F63+ACCIDENTES!K63+ACCIDENTES!P63+ACCIDENTES!U63)/(HH!F63+HH!J63+HH!N63+HH!R63))*1000000</f>
        <v>10.257067760753895</v>
      </c>
      <c r="O63" s="59">
        <f>((ACCIDENTES!C63+ACCIDENTES!H63+ACCIDENTES!M63+ACCIDENTES!R63+ACCIDENTES!W63)/(HH!F63+HH!J63+HH!N63+HH!R63+HH!V63))*1000000</f>
        <v>4.0899042757904249</v>
      </c>
      <c r="P63" s="59">
        <f>(((ACCIDENTES!D63+ACCIDENTES!I63+ACCIDENTES!N63+ACCIDENTES!S63+ACCIDENTES!X63)/(HH!F63+HH!J63+HH!N63+HH!R63+HH!V63))*1000000)</f>
        <v>57.258659861065958</v>
      </c>
      <c r="Q63" s="59">
        <f>((ACCIDENTES!F63+ACCIDENTES!K63+ACCIDENTES!P63+ACCIDENTES!U63+ACCIDENTES!Z63)/(HH!F63+HH!J63+HH!N63+HH!R63+HH!V63))*1000000</f>
        <v>12.269712827371276</v>
      </c>
      <c r="R63" s="59">
        <f>(ACCIDENTES!C63+ACCIDENTES!H63+ACCIDENTES!M63+ACCIDENTES!R63+ACCIDENTES!W63+ACCIDENTES!AB63)*1000000/(HH!F63+HH!J63+HH!N63+HH!R63+HH!V63+HH!Z63)</f>
        <v>3.4369280736877381</v>
      </c>
      <c r="S63" s="59">
        <f>(ACCIDENTES!D63+ACCIDENTES!I63+ACCIDENTES!N63+ACCIDENTES!S63+ACCIDENTES!X63+ACCIDENTES!AC63)*1000000/(HH!F63+HH!J63+HH!N63+HH!R63+HH!V63+HH!Z63)</f>
        <v>48.116993031628333</v>
      </c>
      <c r="T63" s="59">
        <f>(ACCIDENTES!F63+ACCIDENTES!K63+ACCIDENTES!P63+ACCIDENTES!U63+ACCIDENTES!Z63+ACCIDENTES!AE63)*1000000/(HH!F63+HH!J63+HH!N63+HH!R63+HH!V63+HH!Z63)</f>
        <v>10.310784221063214</v>
      </c>
      <c r="U63" s="59">
        <f>((ACCIDENTES!C63+ACCIDENTES!H63+ACCIDENTES!M63+ACCIDENTES!R63+ACCIDENTES!W63+ACCIDENTES!AB63+ACCIDENTES!AG63)/(HH!F63+HH!J63+HH!N63+HH!R63+HH!V63+HH!Z63+HH!AD63))*1000000</f>
        <v>2.9929053179438143</v>
      </c>
      <c r="V63" s="59">
        <f>((ACCIDENTES!D63+ACCIDENTES!I63+ACCIDENTES!N63+ACCIDENTES!S63+ACCIDENTES!X63+ACCIDENTES!AC63+ACCIDENTES!AH63)/(HH!F63+HH!J63+HH!N63+HH!R63+HH!V63+HH!Z63+HH!AD63))*1000000</f>
        <v>41.900674451213398</v>
      </c>
      <c r="W63" s="59">
        <f>((ACCIDENTES!F63+ACCIDENTES!K63+ACCIDENTES!P63+ACCIDENTES!U63+ACCIDENTES!Z63+ACCIDENTES!AE63+ACCIDENTES!AJ63)/(HH!F63+HH!J63+HH!N63+HH!R63+HH!V63+HH!Z63+HH!AD63))*1000000</f>
        <v>8.9787159538314416</v>
      </c>
      <c r="X63" s="59">
        <f>((ACCIDENTES!C63+ACCIDENTES!H63+ACCIDENTES!M63+ACCIDENTES!R63+ACCIDENTES!W63+ACCIDENTES!AB63+ACCIDENTES!AG63+ACCIDENTES!AL63)/(HH!F63+HH!J63+HH!N63+HH!R63+HH!V63+HH!Z63+HH!AD63+HH!AH63))*1000000</f>
        <v>2.6763765608293553</v>
      </c>
      <c r="Y63" s="59">
        <f>((ACCIDENTES!D63+ACCIDENTES!I63+ACCIDENTES!N63+ACCIDENTES!S63+ACCIDENTES!X63+ACCIDENTES!AC63+ACCIDENTES!AH63+ACCIDENTES!AM63)/(HH!F63+HH!J63+HH!N63+HH!R63+HH!V63+HH!Z63+HH!AD63+HH!AH63))*1000000</f>
        <v>37.469271851610976</v>
      </c>
      <c r="Z63" s="59">
        <f>((ACCIDENTES!F63+ACCIDENTES!K63+ACCIDENTES!P63+ACCIDENTES!U63+ACCIDENTES!Z63+ACCIDENTES!AE63+ACCIDENTES!AJ63+ACCIDENTES!AO63)/(HH!F63+HH!J63+HH!N63+HH!R63+HH!V63+HH!Z63+HH!AD63+HH!AH63))*1000000</f>
        <v>8.0291296824880654</v>
      </c>
      <c r="AA63" s="59">
        <f>((ACCIDENTES!AQ63+ACCIDENTES!AL63+ACCIDENTES!AG63+ACCIDENTES!AB63+ACCIDENTES!W63+ACCIDENTES!R63+ACCIDENTES!M63+ACCIDENTES!H63+ACCIDENTES!C63)/(HH!AL63+HH!AH63+HH!AD63+HH!Z63+HH!V63+HH!R63+HH!N63+HH!J63+HH!F63))*1000000</f>
        <v>2.4017244381465894</v>
      </c>
      <c r="AB63" s="59">
        <f>((ACCIDENTES!AR63+ACCIDENTES!AM63+ACCIDENTES!AH63+ACCIDENTES!AC63+ACCIDENTES!X63+ACCIDENTES!S63+ACCIDENTES!N63+ACCIDENTES!I63+ACCIDENTES!D63)/(HH!AL63+HH!AH63+HH!AD63+HH!Z63+HH!V63+HH!R63+HH!N63+HH!J63+HH!F63))*1000000</f>
        <v>33.624142134052249</v>
      </c>
      <c r="AC63" s="59">
        <f>((ACCIDENTES!F63+ACCIDENTES!K63+ACCIDENTES!P63+ACCIDENTES!U63+ACCIDENTES!Z63+ACCIDENTES!AE63+ACCIDENTES!AJ63+ACCIDENTES!AO63+ACCIDENTES!AT63)/(HH!F63+HH!J63+HH!N63+HH!R63+HH!V63+HH!Z63+HH!AD63+HH!AH63+HH!AL63))*1000000</f>
        <v>9.6068977525863577</v>
      </c>
      <c r="AD63" s="59">
        <f>((ACCIDENTES!AV63+ACCIDENTES!AQ63+ACCIDENTES!AL63+ACCIDENTES!AG63+ACCIDENTES!AB63+ACCIDENTES!W63+ACCIDENTES!R63+ACCIDENTES!M63+ACCIDENTES!H63+ACCIDENTES!C63)/(HH!F63+HH!J63+HH!N63+HH!R63+HH!V63+HH!Z63+HH!AD63+HH!AH63+HH!AL63+HH!AP63))*1000000</f>
        <v>2.2335363245596302</v>
      </c>
      <c r="AE63" s="59">
        <f>((ACCIDENTES!D63+ACCIDENTES!I63+ACCIDENTES!N63+ACCIDENTES!S63+ACCIDENTES!X63+ACCIDENTES!AC63+ACCIDENTES!AH63+ACCIDENTES!AM63+ACCIDENTES!AR63+ACCIDENTES!AW63)/(HH!AP63+HH!AL63+HH!AH63+HH!AD63+HH!Z63+HH!V63+HH!R63+HH!N63+HH!J63+HH!F63))*1000000</f>
        <v>31.269508543834824</v>
      </c>
      <c r="AF63" s="59">
        <f>((ACCIDENTES!AY63+ACCIDENTES!AT63+ACCIDENTES!AO63+ACCIDENTES!AJ63+ACCIDENTES!AE63+ACCIDENTES!Z63+ACCIDENTES!U63+ACCIDENTES!P63+ACCIDENTES!K63+ACCIDENTES!F63)/(HH!F63+HH!J63+HH!N63+HH!R63+HH!V63+HH!Z63+HH!AD63+HH!AH63+HH!AL63+HH!AP63))*1000000</f>
        <v>8.934145298238521</v>
      </c>
      <c r="AG63" s="59">
        <f>((ACCIDENTES!BA63+ACCIDENTES!AV63+ACCIDENTES!AQ63+ACCIDENTES!AL63+ACCIDENTES!AG63+ACCIDENTES!AB63+ACCIDENTES!W63+ACCIDENTES!R63+ACCIDENTES!M63+ACCIDENTES!H63+ACCIDENTES!C63)/(HH!AT63+HH!AP63+HH!AL63+HH!AH63+HH!AD63+HH!Z63+HH!V63+HH!R63+HH!N63+HH!J63+HH!F63))*1000000</f>
        <v>2.2335363245596302</v>
      </c>
      <c r="AH63" s="59">
        <f>((ACCIDENTES!D63+ACCIDENTES!I63+ACCIDENTES!N63+ACCIDENTES!S63+ACCIDENTES!X63+ACCIDENTES!AC63+ACCIDENTES!AH63+ACCIDENTES!AM63+ACCIDENTES!AR63+ACCIDENTES!AW63+ACCIDENTES!BB63)/(HH!F63+HH!J63+HH!N63+HH!R63+HH!V63+HH!Z63+HH!AD63+HH!AH63+HH!AL63+HH!AP63+HH!AT63))*1000000</f>
        <v>31.269508543834824</v>
      </c>
      <c r="AI63" s="59">
        <f>((ACCIDENTES!BD63+ACCIDENTES!AY63+ACCIDENTES!AT63+ACCIDENTES!AO63+ACCIDENTES!AJ63+ACCIDENTES!AE63+ACCIDENTES!Z63+ACCIDENTES!U63+ACCIDENTES!P63+ACCIDENTES!K63+ACCIDENTES!F63)/(HH!F63+HH!J63+HH!N63+HH!R63+HH!V63+HH!Z63+HH!AD63+HH!AH63+HH!AL63+HH!AP63+HH!AT63))*1000000</f>
        <v>8.934145298238521</v>
      </c>
      <c r="AJ63" s="59">
        <f>(ACCIDENTES!BK63/HH!BB63)*1000000</f>
        <v>2.2335363245596302</v>
      </c>
      <c r="AK63" s="59">
        <f>(ACCIDENTES!BL63/HH!BB63)*1000000</f>
        <v>31.269508543834824</v>
      </c>
      <c r="AL63" s="59">
        <f>(ACCIDENTES!BN63/HH!BB63)*1000000</f>
        <v>8.934145298238521</v>
      </c>
      <c r="AN63" s="41">
        <f t="shared" si="0"/>
        <v>0</v>
      </c>
      <c r="AO63" s="41">
        <f t="shared" si="1"/>
        <v>0</v>
      </c>
      <c r="AP63" s="42"/>
      <c r="AR63" s="41">
        <v>1.2394202621639092</v>
      </c>
      <c r="AS63" s="41">
        <v>16.112463408130818</v>
      </c>
      <c r="AT63" s="41"/>
      <c r="AV63" s="118"/>
      <c r="AW63" s="60"/>
      <c r="AX63" s="60"/>
      <c r="AY63" s="63"/>
      <c r="AZ63" s="118"/>
      <c r="BA63" s="60"/>
      <c r="BB63" s="60"/>
      <c r="BC63" s="63"/>
      <c r="BD63" s="118"/>
      <c r="BE63" s="60"/>
      <c r="BF63" s="60"/>
    </row>
    <row r="64" spans="1:65" outlineLevel="1" x14ac:dyDescent="0.3">
      <c r="A64" s="10" t="s">
        <v>84</v>
      </c>
      <c r="B64" s="11" t="s">
        <v>88</v>
      </c>
      <c r="C64" s="58">
        <f>(ACCIDENTES!C64/HH!F64)*1000000</f>
        <v>0</v>
      </c>
      <c r="D64" s="59">
        <f>(ACCIDENTES!D64/HH!F64)*1000000</f>
        <v>0</v>
      </c>
      <c r="E64" s="59">
        <f>(ACCIDENTES!F64/HH!F64)*1000000</f>
        <v>0</v>
      </c>
      <c r="F64" s="59">
        <f>((ACCIDENTES!C64+ACCIDENTES!H64)/(HH!F64+HH!J64))*1000000</f>
        <v>0</v>
      </c>
      <c r="G64" s="59">
        <f>((ACCIDENTES!D64+ACCIDENTES!I64)/(HH!F64+HH!J64))*1000000</f>
        <v>0</v>
      </c>
      <c r="H64" s="59">
        <f>((ACCIDENTES!F64+ACCIDENTES!K64)/(HH!F64+HH!J64))*1000000</f>
        <v>0</v>
      </c>
      <c r="I64" s="59">
        <f>((ACCIDENTES!C64+ACCIDENTES!H64+ACCIDENTES!M64)/(HH!F64+HH!J64+HH!N64))*1000000</f>
        <v>0</v>
      </c>
      <c r="J64" s="59">
        <f>((ACCIDENTES!D64+ACCIDENTES!I64+ACCIDENTES!N64)/(HH!F64+HH!J64+HH!N64))*1000000</f>
        <v>0</v>
      </c>
      <c r="K64" s="59">
        <f>((ACCIDENTES!F64+ACCIDENTES!K64+ACCIDENTES!P64)/(HH!J64+HH!N64+HH!F64))*1000000</f>
        <v>0</v>
      </c>
      <c r="L64" s="59">
        <f>((ACCIDENTES!C64+ACCIDENTES!H64+ACCIDENTES!M64+ACCIDENTES!R64)/(HH!F64+HH!J64+HH!N64+HH!R64))*1000000</f>
        <v>0</v>
      </c>
      <c r="M64" s="59">
        <f>((ACCIDENTES!D64+ACCIDENTES!I64+ACCIDENTES!N64+ACCIDENTES!S64)/(HH!F64+HH!J64+HH!N64+HH!R64))*1000000</f>
        <v>0</v>
      </c>
      <c r="N64" s="59">
        <f>((ACCIDENTES!F64+ACCIDENTES!K64+ACCIDENTES!P64+ACCIDENTES!U64)/(HH!F64+HH!J64+HH!N64+HH!R64))*1000000</f>
        <v>10.456258855144219</v>
      </c>
      <c r="O64" s="59">
        <f>((ACCIDENTES!C64+ACCIDENTES!H64+ACCIDENTES!M64+ACCIDENTES!R64+ACCIDENTES!W64)/(HH!F64+HH!J64+HH!N64+HH!R64+HH!V64))*1000000</f>
        <v>0</v>
      </c>
      <c r="P64" s="59">
        <f>(((ACCIDENTES!D64+ACCIDENTES!I64+ACCIDENTES!N64+ACCIDENTES!S64+ACCIDENTES!X64)/(HH!F64+HH!J64+HH!N64+HH!R64+HH!V64))*1000000)</f>
        <v>0</v>
      </c>
      <c r="Q64" s="59">
        <f>((ACCIDENTES!F64+ACCIDENTES!K64+ACCIDENTES!P64+ACCIDENTES!U64+ACCIDENTES!Z64)/(HH!F64+HH!J64+HH!N64+HH!R64+HH!V64))*1000000</f>
        <v>8.08776846336443</v>
      </c>
      <c r="R64" s="59">
        <f>(ACCIDENTES!C64+ACCIDENTES!H64+ACCIDENTES!M64+ACCIDENTES!R64+ACCIDENTES!W64+ACCIDENTES!AB64)*1000000/(HH!F64+HH!J64+HH!N64+HH!R64+HH!V64+HH!Z64)</f>
        <v>0</v>
      </c>
      <c r="S64" s="59">
        <f>(ACCIDENTES!D64+ACCIDENTES!I64+ACCIDENTES!N64+ACCIDENTES!S64+ACCIDENTES!X64+ACCIDENTES!AC64)*1000000/(HH!F64+HH!J64+HH!N64+HH!R64+HH!V64+HH!Z64)</f>
        <v>0</v>
      </c>
      <c r="T64" s="59">
        <f>(ACCIDENTES!F64+ACCIDENTES!K64+ACCIDENTES!P64+ACCIDENTES!U64+ACCIDENTES!Z64+ACCIDENTES!AE64)*1000000/(HH!F64+HH!J64+HH!N64+HH!R64+HH!V64+HH!Z64)</f>
        <v>7.1383294024932766</v>
      </c>
      <c r="U64" s="59">
        <f>((ACCIDENTES!C64+ACCIDENTES!H64+ACCIDENTES!M64+ACCIDENTES!R64+ACCIDENTES!W64+ACCIDENTES!AB64+ACCIDENTES!AG64)/(HH!F64+HH!J64+HH!N64+HH!R64+HH!V64+HH!Z64+HH!AD64))*1000000</f>
        <v>0</v>
      </c>
      <c r="V64" s="59">
        <f>((ACCIDENTES!D64+ACCIDENTES!I64+ACCIDENTES!N64+ACCIDENTES!S64+ACCIDENTES!X64+ACCIDENTES!AC64+ACCIDENTES!AH64)/(HH!F64+HH!J64+HH!N64+HH!R64+HH!V64+HH!Z64+HH!AD64))*1000000</f>
        <v>0</v>
      </c>
      <c r="W64" s="59">
        <f>((ACCIDENTES!F64+ACCIDENTES!K64+ACCIDENTES!P64+ACCIDENTES!U64+ACCIDENTES!Z64+ACCIDENTES!AE64+ACCIDENTES!AJ64)/(HH!F64+HH!J64+HH!N64+HH!R64+HH!V64+HH!Z64+HH!AD64))*1000000</f>
        <v>6.4332759913999977</v>
      </c>
      <c r="X64" s="59">
        <f>((ACCIDENTES!C64+ACCIDENTES!H64+ACCIDENTES!M64+ACCIDENTES!R64+ACCIDENTES!W64+ACCIDENTES!AB64+ACCIDENTES!AG64+ACCIDENTES!AL64)/(HH!F64+HH!J64+HH!N64+HH!R64+HH!V64+HH!Z64+HH!AD64+HH!AH64))*1000000</f>
        <v>0</v>
      </c>
      <c r="Y64" s="59">
        <f>((ACCIDENTES!D64+ACCIDENTES!I64+ACCIDENTES!N64+ACCIDENTES!S64+ACCIDENTES!X64+ACCIDENTES!AC64+ACCIDENTES!AH64+ACCIDENTES!AM64)/(HH!F64+HH!J64+HH!N64+HH!R64+HH!V64+HH!Z64+HH!AD64+HH!AH64))*1000000</f>
        <v>0</v>
      </c>
      <c r="Z64" s="59">
        <f>((ACCIDENTES!F64+ACCIDENTES!K64+ACCIDENTES!P64+ACCIDENTES!U64+ACCIDENTES!Z64+ACCIDENTES!AE64+ACCIDENTES!AJ64+ACCIDENTES!AO64)/(HH!F64+HH!J64+HH!N64+HH!R64+HH!V64+HH!Z64+HH!AD64+HH!AH64))*1000000</f>
        <v>5.6488622061744325</v>
      </c>
      <c r="AA64" s="59">
        <f>((ACCIDENTES!AQ64+ACCIDENTES!AL64+ACCIDENTES!AG64+ACCIDENTES!AB64+ACCIDENTES!W64+ACCIDENTES!R64+ACCIDENTES!M64+ACCIDENTES!H64+ACCIDENTES!C64)/(HH!AL64+HH!AH64+HH!AD64+HH!Z64+HH!V64+HH!R64+HH!N64+HH!J64+HH!F64))*1000000</f>
        <v>0</v>
      </c>
      <c r="AB64" s="59">
        <f>((ACCIDENTES!AR64+ACCIDENTES!AM64+ACCIDENTES!AH64+ACCIDENTES!AC64+ACCIDENTES!X64+ACCIDENTES!S64+ACCIDENTES!N64+ACCIDENTES!I64+ACCIDENTES!D64)/(HH!AL64+HH!AH64+HH!AD64+HH!Z64+HH!V64+HH!R64+HH!N64+HH!J64+HH!F64))*1000000</f>
        <v>0</v>
      </c>
      <c r="AC64" s="59">
        <f>((ACCIDENTES!F64+ACCIDENTES!K64+ACCIDENTES!P64+ACCIDENTES!U64+ACCIDENTES!Z64+ACCIDENTES!AE64+ACCIDENTES!AJ64+ACCIDENTES!AO64+ACCIDENTES!AT64)/(HH!F64+HH!J64+HH!N64+HH!R64+HH!V64+HH!Z64+HH!AD64+HH!AH64+HH!AL64))*1000000</f>
        <v>5.0488093645316097</v>
      </c>
      <c r="AD64" s="59">
        <f>((ACCIDENTES!AV64+ACCIDENTES!AQ64+ACCIDENTES!AL64+ACCIDENTES!AG64+ACCIDENTES!AB64+ACCIDENTES!W64+ACCIDENTES!R64+ACCIDENTES!M64+ACCIDENTES!H64+ACCIDENTES!C64)/(HH!F64+HH!J64+HH!N64+HH!R64+HH!V64+HH!Z64+HH!AD64+HH!AH64+HH!AL64+HH!AP64))*1000000</f>
        <v>0</v>
      </c>
      <c r="AE64" s="59">
        <f>((ACCIDENTES!D64+ACCIDENTES!I64+ACCIDENTES!N64+ACCIDENTES!S64+ACCIDENTES!X64+ACCIDENTES!AC64+ACCIDENTES!AH64+ACCIDENTES!AM64+ACCIDENTES!AR64+ACCIDENTES!AW64)/(HH!AP64+HH!AL64+HH!AH64+HH!AD64+HH!Z64+HH!V64+HH!R64+HH!N64+HH!J64+HH!F64))*1000000</f>
        <v>0</v>
      </c>
      <c r="AF64" s="59">
        <f>((ACCIDENTES!AY64+ACCIDENTES!AT64+ACCIDENTES!AO64+ACCIDENTES!AJ64+ACCIDENTES!AE64+ACCIDENTES!Z64+ACCIDENTES!U64+ACCIDENTES!P64+ACCIDENTES!K64+ACCIDENTES!F64)/(HH!F64+HH!J64+HH!N64+HH!R64+HH!V64+HH!Z64+HH!AD64+HH!AH64+HH!AL64+HH!AP64))*1000000</f>
        <v>4.6286117636167967</v>
      </c>
      <c r="AG64" s="59">
        <f>((ACCIDENTES!BA64+ACCIDENTES!AV64+ACCIDENTES!AQ64+ACCIDENTES!AL64+ACCIDENTES!AG64+ACCIDENTES!AB64+ACCIDENTES!W64+ACCIDENTES!R64+ACCIDENTES!M64+ACCIDENTES!H64+ACCIDENTES!C64)/(HH!AT64+HH!AP64+HH!AL64+HH!AH64+HH!AD64+HH!Z64+HH!V64+HH!R64+HH!N64+HH!J64+HH!F64))*1000000</f>
        <v>0</v>
      </c>
      <c r="AH64" s="59">
        <f>((ACCIDENTES!D64+ACCIDENTES!I64+ACCIDENTES!N64+ACCIDENTES!S64+ACCIDENTES!X64+ACCIDENTES!AC64+ACCIDENTES!AH64+ACCIDENTES!AM64+ACCIDENTES!AR64+ACCIDENTES!AW64+ACCIDENTES!BB64)/(HH!F64+HH!J64+HH!N64+HH!R64+HH!V64+HH!Z64+HH!AD64+HH!AH64+HH!AL64+HH!AP64+HH!AT64))*1000000</f>
        <v>0</v>
      </c>
      <c r="AI64" s="59">
        <f>((ACCIDENTES!BD64+ACCIDENTES!AY64+ACCIDENTES!AT64+ACCIDENTES!AO64+ACCIDENTES!AJ64+ACCIDENTES!AE64+ACCIDENTES!Z64+ACCIDENTES!U64+ACCIDENTES!P64+ACCIDENTES!K64+ACCIDENTES!F64)/(HH!F64+HH!J64+HH!N64+HH!R64+HH!V64+HH!Z64+HH!AD64+HH!AH64+HH!AL64+HH!AP64+HH!AT64))*1000000</f>
        <v>4.6286117636167967</v>
      </c>
      <c r="AJ64" s="59">
        <f>(ACCIDENTES!BK64/HH!BB64)*1000000</f>
        <v>0</v>
      </c>
      <c r="AK64" s="59">
        <f>(ACCIDENTES!BL64/HH!BB64)*1000000</f>
        <v>0</v>
      </c>
      <c r="AL64" s="59">
        <f>(ACCIDENTES!BN64/HH!BB64)*1000000</f>
        <v>4.6286117636167967</v>
      </c>
      <c r="AN64" s="41">
        <f t="shared" si="0"/>
        <v>0</v>
      </c>
      <c r="AO64" s="41">
        <f t="shared" si="1"/>
        <v>0</v>
      </c>
      <c r="AP64" s="42"/>
      <c r="AR64" s="41"/>
      <c r="AS64" s="41"/>
      <c r="AT64" s="41"/>
      <c r="AV64" s="118"/>
      <c r="AW64" s="60"/>
      <c r="AX64" s="60"/>
      <c r="AY64" s="63"/>
      <c r="AZ64" s="118"/>
      <c r="BA64" s="60"/>
      <c r="BB64" s="60"/>
      <c r="BC64" s="63"/>
      <c r="BD64" s="118"/>
      <c r="BE64" s="60"/>
      <c r="BF64" s="60"/>
    </row>
    <row r="65" spans="1:65" outlineLevel="1" x14ac:dyDescent="0.3">
      <c r="A65" s="10" t="s">
        <v>84</v>
      </c>
      <c r="B65" s="11" t="s">
        <v>89</v>
      </c>
      <c r="C65" s="58">
        <f>(ACCIDENTES!C65/HH!F65)*1000000</f>
        <v>0</v>
      </c>
      <c r="D65" s="59">
        <f>(ACCIDENTES!D65/HH!F65)*1000000</f>
        <v>0</v>
      </c>
      <c r="E65" s="59">
        <f>(ACCIDENTES!F65/HH!F65)*1000000</f>
        <v>0</v>
      </c>
      <c r="F65" s="59">
        <f>((ACCIDENTES!C65+ACCIDENTES!H65)/(HH!F65+HH!J65))*1000000</f>
        <v>0</v>
      </c>
      <c r="G65" s="59">
        <f>((ACCIDENTES!D65+ACCIDENTES!I65)/(HH!F65+HH!J65))*1000000</f>
        <v>0</v>
      </c>
      <c r="H65" s="59">
        <f>((ACCIDENTES!F65+ACCIDENTES!K65)/(HH!F65+HH!J65))*1000000</f>
        <v>0</v>
      </c>
      <c r="I65" s="59">
        <f>((ACCIDENTES!C65+ACCIDENTES!H65+ACCIDENTES!M65)/(HH!F65+HH!J65+HH!N65))*1000000</f>
        <v>0</v>
      </c>
      <c r="J65" s="59">
        <f>((ACCIDENTES!D65+ACCIDENTES!I65+ACCIDENTES!N65)/(HH!F65+HH!J65+HH!N65))*1000000</f>
        <v>0</v>
      </c>
      <c r="K65" s="59">
        <f>((ACCIDENTES!F65+ACCIDENTES!K65+ACCIDENTES!P65)/(HH!J65+HH!N65+HH!F65))*1000000</f>
        <v>0</v>
      </c>
      <c r="L65" s="59">
        <f>((ACCIDENTES!C65+ACCIDENTES!H65+ACCIDENTES!M65+ACCIDENTES!R65)/(HH!F65+HH!J65+HH!N65+HH!R65))*1000000</f>
        <v>0</v>
      </c>
      <c r="M65" s="59">
        <f>((ACCIDENTES!D65+ACCIDENTES!I65+ACCIDENTES!N65+ACCIDENTES!S65)/(HH!F65+HH!J65+HH!N65+HH!R65))*1000000</f>
        <v>0</v>
      </c>
      <c r="N65" s="59">
        <f>((ACCIDENTES!F65+ACCIDENTES!K65+ACCIDENTES!P65+ACCIDENTES!U65)/(HH!F65+HH!J65+HH!N65+HH!R65))*1000000</f>
        <v>0</v>
      </c>
      <c r="O65" s="59">
        <f>((ACCIDENTES!C65+ACCIDENTES!H65+ACCIDENTES!M65+ACCIDENTES!R65+ACCIDENTES!W65)/(HH!F65+HH!J65+HH!N65+HH!R65+HH!V65))*1000000</f>
        <v>0</v>
      </c>
      <c r="P65" s="59">
        <f>(((ACCIDENTES!D65+ACCIDENTES!I65+ACCIDENTES!N65+ACCIDENTES!S65+ACCIDENTES!X65)/(HH!F65+HH!J65+HH!N65+HH!R65+HH!V65))*1000000)</f>
        <v>0</v>
      </c>
      <c r="Q65" s="59">
        <f>((ACCIDENTES!F65+ACCIDENTES!K65+ACCIDENTES!P65+ACCIDENTES!U65+ACCIDENTES!Z65)/(HH!F65+HH!J65+HH!N65+HH!R65+HH!V65))*1000000</f>
        <v>0</v>
      </c>
      <c r="R65" s="59">
        <f>(ACCIDENTES!C65+ACCIDENTES!H65+ACCIDENTES!M65+ACCIDENTES!R65+ACCIDENTES!W65+ACCIDENTES!AB65)*1000000/(HH!F65+HH!J65+HH!N65+HH!R65+HH!V65+HH!Z65)</f>
        <v>2.8446022250478604</v>
      </c>
      <c r="S65" s="59">
        <f>(ACCIDENTES!D65+ACCIDENTES!I65+ACCIDENTES!N65+ACCIDENTES!S65+ACCIDENTES!X65+ACCIDENTES!AC65)*1000000/(HH!F65+HH!J65+HH!N65+HH!R65+HH!V65+HH!Z65)</f>
        <v>2.8446022250478604</v>
      </c>
      <c r="T65" s="59">
        <f>(ACCIDENTES!F65+ACCIDENTES!K65+ACCIDENTES!P65+ACCIDENTES!U65+ACCIDENTES!Z65+ACCIDENTES!AE65)*1000000/(HH!F65+HH!J65+HH!N65+HH!R65+HH!V65+HH!Z65)</f>
        <v>2.8446022250478604</v>
      </c>
      <c r="U65" s="59">
        <f>((ACCIDENTES!C65+ACCIDENTES!H65+ACCIDENTES!M65+ACCIDENTES!R65+ACCIDENTES!W65+ACCIDENTES!AB65+ACCIDENTES!AG65)/(HH!F65+HH!J65+HH!N65+HH!R65+HH!V65+HH!Z65+HH!AD65))*1000000</f>
        <v>2.3694211977898036</v>
      </c>
      <c r="V65" s="59">
        <f>((ACCIDENTES!D65+ACCIDENTES!I65+ACCIDENTES!N65+ACCIDENTES!S65+ACCIDENTES!X65+ACCIDENTES!AC65+ACCIDENTES!AH65)/(HH!F65+HH!J65+HH!N65+HH!R65+HH!V65+HH!Z65+HH!AD65))*1000000</f>
        <v>2.3694211977898036</v>
      </c>
      <c r="W65" s="59">
        <f>((ACCIDENTES!F65+ACCIDENTES!K65+ACCIDENTES!P65+ACCIDENTES!U65+ACCIDENTES!Z65+ACCIDENTES!AE65+ACCIDENTES!AJ65)/(HH!F65+HH!J65+HH!N65+HH!R65+HH!V65+HH!Z65+HH!AD65))*1000000</f>
        <v>2.3694211977898036</v>
      </c>
      <c r="X65" s="59">
        <f>((ACCIDENTES!C65+ACCIDENTES!H65+ACCIDENTES!M65+ACCIDENTES!R65+ACCIDENTES!W65+ACCIDENTES!AB65+ACCIDENTES!AG65+ACCIDENTES!AL65)/(HH!F65+HH!J65+HH!N65+HH!R65+HH!V65+HH!Z65+HH!AD65+HH!AH65))*1000000</f>
        <v>2.0375354785865207</v>
      </c>
      <c r="Y65" s="59">
        <f>((ACCIDENTES!D65+ACCIDENTES!I65+ACCIDENTES!N65+ACCIDENTES!S65+ACCIDENTES!X65+ACCIDENTES!AC65+ACCIDENTES!AH65+ACCIDENTES!AM65)/(HH!F65+HH!J65+HH!N65+HH!R65+HH!V65+HH!Z65+HH!AD65+HH!AH65))*1000000</f>
        <v>2.0375354785865207</v>
      </c>
      <c r="Z65" s="59">
        <f>((ACCIDENTES!F65+ACCIDENTES!K65+ACCIDENTES!P65+ACCIDENTES!U65+ACCIDENTES!Z65+ACCIDENTES!AE65+ACCIDENTES!AJ65+ACCIDENTES!AO65)/(HH!F65+HH!J65+HH!N65+HH!R65+HH!V65+HH!Z65+HH!AD65+HH!AH65))*1000000</f>
        <v>2.0375354785865207</v>
      </c>
      <c r="AA65" s="59">
        <f>((ACCIDENTES!AQ65+ACCIDENTES!AL65+ACCIDENTES!AG65+ACCIDENTES!AB65+ACCIDENTES!W65+ACCIDENTES!R65+ACCIDENTES!M65+ACCIDENTES!H65+ACCIDENTES!C65)/(HH!AL65+HH!AH65+HH!AD65+HH!Z65+HH!V65+HH!R65+HH!N65+HH!J65+HH!F65))*1000000</f>
        <v>3.6025572392306957</v>
      </c>
      <c r="AB65" s="59">
        <f>((ACCIDENTES!AR65+ACCIDENTES!AM65+ACCIDENTES!AH65+ACCIDENTES!AC65+ACCIDENTES!X65+ACCIDENTES!S65+ACCIDENTES!N65+ACCIDENTES!I65+ACCIDENTES!D65)/(HH!AL65+HH!AH65+HH!AD65+HH!Z65+HH!V65+HH!R65+HH!N65+HH!J65+HH!F65))*1000000</f>
        <v>5.403835858846044</v>
      </c>
      <c r="AC65" s="59">
        <f>((ACCIDENTES!F65+ACCIDENTES!K65+ACCIDENTES!P65+ACCIDENTES!U65+ACCIDENTES!Z65+ACCIDENTES!AE65+ACCIDENTES!AJ65+ACCIDENTES!AO65+ACCIDENTES!AT65)/(HH!F65+HH!J65+HH!N65+HH!R65+HH!V65+HH!Z65+HH!AD65+HH!AH65+HH!AL65))*1000000</f>
        <v>3.6025572392306957</v>
      </c>
      <c r="AD65" s="59">
        <f>((ACCIDENTES!AV65+ACCIDENTES!AQ65+ACCIDENTES!AL65+ACCIDENTES!AG65+ACCIDENTES!AB65+ACCIDENTES!W65+ACCIDENTES!R65+ACCIDENTES!M65+ACCIDENTES!H65+ACCIDENTES!C65)/(HH!F65+HH!J65+HH!N65+HH!R65+HH!V65+HH!Z65+HH!AD65+HH!AH65+HH!AL65+HH!AP65))*1000000</f>
        <v>3.3267176009309489</v>
      </c>
      <c r="AE65" s="59">
        <f>((ACCIDENTES!D65+ACCIDENTES!I65+ACCIDENTES!N65+ACCIDENTES!S65+ACCIDENTES!X65+ACCIDENTES!AC65+ACCIDENTES!AH65+ACCIDENTES!AM65+ACCIDENTES!AR65+ACCIDENTES!AW65)/(HH!AP65+HH!AL65+HH!AH65+HH!AD65+HH!Z65+HH!V65+HH!R65+HH!N65+HH!J65+HH!F65))*1000000</f>
        <v>4.9900764013964238</v>
      </c>
      <c r="AF65" s="59">
        <f>((ACCIDENTES!AY65+ACCIDENTES!AT65+ACCIDENTES!AO65+ACCIDENTES!AJ65+ACCIDENTES!AE65+ACCIDENTES!Z65+ACCIDENTES!U65+ACCIDENTES!P65+ACCIDENTES!K65+ACCIDENTES!F65)/(HH!F65+HH!J65+HH!N65+HH!R65+HH!V65+HH!Z65+HH!AD65+HH!AH65+HH!AL65+HH!AP65))*1000000</f>
        <v>3.3267176009309489</v>
      </c>
      <c r="AG65" s="59">
        <f>((ACCIDENTES!BA65+ACCIDENTES!AV65+ACCIDENTES!AQ65+ACCIDENTES!AL65+ACCIDENTES!AG65+ACCIDENTES!AB65+ACCIDENTES!W65+ACCIDENTES!R65+ACCIDENTES!M65+ACCIDENTES!H65+ACCIDENTES!C65)/(HH!AT65+HH!AP65+HH!AL65+HH!AH65+HH!AD65+HH!Z65+HH!V65+HH!R65+HH!N65+HH!J65+HH!F65))*1000000</f>
        <v>3.0775849944341878</v>
      </c>
      <c r="AH65" s="59">
        <f>((ACCIDENTES!D65+ACCIDENTES!I65+ACCIDENTES!N65+ACCIDENTES!S65+ACCIDENTES!X65+ACCIDENTES!AC65+ACCIDENTES!AH65+ACCIDENTES!AM65+ACCIDENTES!AR65+ACCIDENTES!AW65+ACCIDENTES!BB65)/(HH!F65+HH!J65+HH!N65+HH!R65+HH!V65+HH!Z65+HH!AD65+HH!AH65+HH!AL65+HH!AP65+HH!AT65))*1000000</f>
        <v>4.6163774916512814</v>
      </c>
      <c r="AI65" s="59">
        <f>((ACCIDENTES!BD65+ACCIDENTES!AY65+ACCIDENTES!AT65+ACCIDENTES!AO65+ACCIDENTES!AJ65+ACCIDENTES!AE65+ACCIDENTES!Z65+ACCIDENTES!U65+ACCIDENTES!P65+ACCIDENTES!K65+ACCIDENTES!F65)/(HH!F65+HH!J65+HH!N65+HH!R65+HH!V65+HH!Z65+HH!AD65+HH!AH65+HH!AL65+HH!AP65+HH!AT65))*1000000</f>
        <v>3.0775849944341878</v>
      </c>
      <c r="AJ65" s="59">
        <f>(ACCIDENTES!BK65/HH!BB65)*1000000</f>
        <v>2.7952004172675187</v>
      </c>
      <c r="AK65" s="59">
        <f>(ACCIDENTES!BL65/HH!BB65)*1000000</f>
        <v>4.1928006259012776</v>
      </c>
      <c r="AL65" s="59">
        <f>(ACCIDENTES!BN65/HH!BB65)*1000000</f>
        <v>2.7952004172675187</v>
      </c>
      <c r="AN65" s="41">
        <f t="shared" si="0"/>
        <v>0</v>
      </c>
      <c r="AO65" s="41">
        <f t="shared" si="1"/>
        <v>0</v>
      </c>
      <c r="AP65" s="42"/>
      <c r="AR65" s="41">
        <v>2.2999999999999998</v>
      </c>
      <c r="AS65" s="41">
        <v>105.3</v>
      </c>
      <c r="AT65" s="41">
        <v>1.1499999999999999</v>
      </c>
      <c r="AV65" s="118"/>
      <c r="AW65" s="60"/>
      <c r="AX65" s="60"/>
      <c r="AY65" s="63"/>
      <c r="AZ65" s="118"/>
      <c r="BA65" s="60"/>
      <c r="BB65" s="60"/>
      <c r="BC65" s="63"/>
      <c r="BD65" s="118"/>
      <c r="BE65" s="60"/>
      <c r="BF65" s="60"/>
    </row>
    <row r="66" spans="1:65" outlineLevel="1" x14ac:dyDescent="0.3">
      <c r="A66" s="10" t="s">
        <v>84</v>
      </c>
      <c r="B66" s="11" t="s">
        <v>90</v>
      </c>
      <c r="C66" s="58">
        <f>(ACCIDENTES!C66/HH!F66)*1000000</f>
        <v>0</v>
      </c>
      <c r="D66" s="59">
        <f>(ACCIDENTES!D66/HH!F66)*1000000</f>
        <v>0</v>
      </c>
      <c r="E66" s="59">
        <f>(ACCIDENTES!F66/HH!F66)*1000000</f>
        <v>0</v>
      </c>
      <c r="F66" s="59">
        <f>((ACCIDENTES!C66+ACCIDENTES!H66)/(HH!F66+HH!J66))*1000000</f>
        <v>0</v>
      </c>
      <c r="G66" s="59">
        <f>((ACCIDENTES!D66+ACCIDENTES!I66)/(HH!F66+HH!J66))*1000000</f>
        <v>0</v>
      </c>
      <c r="H66" s="59">
        <f>((ACCIDENTES!F66+ACCIDENTES!K66)/(HH!F66+HH!J66))*1000000</f>
        <v>0</v>
      </c>
      <c r="I66" s="59">
        <f>((ACCIDENTES!C66+ACCIDENTES!H66+ACCIDENTES!M66)/(HH!F66+HH!J66+HH!N66))*1000000</f>
        <v>0</v>
      </c>
      <c r="J66" s="59">
        <f>((ACCIDENTES!D66+ACCIDENTES!I66+ACCIDENTES!N66)/(HH!F66+HH!J66+HH!N66))*1000000</f>
        <v>0</v>
      </c>
      <c r="K66" s="59">
        <f>((ACCIDENTES!F66+ACCIDENTES!K66+ACCIDENTES!P66)/(HH!J66+HH!N66+HH!F66))*1000000</f>
        <v>0</v>
      </c>
      <c r="L66" s="59">
        <f>((ACCIDENTES!C66+ACCIDENTES!H66+ACCIDENTES!M66+ACCIDENTES!R66)/(HH!F66+HH!J66+HH!N66+HH!R66))*1000000</f>
        <v>0</v>
      </c>
      <c r="M66" s="59">
        <f>((ACCIDENTES!D66+ACCIDENTES!I66+ACCIDENTES!N66+ACCIDENTES!S66)/(HH!F66+HH!J66+HH!N66+HH!R66))*1000000</f>
        <v>0</v>
      </c>
      <c r="N66" s="59">
        <f>((ACCIDENTES!F66+ACCIDENTES!K66+ACCIDENTES!P66+ACCIDENTES!U66)/(HH!F66+HH!J66+HH!N66+HH!R66))*1000000</f>
        <v>0</v>
      </c>
      <c r="O66" s="59">
        <f>((ACCIDENTES!C66+ACCIDENTES!H66+ACCIDENTES!M66+ACCIDENTES!R66+ACCIDENTES!W66)/(HH!F66+HH!J66+HH!N66+HH!R66+HH!V66))*1000000</f>
        <v>0</v>
      </c>
      <c r="P66" s="59">
        <f>(((ACCIDENTES!D66+ACCIDENTES!I66+ACCIDENTES!N66+ACCIDENTES!S66+ACCIDENTES!X66)/(HH!F66+HH!J66+HH!N66+HH!R66+HH!V66))*1000000)</f>
        <v>0</v>
      </c>
      <c r="Q66" s="59">
        <f>((ACCIDENTES!F66+ACCIDENTES!K66+ACCIDENTES!P66+ACCIDENTES!U66+ACCIDENTES!Z66)/(HH!F66+HH!J66+HH!N66+HH!R66+HH!V66))*1000000</f>
        <v>0</v>
      </c>
      <c r="R66" s="59">
        <f>(ACCIDENTES!C66+ACCIDENTES!H66+ACCIDENTES!M66+ACCIDENTES!R66+ACCIDENTES!W66+ACCIDENTES!AB66)*1000000/(HH!F66+HH!J66+HH!N66+HH!R66+HH!V66+HH!Z66)</f>
        <v>0</v>
      </c>
      <c r="S66" s="59">
        <f>(ACCIDENTES!D66+ACCIDENTES!I66+ACCIDENTES!N66+ACCIDENTES!S66+ACCIDENTES!X66+ACCIDENTES!AC66)*1000000/(HH!F66+HH!J66+HH!N66+HH!R66+HH!V66+HH!Z66)</f>
        <v>0</v>
      </c>
      <c r="T66" s="59">
        <f>(ACCIDENTES!F66+ACCIDENTES!K66+ACCIDENTES!P66+ACCIDENTES!U66+ACCIDENTES!Z66+ACCIDENTES!AE66)*1000000/(HH!F66+HH!J66+HH!N66+HH!R66+HH!V66+HH!Z66)</f>
        <v>0</v>
      </c>
      <c r="U66" s="59">
        <f>((ACCIDENTES!C66+ACCIDENTES!H66+ACCIDENTES!M66+ACCIDENTES!R66+ACCIDENTES!W66+ACCIDENTES!AB66+ACCIDENTES!AG66)/(HH!F66+HH!J66+HH!N66+HH!R66+HH!V66+HH!Z66+HH!AD66))*1000000</f>
        <v>0</v>
      </c>
      <c r="V66" s="59">
        <f>((ACCIDENTES!D66+ACCIDENTES!I66+ACCIDENTES!N66+ACCIDENTES!S66+ACCIDENTES!X66+ACCIDENTES!AC66+ACCIDENTES!AH66)/(HH!F66+HH!J66+HH!N66+HH!R66+HH!V66+HH!Z66+HH!AD66))*1000000</f>
        <v>0</v>
      </c>
      <c r="W66" s="59">
        <f>((ACCIDENTES!F66+ACCIDENTES!K66+ACCIDENTES!P66+ACCIDENTES!U66+ACCIDENTES!Z66+ACCIDENTES!AE66+ACCIDENTES!AJ66)/(HH!F66+HH!J66+HH!N66+HH!R66+HH!V66+HH!Z66+HH!AD66))*1000000</f>
        <v>0</v>
      </c>
      <c r="X66" s="59">
        <f>((ACCIDENTES!C66+ACCIDENTES!H66+ACCIDENTES!M66+ACCIDENTES!R66+ACCIDENTES!W66+ACCIDENTES!AB66+ACCIDENTES!AG66+ACCIDENTES!AL66)/(HH!F66+HH!J66+HH!N66+HH!R66+HH!V66+HH!Z66+HH!AD66+HH!AH66))*1000000</f>
        <v>0</v>
      </c>
      <c r="Y66" s="59">
        <f>((ACCIDENTES!D66+ACCIDENTES!I66+ACCIDENTES!N66+ACCIDENTES!S66+ACCIDENTES!X66+ACCIDENTES!AC66+ACCIDENTES!AH66+ACCIDENTES!AM66)/(HH!F66+HH!J66+HH!N66+HH!R66+HH!V66+HH!Z66+HH!AD66+HH!AH66))*1000000</f>
        <v>0</v>
      </c>
      <c r="Z66" s="59">
        <f>((ACCIDENTES!F66+ACCIDENTES!K66+ACCIDENTES!P66+ACCIDENTES!U66+ACCIDENTES!Z66+ACCIDENTES!AE66+ACCIDENTES!AJ66+ACCIDENTES!AO66)/(HH!F66+HH!J66+HH!N66+HH!R66+HH!V66+HH!Z66+HH!AD66+HH!AH66))*1000000</f>
        <v>0</v>
      </c>
      <c r="AA66" s="59">
        <f>((ACCIDENTES!AQ66+ACCIDENTES!AL66+ACCIDENTES!AG66+ACCIDENTES!AB66+ACCIDENTES!W66+ACCIDENTES!R66+ACCIDENTES!M66+ACCIDENTES!H66+ACCIDENTES!C66)/(HH!AL66+HH!AH66+HH!AD66+HH!Z66+HH!V66+HH!R66+HH!N66+HH!J66+HH!F66))*1000000</f>
        <v>0</v>
      </c>
      <c r="AB66" s="59">
        <f>((ACCIDENTES!AR66+ACCIDENTES!AM66+ACCIDENTES!AH66+ACCIDENTES!AC66+ACCIDENTES!X66+ACCIDENTES!S66+ACCIDENTES!N66+ACCIDENTES!I66+ACCIDENTES!D66)/(HH!AL66+HH!AH66+HH!AD66+HH!Z66+HH!V66+HH!R66+HH!N66+HH!J66+HH!F66))*1000000</f>
        <v>0</v>
      </c>
      <c r="AC66" s="59">
        <f>((ACCIDENTES!F66+ACCIDENTES!K66+ACCIDENTES!P66+ACCIDENTES!U66+ACCIDENTES!Z66+ACCIDENTES!AE66+ACCIDENTES!AJ66+ACCIDENTES!AO66+ACCIDENTES!AT66)/(HH!F66+HH!J66+HH!N66+HH!R66+HH!V66+HH!Z66+HH!AD66+HH!AH66+HH!AL66))*1000000</f>
        <v>0</v>
      </c>
      <c r="AD66" s="59">
        <f>((ACCIDENTES!AV66+ACCIDENTES!AQ66+ACCIDENTES!AL66+ACCIDENTES!AG66+ACCIDENTES!AB66+ACCIDENTES!W66+ACCIDENTES!R66+ACCIDENTES!M66+ACCIDENTES!H66+ACCIDENTES!C66)/(HH!F66+HH!J66+HH!N66+HH!R66+HH!V66+HH!Z66+HH!AD66+HH!AH66+HH!AL66+HH!AP66))*1000000</f>
        <v>0</v>
      </c>
      <c r="AE66" s="59">
        <f>((ACCIDENTES!D66+ACCIDENTES!I66+ACCIDENTES!N66+ACCIDENTES!S66+ACCIDENTES!X66+ACCIDENTES!AC66+ACCIDENTES!AH66+ACCIDENTES!AM66+ACCIDENTES!AR66+ACCIDENTES!AW66)/(HH!AP66+HH!AL66+HH!AH66+HH!AD66+HH!Z66+HH!V66+HH!R66+HH!N66+HH!J66+HH!F66))*1000000</f>
        <v>0</v>
      </c>
      <c r="AF66" s="59">
        <f>((ACCIDENTES!AY66+ACCIDENTES!AT66+ACCIDENTES!AO66+ACCIDENTES!AJ66+ACCIDENTES!AE66+ACCIDENTES!Z66+ACCIDENTES!U66+ACCIDENTES!P66+ACCIDENTES!K66+ACCIDENTES!F66)/(HH!F66+HH!J66+HH!N66+HH!R66+HH!V66+HH!Z66+HH!AD66+HH!AH66+HH!AL66+HH!AP66))*1000000</f>
        <v>0</v>
      </c>
      <c r="AG66" s="59">
        <f>((ACCIDENTES!BA66+ACCIDENTES!AV66+ACCIDENTES!AQ66+ACCIDENTES!AL66+ACCIDENTES!AG66+ACCIDENTES!AB66+ACCIDENTES!W66+ACCIDENTES!R66+ACCIDENTES!M66+ACCIDENTES!H66+ACCIDENTES!C66)/(HH!AT66+HH!AP66+HH!AL66+HH!AH66+HH!AD66+HH!Z66+HH!V66+HH!R66+HH!N66+HH!J66+HH!F66))*1000000</f>
        <v>0</v>
      </c>
      <c r="AH66" s="59">
        <f>((ACCIDENTES!D66+ACCIDENTES!I66+ACCIDENTES!N66+ACCIDENTES!S66+ACCIDENTES!X66+ACCIDENTES!AC66+ACCIDENTES!AH66+ACCIDENTES!AM66+ACCIDENTES!AR66+ACCIDENTES!AW66+ACCIDENTES!BB66)/(HH!F66+HH!J66+HH!N66+HH!R66+HH!V66+HH!Z66+HH!AD66+HH!AH66+HH!AL66+HH!AP66+HH!AT66))*1000000</f>
        <v>0</v>
      </c>
      <c r="AI66" s="59">
        <f>((ACCIDENTES!BD66+ACCIDENTES!AY66+ACCIDENTES!AT66+ACCIDENTES!AO66+ACCIDENTES!AJ66+ACCIDENTES!AE66+ACCIDENTES!Z66+ACCIDENTES!U66+ACCIDENTES!P66+ACCIDENTES!K66+ACCIDENTES!F66)/(HH!F66+HH!J66+HH!N66+HH!R66+HH!V66+HH!Z66+HH!AD66+HH!AH66+HH!AL66+HH!AP66+HH!AT66))*1000000</f>
        <v>0</v>
      </c>
      <c r="AJ66" s="59">
        <f>(ACCIDENTES!BK66/HH!BB66)*1000000</f>
        <v>0</v>
      </c>
      <c r="AK66" s="59">
        <f>(ACCIDENTES!BL66/HH!BB66)*1000000</f>
        <v>0</v>
      </c>
      <c r="AL66" s="59">
        <f>(ACCIDENTES!BN66/HH!BB66)*1000000</f>
        <v>0</v>
      </c>
      <c r="AN66" s="41">
        <f t="shared" si="0"/>
        <v>0</v>
      </c>
      <c r="AO66" s="41">
        <f t="shared" si="1"/>
        <v>0</v>
      </c>
      <c r="AP66" s="42"/>
      <c r="AR66" s="41"/>
      <c r="AS66" s="41"/>
      <c r="AT66" s="41"/>
      <c r="AV66" s="118"/>
      <c r="AW66" s="60"/>
      <c r="AX66" s="60"/>
      <c r="AY66" s="63"/>
      <c r="AZ66" s="118"/>
      <c r="BA66" s="60"/>
      <c r="BB66" s="60"/>
      <c r="BC66" s="63"/>
      <c r="BD66" s="118"/>
      <c r="BE66" s="60"/>
      <c r="BF66" s="60"/>
    </row>
    <row r="67" spans="1:65" outlineLevel="1" x14ac:dyDescent="0.3">
      <c r="A67" s="10" t="s">
        <v>84</v>
      </c>
      <c r="B67" s="11" t="s">
        <v>91</v>
      </c>
      <c r="C67" s="58">
        <f>(ACCIDENTES!C67/HH!F67)*1000000</f>
        <v>0</v>
      </c>
      <c r="D67" s="59">
        <f>(ACCIDENTES!D67/HH!F67)*1000000</f>
        <v>0</v>
      </c>
      <c r="E67" s="59">
        <f>(ACCIDENTES!F67/HH!F67)*1000000</f>
        <v>0</v>
      </c>
      <c r="F67" s="59">
        <f>((ACCIDENTES!C67+ACCIDENTES!H67)/(HH!F67+HH!J67))*1000000</f>
        <v>0</v>
      </c>
      <c r="G67" s="59">
        <f>((ACCIDENTES!D67+ACCIDENTES!I67)/(HH!F67+HH!J67))*1000000</f>
        <v>0</v>
      </c>
      <c r="H67" s="59">
        <f>((ACCIDENTES!F67+ACCIDENTES!K67)/(HH!F67+HH!J67))*1000000</f>
        <v>0</v>
      </c>
      <c r="I67" s="59">
        <f>((ACCIDENTES!C67+ACCIDENTES!H67+ACCIDENTES!M67)/(HH!F67+HH!J67+HH!N67))*1000000</f>
        <v>0</v>
      </c>
      <c r="J67" s="59">
        <f>((ACCIDENTES!D67+ACCIDENTES!I67+ACCIDENTES!N67)/(HH!F67+HH!J67+HH!N67))*1000000</f>
        <v>0</v>
      </c>
      <c r="K67" s="59">
        <f>((ACCIDENTES!F67+ACCIDENTES!K67+ACCIDENTES!P67)/(HH!J67+HH!N67+HH!F67))*1000000</f>
        <v>0</v>
      </c>
      <c r="L67" s="59">
        <f>((ACCIDENTES!C67+ACCIDENTES!H67+ACCIDENTES!M67+ACCIDENTES!R67)/(HH!F67+HH!J67+HH!N67+HH!R67))*1000000</f>
        <v>0</v>
      </c>
      <c r="M67" s="59">
        <f>((ACCIDENTES!D67+ACCIDENTES!I67+ACCIDENTES!N67+ACCIDENTES!S67)/(HH!F67+HH!J67+HH!N67+HH!R67))*1000000</f>
        <v>0</v>
      </c>
      <c r="N67" s="59">
        <f>((ACCIDENTES!F67+ACCIDENTES!K67+ACCIDENTES!P67+ACCIDENTES!U67)/(HH!F67+HH!J67+HH!N67+HH!R67))*1000000</f>
        <v>0</v>
      </c>
      <c r="O67" s="59">
        <f>((ACCIDENTES!C67+ACCIDENTES!H67+ACCIDENTES!M67+ACCIDENTES!R67+ACCIDENTES!W67)/(HH!F67+HH!J67+HH!N67+HH!R67+HH!V67))*1000000</f>
        <v>0</v>
      </c>
      <c r="P67" s="59">
        <f>(((ACCIDENTES!D67+ACCIDENTES!I67+ACCIDENTES!N67+ACCIDENTES!S67+ACCIDENTES!X67)/(HH!F67+HH!J67+HH!N67+HH!R67+HH!V67))*1000000)</f>
        <v>0</v>
      </c>
      <c r="Q67" s="59">
        <f>((ACCIDENTES!F67+ACCIDENTES!K67+ACCIDENTES!P67+ACCIDENTES!U67+ACCIDENTES!Z67)/(HH!F67+HH!J67+HH!N67+HH!R67+HH!V67))*1000000</f>
        <v>0</v>
      </c>
      <c r="R67" s="59">
        <f>(ACCIDENTES!C67+ACCIDENTES!H67+ACCIDENTES!M67+ACCIDENTES!R67+ACCIDENTES!W67+ACCIDENTES!AB67)*1000000/(HH!F67+HH!J67+HH!N67+HH!R67+HH!V67+HH!Z67)</f>
        <v>0</v>
      </c>
      <c r="S67" s="59">
        <f>(ACCIDENTES!D67+ACCIDENTES!I67+ACCIDENTES!N67+ACCIDENTES!S67+ACCIDENTES!X67+ACCIDENTES!AC67)*1000000/(HH!F67+HH!J67+HH!N67+HH!R67+HH!V67+HH!Z67)</f>
        <v>0</v>
      </c>
      <c r="T67" s="59">
        <f>(ACCIDENTES!F67+ACCIDENTES!K67+ACCIDENTES!P67+ACCIDENTES!U67+ACCIDENTES!Z67+ACCIDENTES!AE67)*1000000/(HH!F67+HH!J67+HH!N67+HH!R67+HH!V67+HH!Z67)</f>
        <v>0</v>
      </c>
      <c r="U67" s="59">
        <f>((ACCIDENTES!C67+ACCIDENTES!H67+ACCIDENTES!M67+ACCIDENTES!R67+ACCIDENTES!W67+ACCIDENTES!AB67+ACCIDENTES!AG67)/(HH!F67+HH!J67+HH!N67+HH!R67+HH!V67+HH!Z67+HH!AD67))*1000000</f>
        <v>0</v>
      </c>
      <c r="V67" s="59">
        <f>((ACCIDENTES!D67+ACCIDENTES!I67+ACCIDENTES!N67+ACCIDENTES!S67+ACCIDENTES!X67+ACCIDENTES!AC67+ACCIDENTES!AH67)/(HH!F67+HH!J67+HH!N67+HH!R67+HH!V67+HH!Z67+HH!AD67))*1000000</f>
        <v>0</v>
      </c>
      <c r="W67" s="59">
        <f>((ACCIDENTES!F67+ACCIDENTES!K67+ACCIDENTES!P67+ACCIDENTES!U67+ACCIDENTES!Z67+ACCIDENTES!AE67+ACCIDENTES!AJ67)/(HH!F67+HH!J67+HH!N67+HH!R67+HH!V67+HH!Z67+HH!AD67))*1000000</f>
        <v>0</v>
      </c>
      <c r="X67" s="59">
        <f>((ACCIDENTES!C67+ACCIDENTES!H67+ACCIDENTES!M67+ACCIDENTES!R67+ACCIDENTES!W67+ACCIDENTES!AB67+ACCIDENTES!AG67+ACCIDENTES!AL67)/(HH!F67+HH!J67+HH!N67+HH!R67+HH!V67+HH!Z67+HH!AD67+HH!AH67))*1000000</f>
        <v>0</v>
      </c>
      <c r="Y67" s="59">
        <f>((ACCIDENTES!D67+ACCIDENTES!I67+ACCIDENTES!N67+ACCIDENTES!S67+ACCIDENTES!X67+ACCIDENTES!AC67+ACCIDENTES!AH67+ACCIDENTES!AM67)/(HH!F67+HH!J67+HH!N67+HH!R67+HH!V67+HH!Z67+HH!AD67+HH!AH67))*1000000</f>
        <v>0</v>
      </c>
      <c r="Z67" s="59">
        <f>((ACCIDENTES!F67+ACCIDENTES!K67+ACCIDENTES!P67+ACCIDENTES!U67+ACCIDENTES!Z67+ACCIDENTES!AE67+ACCIDENTES!AJ67+ACCIDENTES!AO67)/(HH!F67+HH!J67+HH!N67+HH!R67+HH!V67+HH!Z67+HH!AD67+HH!AH67))*1000000</f>
        <v>0</v>
      </c>
      <c r="AA67" s="59">
        <f>((ACCIDENTES!AQ67+ACCIDENTES!AL67+ACCIDENTES!AG67+ACCIDENTES!AB67+ACCIDENTES!W67+ACCIDENTES!R67+ACCIDENTES!M67+ACCIDENTES!H67+ACCIDENTES!C67)/(HH!AL67+HH!AH67+HH!AD67+HH!Z67+HH!V67+HH!R67+HH!N67+HH!J67+HH!F67))*1000000</f>
        <v>0</v>
      </c>
      <c r="AB67" s="59">
        <f>((ACCIDENTES!AR67+ACCIDENTES!AM67+ACCIDENTES!AH67+ACCIDENTES!AC67+ACCIDENTES!X67+ACCIDENTES!S67+ACCIDENTES!N67+ACCIDENTES!I67+ACCIDENTES!D67)/(HH!AL67+HH!AH67+HH!AD67+HH!Z67+HH!V67+HH!R67+HH!N67+HH!J67+HH!F67))*1000000</f>
        <v>0</v>
      </c>
      <c r="AC67" s="59">
        <f>((ACCIDENTES!F67+ACCIDENTES!K67+ACCIDENTES!P67+ACCIDENTES!U67+ACCIDENTES!Z67+ACCIDENTES!AE67+ACCIDENTES!AJ67+ACCIDENTES!AO67+ACCIDENTES!AT67)/(HH!F67+HH!J67+HH!N67+HH!R67+HH!V67+HH!Z67+HH!AD67+HH!AH67+HH!AL67))*1000000</f>
        <v>0</v>
      </c>
      <c r="AD67" s="59">
        <f>((ACCIDENTES!AV67+ACCIDENTES!AQ67+ACCIDENTES!AL67+ACCIDENTES!AG67+ACCIDENTES!AB67+ACCIDENTES!W67+ACCIDENTES!R67+ACCIDENTES!M67+ACCIDENTES!H67+ACCIDENTES!C67)/(HH!F67+HH!J67+HH!N67+HH!R67+HH!V67+HH!Z67+HH!AD67+HH!AH67+HH!AL67+HH!AP67))*1000000</f>
        <v>0</v>
      </c>
      <c r="AE67" s="59">
        <f>((ACCIDENTES!D67+ACCIDENTES!I67+ACCIDENTES!N67+ACCIDENTES!S67+ACCIDENTES!X67+ACCIDENTES!AC67+ACCIDENTES!AH67+ACCIDENTES!AM67+ACCIDENTES!AR67+ACCIDENTES!AW67)/(HH!AP67+HH!AL67+HH!AH67+HH!AD67+HH!Z67+HH!V67+HH!R67+HH!N67+HH!J67+HH!F67))*1000000</f>
        <v>0</v>
      </c>
      <c r="AF67" s="59">
        <f>((ACCIDENTES!AY67+ACCIDENTES!AT67+ACCIDENTES!AO67+ACCIDENTES!AJ67+ACCIDENTES!AE67+ACCIDENTES!Z67+ACCIDENTES!U67+ACCIDENTES!P67+ACCIDENTES!K67+ACCIDENTES!F67)/(HH!F67+HH!J67+HH!N67+HH!R67+HH!V67+HH!Z67+HH!AD67+HH!AH67+HH!AL67+HH!AP67))*1000000</f>
        <v>0</v>
      </c>
      <c r="AG67" s="59">
        <f>((ACCIDENTES!BA67+ACCIDENTES!AV67+ACCIDENTES!AQ67+ACCIDENTES!AL67+ACCIDENTES!AG67+ACCIDENTES!AB67+ACCIDENTES!W67+ACCIDENTES!R67+ACCIDENTES!M67+ACCIDENTES!H67+ACCIDENTES!C67)/(HH!AT67+HH!AP67+HH!AL67+HH!AH67+HH!AD67+HH!Z67+HH!V67+HH!R67+HH!N67+HH!J67+HH!F67))*1000000</f>
        <v>0</v>
      </c>
      <c r="AH67" s="59">
        <f>((ACCIDENTES!D67+ACCIDENTES!I67+ACCIDENTES!N67+ACCIDENTES!S67+ACCIDENTES!X67+ACCIDENTES!AC67+ACCIDENTES!AH67+ACCIDENTES!AM67+ACCIDENTES!AR67+ACCIDENTES!AW67+ACCIDENTES!BB67)/(HH!F67+HH!J67+HH!N67+HH!R67+HH!V67+HH!Z67+HH!AD67+HH!AH67+HH!AL67+HH!AP67+HH!AT67))*1000000</f>
        <v>0</v>
      </c>
      <c r="AI67" s="59">
        <f>((ACCIDENTES!BD67+ACCIDENTES!AY67+ACCIDENTES!AT67+ACCIDENTES!AO67+ACCIDENTES!AJ67+ACCIDENTES!AE67+ACCIDENTES!Z67+ACCIDENTES!U67+ACCIDENTES!P67+ACCIDENTES!K67+ACCIDENTES!F67)/(HH!F67+HH!J67+HH!N67+HH!R67+HH!V67+HH!Z67+HH!AD67+HH!AH67+HH!AL67+HH!AP67+HH!AT67))*1000000</f>
        <v>0</v>
      </c>
      <c r="AJ67" s="59">
        <f>(ACCIDENTES!BK67/HH!BB67)*1000000</f>
        <v>0</v>
      </c>
      <c r="AK67" s="59">
        <f>(ACCIDENTES!BL67/HH!BB67)*1000000</f>
        <v>0</v>
      </c>
      <c r="AL67" s="59">
        <f>(ACCIDENTES!BN67/HH!BB67)*1000000</f>
        <v>0</v>
      </c>
      <c r="AN67" s="41">
        <f t="shared" si="0"/>
        <v>0</v>
      </c>
      <c r="AO67" s="41">
        <f t="shared" si="1"/>
        <v>0</v>
      </c>
      <c r="AP67" s="42"/>
      <c r="AQ67" s="131"/>
      <c r="AR67" s="41"/>
      <c r="AS67" s="41"/>
      <c r="AT67" s="41"/>
      <c r="AV67" s="118"/>
      <c r="AW67" s="60"/>
      <c r="AX67" s="60"/>
      <c r="AY67" s="63"/>
      <c r="AZ67" s="118"/>
      <c r="BA67" s="60"/>
      <c r="BB67" s="60"/>
      <c r="BC67" s="63"/>
      <c r="BD67" s="118"/>
      <c r="BE67" s="60"/>
      <c r="BF67" s="60"/>
    </row>
    <row r="68" spans="1:65" outlineLevel="1" x14ac:dyDescent="0.3">
      <c r="A68" s="10" t="s">
        <v>84</v>
      </c>
      <c r="B68" s="11" t="s">
        <v>92</v>
      </c>
      <c r="C68" s="58">
        <f>(ACCIDENTES!C68/HH!F68)*1000000</f>
        <v>0</v>
      </c>
      <c r="D68" s="59">
        <f>(ACCIDENTES!D68/HH!F68)*1000000</f>
        <v>0</v>
      </c>
      <c r="E68" s="59">
        <f>(ACCIDENTES!F68/HH!F68)*1000000</f>
        <v>0</v>
      </c>
      <c r="F68" s="59">
        <f>((ACCIDENTES!C68+ACCIDENTES!H68)/(HH!F68+HH!J68))*1000000</f>
        <v>0</v>
      </c>
      <c r="G68" s="59">
        <f>((ACCIDENTES!D68+ACCIDENTES!I68)/(HH!F68+HH!J68))*1000000</f>
        <v>0</v>
      </c>
      <c r="H68" s="59">
        <f>((ACCIDENTES!F68+ACCIDENTES!K68)/(HH!F68+HH!J68))*1000000</f>
        <v>0</v>
      </c>
      <c r="I68" s="59">
        <f>((ACCIDENTES!C68+ACCIDENTES!H68+ACCIDENTES!M68)/(HH!F68+HH!J68+HH!N68))*1000000</f>
        <v>0</v>
      </c>
      <c r="J68" s="59">
        <f>((ACCIDENTES!D68+ACCIDENTES!I68+ACCIDENTES!N68)/(HH!F68+HH!J68+HH!N68))*1000000</f>
        <v>0</v>
      </c>
      <c r="K68" s="59">
        <f>((ACCIDENTES!F68+ACCIDENTES!K68+ACCIDENTES!P68)/(HH!J68+HH!N68+HH!F68))*1000000</f>
        <v>0</v>
      </c>
      <c r="L68" s="59">
        <f>((ACCIDENTES!C68+ACCIDENTES!H68+ACCIDENTES!M68+ACCIDENTES!R68)/(HH!F68+HH!J68+HH!N68+HH!R68))*1000000</f>
        <v>0</v>
      </c>
      <c r="M68" s="59">
        <f>((ACCIDENTES!D68+ACCIDENTES!I68+ACCIDENTES!N68+ACCIDENTES!S68)/(HH!F68+HH!J68+HH!N68+HH!R68))*1000000</f>
        <v>0</v>
      </c>
      <c r="N68" s="59">
        <f>((ACCIDENTES!F68+ACCIDENTES!K68+ACCIDENTES!P68+ACCIDENTES!U68)/(HH!F68+HH!J68+HH!N68+HH!R68))*1000000</f>
        <v>0</v>
      </c>
      <c r="O68" s="59">
        <f>((ACCIDENTES!C68+ACCIDENTES!H68+ACCIDENTES!M68+ACCIDENTES!R68+ACCIDENTES!W68)/(HH!F68+HH!J68+HH!N68+HH!R68+HH!V68))*1000000</f>
        <v>0</v>
      </c>
      <c r="P68" s="59">
        <f>(((ACCIDENTES!D68+ACCIDENTES!I68+ACCIDENTES!N68+ACCIDENTES!S68+ACCIDENTES!X68)/(HH!F68+HH!J68+HH!N68+HH!R68+HH!V68))*1000000)</f>
        <v>0</v>
      </c>
      <c r="Q68" s="59">
        <f>((ACCIDENTES!F68+ACCIDENTES!K68+ACCIDENTES!P68+ACCIDENTES!U68+ACCIDENTES!Z68)/(HH!F68+HH!J68+HH!N68+HH!R68+HH!V68))*1000000</f>
        <v>0</v>
      </c>
      <c r="R68" s="59">
        <f>(ACCIDENTES!C68+ACCIDENTES!H68+ACCIDENTES!M68+ACCIDENTES!R68+ACCIDENTES!W68+ACCIDENTES!AB68)*1000000/(HH!F68+HH!J68+HH!N68+HH!R68+HH!V68+HH!Z68)</f>
        <v>0</v>
      </c>
      <c r="S68" s="59">
        <f>(ACCIDENTES!D68+ACCIDENTES!I68+ACCIDENTES!N68+ACCIDENTES!S68+ACCIDENTES!X68+ACCIDENTES!AC68)*1000000/(HH!F68+HH!J68+HH!N68+HH!R68+HH!V68+HH!Z68)</f>
        <v>0</v>
      </c>
      <c r="T68" s="59">
        <f>(ACCIDENTES!F68+ACCIDENTES!K68+ACCIDENTES!P68+ACCIDENTES!U68+ACCIDENTES!Z68+ACCIDENTES!AE68)*1000000/(HH!F68+HH!J68+HH!N68+HH!R68+HH!V68+HH!Z68)</f>
        <v>0</v>
      </c>
      <c r="U68" s="59">
        <f>((ACCIDENTES!C68+ACCIDENTES!H68+ACCIDENTES!M68+ACCIDENTES!R68+ACCIDENTES!W68+ACCIDENTES!AB68+ACCIDENTES!AG68)/(HH!F68+HH!J68+HH!N68+HH!R68+HH!V68+HH!Z68+HH!AD68))*1000000</f>
        <v>0</v>
      </c>
      <c r="V68" s="59">
        <f>((ACCIDENTES!D68+ACCIDENTES!I68+ACCIDENTES!N68+ACCIDENTES!S68+ACCIDENTES!X68+ACCIDENTES!AC68+ACCIDENTES!AH68)/(HH!F68+HH!J68+HH!N68+HH!R68+HH!V68+HH!Z68+HH!AD68))*1000000</f>
        <v>0</v>
      </c>
      <c r="W68" s="59">
        <f>((ACCIDENTES!F68+ACCIDENTES!K68+ACCIDENTES!P68+ACCIDENTES!U68+ACCIDENTES!Z68+ACCIDENTES!AE68+ACCIDENTES!AJ68)/(HH!F68+HH!J68+HH!N68+HH!R68+HH!V68+HH!Z68+HH!AD68))*1000000</f>
        <v>0</v>
      </c>
      <c r="X68" s="59">
        <f>((ACCIDENTES!C68+ACCIDENTES!H68+ACCIDENTES!M68+ACCIDENTES!R68+ACCIDENTES!W68+ACCIDENTES!AB68+ACCIDENTES!AG68+ACCIDENTES!AL68)/(HH!F68+HH!J68+HH!N68+HH!R68+HH!V68+HH!Z68+HH!AD68+HH!AH68))*1000000</f>
        <v>0</v>
      </c>
      <c r="Y68" s="59">
        <f>((ACCIDENTES!D68+ACCIDENTES!I68+ACCIDENTES!N68+ACCIDENTES!S68+ACCIDENTES!X68+ACCIDENTES!AC68+ACCIDENTES!AH68+ACCIDENTES!AM68)/(HH!F68+HH!J68+HH!N68+HH!R68+HH!V68+HH!Z68+HH!AD68+HH!AH68))*1000000</f>
        <v>0</v>
      </c>
      <c r="Z68" s="59">
        <f>((ACCIDENTES!F68+ACCIDENTES!K68+ACCIDENTES!P68+ACCIDENTES!U68+ACCIDENTES!Z68+ACCIDENTES!AE68+ACCIDENTES!AJ68+ACCIDENTES!AO68)/(HH!F68+HH!J68+HH!N68+HH!R68+HH!V68+HH!Z68+HH!AD68+HH!AH68))*1000000</f>
        <v>0</v>
      </c>
      <c r="AA68" s="59">
        <f>((ACCIDENTES!AQ68+ACCIDENTES!AL68+ACCIDENTES!AG68+ACCIDENTES!AB68+ACCIDENTES!W68+ACCIDENTES!R68+ACCIDENTES!M68+ACCIDENTES!H68+ACCIDENTES!C68)/(HH!AL68+HH!AH68+HH!AD68+HH!Z68+HH!V68+HH!R68+HH!N68+HH!J68+HH!F68))*1000000</f>
        <v>0</v>
      </c>
      <c r="AB68" s="59">
        <f>((ACCIDENTES!AR68+ACCIDENTES!AM68+ACCIDENTES!AH68+ACCIDENTES!AC68+ACCIDENTES!X68+ACCIDENTES!S68+ACCIDENTES!N68+ACCIDENTES!I68+ACCIDENTES!D68)/(HH!AL68+HH!AH68+HH!AD68+HH!Z68+HH!V68+HH!R68+HH!N68+HH!J68+HH!F68))*1000000</f>
        <v>0</v>
      </c>
      <c r="AC68" s="59">
        <f>((ACCIDENTES!F68+ACCIDENTES!K68+ACCIDENTES!P68+ACCIDENTES!U68+ACCIDENTES!Z68+ACCIDENTES!AE68+ACCIDENTES!AJ68+ACCIDENTES!AO68+ACCIDENTES!AT68)/(HH!F68+HH!J68+HH!N68+HH!R68+HH!V68+HH!Z68+HH!AD68+HH!AH68+HH!AL68))*1000000</f>
        <v>0</v>
      </c>
      <c r="AD68" s="59">
        <f>((ACCIDENTES!AV68+ACCIDENTES!AQ68+ACCIDENTES!AL68+ACCIDENTES!AG68+ACCIDENTES!AB68+ACCIDENTES!W68+ACCIDENTES!R68+ACCIDENTES!M68+ACCIDENTES!H68+ACCIDENTES!C68)/(HH!F68+HH!J68+HH!N68+HH!R68+HH!V68+HH!Z68+HH!AD68+HH!AH68+HH!AL68+HH!AP68))*1000000</f>
        <v>0</v>
      </c>
      <c r="AE68" s="59">
        <f>((ACCIDENTES!D68+ACCIDENTES!I68+ACCIDENTES!N68+ACCIDENTES!S68+ACCIDENTES!X68+ACCIDENTES!AC68+ACCIDENTES!AH68+ACCIDENTES!AM68+ACCIDENTES!AR68+ACCIDENTES!AW68)/(HH!AP68+HH!AL68+HH!AH68+HH!AD68+HH!Z68+HH!V68+HH!R68+HH!N68+HH!J68+HH!F68))*1000000</f>
        <v>0</v>
      </c>
      <c r="AF68" s="59">
        <f>((ACCIDENTES!AY68+ACCIDENTES!AT68+ACCIDENTES!AO68+ACCIDENTES!AJ68+ACCIDENTES!AE68+ACCIDENTES!Z68+ACCIDENTES!U68+ACCIDENTES!P68+ACCIDENTES!K68+ACCIDENTES!F68)/(HH!F68+HH!J68+HH!N68+HH!R68+HH!V68+HH!Z68+HH!AD68+HH!AH68+HH!AL68+HH!AP68))*1000000</f>
        <v>0</v>
      </c>
      <c r="AG68" s="59">
        <f>((ACCIDENTES!BA68+ACCIDENTES!AV68+ACCIDENTES!AQ68+ACCIDENTES!AL68+ACCIDENTES!AG68+ACCIDENTES!AB68+ACCIDENTES!W68+ACCIDENTES!R68+ACCIDENTES!M68+ACCIDENTES!H68+ACCIDENTES!C68)/(HH!AT68+HH!AP68+HH!AL68+HH!AH68+HH!AD68+HH!Z68+HH!V68+HH!R68+HH!N68+HH!J68+HH!F68))*1000000</f>
        <v>0</v>
      </c>
      <c r="AH68" s="59">
        <f>((ACCIDENTES!D68+ACCIDENTES!I68+ACCIDENTES!N68+ACCIDENTES!S68+ACCIDENTES!X68+ACCIDENTES!AC68+ACCIDENTES!AH68+ACCIDENTES!AM68+ACCIDENTES!AR68+ACCIDENTES!AW68+ACCIDENTES!BB68)/(HH!F68+HH!J68+HH!N68+HH!R68+HH!V68+HH!Z68+HH!AD68+HH!AH68+HH!AL68+HH!AP68+HH!AT68))*1000000</f>
        <v>0</v>
      </c>
      <c r="AI68" s="59">
        <f>((ACCIDENTES!BD68+ACCIDENTES!AY68+ACCIDENTES!AT68+ACCIDENTES!AO68+ACCIDENTES!AJ68+ACCIDENTES!AE68+ACCIDENTES!Z68+ACCIDENTES!U68+ACCIDENTES!P68+ACCIDENTES!K68+ACCIDENTES!F68)/(HH!F68+HH!J68+HH!N68+HH!R68+HH!V68+HH!Z68+HH!AD68+HH!AH68+HH!AL68+HH!AP68+HH!AT68))*1000000</f>
        <v>0</v>
      </c>
      <c r="AJ68" s="59">
        <f>(ACCIDENTES!BK68/HH!BB68)*1000000</f>
        <v>0</v>
      </c>
      <c r="AK68" s="59">
        <f>(ACCIDENTES!BL68/HH!BB68)*1000000</f>
        <v>0</v>
      </c>
      <c r="AL68" s="59">
        <f>(ACCIDENTES!BN68/HH!BB68)*1000000</f>
        <v>0</v>
      </c>
      <c r="AN68" s="41">
        <f t="shared" si="0"/>
        <v>0</v>
      </c>
      <c r="AO68" s="41">
        <f t="shared" si="1"/>
        <v>0</v>
      </c>
      <c r="AP68" s="42"/>
      <c r="AQ68" s="131"/>
      <c r="AR68" s="41"/>
      <c r="AS68" s="41"/>
      <c r="AT68" s="41"/>
      <c r="AV68" s="118"/>
      <c r="AW68" s="60"/>
      <c r="AX68" s="60"/>
      <c r="AY68" s="63"/>
      <c r="AZ68" s="118"/>
      <c r="BA68" s="60"/>
      <c r="BB68" s="60"/>
      <c r="BC68" s="63"/>
      <c r="BD68" s="118"/>
      <c r="BE68" s="60"/>
      <c r="BF68" s="60"/>
    </row>
    <row r="69" spans="1:65" s="19" customFormat="1" x14ac:dyDescent="0.3">
      <c r="A69" s="333" t="s">
        <v>93</v>
      </c>
      <c r="B69" s="334"/>
      <c r="C69" s="66">
        <f>(ACCIDENTES!C69/HH!F69)*1000000</f>
        <v>3.1262732724862592</v>
      </c>
      <c r="D69" s="67">
        <f>(ACCIDENTES!D69/HH!F69)*1000000</f>
        <v>71.904285267183965</v>
      </c>
      <c r="E69" s="67">
        <f>(ACCIDENTES!F69/HH!F69)*1000000</f>
        <v>12.505093089945037</v>
      </c>
      <c r="F69" s="67">
        <f>((ACCIDENTES!C69+ACCIDENTES!H69)/(HH!F69+HH!J69))*1000000</f>
        <v>1.5986488220156323</v>
      </c>
      <c r="G69" s="67">
        <f>((ACCIDENTES!D69+ACCIDENTES!I69)/(HH!F69+HH!J69))*1000000</f>
        <v>36.768922906359549</v>
      </c>
      <c r="H69" s="67">
        <f>((ACCIDENTES!F69+ACCIDENTES!K69)/(HH!F69+HH!J69))*1000000</f>
        <v>9.5918929320937956</v>
      </c>
      <c r="I69" s="67">
        <f>((ACCIDENTES!C69+ACCIDENTES!H69+ACCIDENTES!M69)/(HH!F69+HH!J69+HH!N69))*1000000</f>
        <v>0.98730183716730935</v>
      </c>
      <c r="J69" s="67">
        <f>((ACCIDENTES!D69+ACCIDENTES!I69+ACCIDENTES!N69)/(HH!F69+HH!J69+HH!N69))*1000000</f>
        <v>22.707942254848117</v>
      </c>
      <c r="K69" s="67">
        <f>((ACCIDENTES!F69+ACCIDENTES!K69+ACCIDENTES!P69)/(HH!J69+HH!N69+HH!F69))*1000000</f>
        <v>7.8984146973384748</v>
      </c>
      <c r="L69" s="67">
        <f>((ACCIDENTES!C69+ACCIDENTES!H69+ACCIDENTES!M69+ACCIDENTES!R69)/(HH!F69+HH!J69+HH!N69+HH!R69))*1000000</f>
        <v>1.3906128915641716</v>
      </c>
      <c r="M69" s="67">
        <f>((ACCIDENTES!D69+ACCIDENTES!I69+ACCIDENTES!N69+ACCIDENTES!S69)/(HH!F69+HH!J69+HH!N69+HH!R69))*1000000</f>
        <v>25.726338493937174</v>
      </c>
      <c r="N69" s="67">
        <f>((ACCIDENTES!F69+ACCIDENTES!K69+ACCIDENTES!P69+ACCIDENTES!U69)/(HH!F69+HH!J69+HH!N69+HH!R69))*1000000</f>
        <v>8.3436773493850289</v>
      </c>
      <c r="O69" s="67">
        <f>((ACCIDENTES!C69+ACCIDENTES!H69+ACCIDENTES!M69+ACCIDENTES!R69+ACCIDENTES!W69)/(HH!F69+HH!J69+HH!N69+HH!R69+HH!V69))*1000000</f>
        <v>1.0794420620888274</v>
      </c>
      <c r="P69" s="67">
        <f>(((ACCIDENTES!D69+ACCIDENTES!I69+ACCIDENTES!N69+ACCIDENTES!S69+ACCIDENTES!X69)/(HH!F69+HH!J69+HH!N69+HH!R69+HH!V69))*1000000)</f>
        <v>19.969678148643307</v>
      </c>
      <c r="Q69" s="67">
        <f>((ACCIDENTES!F69+ACCIDENTES!K69+ACCIDENTES!P69+ACCIDENTES!U69+ACCIDENTES!Z69)/(HH!F69+HH!J69+HH!N69+HH!R69+HH!V69))*1000000</f>
        <v>7.5560944346217909</v>
      </c>
      <c r="R69" s="213">
        <f>(ACCIDENTES!C69+ACCIDENTES!H69+ACCIDENTES!M69+ACCIDENTES!R69+ACCIDENTES!W69+ACCIDENTES!AB69)*1000000/(HH!F69+HH!J69+HH!N69+HH!R69+HH!V69+HH!Z69)</f>
        <v>1.3310658892123779</v>
      </c>
      <c r="S69" s="213">
        <f>(ACCIDENTES!D69+ACCIDENTES!I69+ACCIDENTES!N69+ACCIDENTES!S69+ACCIDENTES!X69+ACCIDENTES!AC69)*1000000/(HH!F69+HH!J69+HH!N69+HH!R69+HH!V69+HH!Z69)</f>
        <v>16.860167930023451</v>
      </c>
      <c r="T69" s="213">
        <f>(ACCIDENTES!F69+ACCIDENTES!K69+ACCIDENTES!P69+ACCIDENTES!U69+ACCIDENTES!Z69+ACCIDENTES!AE69)*1000000/(HH!F69+HH!J69+HH!N69+HH!R69+HH!V69+HH!Z69)</f>
        <v>6.6553294460618888</v>
      </c>
      <c r="U69" s="213">
        <f>((ACCIDENTES!C69+ACCIDENTES!H69+ACCIDENTES!M69+ACCIDENTES!R69+ACCIDENTES!W69+ACCIDENTES!AB69+ACCIDENTES!AG69)/(HH!F69+HH!J69+HH!N69+HH!R69+HH!V69+HH!Z69+HH!AD69))*1000000</f>
        <v>1.5068871353553044</v>
      </c>
      <c r="V69" s="213">
        <f>((ACCIDENTES!D69+ACCIDENTES!I69+ACCIDENTES!N69+ACCIDENTES!S69+ACCIDENTES!X69+ACCIDENTES!AC69+ACCIDENTES!AH69)/(HH!F69+HH!J69+HH!N69+HH!R69+HH!V69+HH!Z69+HH!AD69))*1000000</f>
        <v>25.240359517201348</v>
      </c>
      <c r="W69" s="213">
        <f>((ACCIDENTES!F69+ACCIDENTES!K69+ACCIDENTES!P69+ACCIDENTES!U69+ACCIDENTES!Z69+ACCIDENTES!AE69+ACCIDENTES!AJ69)/(HH!F69+HH!J69+HH!N69+HH!R69+HH!V69+HH!Z69+HH!AD69))*1000000</f>
        <v>6.4042703252600441</v>
      </c>
      <c r="X69" s="213">
        <f>((ACCIDENTES!C69+ACCIDENTES!H69+ACCIDENTES!M69+ACCIDENTES!R69+ACCIDENTES!W69+ACCIDENTES!AB69+ACCIDENTES!AG69+ACCIDENTES!AL69)/(HH!F69+HH!J69+HH!N69+HH!R69+HH!V69+HH!Z69+HH!AD69+HH!AH69))*1000000</f>
        <v>1.3066993892941132</v>
      </c>
      <c r="Y69" s="213">
        <f>((ACCIDENTES!D69+ACCIDENTES!I69+ACCIDENTES!N69+ACCIDENTES!S69+ACCIDENTES!X69+ACCIDENTES!AC69+ACCIDENTES!AH69+ACCIDENTES!AM69)/(HH!F69+HH!J69+HH!N69+HH!R69+HH!V69+HH!Z69+HH!AD69+HH!AH69))*1000000</f>
        <v>21.887214770676398</v>
      </c>
      <c r="Z69" s="213">
        <f>((ACCIDENTES!F69+ACCIDENTES!K69+ACCIDENTES!P69+ACCIDENTES!U69+ACCIDENTES!Z69+ACCIDENTES!AE69+ACCIDENTES!AJ69+ACCIDENTES!AO69)/(HH!F69+HH!J69+HH!N69+HH!R69+HH!V69+HH!Z69+HH!AD69+HH!AH69))*1000000</f>
        <v>6.5334969464705654</v>
      </c>
      <c r="AA69" s="67">
        <f>((ACCIDENTES!AQ69+ACCIDENTES!AL69+ACCIDENTES!AG69+ACCIDENTES!AB69+ACCIDENTES!W69+ACCIDENTES!R69+ACCIDENTES!M69+ACCIDENTES!H69+ACCIDENTES!C69)/(HH!AL69+HH!AH69+HH!AD69+HH!Z69+HH!V69+HH!R69+HH!N69+HH!J69+HH!F69))*1000000</f>
        <v>1.4486473086263967</v>
      </c>
      <c r="AB69" s="67">
        <f>((ACCIDENTES!AR69+ACCIDENTES!AM69+ACCIDENTES!AH69+ACCIDENTES!AC69+ACCIDENTES!X69+ACCIDENTES!S69+ACCIDENTES!N69+ACCIDENTES!I69+ACCIDENTES!D69)/(HH!AL69+HH!AH69+HH!AD69+HH!Z69+HH!V69+HH!R69+HH!N69+HH!J69+HH!F69))*1000000</f>
        <v>19.991332859044274</v>
      </c>
      <c r="AC69" s="67">
        <f>((ACCIDENTES!F69+ACCIDENTES!K69+ACCIDENTES!P69+ACCIDENTES!U69+ACCIDENTES!Z69+ACCIDENTES!AE69+ACCIDENTES!AJ69+ACCIDENTES!AO69+ACCIDENTES!AT69)/(HH!F69+HH!J69+HH!N69+HH!R69+HH!V69+HH!Z69+HH!AD69+HH!AH69+HH!AL69))*1000000</f>
        <v>6.663777619681424</v>
      </c>
      <c r="AD69" s="67">
        <f>((ACCIDENTES!AV69+ACCIDENTES!AQ69+ACCIDENTES!AL69+ACCIDENTES!AG69+ACCIDENTES!AB69+ACCIDENTES!W69+ACCIDENTES!R69+ACCIDENTES!M69+ACCIDENTES!H69+ACCIDENTES!C69)/(HH!F69+HH!J69+HH!N69+HH!R69+HH!V69+HH!Z69+HH!AD69+HH!AH69+HH!AL69+HH!AP69))*1000000</f>
        <v>1.5922838941550936</v>
      </c>
      <c r="AE69" s="67">
        <f>((ACCIDENTES!D69+ACCIDENTES!I69+ACCIDENTES!N69+ACCIDENTES!S69+ACCIDENTES!X69+ACCIDENTES!AC69+ACCIDENTES!AH69+ACCIDENTES!AM69+ACCIDENTES!AR69+ACCIDENTES!AW69)/(HH!AP69+HH!AL69+HH!AH69+HH!AD69+HH!Z69+HH!V69+HH!R69+HH!N69+HH!J69+HH!F69))*1000000</f>
        <v>19.638168027912819</v>
      </c>
      <c r="AF69" s="67">
        <f>((ACCIDENTES!AY69+ACCIDENTES!AT69+ACCIDENTES!AO69+ACCIDENTES!AJ69+ACCIDENTES!AE69+ACCIDENTES!Z69+ACCIDENTES!U69+ACCIDENTES!P69+ACCIDENTES!K69+ACCIDENTES!F69)/(HH!F69+HH!J69+HH!N69+HH!R69+HH!V69+HH!Z69+HH!AD69+HH!AH69+HH!AL69+HH!AP69))*1000000</f>
        <v>6.634516225646224</v>
      </c>
      <c r="AG69" s="67">
        <f>((ACCIDENTES!BA69+ACCIDENTES!AV69+ACCIDENTES!AQ69+ACCIDENTES!AL69+ACCIDENTES!AG69+ACCIDENTES!AB69+ACCIDENTES!W69+ACCIDENTES!R69+ACCIDENTES!M69+ACCIDENTES!H69+ACCIDENTES!C69)/(HH!AT69+HH!AP69+HH!AL69+HH!AH69+HH!AD69+HH!Z69+HH!V69+HH!R69+HH!N69+HH!J69+HH!F69))*1000000</f>
        <v>1.5243103647723988</v>
      </c>
      <c r="AH69" s="67">
        <f>((ACCIDENTES!D69+ACCIDENTES!I69+ACCIDENTES!N69+ACCIDENTES!S69+ACCIDENTES!X69+ACCIDENTES!AC69+ACCIDENTES!AH69+ACCIDENTES!AM69+ACCIDENTES!AR69+ACCIDENTES!AW69+ACCIDENTES!BB69)/(HH!F69+HH!J69+HH!N69+HH!R69+HH!V69+HH!Z69+HH!AD69+HH!AH69+HH!AL69+HH!AP69+HH!AT69))*1000000</f>
        <v>18.799827832192918</v>
      </c>
      <c r="AI69" s="67">
        <f>((ACCIDENTES!BD69+ACCIDENTES!AY69+ACCIDENTES!AT69+ACCIDENTES!AO69+ACCIDENTES!AJ69+ACCIDENTES!AE69+ACCIDENTES!Z69+ACCIDENTES!U69+ACCIDENTES!P69+ACCIDENTES!K69+ACCIDENTES!F69)/(HH!F69+HH!J69+HH!N69+HH!R69+HH!V69+HH!Z69+HH!AD69+HH!AH69+HH!AL69+HH!AP69+HH!AT69))*1000000</f>
        <v>6.3512931865516622</v>
      </c>
      <c r="AJ69" s="67">
        <f>(ACCIDENTES!BK69/HH!BB69)*1000000</f>
        <v>1.4569460566159622</v>
      </c>
      <c r="AK69" s="67">
        <f>(ACCIDENTES!BL69/HH!BB69)*1000000</f>
        <v>17.9690013649302</v>
      </c>
      <c r="AL69" s="67">
        <f>(ACCIDENTES!BN69/HH!BB69)*1000000</f>
        <v>6.0706085692331753</v>
      </c>
      <c r="AM69" s="36"/>
      <c r="AN69" s="66">
        <f t="shared" si="0"/>
        <v>2.2187110239826815</v>
      </c>
      <c r="AO69" s="66">
        <f t="shared" si="1"/>
        <v>58.340035689551613</v>
      </c>
      <c r="AP69" s="69"/>
      <c r="AQ69" s="124"/>
      <c r="AR69" s="66">
        <v>2.5</v>
      </c>
      <c r="AS69" s="66">
        <v>65</v>
      </c>
      <c r="AT69" s="66">
        <v>0.7</v>
      </c>
      <c r="AU69" s="36"/>
      <c r="AV69" s="68">
        <v>1.5847935885590581</v>
      </c>
      <c r="AW69" s="68">
        <v>2.2187110239826815</v>
      </c>
      <c r="AX69" s="68">
        <v>2.6973186877275177</v>
      </c>
      <c r="AY69" s="63"/>
      <c r="AZ69" s="68">
        <v>47.226848939059927</v>
      </c>
      <c r="BA69" s="68">
        <v>58.340035689551613</v>
      </c>
      <c r="BB69" s="68">
        <v>66.065785574257873</v>
      </c>
      <c r="BC69" s="63"/>
      <c r="BD69" s="68">
        <v>47.226848939059927</v>
      </c>
      <c r="BE69" s="68">
        <v>58.340035689551613</v>
      </c>
      <c r="BF69" s="68">
        <v>66.065785574257873</v>
      </c>
      <c r="BG69" s="36"/>
      <c r="BH69" s="36"/>
      <c r="BI69" s="36"/>
      <c r="BJ69" s="36"/>
      <c r="BK69" s="36"/>
      <c r="BL69" s="36"/>
      <c r="BM69" s="36"/>
    </row>
    <row r="70" spans="1:65" s="30" customFormat="1" x14ac:dyDescent="0.3">
      <c r="A70" s="327" t="s">
        <v>94</v>
      </c>
      <c r="B70" s="328"/>
      <c r="C70" s="70">
        <f>(ACCIDENTES!C70/HH!F70)*1000000</f>
        <v>2.327783222040285</v>
      </c>
      <c r="D70" s="71">
        <f>(ACCIDENTES!D70/HH!F70)*1000000</f>
        <v>189.01599762967112</v>
      </c>
      <c r="E70" s="71">
        <f>(ACCIDENTES!F70/HH!F70)*1000000</f>
        <v>9.3111328881611399</v>
      </c>
      <c r="F70" s="71">
        <f>((ACCIDENTES!C70+ACCIDENTES!H70)/(HH!F70+HH!J70))*1000000</f>
        <v>2.3524098252094259</v>
      </c>
      <c r="G70" s="71">
        <f>((ACCIDENTES!D70+ACCIDENTES!I70)/(HH!F70+HH!J70))*1000000</f>
        <v>113.15091259257339</v>
      </c>
      <c r="H70" s="71">
        <f>((ACCIDENTES!F70+ACCIDENTES!K70)/(HH!F70+HH!J70))*1000000</f>
        <v>9.8801212658795894</v>
      </c>
      <c r="I70" s="163">
        <f>((ACCIDENTES!C70+ACCIDENTES!H70+ACCIDENTES!M70)/(HH!F70+HH!J70+HH!N70))*1000000</f>
        <v>2.1631847588973434</v>
      </c>
      <c r="J70" s="163">
        <f>((ACCIDENTES!D70+ACCIDENTES!I70+ACCIDENTES!N70)/(HH!F70+HH!J70+HH!N70))*1000000</f>
        <v>106.92313236835442</v>
      </c>
      <c r="K70" s="163">
        <f>((ACCIDENTES!F70+ACCIDENTES!K70+ACCIDENTES!P70)/(HH!J70+HH!N70+HH!F70))*1000000</f>
        <v>9.425305020909855</v>
      </c>
      <c r="L70" s="71">
        <f>((ACCIDENTES!C70+ACCIDENTES!H70+ACCIDENTES!M70+ACCIDENTES!R70)/(HH!F70+HH!J70+HH!N70+HH!R70))*1000000</f>
        <v>2.2559124184956016</v>
      </c>
      <c r="M70" s="71">
        <f>((ACCIDENTES!D70+ACCIDENTES!I70+ACCIDENTES!N70+ACCIDENTES!S70)/(HH!F70+HH!J70+HH!N70+HH!R70))*1000000</f>
        <v>97.906598962709126</v>
      </c>
      <c r="N70" s="71">
        <f>((ACCIDENTES!F70+ACCIDENTES!K70+ACCIDENTES!P70+ACCIDENTES!U70)/(HH!F70+HH!J70+HH!N70+HH!R70))*1000000</f>
        <v>10.264401504154987</v>
      </c>
      <c r="O70" s="71">
        <f>((ACCIDENTES!C70+ACCIDENTES!H70+ACCIDENTES!M70+ACCIDENTES!R70+ACCIDENTES!W70)/(HH!F70+HH!J70+HH!N70+HH!R70+HH!V70))*1000000</f>
        <v>2.1324324422300878</v>
      </c>
      <c r="P70" s="71">
        <f>(((ACCIDENTES!D70+ACCIDENTES!I70+ACCIDENTES!N70+ACCIDENTES!S70+ACCIDENTES!X70)/(HH!F70+HH!J70+HH!N70+HH!R70+HH!V70))*1000000)</f>
        <v>80.232770638907056</v>
      </c>
      <c r="Q70" s="71">
        <f>((ACCIDENTES!F70+ACCIDENTES!K70+ACCIDENTES!P70+ACCIDENTES!U70+ACCIDENTES!Z70)/(HH!F70+HH!J70+HH!N70+HH!R70+HH!V70))*1000000</f>
        <v>9.9513513970737435</v>
      </c>
      <c r="R70" s="163">
        <f>(ACCIDENTES!C70+ACCIDENTES!H70+ACCIDENTES!M70+ACCIDENTES!R70+ACCIDENTES!W70+ACCIDENTES!AB70)*1000000/(HH!F70+HH!J70+HH!N70+HH!R70+HH!V70+HH!Z70)</f>
        <v>2.2039682653832093</v>
      </c>
      <c r="S70" s="163">
        <f>(ACCIDENTES!D70+ACCIDENTES!I70+ACCIDENTES!N70+ACCIDENTES!S70+ACCIDENTES!X70+ACCIDENTES!AC70)*1000000/(HH!F70+HH!J70+HH!N70+HH!R70+HH!V70+HH!Z70)</f>
        <v>85.734365523406836</v>
      </c>
      <c r="T70" s="163">
        <f>(ACCIDENTES!F70+ACCIDENTES!K70+ACCIDENTES!P70+ACCIDENTES!U70+ACCIDENTES!Z70+ACCIDENTES!AE70)*1000000/(HH!F70+HH!J70+HH!N70+HH!R70+HH!V70+HH!Z70)</f>
        <v>9.7709259765322276</v>
      </c>
      <c r="U70" s="71">
        <f>((ACCIDENTES!C70+ACCIDENTES!H70+ACCIDENTES!M70+ACCIDENTES!R70+ACCIDENTES!W70+ACCIDENTES!AB70+ACCIDENTES!AG70)/(HH!F70+HH!J70+HH!N70+HH!R70+HH!V70+HH!Z70+HH!AD70))*1000000</f>
        <v>2.3096765897453779</v>
      </c>
      <c r="V70" s="71">
        <f>((ACCIDENTES!D70+ACCIDENTES!I70+ACCIDENTES!N70+ACCIDENTES!S70+ACCIDENTES!X70+ACCIDENTES!AC70+ACCIDENTES!AH70)/(HH!F70+HH!J70+HH!N70+HH!R70+HH!V70+HH!Z70+HH!AD70))*1000000</f>
        <v>87.268320877406438</v>
      </c>
      <c r="W70" s="71">
        <f>((ACCIDENTES!F70+ACCIDENTES!K70+ACCIDENTES!P70+ACCIDENTES!U70+ACCIDENTES!Z70+ACCIDENTES!AE70+ACCIDENTES!AJ70)/(HH!F70+HH!J70+HH!N70+HH!R70+HH!V70+HH!Z70+HH!AD70))*1000000</f>
        <v>9.925366966743649</v>
      </c>
      <c r="X70" s="71">
        <f>((ACCIDENTES!C70+ACCIDENTES!H70+ACCIDENTES!M70+ACCIDENTES!R70+ACCIDENTES!W70+ACCIDENTES!AB70+ACCIDENTES!AG70+ACCIDENTES!AL70)/(HH!F70+HH!J70+HH!N70+HH!R70+HH!V70+HH!Z70+HH!AD70+HH!AH70))*1000000</f>
        <v>2.3294507815381524</v>
      </c>
      <c r="Y70" s="71">
        <f>((ACCIDENTES!D70+ACCIDENTES!I70+ACCIDENTES!N70+ACCIDENTES!S70+ACCIDENTES!X70+ACCIDENTES!AC70+ACCIDENTES!AH70+ACCIDENTES!AM70)/(HH!F70+HH!J70+HH!N70+HH!R70+HH!V70+HH!Z70+HH!AD70+HH!AH70))*1000000</f>
        <v>90.57771411004164</v>
      </c>
      <c r="Z70" s="71">
        <f>((ACCIDENTES!F70+ACCIDENTES!K70+ACCIDENTES!P70+ACCIDENTES!U70+ACCIDENTES!Z70+ACCIDENTES!AE70+ACCIDENTES!AJ70+ACCIDENTES!AO70)/(HH!F70+HH!J70+HH!N70+HH!R70+HH!V70+HH!Z70+HH!AD70+HH!AH70))*1000000</f>
        <v>10.292922057959279</v>
      </c>
      <c r="AA70" s="163">
        <f>((ACCIDENTES!AQ70+ACCIDENTES!AL70+ACCIDENTES!AG70+ACCIDENTES!AB70+ACCIDENTES!W70+ACCIDENTES!R70+ACCIDENTES!M70+ACCIDENTES!H70+ACCIDENTES!C70)/(HH!AL70+HH!AH70+HH!AD70+HH!Z70+HH!V70+HH!R70+HH!N70+HH!J70+HH!F70))*1000000</f>
        <v>2.7281335086971739</v>
      </c>
      <c r="AB70" s="163">
        <f>((ACCIDENTES!AR70+ACCIDENTES!AM70+ACCIDENTES!AH70+ACCIDENTES!AC70+ACCIDENTES!X70+ACCIDENTES!S70+ACCIDENTES!N70+ACCIDENTES!I70+ACCIDENTES!D70)/(HH!AL70+HH!AH70+HH!AD70+HH!Z70+HH!V70+HH!R70+HH!N70+HH!J70+HH!F70))*1000000</f>
        <v>88.305374097303272</v>
      </c>
      <c r="AC70" s="163">
        <f>((ACCIDENTES!F70+ACCIDENTES!K70+ACCIDENTES!P70+ACCIDENTES!U70+ACCIDENTES!Z70+ACCIDENTES!AE70+ACCIDENTES!AJ70+ACCIDENTES!AO70+ACCIDENTES!AT70)/(HH!F70+HH!J70+HH!N70+HH!R70+HH!V70+HH!Z70+HH!AD70+HH!AH70+HH!AL70))*1000000</f>
        <v>10.768948060646739</v>
      </c>
      <c r="AD70" s="71">
        <f>((ACCIDENTES!AV70+ACCIDENTES!AQ70+ACCIDENTES!AL70+ACCIDENTES!AG70+ACCIDENTES!AB70+ACCIDENTES!W70+ACCIDENTES!R70+ACCIDENTES!M70+ACCIDENTES!H70+ACCIDENTES!C70)/(HH!F70+HH!J70+HH!N70+HH!R70+HH!V70+HH!Z70+HH!AD70+HH!AH70+HH!AL70+HH!AP70))*1000000</f>
        <v>2.7903926908271321</v>
      </c>
      <c r="AE70" s="71">
        <f>((ACCIDENTES!D70+ACCIDENTES!I70+ACCIDENTES!N70+ACCIDENTES!S70+ACCIDENTES!X70+ACCIDENTES!AC70+ACCIDENTES!AH70+ACCIDENTES!AM70+ACCIDENTES!AR70+ACCIDENTES!AW70)/(HH!AP70+HH!AL70+HH!AH70+HH!AD70+HH!Z70+HH!V70+HH!R70+HH!N70+HH!J70+HH!F70))*1000000</f>
        <v>81.651183045433925</v>
      </c>
      <c r="AF70" s="71">
        <f>((ACCIDENTES!AY70+ACCIDENTES!AT70+ACCIDENTES!AO70+ACCIDENTES!AJ70+ACCIDENTES!AE70+ACCIDENTES!Z70+ACCIDENTES!U70+ACCIDENTES!P70+ACCIDENTES!K70+ACCIDENTES!F70)/(HH!F70+HH!J70+HH!N70+HH!R70+HH!V70+HH!Z70+HH!AD70+HH!AH70+HH!AL70+HH!AP70))*1000000</f>
        <v>10.732279580104354</v>
      </c>
      <c r="AG70" s="71">
        <f>((ACCIDENTES!BA70+ACCIDENTES!AV70+ACCIDENTES!AQ70+ACCIDENTES!AL70+ACCIDENTES!AG70+ACCIDENTES!AB70+ACCIDENTES!W70+ACCIDENTES!R70+ACCIDENTES!M70+ACCIDENTES!H70+ACCIDENTES!C70)/(HH!AT70+HH!AP70+HH!AL70+HH!AH70+HH!AD70+HH!Z70+HH!V70+HH!R70+HH!N70+HH!J70+HH!F70))*1000000</f>
        <v>2.7828648562229996</v>
      </c>
      <c r="AH70" s="71">
        <f>((ACCIDENTES!D70+ACCIDENTES!I70+ACCIDENTES!N70+ACCIDENTES!S70+ACCIDENTES!X70+ACCIDENTES!AC70+ACCIDENTES!AH70+ACCIDENTES!AM70+ACCIDENTES!AR70+ACCIDENTES!AW70+ACCIDENTES!BB70)/(HH!F70+HH!J70+HH!N70+HH!R70+HH!V70+HH!Z70+HH!AD70+HH!AH70+HH!AL70+HH!AP70+HH!AT70))*1000000</f>
        <v>76.509185906299919</v>
      </c>
      <c r="AI70" s="71">
        <f>((ACCIDENTES!BD70+ACCIDENTES!AY70+ACCIDENTES!AT70+ACCIDENTES!AO70+ACCIDENTES!AJ70+ACCIDENTES!AE70+ACCIDENTES!Z70+ACCIDENTES!U70+ACCIDENTES!P70+ACCIDENTES!K70+ACCIDENTES!F70)/(HH!F70+HH!J70+HH!N70+HH!R70+HH!V70+HH!Z70+HH!AD70+HH!AH70+HH!AL70+HH!AP70+HH!AT70))*1000000</f>
        <v>10.661116068910646</v>
      </c>
      <c r="AJ70" s="71">
        <f>(ACCIDENTES!BK70/HH!BB70)*1000000</f>
        <v>2.7050724378221123</v>
      </c>
      <c r="AK70" s="71">
        <f>(ACCIDENTES!BL70/HH!BB70)*1000000</f>
        <v>71.377844725999466</v>
      </c>
      <c r="AL70" s="71">
        <f>(ACCIDENTES!BN70/HH!BB70)*1000000</f>
        <v>10.387478161236913</v>
      </c>
      <c r="AM70" s="36"/>
      <c r="AN70" s="214">
        <v>2.9</v>
      </c>
      <c r="AO70" s="214">
        <v>70</v>
      </c>
      <c r="AP70" s="215"/>
      <c r="AQ70" s="36"/>
      <c r="AR70" s="70">
        <v>3.3</v>
      </c>
      <c r="AS70" s="70">
        <v>125</v>
      </c>
      <c r="AT70" s="70">
        <v>12.9</v>
      </c>
      <c r="AU70" s="36"/>
      <c r="AV70" s="72">
        <v>1.7833767796744653</v>
      </c>
      <c r="AW70" s="72">
        <v>2.2986167661262571</v>
      </c>
      <c r="AX70" s="72">
        <v>2.808913490715411</v>
      </c>
      <c r="AY70" s="63"/>
      <c r="AZ70" s="72">
        <v>34.417270593154633</v>
      </c>
      <c r="BA70" s="72">
        <v>43.398490569355538</v>
      </c>
      <c r="BB70" s="72">
        <v>52.734586839361526</v>
      </c>
      <c r="BC70" s="63"/>
      <c r="BD70" s="72">
        <v>34.417270593154633</v>
      </c>
      <c r="BE70" s="72">
        <v>43.398490569355538</v>
      </c>
      <c r="BF70" s="72">
        <v>52.734586839361526</v>
      </c>
      <c r="BG70" s="36"/>
      <c r="BH70" s="36"/>
      <c r="BI70" s="36"/>
      <c r="BJ70" s="36"/>
      <c r="BK70" s="36"/>
      <c r="BL70" s="36"/>
      <c r="BM70" s="36"/>
    </row>
    <row r="71" spans="1:65" outlineLevel="1" x14ac:dyDescent="0.3">
      <c r="A71" s="10" t="s">
        <v>95</v>
      </c>
      <c r="B71" s="4" t="s">
        <v>96</v>
      </c>
      <c r="C71" s="58">
        <f>(ACCIDENTES!C71/HH!F71)*1000000</f>
        <v>0</v>
      </c>
      <c r="D71" s="59">
        <f>(ACCIDENTES!D71/HH!F71)*1000000</f>
        <v>0</v>
      </c>
      <c r="E71" s="59">
        <f>(ACCIDENTES!F71/HH!F71)*1000000</f>
        <v>0</v>
      </c>
      <c r="F71" s="59">
        <f>((ACCIDENTES!C71+ACCIDENTES!H71)/(HH!F71+HH!J71))*1000000</f>
        <v>0</v>
      </c>
      <c r="G71" s="59">
        <f>((ACCIDENTES!D71+ACCIDENTES!I71)/(HH!F71+HH!J71))*1000000</f>
        <v>0</v>
      </c>
      <c r="H71" s="59">
        <f>((ACCIDENTES!F71+ACCIDENTES!K71)/(HH!F71+HH!J71))*1000000</f>
        <v>0</v>
      </c>
      <c r="I71" s="59">
        <f>((ACCIDENTES!C71+ACCIDENTES!H71+ACCIDENTES!M71)/(HH!F71+HH!J71+HH!N71))*1000000</f>
        <v>0</v>
      </c>
      <c r="J71" s="59">
        <f>((ACCIDENTES!D71+ACCIDENTES!I71+ACCIDENTES!N71)/(HH!F71+HH!J71+HH!N71))*1000000</f>
        <v>0</v>
      </c>
      <c r="K71" s="59">
        <f>((ACCIDENTES!F71+ACCIDENTES!K71+ACCIDENTES!P71)/(HH!J71+HH!N71+HH!F71))*1000000</f>
        <v>0</v>
      </c>
      <c r="L71" s="59">
        <f>((ACCIDENTES!C71+ACCIDENTES!H71+ACCIDENTES!M71+ACCIDENTES!R71)/(HH!F71+HH!J71+HH!N71+HH!R71))*1000000</f>
        <v>3.3910949845705178</v>
      </c>
      <c r="M71" s="59">
        <f>((ACCIDENTES!D71+ACCIDENTES!I71+ACCIDENTES!N71+ACCIDENTES!S71)/(HH!F71+HH!J71+HH!N71+HH!R71))*1000000</f>
        <v>203.46569907423108</v>
      </c>
      <c r="N71" s="59">
        <f>((ACCIDENTES!F71+ACCIDENTES!K71+ACCIDENTES!P71+ACCIDENTES!U71)/(HH!F71+HH!J71+HH!N71+HH!R71))*1000000</f>
        <v>3.3910949845705178</v>
      </c>
      <c r="O71" s="59">
        <f>((ACCIDENTES!C71+ACCIDENTES!H71+ACCIDENTES!M71+ACCIDENTES!R71+ACCIDENTES!W71)/(HH!F71+HH!J71+HH!N71+HH!R71+HH!V71))*1000000</f>
        <v>2.4858245853023133</v>
      </c>
      <c r="P71" s="59">
        <f>(((ACCIDENTES!D71+ACCIDENTES!I71+ACCIDENTES!N71+ACCIDENTES!S71+ACCIDENTES!X71)/(HH!F71+HH!J71+HH!N71+HH!R71+HH!V71))*1000000)</f>
        <v>149.14947511813881</v>
      </c>
      <c r="Q71" s="59">
        <f>((ACCIDENTES!F71+ACCIDENTES!K71+ACCIDENTES!P71+ACCIDENTES!U71+ACCIDENTES!Z71)/(HH!F71+HH!J71+HH!N71+HH!R71+HH!V71))*1000000</f>
        <v>2.4858245853023133</v>
      </c>
      <c r="R71" s="59">
        <f>(ACCIDENTES!C71+ACCIDENTES!H71+ACCIDENTES!M71+ACCIDENTES!R71+ACCIDENTES!W71+ACCIDENTES!AB71)*1000000/(HH!F71+HH!J71+HH!N71+HH!R71+HH!V71+HH!Z71)</f>
        <v>2.0144841409736003</v>
      </c>
      <c r="S71" s="59">
        <f>(ACCIDENTES!D71+ACCIDENTES!I71+ACCIDENTES!N71+ACCIDENTES!S71+ACCIDENTES!X71+ACCIDENTES!AC71)*1000000/(HH!F71+HH!J71+HH!N71+HH!R71+HH!V71+HH!Z71)</f>
        <v>120.86904845841602</v>
      </c>
      <c r="T71" s="59">
        <f>(ACCIDENTES!F71+ACCIDENTES!K71+ACCIDENTES!P71+ACCIDENTES!U71+ACCIDENTES!Z71+ACCIDENTES!AE71)*1000000/(HH!F71+HH!J71+HH!N71+HH!R71+HH!V71+HH!Z71)</f>
        <v>2.0144841409736003</v>
      </c>
      <c r="U71" s="59">
        <f>((ACCIDENTES!C71+ACCIDENTES!H71+ACCIDENTES!M71+ACCIDENTES!R71+ACCIDENTES!W71+ACCIDENTES!AB71+ACCIDENTES!AG71)/(HH!F71+HH!J71+HH!N71+HH!R71+HH!V71+HH!Z71+HH!AD71))*1000000</f>
        <v>2.0144841409735998</v>
      </c>
      <c r="V71" s="59">
        <f>((ACCIDENTES!D71+ACCIDENTES!I71+ACCIDENTES!N71+ACCIDENTES!S71+ACCIDENTES!X71+ACCIDENTES!AC71+ACCIDENTES!AH71)/(HH!F71+HH!J71+HH!N71+HH!R71+HH!V71+HH!Z71+HH!AD71))*1000000</f>
        <v>120.86904845841602</v>
      </c>
      <c r="W71" s="59">
        <f>((ACCIDENTES!F71+ACCIDENTES!K71+ACCIDENTES!P71+ACCIDENTES!U71+ACCIDENTES!Z71+ACCIDENTES!AE71+ACCIDENTES!AJ71)/(HH!F71+HH!J71+HH!N71+HH!R71+HH!V71+HH!Z71+HH!AD71))*1000000</f>
        <v>2.0144841409735998</v>
      </c>
      <c r="X71" s="59">
        <f>((ACCIDENTES!C71+ACCIDENTES!H71+ACCIDENTES!M71+ACCIDENTES!R71+ACCIDENTES!W71+ACCIDENTES!AB71+ACCIDENTES!AG71+ACCIDENTES!AL71)/(HH!F71+HH!J71+HH!N71+HH!R71+HH!V71+HH!Z71+HH!AD71+HH!AH71))*1000000</f>
        <v>2.0144841409735998</v>
      </c>
      <c r="Y71" s="59">
        <f>((ACCIDENTES!D71+ACCIDENTES!I71+ACCIDENTES!N71+ACCIDENTES!S71+ACCIDENTES!X71+ACCIDENTES!AC71+ACCIDENTES!AH71+ACCIDENTES!AM71)/(HH!F71+HH!J71+HH!N71+HH!R71+HH!V71+HH!Z71+HH!AD71+HH!AH71))*1000000</f>
        <v>120.86904845841602</v>
      </c>
      <c r="Z71" s="59">
        <f>((ACCIDENTES!F71+ACCIDENTES!K71+ACCIDENTES!P71+ACCIDENTES!U71+ACCIDENTES!Z71+ACCIDENTES!AE71+ACCIDENTES!AJ71+ACCIDENTES!AO71)/(HH!F71+HH!J71+HH!N71+HH!R71+HH!V71+HH!Z71+HH!AD71+HH!AH71))*1000000</f>
        <v>2.0144841409735998</v>
      </c>
      <c r="AA71" s="59">
        <f>((ACCIDENTES!AQ71+ACCIDENTES!AL71+ACCIDENTES!AG71+ACCIDENTES!AB71+ACCIDENTES!W71+ACCIDENTES!R71+ACCIDENTES!M71+ACCIDENTES!H71+ACCIDENTES!C71)/(HH!AL71+HH!AH71+HH!AD71+HH!Z71+HH!V71+HH!R71+HH!N71+HH!J71+HH!F71))*1000000</f>
        <v>2.0144841409735998</v>
      </c>
      <c r="AB71" s="59">
        <f>((ACCIDENTES!AR71+ACCIDENTES!AM71+ACCIDENTES!AH71+ACCIDENTES!AC71+ACCIDENTES!X71+ACCIDENTES!S71+ACCIDENTES!N71+ACCIDENTES!I71+ACCIDENTES!D71)/(HH!AL71+HH!AH71+HH!AD71+HH!Z71+HH!V71+HH!R71+HH!N71+HH!J71+HH!F71))*1000000</f>
        <v>120.86904845841602</v>
      </c>
      <c r="AC71" s="59">
        <f>((ACCIDENTES!F71+ACCIDENTES!K71+ACCIDENTES!P71+ACCIDENTES!U71+ACCIDENTES!Z71+ACCIDENTES!AE71+ACCIDENTES!AJ71+ACCIDENTES!AO71+ACCIDENTES!AT71)/(HH!F71+HH!J71+HH!N71+HH!R71+HH!V71+HH!Z71+HH!AD71+HH!AH71+HH!AL71))*1000000</f>
        <v>2.0144841409735998</v>
      </c>
      <c r="AD71" s="59">
        <f>((ACCIDENTES!AV71+ACCIDENTES!AQ71+ACCIDENTES!AL71+ACCIDENTES!AG71+ACCIDENTES!AB71+ACCIDENTES!W71+ACCIDENTES!R71+ACCIDENTES!M71+ACCIDENTES!H71+ACCIDENTES!C71)/(HH!F71+HH!J71+HH!N71+HH!R71+HH!V71+HH!Z71+HH!AD71+HH!AH71+HH!AL71+HH!AP71))*1000000</f>
        <v>2.0144841409735998</v>
      </c>
      <c r="AE71" s="59">
        <f>((ACCIDENTES!D71+ACCIDENTES!I71+ACCIDENTES!N71+ACCIDENTES!S71+ACCIDENTES!X71+ACCIDENTES!AC71+ACCIDENTES!AH71+ACCIDENTES!AM71+ACCIDENTES!AR71+ACCIDENTES!AW71)/(HH!AP71+HH!AL71+HH!AH71+HH!AD71+HH!Z71+HH!V71+HH!R71+HH!N71+HH!J71+HH!F71))*1000000</f>
        <v>120.86904845841602</v>
      </c>
      <c r="AF71" s="59">
        <f>((ACCIDENTES!AY71+ACCIDENTES!AT71+ACCIDENTES!AO71+ACCIDENTES!AJ71+ACCIDENTES!AE71+ACCIDENTES!Z71+ACCIDENTES!U71+ACCIDENTES!P71+ACCIDENTES!K71+ACCIDENTES!F71)/(HH!F71+HH!J71+HH!N71+HH!R71+HH!V71+HH!Z71+HH!AD71+HH!AH71+HH!AL71+HH!AP71))*1000000</f>
        <v>2.0144841409735998</v>
      </c>
      <c r="AG71" s="59">
        <f>((ACCIDENTES!BA71+ACCIDENTES!AV71+ACCIDENTES!AQ71+ACCIDENTES!AL71+ACCIDENTES!AG71+ACCIDENTES!AB71+ACCIDENTES!W71+ACCIDENTES!R71+ACCIDENTES!M71+ACCIDENTES!H71+ACCIDENTES!C71)/(HH!AT71+HH!AP71+HH!AL71+HH!AH71+HH!AD71+HH!Z71+HH!V71+HH!R71+HH!N71+HH!J71+HH!F71))*1000000</f>
        <v>2.0144841409735998</v>
      </c>
      <c r="AH71" s="59">
        <f>((ACCIDENTES!D71+ACCIDENTES!I71+ACCIDENTES!N71+ACCIDENTES!S71+ACCIDENTES!X71+ACCIDENTES!AC71+ACCIDENTES!AH71+ACCIDENTES!AM71+ACCIDENTES!AR71+ACCIDENTES!AW71+ACCIDENTES!BB71)/(HH!F71+HH!J71+HH!N71+HH!R71+HH!V71+HH!Z71+HH!AD71+HH!AH71+HH!AL71+HH!AP71+HH!AT71))*1000000</f>
        <v>120.86904845841602</v>
      </c>
      <c r="AI71" s="59">
        <f>((ACCIDENTES!BD71+ACCIDENTES!AY71+ACCIDENTES!AT71+ACCIDENTES!AO71+ACCIDENTES!AJ71+ACCIDENTES!AE71+ACCIDENTES!Z71+ACCIDENTES!U71+ACCIDENTES!P71+ACCIDENTES!K71+ACCIDENTES!F71)/(HH!F71+HH!J71+HH!N71+HH!R71+HH!V71+HH!Z71+HH!AD71+HH!AH71+HH!AL71+HH!AP71+HH!AT71))*1000000</f>
        <v>2.0144841409735998</v>
      </c>
      <c r="AJ71" s="59">
        <f>(ACCIDENTES!BK71/HH!BB71)*1000000</f>
        <v>2.0144841409735998</v>
      </c>
      <c r="AK71" s="59">
        <f>(ACCIDENTES!BL71/HH!BB71)*1000000</f>
        <v>120.86904845841602</v>
      </c>
      <c r="AL71" s="59">
        <f>(ACCIDENTES!BN71/HH!BB71)*1000000</f>
        <v>2.0144841409735998</v>
      </c>
      <c r="AN71" s="41">
        <f t="shared" ref="AN71:AN95" si="2">AW71</f>
        <v>0</v>
      </c>
      <c r="AO71" s="41">
        <f t="shared" ref="AO71:AO95" si="3">BA71</f>
        <v>0</v>
      </c>
      <c r="AP71" s="42"/>
      <c r="AQ71" s="124"/>
      <c r="AR71" s="41">
        <v>4.8</v>
      </c>
      <c r="AS71" s="41">
        <v>76</v>
      </c>
      <c r="AT71" s="41">
        <v>1.4</v>
      </c>
      <c r="AV71" s="118"/>
      <c r="AW71" s="60"/>
      <c r="AX71" s="60"/>
      <c r="AY71" s="63"/>
      <c r="AZ71" s="118"/>
      <c r="BA71" s="60"/>
      <c r="BB71" s="60"/>
      <c r="BC71" s="63"/>
      <c r="BD71" s="118"/>
      <c r="BE71" s="60"/>
      <c r="BF71" s="60"/>
    </row>
    <row r="72" spans="1:65" outlineLevel="1" x14ac:dyDescent="0.3">
      <c r="A72" s="10" t="s">
        <v>95</v>
      </c>
      <c r="B72" s="13" t="s">
        <v>97</v>
      </c>
      <c r="C72" s="58">
        <f>(ACCIDENTES!C72/HH!F72)*1000000</f>
        <v>0</v>
      </c>
      <c r="D72" s="59">
        <f>(ACCIDENTES!D72/HH!F72)*1000000</f>
        <v>0</v>
      </c>
      <c r="E72" s="59">
        <f>(ACCIDENTES!F72/HH!F72)*1000000</f>
        <v>0</v>
      </c>
      <c r="F72" s="59">
        <f>((ACCIDENTES!C72+ACCIDENTES!H72)/(HH!F72+HH!J72))*1000000</f>
        <v>0</v>
      </c>
      <c r="G72" s="59">
        <f>((ACCIDENTES!D72+ACCIDENTES!I72)/(HH!F72+HH!J72))*1000000</f>
        <v>0</v>
      </c>
      <c r="H72" s="59">
        <f>((ACCIDENTES!F72+ACCIDENTES!K72)/(HH!F72+HH!J72))*1000000</f>
        <v>0</v>
      </c>
      <c r="I72" s="59">
        <f>((ACCIDENTES!C72+ACCIDENTES!H72+ACCIDENTES!M72)/(HH!F72+HH!J72+HH!N72))*1000000</f>
        <v>0</v>
      </c>
      <c r="J72" s="59">
        <f>((ACCIDENTES!D72+ACCIDENTES!I72+ACCIDENTES!N72)/(HH!F72+HH!J72+HH!N72))*1000000</f>
        <v>0</v>
      </c>
      <c r="K72" s="59">
        <f>((ACCIDENTES!F72+ACCIDENTES!K72+ACCIDENTES!P72)/(HH!J72+HH!N72+HH!F72))*1000000</f>
        <v>0</v>
      </c>
      <c r="L72" s="59">
        <f>((ACCIDENTES!C72+ACCIDENTES!H72+ACCIDENTES!M72+ACCIDENTES!R72)/(HH!F72+HH!J72+HH!N72+HH!R72))*1000000</f>
        <v>0</v>
      </c>
      <c r="M72" s="59">
        <f>((ACCIDENTES!D72+ACCIDENTES!I72+ACCIDENTES!N72+ACCIDENTES!S72)/(HH!F72+HH!J72+HH!N72+HH!R72))*1000000</f>
        <v>0</v>
      </c>
      <c r="N72" s="59">
        <f>((ACCIDENTES!F72+ACCIDENTES!K72+ACCIDENTES!P72+ACCIDENTES!U72)/(HH!F72+HH!J72+HH!N72+HH!R72))*1000000</f>
        <v>0</v>
      </c>
      <c r="O72" s="59">
        <f>((ACCIDENTES!C72+ACCIDENTES!H72+ACCIDENTES!M72+ACCIDENTES!R72+ACCIDENTES!W72)/(HH!F72+HH!J72+HH!N72+HH!R72+HH!V72))*1000000</f>
        <v>0</v>
      </c>
      <c r="P72" s="59">
        <f>(((ACCIDENTES!D72+ACCIDENTES!I72+ACCIDENTES!N72+ACCIDENTES!S72+ACCIDENTES!X72)/(HH!F72+HH!J72+HH!N72+HH!R72+HH!V72))*1000000)</f>
        <v>0</v>
      </c>
      <c r="Q72" s="59">
        <f>((ACCIDENTES!F72+ACCIDENTES!K72+ACCIDENTES!P72+ACCIDENTES!U72+ACCIDENTES!Z72)/(HH!F72+HH!J72+HH!N72+HH!R72+HH!V72))*1000000</f>
        <v>0</v>
      </c>
      <c r="R72" s="59">
        <f>(ACCIDENTES!C72+ACCIDENTES!H72+ACCIDENTES!M72+ACCIDENTES!R72+ACCIDENTES!W72+ACCIDENTES!AB72)*1000000/(HH!F72+HH!J72+HH!N72+HH!R72+HH!V72+HH!Z72)</f>
        <v>0</v>
      </c>
      <c r="S72" s="59">
        <f>(ACCIDENTES!D72+ACCIDENTES!I72+ACCIDENTES!N72+ACCIDENTES!S72+ACCIDENTES!X72+ACCIDENTES!AC72)*1000000/(HH!F72+HH!J72+HH!N72+HH!R72+HH!V72+HH!Z72)</f>
        <v>0</v>
      </c>
      <c r="T72" s="59">
        <f>(ACCIDENTES!F72+ACCIDENTES!K72+ACCIDENTES!P72+ACCIDENTES!U72+ACCIDENTES!Z72+ACCIDENTES!AE72)*1000000/(HH!F72+HH!J72+HH!N72+HH!R72+HH!V72+HH!Z72)</f>
        <v>0</v>
      </c>
      <c r="U72" s="59">
        <f>((ACCIDENTES!C72+ACCIDENTES!H72+ACCIDENTES!M72+ACCIDENTES!R72+ACCIDENTES!W72+ACCIDENTES!AB72+ACCIDENTES!AG72)/(HH!F72+HH!J72+HH!N72+HH!R72+HH!V72+HH!Z72+HH!AD72))*1000000</f>
        <v>0</v>
      </c>
      <c r="V72" s="59">
        <f>((ACCIDENTES!D72+ACCIDENTES!I72+ACCIDENTES!N72+ACCIDENTES!S72+ACCIDENTES!X72+ACCIDENTES!AC72+ACCIDENTES!AH72)/(HH!F72+HH!J72+HH!N72+HH!R72+HH!V72+HH!Z72+HH!AD72))*1000000</f>
        <v>0</v>
      </c>
      <c r="W72" s="59">
        <f>((ACCIDENTES!F72+ACCIDENTES!K72+ACCIDENTES!P72+ACCIDENTES!U72+ACCIDENTES!Z72+ACCIDENTES!AE72+ACCIDENTES!AJ72)/(HH!F72+HH!J72+HH!N72+HH!R72+HH!V72+HH!Z72+HH!AD72))*1000000</f>
        <v>0</v>
      </c>
      <c r="X72" s="59">
        <f>((ACCIDENTES!C72+ACCIDENTES!H72+ACCIDENTES!M72+ACCIDENTES!R72+ACCIDENTES!W72+ACCIDENTES!AB72+ACCIDENTES!AG72+ACCIDENTES!AL72)/(HH!F72+HH!J72+HH!N72+HH!R72+HH!V72+HH!Z72+HH!AD72+HH!AH72))*1000000</f>
        <v>0</v>
      </c>
      <c r="Y72" s="59">
        <f>((ACCIDENTES!D72+ACCIDENTES!I72+ACCIDENTES!N72+ACCIDENTES!S72+ACCIDENTES!X72+ACCIDENTES!AC72+ACCIDENTES!AH72+ACCIDENTES!AM72)/(HH!F72+HH!J72+HH!N72+HH!R72+HH!V72+HH!Z72+HH!AD72+HH!AH72))*1000000</f>
        <v>0</v>
      </c>
      <c r="Z72" s="59">
        <f>((ACCIDENTES!F72+ACCIDENTES!K72+ACCIDENTES!P72+ACCIDENTES!U72+ACCIDENTES!Z72+ACCIDENTES!AE72+ACCIDENTES!AJ72+ACCIDENTES!AO72)/(HH!F72+HH!J72+HH!N72+HH!R72+HH!V72+HH!Z72+HH!AD72+HH!AH72))*1000000</f>
        <v>0</v>
      </c>
      <c r="AA72" s="59">
        <f>((ACCIDENTES!AQ72+ACCIDENTES!AL72+ACCIDENTES!AG72+ACCIDENTES!AB72+ACCIDENTES!W72+ACCIDENTES!R72+ACCIDENTES!M72+ACCIDENTES!H72+ACCIDENTES!C72)/(HH!AL72+HH!AH72+HH!AD72+HH!Z72+HH!V72+HH!R72+HH!N72+HH!J72+HH!F72))*1000000</f>
        <v>0</v>
      </c>
      <c r="AB72" s="59">
        <f>((ACCIDENTES!AR72+ACCIDENTES!AM72+ACCIDENTES!AH72+ACCIDENTES!AC72+ACCIDENTES!X72+ACCIDENTES!S72+ACCIDENTES!N72+ACCIDENTES!I72+ACCIDENTES!D72)/(HH!AL72+HH!AH72+HH!AD72+HH!Z72+HH!V72+HH!R72+HH!N72+HH!J72+HH!F72))*1000000</f>
        <v>0</v>
      </c>
      <c r="AC72" s="59">
        <f>((ACCIDENTES!F72+ACCIDENTES!K72+ACCIDENTES!P72+ACCIDENTES!U72+ACCIDENTES!Z72+ACCIDENTES!AE72+ACCIDENTES!AJ72+ACCIDENTES!AO72+ACCIDENTES!AT72)/(HH!F72+HH!J72+HH!N72+HH!R72+HH!V72+HH!Z72+HH!AD72+HH!AH72+HH!AL72))*1000000</f>
        <v>0</v>
      </c>
      <c r="AD72" s="59">
        <f>((ACCIDENTES!AV72+ACCIDENTES!AQ72+ACCIDENTES!AL72+ACCIDENTES!AG72+ACCIDENTES!AB72+ACCIDENTES!W72+ACCIDENTES!R72+ACCIDENTES!M72+ACCIDENTES!H72+ACCIDENTES!C72)/(HH!F72+HH!J72+HH!N72+HH!R72+HH!V72+HH!Z72+HH!AD72+HH!AH72+HH!AL72+HH!AP72))*1000000</f>
        <v>0</v>
      </c>
      <c r="AE72" s="59">
        <f>((ACCIDENTES!D72+ACCIDENTES!I72+ACCIDENTES!N72+ACCIDENTES!S72+ACCIDENTES!X72+ACCIDENTES!AC72+ACCIDENTES!AH72+ACCIDENTES!AM72+ACCIDENTES!AR72+ACCIDENTES!AW72)/(HH!AP72+HH!AL72+HH!AH72+HH!AD72+HH!Z72+HH!V72+HH!R72+HH!N72+HH!J72+HH!F72))*1000000</f>
        <v>0</v>
      </c>
      <c r="AF72" s="59">
        <f>((ACCIDENTES!AY72+ACCIDENTES!AT72+ACCIDENTES!AO72+ACCIDENTES!AJ72+ACCIDENTES!AE72+ACCIDENTES!Z72+ACCIDENTES!U72+ACCIDENTES!P72+ACCIDENTES!K72+ACCIDENTES!F72)/(HH!F72+HH!J72+HH!N72+HH!R72+HH!V72+HH!Z72+HH!AD72+HH!AH72+HH!AL72+HH!AP72))*1000000</f>
        <v>0</v>
      </c>
      <c r="AG72" s="59">
        <f>((ACCIDENTES!BA72+ACCIDENTES!AV72+ACCIDENTES!AQ72+ACCIDENTES!AL72+ACCIDENTES!AG72+ACCIDENTES!AB72+ACCIDENTES!W72+ACCIDENTES!R72+ACCIDENTES!M72+ACCIDENTES!H72+ACCIDENTES!C72)/(HH!AT72+HH!AP72+HH!AL72+HH!AH72+HH!AD72+HH!Z72+HH!V72+HH!R72+HH!N72+HH!J72+HH!F72))*1000000</f>
        <v>0</v>
      </c>
      <c r="AH72" s="59">
        <f>((ACCIDENTES!D72+ACCIDENTES!I72+ACCIDENTES!N72+ACCIDENTES!S72+ACCIDENTES!X72+ACCIDENTES!AC72+ACCIDENTES!AH72+ACCIDENTES!AM72+ACCIDENTES!AR72+ACCIDENTES!AW72+ACCIDENTES!BB72)/(HH!F72+HH!J72+HH!N72+HH!R72+HH!V72+HH!Z72+HH!AD72+HH!AH72+HH!AL72+HH!AP72+HH!AT72))*1000000</f>
        <v>0</v>
      </c>
      <c r="AI72" s="59">
        <f>((ACCIDENTES!BD72+ACCIDENTES!AY72+ACCIDENTES!AT72+ACCIDENTES!AO72+ACCIDENTES!AJ72+ACCIDENTES!AE72+ACCIDENTES!Z72+ACCIDENTES!U72+ACCIDENTES!P72+ACCIDENTES!K72+ACCIDENTES!F72)/(HH!F72+HH!J72+HH!N72+HH!R72+HH!V72+HH!Z72+HH!AD72+HH!AH72+HH!AL72+HH!AP72+HH!AT72))*1000000</f>
        <v>0</v>
      </c>
      <c r="AJ72" s="59">
        <f>(ACCIDENTES!BK72/HH!BB72)*1000000</f>
        <v>0</v>
      </c>
      <c r="AK72" s="59">
        <f>(ACCIDENTES!BL72/HH!BB72)*1000000</f>
        <v>0</v>
      </c>
      <c r="AL72" s="59">
        <f>(ACCIDENTES!BN72/HH!BB72)*1000000</f>
        <v>0</v>
      </c>
      <c r="AN72" s="41">
        <f t="shared" si="2"/>
        <v>0</v>
      </c>
      <c r="AO72" s="41">
        <f t="shared" si="3"/>
        <v>0</v>
      </c>
      <c r="AP72" s="40"/>
      <c r="AQ72" s="127"/>
      <c r="AR72" s="41">
        <v>5.8</v>
      </c>
      <c r="AS72" s="41">
        <v>239</v>
      </c>
      <c r="AT72" s="41">
        <v>1.2</v>
      </c>
      <c r="AV72" s="118"/>
      <c r="AW72" s="60"/>
      <c r="AX72" s="60"/>
      <c r="AY72" s="63"/>
      <c r="AZ72" s="118"/>
      <c r="BA72" s="60"/>
      <c r="BB72" s="60"/>
      <c r="BC72" s="63"/>
      <c r="BD72" s="118"/>
      <c r="BE72" s="60"/>
      <c r="BF72" s="60"/>
    </row>
    <row r="73" spans="1:65" outlineLevel="1" x14ac:dyDescent="0.3">
      <c r="A73" s="10" t="s">
        <v>95</v>
      </c>
      <c r="B73" s="4" t="s">
        <v>98</v>
      </c>
      <c r="C73" s="58">
        <f>(ACCIDENTES!C73/HH!F73)*1000000</f>
        <v>13.160838608636142</v>
      </c>
      <c r="D73" s="59">
        <f>(ACCIDENTES!D73/HH!F73)*1000000</f>
        <v>118.44754747772528</v>
      </c>
      <c r="E73" s="59">
        <f>(ACCIDENTES!F73/HH!F73)*1000000</f>
        <v>13.160838608636142</v>
      </c>
      <c r="F73" s="59">
        <f>((ACCIDENTES!C73+ACCIDENTES!H73)/(HH!F73+HH!J73))*1000000</f>
        <v>6.7266685501338612</v>
      </c>
      <c r="G73" s="59">
        <f>((ACCIDENTES!D73+ACCIDENTES!I73)/(HH!F73+HH!J73))*1000000</f>
        <v>60.540016951204748</v>
      </c>
      <c r="H73" s="59">
        <f>((ACCIDENTES!F73+ACCIDENTES!K73)/(HH!F73+HH!J73))*1000000</f>
        <v>6.7266685501338612</v>
      </c>
      <c r="I73" s="59">
        <f>((ACCIDENTES!C73+ACCIDENTES!H73+ACCIDENTES!M73)/(HH!F73+HH!J73+HH!N73))*1000000</f>
        <v>4.5658347715712857</v>
      </c>
      <c r="J73" s="59">
        <f>((ACCIDENTES!D73+ACCIDENTES!I73+ACCIDENTES!N73)/(HH!F73+HH!J73+HH!N73))*1000000</f>
        <v>41.092512944141575</v>
      </c>
      <c r="K73" s="59">
        <f>((ACCIDENTES!F73+ACCIDENTES!K73+ACCIDENTES!P73)/(HH!J73+HH!N73+HH!F73))*1000000</f>
        <v>4.5658347715712857</v>
      </c>
      <c r="L73" s="59">
        <f>((ACCIDENTES!C73+ACCIDENTES!H73+ACCIDENTES!M73+ACCIDENTES!R73)/(HH!F73+HH!J73+HH!N73+HH!R73))*1000000</f>
        <v>3.4464931931759435</v>
      </c>
      <c r="M73" s="59">
        <f>((ACCIDENTES!D73+ACCIDENTES!I73+ACCIDENTES!N73+ACCIDENTES!S73)/(HH!F73+HH!J73+HH!N73+HH!R73))*1000000</f>
        <v>31.018438738583487</v>
      </c>
      <c r="N73" s="59">
        <f>((ACCIDENTES!F73+ACCIDENTES!K73+ACCIDENTES!P73+ACCIDENTES!U73)/(HH!F73+HH!J73+HH!N73+HH!R73))*1000000</f>
        <v>3.4464931931759435</v>
      </c>
      <c r="O73" s="59">
        <f>((ACCIDENTES!C73+ACCIDENTES!H73+ACCIDENTES!M73+ACCIDENTES!R73+ACCIDENTES!W73)/(HH!F73+HH!J73+HH!N73+HH!R73+HH!V73))*1000000</f>
        <v>2.7901863565467537</v>
      </c>
      <c r="P73" s="59">
        <f>(((ACCIDENTES!D73+ACCIDENTES!I73+ACCIDENTES!N73+ACCIDENTES!S73+ACCIDENTES!X73)/(HH!F73+HH!J73+HH!N73+HH!R73+HH!V73))*1000000)</f>
        <v>25.111677208920785</v>
      </c>
      <c r="Q73" s="59">
        <f>((ACCIDENTES!F73+ACCIDENTES!K73+ACCIDENTES!P73+ACCIDENTES!U73+ACCIDENTES!Z73)/(HH!F73+HH!J73+HH!N73+HH!R73+HH!V73))*1000000</f>
        <v>2.7901863565467537</v>
      </c>
      <c r="R73" s="59">
        <f>(ACCIDENTES!C73+ACCIDENTES!H73+ACCIDENTES!M73+ACCIDENTES!R73+ACCIDENTES!W73+ACCIDENTES!AB73)*1000000/(HH!F73+HH!J73+HH!N73+HH!R73+HH!V73+HH!Z73)</f>
        <v>2.354825036499788</v>
      </c>
      <c r="S73" s="59">
        <f>(ACCIDENTES!D73+ACCIDENTES!I73+ACCIDENTES!N73+ACCIDENTES!S73+ACCIDENTES!X73+ACCIDENTES!AC73)*1000000/(HH!F73+HH!J73+HH!N73+HH!R73+HH!V73+HH!Z73)</f>
        <v>21.193425328498094</v>
      </c>
      <c r="T73" s="59">
        <f>(ACCIDENTES!F73+ACCIDENTES!K73+ACCIDENTES!P73+ACCIDENTES!U73+ACCIDENTES!Z73+ACCIDENTES!AE73)*1000000/(HH!F73+HH!J73+HH!N73+HH!R73+HH!V73+HH!Z73)</f>
        <v>2.354825036499788</v>
      </c>
      <c r="U73" s="59">
        <f>((ACCIDENTES!C73+ACCIDENTES!H73+ACCIDENTES!M73+ACCIDENTES!R73+ACCIDENTES!W73+ACCIDENTES!AB73+ACCIDENTES!AG73)/(HH!F73+HH!J73+HH!N73+HH!R73+HH!V73+HH!Z73+HH!AD73))*1000000</f>
        <v>2.354825036499788</v>
      </c>
      <c r="V73" s="59">
        <f>((ACCIDENTES!D73+ACCIDENTES!I73+ACCIDENTES!N73+ACCIDENTES!S73+ACCIDENTES!X73+ACCIDENTES!AC73+ACCIDENTES!AH73)/(HH!F73+HH!J73+HH!N73+HH!R73+HH!V73+HH!Z73+HH!AD73))*1000000</f>
        <v>21.193425328498094</v>
      </c>
      <c r="W73" s="59">
        <f>((ACCIDENTES!F73+ACCIDENTES!K73+ACCIDENTES!P73+ACCIDENTES!U73+ACCIDENTES!Z73+ACCIDENTES!AE73+ACCIDENTES!AJ73)/(HH!F73+HH!J73+HH!N73+HH!R73+HH!V73+HH!Z73+HH!AD73))*1000000</f>
        <v>2.354825036499788</v>
      </c>
      <c r="X73" s="59">
        <f>((ACCIDENTES!C73+ACCIDENTES!H73+ACCIDENTES!M73+ACCIDENTES!R73+ACCIDENTES!W73+ACCIDENTES!AB73+ACCIDENTES!AG73+ACCIDENTES!AL73)/(HH!F73+HH!J73+HH!N73+HH!R73+HH!V73+HH!Z73+HH!AD73+HH!AH73))*1000000</f>
        <v>2.354825036499788</v>
      </c>
      <c r="Y73" s="59">
        <f>((ACCIDENTES!D73+ACCIDENTES!I73+ACCIDENTES!N73+ACCIDENTES!S73+ACCIDENTES!X73+ACCIDENTES!AC73+ACCIDENTES!AH73+ACCIDENTES!AM73)/(HH!F73+HH!J73+HH!N73+HH!R73+HH!V73+HH!Z73+HH!AD73+HH!AH73))*1000000</f>
        <v>21.193425328498094</v>
      </c>
      <c r="Z73" s="59">
        <f>((ACCIDENTES!F73+ACCIDENTES!K73+ACCIDENTES!P73+ACCIDENTES!U73+ACCIDENTES!Z73+ACCIDENTES!AE73+ACCIDENTES!AJ73+ACCIDENTES!AO73)/(HH!F73+HH!J73+HH!N73+HH!R73+HH!V73+HH!Z73+HH!AD73+HH!AH73))*1000000</f>
        <v>2.354825036499788</v>
      </c>
      <c r="AA73" s="59">
        <f>((ACCIDENTES!AQ73+ACCIDENTES!AL73+ACCIDENTES!AG73+ACCIDENTES!AB73+ACCIDENTES!W73+ACCIDENTES!R73+ACCIDENTES!M73+ACCIDENTES!H73+ACCIDENTES!C73)/(HH!AL73+HH!AH73+HH!AD73+HH!Z73+HH!V73+HH!R73+HH!N73+HH!J73+HH!F73))*1000000</f>
        <v>2.354825036499788</v>
      </c>
      <c r="AB73" s="59">
        <f>((ACCIDENTES!AR73+ACCIDENTES!AM73+ACCIDENTES!AH73+ACCIDENTES!AC73+ACCIDENTES!X73+ACCIDENTES!S73+ACCIDENTES!N73+ACCIDENTES!I73+ACCIDENTES!D73)/(HH!AL73+HH!AH73+HH!AD73+HH!Z73+HH!V73+HH!R73+HH!N73+HH!J73+HH!F73))*1000000</f>
        <v>21.193425328498094</v>
      </c>
      <c r="AC73" s="59">
        <f>((ACCIDENTES!F73+ACCIDENTES!K73+ACCIDENTES!P73+ACCIDENTES!U73+ACCIDENTES!Z73+ACCIDENTES!AE73+ACCIDENTES!AJ73+ACCIDENTES!AO73+ACCIDENTES!AT73)/(HH!F73+HH!J73+HH!N73+HH!R73+HH!V73+HH!Z73+HH!AD73+HH!AH73+HH!AL73))*1000000</f>
        <v>2.354825036499788</v>
      </c>
      <c r="AD73" s="59">
        <f>((ACCIDENTES!AV73+ACCIDENTES!AQ73+ACCIDENTES!AL73+ACCIDENTES!AG73+ACCIDENTES!AB73+ACCIDENTES!W73+ACCIDENTES!R73+ACCIDENTES!M73+ACCIDENTES!H73+ACCIDENTES!C73)/(HH!F73+HH!J73+HH!N73+HH!R73+HH!V73+HH!Z73+HH!AD73+HH!AH73+HH!AL73+HH!AP73))*1000000</f>
        <v>2.354825036499788</v>
      </c>
      <c r="AE73" s="59">
        <f>((ACCIDENTES!D73+ACCIDENTES!I73+ACCIDENTES!N73+ACCIDENTES!S73+ACCIDENTES!X73+ACCIDENTES!AC73+ACCIDENTES!AH73+ACCIDENTES!AM73+ACCIDENTES!AR73+ACCIDENTES!AW73)/(HH!AP73+HH!AL73+HH!AH73+HH!AD73+HH!Z73+HH!V73+HH!R73+HH!N73+HH!J73+HH!F73))*1000000</f>
        <v>21.193425328498094</v>
      </c>
      <c r="AF73" s="59">
        <f>((ACCIDENTES!AY73+ACCIDENTES!AT73+ACCIDENTES!AO73+ACCIDENTES!AJ73+ACCIDENTES!AE73+ACCIDENTES!Z73+ACCIDENTES!U73+ACCIDENTES!P73+ACCIDENTES!K73+ACCIDENTES!F73)/(HH!F73+HH!J73+HH!N73+HH!R73+HH!V73+HH!Z73+HH!AD73+HH!AH73+HH!AL73+HH!AP73))*1000000</f>
        <v>2.354825036499788</v>
      </c>
      <c r="AG73" s="59">
        <f>((ACCIDENTES!BA73+ACCIDENTES!AV73+ACCIDENTES!AQ73+ACCIDENTES!AL73+ACCIDENTES!AG73+ACCIDENTES!AB73+ACCIDENTES!W73+ACCIDENTES!R73+ACCIDENTES!M73+ACCIDENTES!H73+ACCIDENTES!C73)/(HH!AT73+HH!AP73+HH!AL73+HH!AH73+HH!AD73+HH!Z73+HH!V73+HH!R73+HH!N73+HH!J73+HH!F73))*1000000</f>
        <v>2.354825036499788</v>
      </c>
      <c r="AH73" s="59">
        <f>((ACCIDENTES!D73+ACCIDENTES!I73+ACCIDENTES!N73+ACCIDENTES!S73+ACCIDENTES!X73+ACCIDENTES!AC73+ACCIDENTES!AH73+ACCIDENTES!AM73+ACCIDENTES!AR73+ACCIDENTES!AW73+ACCIDENTES!BB73)/(HH!F73+HH!J73+HH!N73+HH!R73+HH!V73+HH!Z73+HH!AD73+HH!AH73+HH!AL73+HH!AP73+HH!AT73))*1000000</f>
        <v>21.193425328498094</v>
      </c>
      <c r="AI73" s="59">
        <f>((ACCIDENTES!BD73+ACCIDENTES!AY73+ACCIDENTES!AT73+ACCIDENTES!AO73+ACCIDENTES!AJ73+ACCIDENTES!AE73+ACCIDENTES!Z73+ACCIDENTES!U73+ACCIDENTES!P73+ACCIDENTES!K73+ACCIDENTES!F73)/(HH!F73+HH!J73+HH!N73+HH!R73+HH!V73+HH!Z73+HH!AD73+HH!AH73+HH!AL73+HH!AP73+HH!AT73))*1000000</f>
        <v>2.354825036499788</v>
      </c>
      <c r="AJ73" s="59">
        <f>(ACCIDENTES!BK73/HH!BB73)*1000000</f>
        <v>2.354825036499788</v>
      </c>
      <c r="AK73" s="59">
        <f>(ACCIDENTES!BL73/HH!BB73)*1000000</f>
        <v>21.193425328498094</v>
      </c>
      <c r="AL73" s="59">
        <f>(ACCIDENTES!BN73/HH!BB73)*1000000</f>
        <v>2.354825036499788</v>
      </c>
      <c r="AN73" s="133">
        <f t="shared" si="2"/>
        <v>0</v>
      </c>
      <c r="AO73" s="133">
        <f t="shared" si="3"/>
        <v>0</v>
      </c>
      <c r="AP73" s="134"/>
      <c r="AQ73" s="128"/>
      <c r="AR73" s="41">
        <v>3.2</v>
      </c>
      <c r="AS73" s="41">
        <v>33</v>
      </c>
      <c r="AT73" s="41">
        <v>0.6</v>
      </c>
      <c r="AV73" s="118"/>
      <c r="AW73" s="60"/>
      <c r="AX73" s="60"/>
      <c r="AY73" s="63"/>
      <c r="AZ73" s="118"/>
      <c r="BA73" s="60"/>
      <c r="BB73" s="60"/>
      <c r="BC73" s="63"/>
      <c r="BD73" s="118"/>
      <c r="BE73" s="60"/>
      <c r="BF73" s="60"/>
    </row>
    <row r="74" spans="1:65" outlineLevel="2" x14ac:dyDescent="0.3">
      <c r="A74" s="10" t="s">
        <v>95</v>
      </c>
      <c r="B74" s="13" t="s">
        <v>99</v>
      </c>
      <c r="C74" s="58">
        <f>(ACCIDENTES!C74/HH!F74)*1000000</f>
        <v>0</v>
      </c>
      <c r="D74" s="59">
        <f>(ACCIDENTES!D74/HH!F74)*1000000</f>
        <v>0</v>
      </c>
      <c r="E74" s="59">
        <f>(ACCIDENTES!F74/HH!F74)*1000000</f>
        <v>0</v>
      </c>
      <c r="F74" s="59">
        <f>((ACCIDENTES!C74+ACCIDENTES!H74)/(HH!F74+HH!J74))*1000000</f>
        <v>0</v>
      </c>
      <c r="G74" s="59">
        <f>((ACCIDENTES!D74+ACCIDENTES!I74)/(HH!F74+HH!J74))*1000000</f>
        <v>0</v>
      </c>
      <c r="H74" s="59">
        <f>((ACCIDENTES!F74+ACCIDENTES!K74)/(HH!F74+HH!J74))*1000000</f>
        <v>0</v>
      </c>
      <c r="I74" s="59">
        <f>((ACCIDENTES!C74+ACCIDENTES!H74+ACCIDENTES!M74)/(HH!F74+HH!J74+HH!N74))*1000000</f>
        <v>0</v>
      </c>
      <c r="J74" s="59">
        <f>((ACCIDENTES!D74+ACCIDENTES!I74+ACCIDENTES!N74)/(HH!F74+HH!J74+HH!N74))*1000000</f>
        <v>0</v>
      </c>
      <c r="K74" s="59">
        <f>((ACCIDENTES!F74+ACCIDENTES!K74+ACCIDENTES!P74)/(HH!J74+HH!N74+HH!F74))*1000000</f>
        <v>0</v>
      </c>
      <c r="L74" s="59">
        <f>((ACCIDENTES!C74+ACCIDENTES!H74+ACCIDENTES!M74+ACCIDENTES!R74)/(HH!F74+HH!J74+HH!N74+HH!R74))*1000000</f>
        <v>0</v>
      </c>
      <c r="M74" s="59">
        <f>((ACCIDENTES!D74+ACCIDENTES!I74+ACCIDENTES!N74+ACCIDENTES!S74)/(HH!F74+HH!J74+HH!N74+HH!R74))*1000000</f>
        <v>0</v>
      </c>
      <c r="N74" s="59">
        <f>((ACCIDENTES!F74+ACCIDENTES!K74+ACCIDENTES!P74+ACCIDENTES!U74)/(HH!F74+HH!J74+HH!N74+HH!R74))*1000000</f>
        <v>0</v>
      </c>
      <c r="O74" s="59">
        <f>((ACCIDENTES!C74+ACCIDENTES!H74+ACCIDENTES!M74+ACCIDENTES!R74+ACCIDENTES!W74)/(HH!F74+HH!J74+HH!N74+HH!R74+HH!V74))*1000000</f>
        <v>0</v>
      </c>
      <c r="P74" s="59">
        <f>(((ACCIDENTES!D74+ACCIDENTES!I74+ACCIDENTES!N74+ACCIDENTES!S74+ACCIDENTES!X74)/(HH!F74+HH!J74+HH!N74+HH!R74+HH!V74))*1000000)</f>
        <v>0</v>
      </c>
      <c r="Q74" s="59">
        <f>((ACCIDENTES!F74+ACCIDENTES!K74+ACCIDENTES!P74+ACCIDENTES!U74+ACCIDENTES!Z74)/(HH!F74+HH!J74+HH!N74+HH!R74+HH!V74))*1000000</f>
        <v>0</v>
      </c>
      <c r="R74" s="59">
        <f>(ACCIDENTES!C74+ACCIDENTES!H74+ACCIDENTES!M74+ACCIDENTES!R74+ACCIDENTES!W74+ACCIDENTES!AB74)*1000000/(HH!F74+HH!J74+HH!N74+HH!R74+HH!V74+HH!Z74)</f>
        <v>0</v>
      </c>
      <c r="S74" s="59">
        <f>(ACCIDENTES!D74+ACCIDENTES!I74+ACCIDENTES!N74+ACCIDENTES!S74+ACCIDENTES!X74+ACCIDENTES!AC74)*1000000/(HH!F74+HH!J74+HH!N74+HH!R74+HH!V74+HH!Z74)</f>
        <v>0</v>
      </c>
      <c r="T74" s="59">
        <f>(ACCIDENTES!F74+ACCIDENTES!K74+ACCIDENTES!P74+ACCIDENTES!U74+ACCIDENTES!Z74+ACCIDENTES!AE74)*1000000/(HH!F74+HH!J74+HH!N74+HH!R74+HH!V74+HH!Z74)</f>
        <v>0</v>
      </c>
      <c r="U74" s="59">
        <f>((ACCIDENTES!C74+ACCIDENTES!H74+ACCIDENTES!M74+ACCIDENTES!R74+ACCIDENTES!W74+ACCIDENTES!AB74+ACCIDENTES!AG74)/(HH!F74+HH!J74+HH!N74+HH!R74+HH!V74+HH!Z74+HH!AD74))*1000000</f>
        <v>0</v>
      </c>
      <c r="V74" s="59">
        <f>((ACCIDENTES!D74+ACCIDENTES!I74+ACCIDENTES!N74+ACCIDENTES!S74+ACCIDENTES!X74+ACCIDENTES!AC74+ACCIDENTES!AH74)/(HH!F74+HH!J74+HH!N74+HH!R74+HH!V74+HH!Z74+HH!AD74))*1000000</f>
        <v>0</v>
      </c>
      <c r="W74" s="59">
        <f>((ACCIDENTES!F74+ACCIDENTES!K74+ACCIDENTES!P74+ACCIDENTES!U74+ACCIDENTES!Z74+ACCIDENTES!AE74+ACCIDENTES!AJ74)/(HH!F74+HH!J74+HH!N74+HH!R74+HH!V74+HH!Z74+HH!AD74))*1000000</f>
        <v>0</v>
      </c>
      <c r="X74" s="59">
        <f>((ACCIDENTES!C74+ACCIDENTES!H74+ACCIDENTES!M74+ACCIDENTES!R74+ACCIDENTES!W74+ACCIDENTES!AB74+ACCIDENTES!AG74+ACCIDENTES!AL74)/(HH!F74+HH!J74+HH!N74+HH!R74+HH!V74+HH!Z74+HH!AD74+HH!AH74))*1000000</f>
        <v>0</v>
      </c>
      <c r="Y74" s="59">
        <f>((ACCIDENTES!D74+ACCIDENTES!I74+ACCIDENTES!N74+ACCIDENTES!S74+ACCIDENTES!X74+ACCIDENTES!AC74+ACCIDENTES!AH74+ACCIDENTES!AM74)/(HH!F74+HH!J74+HH!N74+HH!R74+HH!V74+HH!Z74+HH!AD74+HH!AH74))*1000000</f>
        <v>0</v>
      </c>
      <c r="Z74" s="59">
        <f>((ACCIDENTES!F74+ACCIDENTES!K74+ACCIDENTES!P74+ACCIDENTES!U74+ACCIDENTES!Z74+ACCIDENTES!AE74+ACCIDENTES!AJ74+ACCIDENTES!AO74)/(HH!F74+HH!J74+HH!N74+HH!R74+HH!V74+HH!Z74+HH!AD74+HH!AH74))*1000000</f>
        <v>0</v>
      </c>
      <c r="AA74" s="59">
        <f>((ACCIDENTES!AQ74+ACCIDENTES!AL74+ACCIDENTES!AG74+ACCIDENTES!AB74+ACCIDENTES!W74+ACCIDENTES!R74+ACCIDENTES!M74+ACCIDENTES!H74+ACCIDENTES!C74)/(HH!AL74+HH!AH74+HH!AD74+HH!Z74+HH!V74+HH!R74+HH!N74+HH!J74+HH!F74))*1000000</f>
        <v>0</v>
      </c>
      <c r="AB74" s="59">
        <f>((ACCIDENTES!AR74+ACCIDENTES!AM74+ACCIDENTES!AH74+ACCIDENTES!AC74+ACCIDENTES!X74+ACCIDENTES!S74+ACCIDENTES!N74+ACCIDENTES!I74+ACCIDENTES!D74)/(HH!AL74+HH!AH74+HH!AD74+HH!Z74+HH!V74+HH!R74+HH!N74+HH!J74+HH!F74))*1000000</f>
        <v>0</v>
      </c>
      <c r="AC74" s="59">
        <f>((ACCIDENTES!F74+ACCIDENTES!K74+ACCIDENTES!P74+ACCIDENTES!U74+ACCIDENTES!Z74+ACCIDENTES!AE74+ACCIDENTES!AJ74+ACCIDENTES!AO74+ACCIDENTES!AT74)/(HH!F74+HH!J74+HH!N74+HH!R74+HH!V74+HH!Z74+HH!AD74+HH!AH74+HH!AL74))*1000000</f>
        <v>0</v>
      </c>
      <c r="AD74" s="59">
        <f>((ACCIDENTES!AV74+ACCIDENTES!AQ74+ACCIDENTES!AL74+ACCIDENTES!AG74+ACCIDENTES!AB74+ACCIDENTES!W74+ACCIDENTES!R74+ACCIDENTES!M74+ACCIDENTES!H74+ACCIDENTES!C74)/(HH!F74+HH!J74+HH!N74+HH!R74+HH!V74+HH!Z74+HH!AD74+HH!AH74+HH!AL74+HH!AP74))*1000000</f>
        <v>0</v>
      </c>
      <c r="AE74" s="59">
        <f>((ACCIDENTES!D74+ACCIDENTES!I74+ACCIDENTES!N74+ACCIDENTES!S74+ACCIDENTES!X74+ACCIDENTES!AC74+ACCIDENTES!AH74+ACCIDENTES!AM74+ACCIDENTES!AR74+ACCIDENTES!AW74)/(HH!AP74+HH!AL74+HH!AH74+HH!AD74+HH!Z74+HH!V74+HH!R74+HH!N74+HH!J74+HH!F74))*1000000</f>
        <v>0</v>
      </c>
      <c r="AF74" s="59">
        <f>((ACCIDENTES!AY74+ACCIDENTES!AT74+ACCIDENTES!AO74+ACCIDENTES!AJ74+ACCIDENTES!AE74+ACCIDENTES!Z74+ACCIDENTES!U74+ACCIDENTES!P74+ACCIDENTES!K74+ACCIDENTES!F74)/(HH!F74+HH!J74+HH!N74+HH!R74+HH!V74+HH!Z74+HH!AD74+HH!AH74+HH!AL74+HH!AP74))*1000000</f>
        <v>0</v>
      </c>
      <c r="AG74" s="59">
        <f>((ACCIDENTES!BA74+ACCIDENTES!AV74+ACCIDENTES!AQ74+ACCIDENTES!AL74+ACCIDENTES!AG74+ACCIDENTES!AB74+ACCIDENTES!W74+ACCIDENTES!R74+ACCIDENTES!M74+ACCIDENTES!H74+ACCIDENTES!C74)/(HH!AT74+HH!AP74+HH!AL74+HH!AH74+HH!AD74+HH!Z74+HH!V74+HH!R74+HH!N74+HH!J74+HH!F74))*1000000</f>
        <v>0</v>
      </c>
      <c r="AH74" s="59">
        <f>((ACCIDENTES!D74+ACCIDENTES!I74+ACCIDENTES!N74+ACCIDENTES!S74+ACCIDENTES!X74+ACCIDENTES!AC74+ACCIDENTES!AH74+ACCIDENTES!AM74+ACCIDENTES!AR74+ACCIDENTES!AW74+ACCIDENTES!BB74)/(HH!F74+HH!J74+HH!N74+HH!R74+HH!V74+HH!Z74+HH!AD74+HH!AH74+HH!AL74+HH!AP74+HH!AT74))*1000000</f>
        <v>0</v>
      </c>
      <c r="AI74" s="59">
        <f>((ACCIDENTES!BD74+ACCIDENTES!AY74+ACCIDENTES!AT74+ACCIDENTES!AO74+ACCIDENTES!AJ74+ACCIDENTES!AE74+ACCIDENTES!Z74+ACCIDENTES!U74+ACCIDENTES!P74+ACCIDENTES!K74+ACCIDENTES!F74)/(HH!F74+HH!J74+HH!N74+HH!R74+HH!V74+HH!Z74+HH!AD74+HH!AH74+HH!AL74+HH!AP74+HH!AT74))*1000000</f>
        <v>0</v>
      </c>
      <c r="AJ74" s="59">
        <f>(ACCIDENTES!BK74/HH!BB74)*1000000</f>
        <v>0</v>
      </c>
      <c r="AK74" s="59">
        <f>(ACCIDENTES!BL74/HH!BB74)*1000000</f>
        <v>0</v>
      </c>
      <c r="AL74" s="59">
        <f>(ACCIDENTES!BN74/HH!BB74)*1000000</f>
        <v>0</v>
      </c>
      <c r="AN74" s="133">
        <f t="shared" si="2"/>
        <v>0</v>
      </c>
      <c r="AO74" s="133">
        <f t="shared" si="3"/>
        <v>0</v>
      </c>
      <c r="AP74" s="134"/>
      <c r="AQ74" s="131"/>
      <c r="AR74" s="41">
        <v>0.7</v>
      </c>
      <c r="AS74" s="41">
        <v>14</v>
      </c>
      <c r="AT74" s="41">
        <v>0.5</v>
      </c>
      <c r="AV74" s="118"/>
      <c r="AW74" s="60"/>
      <c r="AX74" s="60"/>
      <c r="AY74" s="63"/>
      <c r="AZ74" s="118"/>
      <c r="BA74" s="60"/>
      <c r="BB74" s="60"/>
      <c r="BC74" s="63"/>
      <c r="BD74" s="118"/>
      <c r="BE74" s="60"/>
      <c r="BF74" s="60"/>
    </row>
    <row r="75" spans="1:65" outlineLevel="2" x14ac:dyDescent="0.3">
      <c r="A75" s="10" t="s">
        <v>95</v>
      </c>
      <c r="B75" s="13" t="s">
        <v>100</v>
      </c>
      <c r="C75" s="58">
        <f>(ACCIDENTES!C75/HH!F75)*1000000</f>
        <v>8.1804944290832928</v>
      </c>
      <c r="D75" s="59">
        <f>(ACCIDENTES!D75/HH!F75)*1000000</f>
        <v>24.541483287249882</v>
      </c>
      <c r="E75" s="59">
        <f>(ACCIDENTES!F75/HH!F75)*1000000</f>
        <v>8.1804944290832928</v>
      </c>
      <c r="F75" s="59">
        <f>((ACCIDENTES!C75+ACCIDENTES!H75)/(HH!F75+HH!J75))*1000000</f>
        <v>10.043387433713644</v>
      </c>
      <c r="G75" s="59">
        <f>((ACCIDENTES!D75+ACCIDENTES!I75)/(HH!F75+HH!J75))*1000000</f>
        <v>165.71589265627512</v>
      </c>
      <c r="H75" s="59">
        <f>((ACCIDENTES!F75+ACCIDENTES!K75)/(HH!F75+HH!J75))*1000000</f>
        <v>10.043387433713644</v>
      </c>
      <c r="I75" s="59">
        <f>((ACCIDENTES!C75+ACCIDENTES!H75+ACCIDENTES!M75)/(HH!F75+HH!J75+HH!N75))*1000000</f>
        <v>7.2576577361188228</v>
      </c>
      <c r="J75" s="59">
        <f>((ACCIDENTES!D75+ACCIDENTES!I75+ACCIDENTES!N75)/(HH!F75+HH!J75+HH!N75))*1000000</f>
        <v>119.75135264596057</v>
      </c>
      <c r="K75" s="59">
        <f>((ACCIDENTES!F75+ACCIDENTES!K75+ACCIDENTES!P75)/(HH!J75+HH!N75+HH!F75))*1000000</f>
        <v>7.2576577361188228</v>
      </c>
      <c r="L75" s="59">
        <f>((ACCIDENTES!C75+ACCIDENTES!H75+ACCIDENTES!M75+ACCIDENTES!R75)/(HH!F75+HH!J75+HH!N75+HH!R75))*1000000</f>
        <v>6.4404148915273121</v>
      </c>
      <c r="M75" s="59">
        <f>((ACCIDENTES!D75+ACCIDENTES!I75+ACCIDENTES!N75+ACCIDENTES!S75)/(HH!F75+HH!J75+HH!N75+HH!R75))*1000000</f>
        <v>106.26684571020066</v>
      </c>
      <c r="N75" s="59">
        <f>((ACCIDENTES!F75+ACCIDENTES!K75+ACCIDENTES!P75+ACCIDENTES!U75)/(HH!F75+HH!J75+HH!N75+HH!R75))*1000000</f>
        <v>6.4404148915273121</v>
      </c>
      <c r="O75" s="59">
        <f>((ACCIDENTES!C75+ACCIDENTES!H75+ACCIDENTES!M75+ACCIDENTES!R75+ACCIDENTES!W75)/(HH!F75+HH!J75+HH!N75+HH!R75+HH!V75))*1000000</f>
        <v>5.6939501779359425</v>
      </c>
      <c r="P75" s="59">
        <f>(((ACCIDENTES!D75+ACCIDENTES!I75+ACCIDENTES!N75+ACCIDENTES!S75+ACCIDENTES!X75)/(HH!F75+HH!J75+HH!N75+HH!R75+HH!V75))*1000000)</f>
        <v>93.95017793594306</v>
      </c>
      <c r="Q75" s="59">
        <f>((ACCIDENTES!F75+ACCIDENTES!K75+ACCIDENTES!P75+ACCIDENTES!U75+ACCIDENTES!Z75)/(HH!F75+HH!J75+HH!N75+HH!R75+HH!V75))*1000000</f>
        <v>5.6939501779359425</v>
      </c>
      <c r="R75" s="59">
        <f>(ACCIDENTES!C75+ACCIDENTES!H75+ACCIDENTES!M75+ACCIDENTES!R75+ACCIDENTES!W75+ACCIDENTES!AB75)*1000000/(HH!F75+HH!J75+HH!N75+HH!R75+HH!V75+HH!Z75)</f>
        <v>5.1025484678322588</v>
      </c>
      <c r="S75" s="59">
        <f>(ACCIDENTES!D75+ACCIDENTES!I75+ACCIDENTES!N75+ACCIDENTES!S75+ACCIDENTES!X75+ACCIDENTES!AC75)*1000000/(HH!F75+HH!J75+HH!N75+HH!R75+HH!V75+HH!Z75)</f>
        <v>84.192049719232273</v>
      </c>
      <c r="T75" s="59">
        <f>(ACCIDENTES!F75+ACCIDENTES!K75+ACCIDENTES!P75+ACCIDENTES!U75+ACCIDENTES!Z75+ACCIDENTES!AE75)*1000000/(HH!F75+HH!J75+HH!N75+HH!R75+HH!V75+HH!Z75)</f>
        <v>5.1025484678322588</v>
      </c>
      <c r="U75" s="59">
        <f>((ACCIDENTES!C75+ACCIDENTES!H75+ACCIDENTES!M75+ACCIDENTES!R75+ACCIDENTES!W75+ACCIDENTES!AB75+ACCIDENTES!AG75)/(HH!F75+HH!J75+HH!N75+HH!R75+HH!V75+HH!Z75+HH!AD75))*1000000</f>
        <v>5.1025484678322588</v>
      </c>
      <c r="V75" s="59">
        <f>((ACCIDENTES!D75+ACCIDENTES!I75+ACCIDENTES!N75+ACCIDENTES!S75+ACCIDENTES!X75+ACCIDENTES!AC75+ACCIDENTES!AH75)/(HH!F75+HH!J75+HH!N75+HH!R75+HH!V75+HH!Z75+HH!AD75))*1000000</f>
        <v>84.192049719232273</v>
      </c>
      <c r="W75" s="59">
        <f>((ACCIDENTES!F75+ACCIDENTES!K75+ACCIDENTES!P75+ACCIDENTES!U75+ACCIDENTES!Z75+ACCIDENTES!AE75+ACCIDENTES!AJ75)/(HH!F75+HH!J75+HH!N75+HH!R75+HH!V75+HH!Z75+HH!AD75))*1000000</f>
        <v>5.1025484678322588</v>
      </c>
      <c r="X75" s="59">
        <f>((ACCIDENTES!C75+ACCIDENTES!H75+ACCIDENTES!M75+ACCIDENTES!R75+ACCIDENTES!W75+ACCIDENTES!AB75+ACCIDENTES!AG75+ACCIDENTES!AL75)/(HH!F75+HH!J75+HH!N75+HH!R75+HH!V75+HH!Z75+HH!AD75+HH!AH75))*1000000</f>
        <v>5.1025484678322588</v>
      </c>
      <c r="Y75" s="59">
        <f>((ACCIDENTES!D75+ACCIDENTES!I75+ACCIDENTES!N75+ACCIDENTES!S75+ACCIDENTES!X75+ACCIDENTES!AC75+ACCIDENTES!AH75+ACCIDENTES!AM75)/(HH!F75+HH!J75+HH!N75+HH!R75+HH!V75+HH!Z75+HH!AD75+HH!AH75))*1000000</f>
        <v>84.192049719232273</v>
      </c>
      <c r="Z75" s="59">
        <f>((ACCIDENTES!F75+ACCIDENTES!K75+ACCIDENTES!P75+ACCIDENTES!U75+ACCIDENTES!Z75+ACCIDENTES!AE75+ACCIDENTES!AJ75+ACCIDENTES!AO75)/(HH!F75+HH!J75+HH!N75+HH!R75+HH!V75+HH!Z75+HH!AD75+HH!AH75))*1000000</f>
        <v>5.1025484678322588</v>
      </c>
      <c r="AA75" s="59">
        <f>((ACCIDENTES!AQ75+ACCIDENTES!AL75+ACCIDENTES!AG75+ACCIDENTES!AB75+ACCIDENTES!W75+ACCIDENTES!R75+ACCIDENTES!M75+ACCIDENTES!H75+ACCIDENTES!C75)/(HH!AL75+HH!AH75+HH!AD75+HH!Z75+HH!V75+HH!R75+HH!N75+HH!J75+HH!F75))*1000000</f>
        <v>5.1025484678322588</v>
      </c>
      <c r="AB75" s="59">
        <f>((ACCIDENTES!AR75+ACCIDENTES!AM75+ACCIDENTES!AH75+ACCIDENTES!AC75+ACCIDENTES!X75+ACCIDENTES!S75+ACCIDENTES!N75+ACCIDENTES!I75+ACCIDENTES!D75)/(HH!AL75+HH!AH75+HH!AD75+HH!Z75+HH!V75+HH!R75+HH!N75+HH!J75+HH!F75))*1000000</f>
        <v>84.192049719232273</v>
      </c>
      <c r="AC75" s="59">
        <f>((ACCIDENTES!F75+ACCIDENTES!K75+ACCIDENTES!P75+ACCIDENTES!U75+ACCIDENTES!Z75+ACCIDENTES!AE75+ACCIDENTES!AJ75+ACCIDENTES!AO75+ACCIDENTES!AT75)/(HH!F75+HH!J75+HH!N75+HH!R75+HH!V75+HH!Z75+HH!AD75+HH!AH75+HH!AL75))*1000000</f>
        <v>5.1025484678322588</v>
      </c>
      <c r="AD75" s="59">
        <f>((ACCIDENTES!AV75+ACCIDENTES!AQ75+ACCIDENTES!AL75+ACCIDENTES!AG75+ACCIDENTES!AB75+ACCIDENTES!W75+ACCIDENTES!R75+ACCIDENTES!M75+ACCIDENTES!H75+ACCIDENTES!C75)/(HH!F75+HH!J75+HH!N75+HH!R75+HH!V75+HH!Z75+HH!AD75+HH!AH75+HH!AL75+HH!AP75))*1000000</f>
        <v>5.1025484678322588</v>
      </c>
      <c r="AE75" s="59">
        <f>((ACCIDENTES!D75+ACCIDENTES!I75+ACCIDENTES!N75+ACCIDENTES!S75+ACCIDENTES!X75+ACCIDENTES!AC75+ACCIDENTES!AH75+ACCIDENTES!AM75+ACCIDENTES!AR75+ACCIDENTES!AW75)/(HH!AP75+HH!AL75+HH!AH75+HH!AD75+HH!Z75+HH!V75+HH!R75+HH!N75+HH!J75+HH!F75))*1000000</f>
        <v>84.192049719232273</v>
      </c>
      <c r="AF75" s="59">
        <f>((ACCIDENTES!AY75+ACCIDENTES!AT75+ACCIDENTES!AO75+ACCIDENTES!AJ75+ACCIDENTES!AE75+ACCIDENTES!Z75+ACCIDENTES!U75+ACCIDENTES!P75+ACCIDENTES!K75+ACCIDENTES!F75)/(HH!F75+HH!J75+HH!N75+HH!R75+HH!V75+HH!Z75+HH!AD75+HH!AH75+HH!AL75+HH!AP75))*1000000</f>
        <v>5.1025484678322588</v>
      </c>
      <c r="AG75" s="59">
        <f>((ACCIDENTES!BA75+ACCIDENTES!AV75+ACCIDENTES!AQ75+ACCIDENTES!AL75+ACCIDENTES!AG75+ACCIDENTES!AB75+ACCIDENTES!W75+ACCIDENTES!R75+ACCIDENTES!M75+ACCIDENTES!H75+ACCIDENTES!C75)/(HH!AT75+HH!AP75+HH!AL75+HH!AH75+HH!AD75+HH!Z75+HH!V75+HH!R75+HH!N75+HH!J75+HH!F75))*1000000</f>
        <v>5.1025484678322588</v>
      </c>
      <c r="AH75" s="59">
        <f>((ACCIDENTES!D75+ACCIDENTES!I75+ACCIDENTES!N75+ACCIDENTES!S75+ACCIDENTES!X75+ACCIDENTES!AC75+ACCIDENTES!AH75+ACCIDENTES!AM75+ACCIDENTES!AR75+ACCIDENTES!AW75+ACCIDENTES!BB75)/(HH!F75+HH!J75+HH!N75+HH!R75+HH!V75+HH!Z75+HH!AD75+HH!AH75+HH!AL75+HH!AP75+HH!AT75))*1000000</f>
        <v>84.192049719232273</v>
      </c>
      <c r="AI75" s="59">
        <f>((ACCIDENTES!BD75+ACCIDENTES!AY75+ACCIDENTES!AT75+ACCIDENTES!AO75+ACCIDENTES!AJ75+ACCIDENTES!AE75+ACCIDENTES!Z75+ACCIDENTES!U75+ACCIDENTES!P75+ACCIDENTES!K75+ACCIDENTES!F75)/(HH!F75+HH!J75+HH!N75+HH!R75+HH!V75+HH!Z75+HH!AD75+HH!AH75+HH!AL75+HH!AP75+HH!AT75))*1000000</f>
        <v>5.1025484678322588</v>
      </c>
      <c r="AJ75" s="59">
        <f>(ACCIDENTES!BK75/HH!BB75)*1000000</f>
        <v>5.1025484678322588</v>
      </c>
      <c r="AK75" s="59">
        <f>(ACCIDENTES!BL75/HH!BB75)*1000000</f>
        <v>84.192049719232273</v>
      </c>
      <c r="AL75" s="59">
        <f>(ACCIDENTES!BN75/HH!BB75)*1000000</f>
        <v>5.1025484678322588</v>
      </c>
      <c r="AN75" s="133">
        <f t="shared" si="2"/>
        <v>0</v>
      </c>
      <c r="AO75" s="133">
        <f t="shared" si="3"/>
        <v>0</v>
      </c>
      <c r="AP75" s="134"/>
      <c r="AQ75" s="131"/>
      <c r="AR75" s="41">
        <v>3.2</v>
      </c>
      <c r="AS75" s="41">
        <v>51</v>
      </c>
      <c r="AT75" s="41">
        <v>0.6</v>
      </c>
      <c r="AV75" s="118"/>
      <c r="AW75" s="60"/>
      <c r="AX75" s="60"/>
      <c r="AY75" s="63"/>
      <c r="AZ75" s="118"/>
      <c r="BA75" s="60"/>
      <c r="BB75" s="60"/>
      <c r="BC75" s="63"/>
      <c r="BD75" s="118"/>
      <c r="BE75" s="60"/>
      <c r="BF75" s="60"/>
    </row>
    <row r="76" spans="1:65" outlineLevel="1" x14ac:dyDescent="0.3">
      <c r="A76" s="10" t="s">
        <v>95</v>
      </c>
      <c r="B76" s="14" t="s">
        <v>101</v>
      </c>
      <c r="C76" s="75">
        <f>(ACCIDENTES!C76/HH!F76)*1000000</f>
        <v>4.3644108481796042</v>
      </c>
      <c r="D76" s="76">
        <f>(ACCIDENTES!D76/HH!F76)*1000000</f>
        <v>13.093232544538813</v>
      </c>
      <c r="E76" s="76">
        <f>(ACCIDENTES!F76/HH!F76)*1000000</f>
        <v>4.3644108481796042</v>
      </c>
      <c r="F76" s="76">
        <f>((ACCIDENTES!C76+ACCIDENTES!H76)/(HH!F76+HH!J76))*1000000</f>
        <v>4.946748255034553</v>
      </c>
      <c r="G76" s="76">
        <f>((ACCIDENTES!D76+ACCIDENTES!I76)/(HH!F76+HH!J76))*1000000</f>
        <v>81.621346208070136</v>
      </c>
      <c r="H76" s="76">
        <f>((ACCIDENTES!F76+ACCIDENTES!K76)/(HH!F76+HH!J76))*1000000</f>
        <v>4.946748255034553</v>
      </c>
      <c r="I76" s="76">
        <f>((ACCIDENTES!C76+ACCIDENTES!H76+ACCIDENTES!M76)/(HH!F76+HH!J76+HH!N76))*1000000</f>
        <v>3.4430459939299096</v>
      </c>
      <c r="J76" s="76">
        <f>((ACCIDENTES!D76+ACCIDENTES!I76+ACCIDENTES!N76)/(HH!F76+HH!J76+HH!N76))*1000000</f>
        <v>56.810258899843511</v>
      </c>
      <c r="K76" s="76">
        <f>((ACCIDENTES!F76+ACCIDENTES!K76+ACCIDENTES!P76)/(HH!J76+HH!N76+HH!F76))*1000000</f>
        <v>3.4430459939299096</v>
      </c>
      <c r="L76" s="76">
        <f>((ACCIDENTES!C76+ACCIDENTES!H76+ACCIDENTES!M76+ACCIDENTES!R76)/(HH!F76+HH!J76+HH!N76+HH!R76))*1000000</f>
        <v>2.7950097895217878</v>
      </c>
      <c r="M76" s="76">
        <f>((ACCIDENTES!D76+ACCIDENTES!I76+ACCIDENTES!N76+ACCIDENTES!S76)/(HH!F76+HH!J76+HH!N76+HH!R76))*1000000</f>
        <v>46.117661527109497</v>
      </c>
      <c r="N76" s="76">
        <f>((ACCIDENTES!F76+ACCIDENTES!K76+ACCIDENTES!P76+ACCIDENTES!U76)/(HH!F76+HH!J76+HH!N76+HH!R76))*1000000</f>
        <v>2.7950097895217878</v>
      </c>
      <c r="O76" s="77">
        <f>((ACCIDENTES!C76+ACCIDENTES!H76+ACCIDENTES!M76+ACCIDENTES!R76+ACCIDENTES!W76)/(HH!F76+HH!J76+HH!N76+HH!R76+HH!V76))*1000000</f>
        <v>2.3154204687800282</v>
      </c>
      <c r="P76" s="77">
        <f>(((ACCIDENTES!D76+ACCIDENTES!I76+ACCIDENTES!N76+ACCIDENTES!S76+ACCIDENTES!X76)/(HH!F76+HH!J76+HH!N76+HH!R76+HH!V76))*1000000)</f>
        <v>38.20443773487046</v>
      </c>
      <c r="Q76" s="77">
        <f>((ACCIDENTES!F76+ACCIDENTES!K76+ACCIDENTES!P76+ACCIDENTES!U76+ACCIDENTES!Z76)/(HH!F76+HH!J76+HH!N76+HH!R76+HH!V76))*1000000</f>
        <v>2.3154204687800282</v>
      </c>
      <c r="R76" s="76">
        <f>(ACCIDENTES!C76+ACCIDENTES!H76+ACCIDENTES!M76+ACCIDENTES!R76+ACCIDENTES!W76+ACCIDENTES!AB76)*1000000/(HH!F76+HH!J76+HH!N76+HH!R76+HH!V76+HH!Z76)</f>
        <v>1.9763099723613051</v>
      </c>
      <c r="S76" s="76">
        <f>(ACCIDENTES!D76+ACCIDENTES!I76+ACCIDENTES!N76+ACCIDENTES!S76+ACCIDENTES!X76+ACCIDENTES!AC76)*1000000/(HH!F76+HH!J76+HH!N76+HH!R76+HH!V76+HH!Z76)</f>
        <v>32.609114543961532</v>
      </c>
      <c r="T76" s="76">
        <f>(ACCIDENTES!F76+ACCIDENTES!K76+ACCIDENTES!P76+ACCIDENTES!U76+ACCIDENTES!Z76+ACCIDENTES!AE76)*1000000/(HH!F76+HH!J76+HH!N76+HH!R76+HH!V76+HH!Z76)</f>
        <v>1.9763099723613051</v>
      </c>
      <c r="U76" s="76">
        <f>((ACCIDENTES!C76+ACCIDENTES!H76+ACCIDENTES!M76+ACCIDENTES!R76+ACCIDENTES!W76+ACCIDENTES!AB76+ACCIDENTES!AG76)/(HH!F76+HH!J76+HH!N76+HH!R76+HH!V76+HH!Z76+HH!AD76))*1000000</f>
        <v>1.9763099723613051</v>
      </c>
      <c r="V76" s="76">
        <f>((ACCIDENTES!D76+ACCIDENTES!I76+ACCIDENTES!N76+ACCIDENTES!S76+ACCIDENTES!X76+ACCIDENTES!AC76+ACCIDENTES!AH76)/(HH!F76+HH!J76+HH!N76+HH!R76+HH!V76+HH!Z76+HH!AD76))*1000000</f>
        <v>32.609114543961532</v>
      </c>
      <c r="W76" s="76">
        <f>((ACCIDENTES!F76+ACCIDENTES!K76+ACCIDENTES!P76+ACCIDENTES!U76+ACCIDENTES!Z76+ACCIDENTES!AE76+ACCIDENTES!AJ76)/(HH!F76+HH!J76+HH!N76+HH!R76+HH!V76+HH!Z76+HH!AD76))*1000000</f>
        <v>1.9763099723613051</v>
      </c>
      <c r="X76" s="76">
        <f>((ACCIDENTES!C76+ACCIDENTES!H76+ACCIDENTES!M76+ACCIDENTES!R76+ACCIDENTES!W76+ACCIDENTES!AB76+ACCIDENTES!AG76+ACCIDENTES!AL76)/(HH!F76+HH!J76+HH!N76+HH!R76+HH!V76+HH!Z76+HH!AD76+HH!AH76))*1000000</f>
        <v>1.9763099723613051</v>
      </c>
      <c r="Y76" s="76">
        <f>((ACCIDENTES!D76+ACCIDENTES!I76+ACCIDENTES!N76+ACCIDENTES!S76+ACCIDENTES!X76+ACCIDENTES!AC76+ACCIDENTES!AH76+ACCIDENTES!AM76)/(HH!F76+HH!J76+HH!N76+HH!R76+HH!V76+HH!Z76+HH!AD76+HH!AH76))*1000000</f>
        <v>32.609114543961532</v>
      </c>
      <c r="Z76" s="76">
        <f>((ACCIDENTES!F76+ACCIDENTES!K76+ACCIDENTES!P76+ACCIDENTES!U76+ACCIDENTES!Z76+ACCIDENTES!AE76+ACCIDENTES!AJ76+ACCIDENTES!AO76)/(HH!F76+HH!J76+HH!N76+HH!R76+HH!V76+HH!Z76+HH!AD76+HH!AH76))*1000000</f>
        <v>1.9763099723613051</v>
      </c>
      <c r="AA76" s="76">
        <f>((ACCIDENTES!AQ76+ACCIDENTES!AL76+ACCIDENTES!AG76+ACCIDENTES!AB76+ACCIDENTES!W76+ACCIDENTES!R76+ACCIDENTES!M76+ACCIDENTES!H76+ACCIDENTES!C76)/(HH!AL76+HH!AH76+HH!AD76+HH!Z76+HH!V76+HH!R76+HH!N76+HH!J76+HH!F76))*1000000</f>
        <v>1.9763099723613051</v>
      </c>
      <c r="AB76" s="76">
        <f>((ACCIDENTES!AR76+ACCIDENTES!AM76+ACCIDENTES!AH76+ACCIDENTES!AC76+ACCIDENTES!X76+ACCIDENTES!S76+ACCIDENTES!N76+ACCIDENTES!I76+ACCIDENTES!D76)/(HH!AL76+HH!AH76+HH!AD76+HH!Z76+HH!V76+HH!R76+HH!N76+HH!J76+HH!F76))*1000000</f>
        <v>32.609114543961532</v>
      </c>
      <c r="AC76" s="76">
        <f>((ACCIDENTES!F76+ACCIDENTES!K76+ACCIDENTES!P76+ACCIDENTES!U76+ACCIDENTES!Z76+ACCIDENTES!AE76+ACCIDENTES!AJ76+ACCIDENTES!AO76+ACCIDENTES!AT76)/(HH!F76+HH!J76+HH!N76+HH!R76+HH!V76+HH!Z76+HH!AD76+HH!AH76+HH!AL76))*1000000</f>
        <v>1.9763099723613051</v>
      </c>
      <c r="AD76" s="76">
        <f>((ACCIDENTES!AV76+ACCIDENTES!AQ76+ACCIDENTES!AL76+ACCIDENTES!AG76+ACCIDENTES!AB76+ACCIDENTES!W76+ACCIDENTES!R76+ACCIDENTES!M76+ACCIDENTES!H76+ACCIDENTES!C76)/(HH!F76+HH!J76+HH!N76+HH!R76+HH!V76+HH!Z76+HH!AD76+HH!AH76+HH!AL76+HH!AP76))*1000000</f>
        <v>1.9763099723613051</v>
      </c>
      <c r="AE76" s="76">
        <f>((ACCIDENTES!D76+ACCIDENTES!I76+ACCIDENTES!N76+ACCIDENTES!S76+ACCIDENTES!X76+ACCIDENTES!AC76+ACCIDENTES!AH76+ACCIDENTES!AM76+ACCIDENTES!AR76+ACCIDENTES!AW76)/(HH!AP76+HH!AL76+HH!AH76+HH!AD76+HH!Z76+HH!V76+HH!R76+HH!N76+HH!J76+HH!F76))*1000000</f>
        <v>32.609114543961532</v>
      </c>
      <c r="AF76" s="76">
        <f>((ACCIDENTES!AY76+ACCIDENTES!AT76+ACCIDENTES!AO76+ACCIDENTES!AJ76+ACCIDENTES!AE76+ACCIDENTES!Z76+ACCIDENTES!U76+ACCIDENTES!P76+ACCIDENTES!K76+ACCIDENTES!F76)/(HH!F76+HH!J76+HH!N76+HH!R76+HH!V76+HH!Z76+HH!AD76+HH!AH76+HH!AL76+HH!AP76))*1000000</f>
        <v>1.9763099723613051</v>
      </c>
      <c r="AG76" s="76">
        <f>((ACCIDENTES!BA76+ACCIDENTES!AV76+ACCIDENTES!AQ76+ACCIDENTES!AL76+ACCIDENTES!AG76+ACCIDENTES!AB76+ACCIDENTES!W76+ACCIDENTES!R76+ACCIDENTES!M76+ACCIDENTES!H76+ACCIDENTES!C76)/(HH!AT76+HH!AP76+HH!AL76+HH!AH76+HH!AD76+HH!Z76+HH!V76+HH!R76+HH!N76+HH!J76+HH!F76))*1000000</f>
        <v>1.9763099723613051</v>
      </c>
      <c r="AH76" s="76">
        <f>((ACCIDENTES!D76+ACCIDENTES!I76+ACCIDENTES!N76+ACCIDENTES!S76+ACCIDENTES!X76+ACCIDENTES!AC76+ACCIDENTES!AH76+ACCIDENTES!AM76+ACCIDENTES!AR76+ACCIDENTES!AW76+ACCIDENTES!BB76)/(HH!F76+HH!J76+HH!N76+HH!R76+HH!V76+HH!Z76+HH!AD76+HH!AH76+HH!AL76+HH!AP76+HH!AT76))*1000000</f>
        <v>32.609114543961532</v>
      </c>
      <c r="AI76" s="76">
        <f>((ACCIDENTES!BD76+ACCIDENTES!AY76+ACCIDENTES!AT76+ACCIDENTES!AO76+ACCIDENTES!AJ76+ACCIDENTES!AE76+ACCIDENTES!Z76+ACCIDENTES!U76+ACCIDENTES!P76+ACCIDENTES!K76+ACCIDENTES!F76)/(HH!F76+HH!J76+HH!N76+HH!R76+HH!V76+HH!Z76+HH!AD76+HH!AH76+HH!AL76+HH!AP76+HH!AT76))*1000000</f>
        <v>1.9763099723613051</v>
      </c>
      <c r="AJ76" s="76">
        <f>(ACCIDENTES!BK76/HH!BB76)*1000000</f>
        <v>1.9763099723613051</v>
      </c>
      <c r="AK76" s="76">
        <f>(ACCIDENTES!BL76/HH!BB76)*1000000</f>
        <v>32.609114543961532</v>
      </c>
      <c r="AL76" s="76">
        <f>(ACCIDENTES!BN76/HH!BB76)*1000000</f>
        <v>1.9763099723613051</v>
      </c>
      <c r="AN76" s="135">
        <f t="shared" si="2"/>
        <v>0</v>
      </c>
      <c r="AO76" s="135">
        <f t="shared" si="3"/>
        <v>0</v>
      </c>
      <c r="AP76" s="136"/>
      <c r="AR76" s="78">
        <v>1.7</v>
      </c>
      <c r="AS76" s="78">
        <v>28</v>
      </c>
      <c r="AT76" s="78">
        <v>0.6</v>
      </c>
      <c r="AV76" s="77"/>
      <c r="AW76" s="60"/>
      <c r="AX76" s="60"/>
      <c r="AY76" s="63"/>
      <c r="AZ76" s="77"/>
      <c r="BA76" s="60"/>
      <c r="BB76" s="60"/>
      <c r="BC76" s="63"/>
      <c r="BD76" s="77"/>
      <c r="BE76" s="60"/>
      <c r="BF76" s="60"/>
    </row>
    <row r="77" spans="1:65" s="19" customFormat="1" x14ac:dyDescent="0.3">
      <c r="A77" s="329" t="s">
        <v>102</v>
      </c>
      <c r="B77" s="330"/>
      <c r="C77" s="66">
        <f>(ACCIDENTES!C77/HH!F77)*1000000</f>
        <v>5.7480348905717857</v>
      </c>
      <c r="D77" s="67">
        <f>(ACCIDENTES!D77/HH!F77)*1000000</f>
        <v>34.488209343430711</v>
      </c>
      <c r="E77" s="67">
        <f>(ACCIDENTES!F77/HH!F77)*1000000</f>
        <v>5.7480348905717857</v>
      </c>
      <c r="F77" s="67">
        <f>((ACCIDENTES!C77+ACCIDENTES!H77)/(HH!F77+HH!J77))*1000000</f>
        <v>4.2495626491773555</v>
      </c>
      <c r="G77" s="67">
        <f>((ACCIDENTES!D77+ACCIDENTES!I77)/(HH!F77+HH!J77))*1000000</f>
        <v>59.493877088482982</v>
      </c>
      <c r="H77" s="67">
        <f>((ACCIDENTES!F77+ACCIDENTES!K77)/(HH!F77+HH!J77))*1000000</f>
        <v>4.2495626491773555</v>
      </c>
      <c r="I77" s="67">
        <f>((ACCIDENTES!C77+ACCIDENTES!H77+ACCIDENTES!M77)/(HH!F77+HH!J77+HH!N77))*1000000</f>
        <v>2.8416221873860392</v>
      </c>
      <c r="J77" s="67">
        <f>((ACCIDENTES!D77+ACCIDENTES!I77+ACCIDENTES!N77)/(HH!F77+HH!J77+HH!N77))*1000000</f>
        <v>39.782710623404547</v>
      </c>
      <c r="K77" s="67">
        <f>((ACCIDENTES!F77+ACCIDENTES!K77+ACCIDENTES!P77)/(HH!J77+HH!N77+HH!F77))*1000000</f>
        <v>2.8416221873860392</v>
      </c>
      <c r="L77" s="67">
        <f>((ACCIDENTES!C77+ACCIDENTES!H77+ACCIDENTES!M77+ACCIDENTES!R77)/(HH!F77+HH!J77+HH!N77+HH!R77))*1000000</f>
        <v>2.9118502843057819</v>
      </c>
      <c r="M77" s="67">
        <f>((ACCIDENTES!D77+ACCIDENTES!I77+ACCIDENTES!N77+ACCIDENTES!S77)/(HH!F77+HH!J77+HH!N77+HH!R77))*1000000</f>
        <v>74.252182249797443</v>
      </c>
      <c r="N77" s="67">
        <f>((ACCIDENTES!F77+ACCIDENTES!K77+ACCIDENTES!P77+ACCIDENTES!U77)/(HH!F77+HH!J77+HH!N77+HH!R77))*1000000</f>
        <v>2.9118502843057819</v>
      </c>
      <c r="O77" s="68">
        <f>((ACCIDENTES!C77+ACCIDENTES!H77+ACCIDENTES!M77+ACCIDENTES!R77+ACCIDENTES!W77)/(HH!F77+HH!J77+HH!N77+HH!R77+HH!V77))*1000000</f>
        <v>2.3260709521422536</v>
      </c>
      <c r="P77" s="68">
        <f>(((ACCIDENTES!D77+ACCIDENTES!I77+ACCIDENTES!N77+ACCIDENTES!S77+ACCIDENTES!X77)/(HH!F77+HH!J77+HH!N77+HH!R77+HH!V77))*1000000)</f>
        <v>59.314809279627461</v>
      </c>
      <c r="Q77" s="68">
        <f>((ACCIDENTES!F77+ACCIDENTES!K77+ACCIDENTES!P77+ACCIDENTES!U77+ACCIDENTES!Z77)/(HH!F77+HH!J77+HH!N77+HH!R77+HH!V77))*1000000</f>
        <v>2.3260709521422536</v>
      </c>
      <c r="R77" s="213">
        <f>(ACCIDENTES!C77+ACCIDENTES!H77+ACCIDENTES!M77+ACCIDENTES!R77+ACCIDENTES!W77+ACCIDENTES!AB77)*1000000/(HH!F77+HH!J77+HH!N77+HH!R77+HH!V77+HH!Z77)</f>
        <v>1.9524443138476137</v>
      </c>
      <c r="S77" s="213">
        <f>(ACCIDENTES!D77+ACCIDENTES!I77+ACCIDENTES!N77+ACCIDENTES!S77+ACCIDENTES!X77+ACCIDENTES!AC77)*1000000/(HH!F77+HH!J77+HH!N77+HH!R77+HH!V77+HH!Z77)</f>
        <v>49.78733000311415</v>
      </c>
      <c r="T77" s="213">
        <f>(ACCIDENTES!F77+ACCIDENTES!K77+ACCIDENTES!P77+ACCIDENTES!U77+ACCIDENTES!Z77+ACCIDENTES!AE77)*1000000/(HH!F77+HH!J77+HH!N77+HH!R77+HH!V77+HH!Z77)</f>
        <v>1.9524443138476137</v>
      </c>
      <c r="U77" s="213">
        <f>((ACCIDENTES!C77+ACCIDENTES!H77+ACCIDENTES!M77+ACCIDENTES!R77+ACCIDENTES!W77+ACCIDENTES!AB77+ACCIDENTES!AG77)/(HH!F77+HH!J77+HH!N77+HH!R77+HH!V77+HH!Z77+HH!AD77))*1000000</f>
        <v>1.952444313847614</v>
      </c>
      <c r="V77" s="213">
        <f>((ACCIDENTES!D77+ACCIDENTES!I77+ACCIDENTES!N77+ACCIDENTES!S77+ACCIDENTES!X77+ACCIDENTES!AC77+ACCIDENTES!AH77)/(HH!F77+HH!J77+HH!N77+HH!R77+HH!V77+HH!Z77+HH!AD77))*1000000</f>
        <v>49.787330003114143</v>
      </c>
      <c r="W77" s="213">
        <f>((ACCIDENTES!F77+ACCIDENTES!K77+ACCIDENTES!P77+ACCIDENTES!U77+ACCIDENTES!Z77+ACCIDENTES!AE77+ACCIDENTES!AJ77)/(HH!F77+HH!J77+HH!N77+HH!R77+HH!V77+HH!Z77+HH!AD77))*1000000</f>
        <v>1.952444313847614</v>
      </c>
      <c r="X77" s="213">
        <f>((ACCIDENTES!C77+ACCIDENTES!H77+ACCIDENTES!M77+ACCIDENTES!R77+ACCIDENTES!W77+ACCIDENTES!AB77+ACCIDENTES!AG77+ACCIDENTES!AL77)/(HH!F77+HH!J77+HH!N77+HH!R77+HH!V77+HH!Z77+HH!AD77+HH!AH77))*1000000</f>
        <v>1.952444313847614</v>
      </c>
      <c r="Y77" s="213">
        <f>((ACCIDENTES!D77+ACCIDENTES!I77+ACCIDENTES!N77+ACCIDENTES!S77+ACCIDENTES!X77+ACCIDENTES!AC77+ACCIDENTES!AH77+ACCIDENTES!AM77)/(HH!F77+HH!J77+HH!N77+HH!R77+HH!V77+HH!Z77+HH!AD77+HH!AH77))*1000000</f>
        <v>49.787330003114143</v>
      </c>
      <c r="Z77" s="213">
        <f>((ACCIDENTES!F77+ACCIDENTES!K77+ACCIDENTES!P77+ACCIDENTES!U77+ACCIDENTES!Z77+ACCIDENTES!AE77+ACCIDENTES!AJ77+ACCIDENTES!AO77)/(HH!F77+HH!J77+HH!N77+HH!R77+HH!V77+HH!Z77+HH!AD77+HH!AH77))*1000000</f>
        <v>1.952444313847614</v>
      </c>
      <c r="AA77" s="67">
        <f>((ACCIDENTES!AQ77+ACCIDENTES!AL77+ACCIDENTES!AG77+ACCIDENTES!AB77+ACCIDENTES!W77+ACCIDENTES!R77+ACCIDENTES!M77+ACCIDENTES!H77+ACCIDENTES!C77)/(HH!AL77+HH!AH77+HH!AD77+HH!Z77+HH!V77+HH!R77+HH!N77+HH!J77+HH!F77))*1000000</f>
        <v>1.952444313847614</v>
      </c>
      <c r="AB77" s="67">
        <f>((ACCIDENTES!AR77+ACCIDENTES!AM77+ACCIDENTES!AH77+ACCIDENTES!AC77+ACCIDENTES!X77+ACCIDENTES!S77+ACCIDENTES!N77+ACCIDENTES!I77+ACCIDENTES!D77)/(HH!AL77+HH!AH77+HH!AD77+HH!Z77+HH!V77+HH!R77+HH!N77+HH!J77+HH!F77))*1000000</f>
        <v>49.787330003114143</v>
      </c>
      <c r="AC77" s="67">
        <f>((ACCIDENTES!F77+ACCIDENTES!K77+ACCIDENTES!P77+ACCIDENTES!U77+ACCIDENTES!Z77+ACCIDENTES!AE77+ACCIDENTES!AJ77+ACCIDENTES!AO77+ACCIDENTES!AT77)/(HH!F77+HH!J77+HH!N77+HH!R77+HH!V77+HH!Z77+HH!AD77+HH!AH77+HH!AL77))*1000000</f>
        <v>1.952444313847614</v>
      </c>
      <c r="AD77" s="67">
        <f>((ACCIDENTES!AV77+ACCIDENTES!AQ77+ACCIDENTES!AL77+ACCIDENTES!AG77+ACCIDENTES!AB77+ACCIDENTES!W77+ACCIDENTES!R77+ACCIDENTES!M77+ACCIDENTES!H77+ACCIDENTES!C77)/(HH!F77+HH!J77+HH!N77+HH!R77+HH!V77+HH!Z77+HH!AD77+HH!AH77+HH!AL77+HH!AP77))*1000000</f>
        <v>1.952444313847614</v>
      </c>
      <c r="AE77" s="67">
        <f>((ACCIDENTES!D77+ACCIDENTES!I77+ACCIDENTES!N77+ACCIDENTES!S77+ACCIDENTES!X77+ACCIDENTES!AC77+ACCIDENTES!AH77+ACCIDENTES!AM77+ACCIDENTES!AR77+ACCIDENTES!AW77)/(HH!AP77+HH!AL77+HH!AH77+HH!AD77+HH!Z77+HH!V77+HH!R77+HH!N77+HH!J77+HH!F77))*1000000</f>
        <v>49.787330003114143</v>
      </c>
      <c r="AF77" s="67">
        <f>((ACCIDENTES!AY77+ACCIDENTES!AT77+ACCIDENTES!AO77+ACCIDENTES!AJ77+ACCIDENTES!AE77+ACCIDENTES!Z77+ACCIDENTES!U77+ACCIDENTES!P77+ACCIDENTES!K77+ACCIDENTES!F77)/(HH!F77+HH!J77+HH!N77+HH!R77+HH!V77+HH!Z77+HH!AD77+HH!AH77+HH!AL77+HH!AP77))*1000000</f>
        <v>1.952444313847614</v>
      </c>
      <c r="AG77" s="67">
        <f>((ACCIDENTES!BA77+ACCIDENTES!AV77+ACCIDENTES!AQ77+ACCIDENTES!AL77+ACCIDENTES!AG77+ACCIDENTES!AB77+ACCIDENTES!W77+ACCIDENTES!R77+ACCIDENTES!M77+ACCIDENTES!H77+ACCIDENTES!C77)/(HH!AT77+HH!AP77+HH!AL77+HH!AH77+HH!AD77+HH!Z77+HH!V77+HH!R77+HH!N77+HH!J77+HH!F77))*1000000</f>
        <v>1.952444313847614</v>
      </c>
      <c r="AH77" s="67">
        <f>((ACCIDENTES!D77+ACCIDENTES!I77+ACCIDENTES!N77+ACCIDENTES!S77+ACCIDENTES!X77+ACCIDENTES!AC77+ACCIDENTES!AH77+ACCIDENTES!AM77+ACCIDENTES!AR77+ACCIDENTES!AW77+ACCIDENTES!BB77)/(HH!F77+HH!J77+HH!N77+HH!R77+HH!V77+HH!Z77+HH!AD77+HH!AH77+HH!AL77+HH!AP77+HH!AT77))*1000000</f>
        <v>49.787330003114143</v>
      </c>
      <c r="AI77" s="67">
        <f>((ACCIDENTES!BD77+ACCIDENTES!AY77+ACCIDENTES!AT77+ACCIDENTES!AO77+ACCIDENTES!AJ77+ACCIDENTES!AE77+ACCIDENTES!Z77+ACCIDENTES!U77+ACCIDENTES!P77+ACCIDENTES!K77+ACCIDENTES!F77)/(HH!F77+HH!J77+HH!N77+HH!R77+HH!V77+HH!Z77+HH!AD77+HH!AH77+HH!AL77+HH!AP77+HH!AT77))*1000000</f>
        <v>1.952444313847614</v>
      </c>
      <c r="AJ77" s="67">
        <f>(ACCIDENTES!BK77/HH!BB77)*1000000</f>
        <v>1.952444313847614</v>
      </c>
      <c r="AK77" s="67">
        <f>(ACCIDENTES!BL77/HH!BB77)*1000000</f>
        <v>49.787330003114143</v>
      </c>
      <c r="AL77" s="67">
        <f>(ACCIDENTES!BN77/HH!BB77)*1000000</f>
        <v>1.952444313847614</v>
      </c>
      <c r="AM77" s="36"/>
      <c r="AN77" s="137">
        <f t="shared" si="2"/>
        <v>1.6200484417321537</v>
      </c>
      <c r="AO77" s="137">
        <f t="shared" si="3"/>
        <v>38.27364443592213</v>
      </c>
      <c r="AP77" s="18"/>
      <c r="AQ77" s="36"/>
      <c r="AR77" s="68">
        <v>3</v>
      </c>
      <c r="AS77" s="68">
        <v>56</v>
      </c>
      <c r="AT77" s="68">
        <v>0.9</v>
      </c>
      <c r="AU77" s="36"/>
      <c r="AV77" s="68">
        <v>0.40501211043303842</v>
      </c>
      <c r="AW77" s="68">
        <v>1.6200484417321537</v>
      </c>
      <c r="AX77" s="68">
        <v>2.2275666073817115</v>
      </c>
      <c r="AY77" s="63"/>
      <c r="AZ77" s="68">
        <v>32.805980945076115</v>
      </c>
      <c r="BA77" s="68">
        <v>38.27364443592213</v>
      </c>
      <c r="BB77" s="68">
        <v>43.741307926768151</v>
      </c>
      <c r="BC77" s="63"/>
      <c r="BD77" s="68">
        <v>32.805980945076115</v>
      </c>
      <c r="BE77" s="68">
        <v>38.27364443592213</v>
      </c>
      <c r="BF77" s="68">
        <v>43.741307926768151</v>
      </c>
      <c r="BG77" s="36"/>
      <c r="BH77" s="36"/>
      <c r="BI77" s="36"/>
      <c r="BJ77" s="36"/>
      <c r="BK77" s="36"/>
      <c r="BL77" s="36"/>
      <c r="BM77" s="36"/>
    </row>
    <row r="78" spans="1:65" s="19" customFormat="1" x14ac:dyDescent="0.3">
      <c r="A78" s="240"/>
      <c r="B78" s="241" t="s">
        <v>103</v>
      </c>
      <c r="C78" s="67" t="e">
        <f>(ACCIDENTES!C78/HH!E78)*1000000</f>
        <v>#DIV/0!</v>
      </c>
      <c r="D78" s="67" t="e">
        <f>(ACCIDENTES!E78/HH!E78)*1000000</f>
        <v>#DIV/0!</v>
      </c>
      <c r="E78" s="67" t="e">
        <f>((ACCIDENTES!B78+ACCIDENTES!G78)/(HH!E78+HH!I78))*1000000</f>
        <v>#VALUE!</v>
      </c>
      <c r="F78" s="67" t="e">
        <f>((ACCIDENTES!C78+ACCIDENTES!H78)/(HH!E78+HH!I78))*1000000</f>
        <v>#DIV/0!</v>
      </c>
      <c r="G78" s="67" t="e">
        <f>((ACCIDENTES!E78+ACCIDENTES!J78)/(HH!E78+HH!I78))*1000000</f>
        <v>#DIV/0!</v>
      </c>
      <c r="H78" s="67" t="e">
        <f>((ACCIDENTES!B78+ACCIDENTES!G78+ACCIDENTES!L78)/(HH!E78+HH!I78+HH!M78))*1000000</f>
        <v>#VALUE!</v>
      </c>
      <c r="I78" s="67" t="e">
        <f>((ACCIDENTES!C78+ACCIDENTES!H78+ACCIDENTES!M78)/(HH!E78+HH!I78+HH!M78))*1000000</f>
        <v>#DIV/0!</v>
      </c>
      <c r="J78" s="67" t="e">
        <f>((ACCIDENTES!E78+ACCIDENTES!J78+ACCIDENTES!O78)/(HH!I78+HH!M78+HH!E78))*1000000</f>
        <v>#DIV/0!</v>
      </c>
      <c r="K78" s="67" t="e">
        <f>((ACCIDENTES!B78+ACCIDENTES!G78+ACCIDENTES!L78+ACCIDENTES!Q78)/(HH!E78+HH!I78+HH!M78+HH!Q78))*1000000</f>
        <v>#VALUE!</v>
      </c>
      <c r="L78" s="67" t="e">
        <f>((ACCIDENTES!C78+ACCIDENTES!H78+ACCIDENTES!M78+ACCIDENTES!R78)/(HH!E78+HH!I78+HH!M78+HH!Q78))*1000000</f>
        <v>#DIV/0!</v>
      </c>
      <c r="M78" s="67" t="e">
        <f>((ACCIDENTES!E78+ACCIDENTES!J78+ACCIDENTES!O78+ACCIDENTES!T78)/(HH!E78+HH!I78+HH!M78+HH!Q78))*1000000</f>
        <v>#DIV/0!</v>
      </c>
      <c r="N78" s="68" t="e">
        <f>((ACCIDENTES!B78+ACCIDENTES!G78+ACCIDENTES!L78+ACCIDENTES!Q78+ACCIDENTES!V78)/(HH!E78+HH!I78+HH!M78+HH!Q78+HH!U78))*1000000</f>
        <v>#VALUE!</v>
      </c>
      <c r="O78" s="68" t="e">
        <f>(((ACCIDENTES!C78+ACCIDENTES!H78+ACCIDENTES!M78+ACCIDENTES!R78+ACCIDENTES!W78)/(HH!E78+HH!I78+HH!M78+HH!Q78+HH!U78))*1000000)</f>
        <v>#DIV/0!</v>
      </c>
      <c r="P78" s="68" t="e">
        <f>((ACCIDENTES!E78+ACCIDENTES!J78+ACCIDENTES!O78+ACCIDENTES!T78+ACCIDENTES!Y78)/(HH!E78+HH!I78+HH!M78+HH!Q78+HH!U78))*1000000</f>
        <v>#DIV/0!</v>
      </c>
      <c r="Q78" s="213" t="e">
        <f>(ACCIDENTES!B78+ACCIDENTES!G78+ACCIDENTES!L78+ACCIDENTES!Q78+ACCIDENTES!V78+ACCIDENTES!AA78)*1000000/(HH!E78+HH!I78+HH!M78+HH!Q78+HH!U78+HH!Y78)</f>
        <v>#VALUE!</v>
      </c>
      <c r="R78" s="213" t="e">
        <f>(ACCIDENTES!C78+ACCIDENTES!H78+ACCIDENTES!M78+ACCIDENTES!R78+ACCIDENTES!W78+ACCIDENTES!AB78)*1000000/(HH!E78+HH!I78+HH!M78+HH!Q78+HH!U78+HH!Y78)</f>
        <v>#DIV/0!</v>
      </c>
      <c r="S78" s="213" t="e">
        <f>(ACCIDENTES!E78+ACCIDENTES!J78+ACCIDENTES!O78+ACCIDENTES!T78+ACCIDENTES!Y78+ACCIDENTES!AD78)*1000000/(HH!E78+HH!I78+HH!M78+HH!Q78+HH!U78+HH!Y78)</f>
        <v>#DIV/0!</v>
      </c>
      <c r="T78" s="213" t="e">
        <f>((ACCIDENTES!B78+ACCIDENTES!G78+ACCIDENTES!L78+ACCIDENTES!Q78+ACCIDENTES!V78+ACCIDENTES!AA78+ACCIDENTES!AF78)/(HH!E78+HH!I78+HH!M78+HH!Q78+HH!U78+HH!Y78+HH!AC78))*1000000</f>
        <v>#VALUE!</v>
      </c>
      <c r="U78" s="213" t="e">
        <f>((ACCIDENTES!C78+ACCIDENTES!H78+ACCIDENTES!M78+ACCIDENTES!R78+ACCIDENTES!W78+ACCIDENTES!AB78+ACCIDENTES!AG78)/(HH!E78+HH!I78+HH!M78+HH!Q78+HH!U78+HH!Y78+HH!AC78))*1000000</f>
        <v>#DIV/0!</v>
      </c>
      <c r="V78" s="213" t="e">
        <f>((ACCIDENTES!E78+ACCIDENTES!J78+ACCIDENTES!O78+ACCIDENTES!T78+ACCIDENTES!Y78+ACCIDENTES!AD78+ACCIDENTES!AI78)/(HH!E78+HH!I78+HH!M78+HH!Q78+HH!U78+HH!Y78+HH!AC78))*1000000</f>
        <v>#DIV/0!</v>
      </c>
      <c r="W78" s="213" t="e">
        <f>((ACCIDENTES!B78+ACCIDENTES!G78+ACCIDENTES!L78+ACCIDENTES!Q78+ACCIDENTES!V78+ACCIDENTES!AA78+ACCIDENTES!AF78+ACCIDENTES!AK78)/(HH!E78+HH!I78+HH!M78+HH!Q78+HH!U78+HH!Y78+HH!AC78+HH!AG78))*1000000</f>
        <v>#VALUE!</v>
      </c>
      <c r="X78" s="213" t="e">
        <f>((ACCIDENTES!C78+ACCIDENTES!H78+ACCIDENTES!M78+ACCIDENTES!R78+ACCIDENTES!W78+ACCIDENTES!AB78+ACCIDENTES!AG78+ACCIDENTES!AL78)/(HH!E78+HH!I78+HH!M78+HH!Q78+HH!U78+HH!Y78+HH!AC78+HH!AG78))*1000000</f>
        <v>#DIV/0!</v>
      </c>
      <c r="Y78" s="213" t="e">
        <f>((ACCIDENTES!E78+ACCIDENTES!J78+ACCIDENTES!O78+ACCIDENTES!T78+ACCIDENTES!Y78+ACCIDENTES!AD78+ACCIDENTES!AI78+ACCIDENTES!AN78)/(HH!E78+HH!I78+HH!M78+HH!Q78+HH!U78+HH!Y78+HH!AC78+HH!AG78))*1000000</f>
        <v>#DIV/0!</v>
      </c>
      <c r="Z78" s="67" t="e">
        <f>((ACCIDENTES!AP78+ACCIDENTES!AK78+ACCIDENTES!AF78+ACCIDENTES!AA78+ACCIDENTES!V78+ACCIDENTES!Q78+ACCIDENTES!L78+ACCIDENTES!G78+ACCIDENTES!B78)/(HH!AK78+HH!AG78+HH!AC78+HH!Y78+HH!U78+HH!Q78+HH!M78+HH!I78+HH!E78))*1000000</f>
        <v>#VALUE!</v>
      </c>
      <c r="AA78" s="67" t="e">
        <f>((ACCIDENTES!AQ78+ACCIDENTES!AL78+ACCIDENTES!AG78+ACCIDENTES!AB78+ACCIDENTES!W78+ACCIDENTES!R78+ACCIDENTES!M78+ACCIDENTES!H78+ACCIDENTES!C78)/(HH!AK78+HH!AG78+HH!AC78+HH!Y78+HH!U78+HH!Q78+HH!M78+HH!I78+HH!E78))*1000000</f>
        <v>#DIV/0!</v>
      </c>
      <c r="AB78" s="67" t="e">
        <f>((ACCIDENTES!E78+ACCIDENTES!J78+ACCIDENTES!O78+ACCIDENTES!T78+ACCIDENTES!Y78+ACCIDENTES!AD78+ACCIDENTES!AI78+ACCIDENTES!AN78+ACCIDENTES!AS78)/(HH!E78+HH!I78+HH!M78+HH!Q78+HH!U78+HH!Y78+HH!AC78+HH!AG78+HH!AK78))*1000000</f>
        <v>#DIV/0!</v>
      </c>
      <c r="AC78" s="67" t="e">
        <f>((ACCIDENTES!AU78+ACCIDENTES!AP78+ACCIDENTES!AK78+ACCIDENTES!AF78+ACCIDENTES!AA78+ACCIDENTES!V78+ACCIDENTES!Q78+ACCIDENTES!L78+ACCIDENTES!G78+ACCIDENTES!B78)/(HH!E78+HH!I78+HH!M78+HH!Q78+HH!U78+HH!Y78+HH!AC78+HH!AG78+HH!AK78+HH!AO78))*1000000</f>
        <v>#VALUE!</v>
      </c>
      <c r="AD78" s="67" t="e">
        <f>((ACCIDENTES!C78+ACCIDENTES!H78+ACCIDENTES!M78+ACCIDENTES!R78+ACCIDENTES!W78+ACCIDENTES!AB78+ACCIDENTES!AG78+ACCIDENTES!AL78+ACCIDENTES!AQ78+ACCIDENTES!AV78)/(HH!AO78+HH!AK78+HH!AG78+HH!AC78+HH!Y78+HH!U78+HH!Q78+HH!M78+HH!I78+HH!E78))*1000000</f>
        <v>#DIV/0!</v>
      </c>
      <c r="AE78" s="67" t="e">
        <f>((ACCIDENTES!AX78+ACCIDENTES!AS78+ACCIDENTES!AN78+ACCIDENTES!AI78+ACCIDENTES!AD78+ACCIDENTES!Y78+ACCIDENTES!T78+ACCIDENTES!O78+ACCIDENTES!J78+ACCIDENTES!E78)/(HH!E78+HH!I78+HH!M78+HH!Q78+HH!U78+HH!Y78+HH!AC78+HH!AG78+HH!AK78+HH!AO78))*1000000</f>
        <v>#DIV/0!</v>
      </c>
      <c r="AF78" s="68"/>
      <c r="AG78" s="67" t="e">
        <f>((ACCIDENTES!BA78+ACCIDENTES!AV78+ACCIDENTES!AQ78+ACCIDENTES!AL78+ACCIDENTES!AG78+ACCIDENTES!AB78+ACCIDENTES!W78+ACCIDENTES!R78+ACCIDENTES!M78+ACCIDENTES!H78+ACCIDENTES!C78)/(HH!AT78+HH!AP78+HH!AL78+HH!AH78+HH!AD78+HH!Z78+HH!V78+HH!R78+HH!N78+HH!J78+HH!F78))*1000000</f>
        <v>#DIV/0!</v>
      </c>
      <c r="AH78" s="67" t="e">
        <f>((ACCIDENTES!D78+ACCIDENTES!I78+ACCIDENTES!N78+ACCIDENTES!S78+ACCIDENTES!X78+ACCIDENTES!AC78+ACCIDENTES!AH78+ACCIDENTES!AM78+ACCIDENTES!AR78+ACCIDENTES!AW78+ACCIDENTES!BB78)/(HH!F78+HH!J78+HH!N78+HH!R78+HH!V78+HH!Z78+HH!AD78+HH!AH78+HH!AL78+HH!AP78+HH!AT78))*1000000</f>
        <v>#DIV/0!</v>
      </c>
      <c r="AI78" s="67" t="e">
        <f>((ACCIDENTES!BD78+ACCIDENTES!AY78+ACCIDENTES!AT78+ACCIDENTES!AO78+ACCIDENTES!AJ78+ACCIDENTES!AE78+ACCIDENTES!Z78+ACCIDENTES!U78+ACCIDENTES!P78+ACCIDENTES!K78+ACCIDENTES!F78)/(HH!F78+HH!J78+HH!N78+HH!R78+HH!V78+HH!Z78+HH!AD78+HH!AH78+HH!AL78+HH!AP78+HH!AT78))*1000000</f>
        <v>#DIV/0!</v>
      </c>
      <c r="AJ78" s="67" t="e">
        <f>(ACCIDENTES!BK78/HH!BB78)*1000000</f>
        <v>#DIV/0!</v>
      </c>
      <c r="AK78" s="67" t="e">
        <f>(ACCIDENTES!BL78/HH!BB78)*1000000</f>
        <v>#DIV/0!</v>
      </c>
      <c r="AL78" s="67" t="e">
        <f>(ACCIDENTES!BN78/HH!BB78)*1000000</f>
        <v>#DIV/0!</v>
      </c>
      <c r="AM78" s="137">
        <f t="shared" ref="AM78" si="4">AV78</f>
        <v>0</v>
      </c>
      <c r="AN78" s="137"/>
      <c r="AO78" s="18"/>
      <c r="AP78" s="36"/>
      <c r="AQ78" s="68"/>
      <c r="AR78" s="68"/>
      <c r="AS78" s="68"/>
      <c r="AT78" s="36"/>
      <c r="AU78" s="68"/>
      <c r="AV78" s="68"/>
      <c r="AW78" s="68"/>
      <c r="AX78" s="63"/>
      <c r="AY78" s="68"/>
      <c r="AZ78" s="68"/>
      <c r="BA78" s="68"/>
      <c r="BB78" s="63"/>
      <c r="BC78" s="68"/>
      <c r="BD78" s="68"/>
      <c r="BE78" s="68"/>
      <c r="BF78" s="68"/>
      <c r="BG78" s="36"/>
      <c r="BH78" s="36"/>
      <c r="BI78" s="36"/>
      <c r="BJ78" s="36"/>
      <c r="BK78" s="36"/>
      <c r="BL78" s="36"/>
      <c r="BM78" s="36"/>
    </row>
    <row r="79" spans="1:65" s="82" customFormat="1" x14ac:dyDescent="0.3">
      <c r="A79" s="331" t="s">
        <v>104</v>
      </c>
      <c r="B79" s="332"/>
      <c r="C79" s="79">
        <f>(ACCIDENTES!C79/HH!F79)*1000000</f>
        <v>2.8045868044930731</v>
      </c>
      <c r="D79" s="80">
        <f>(ACCIDENTES!D79/HH!F79)*1000000</f>
        <v>167.47389775401493</v>
      </c>
      <c r="E79" s="80">
        <f>(ACCIDENTES!F79/HH!F79)*1000000</f>
        <v>8.8144156712639443</v>
      </c>
      <c r="F79" s="80">
        <f>((ACCIDENTES!C79+ACCIDENTES!H79)/(HH!F79+HH!J79))*1000000</f>
        <v>2.6225989508954526</v>
      </c>
      <c r="G79" s="80">
        <f>((ACCIDENTES!D79+ACCIDENTES!I79)/(HH!F79+HH!J79))*1000000</f>
        <v>105.50917317833245</v>
      </c>
      <c r="H79" s="80">
        <f>((ACCIDENTES!F79+ACCIDENTES!K79)/(HH!F79+HH!J79))*1000000</f>
        <v>9.0782271377150288</v>
      </c>
      <c r="I79" s="80">
        <f>((ACCIDENTES!C79+ACCIDENTES!H79+ACCIDENTES!M79)/(HH!F79+HH!J79+HH!N79))*1000000</f>
        <v>2.2583336893640595</v>
      </c>
      <c r="J79" s="80">
        <f>((ACCIDENTES!D79+ACCIDENTES!I79+ACCIDENTES!N79)/(HH!F79+HH!J79+HH!N79))*1000000</f>
        <v>97.50687811724822</v>
      </c>
      <c r="K79" s="80">
        <f>((ACCIDENTES!F79+ACCIDENTES!K79+ACCIDENTES!P79)/(HH!J79+HH!N79+HH!F79))*1000000</f>
        <v>8.5019621246646953</v>
      </c>
      <c r="L79" s="80">
        <f>((ACCIDENTES!C79+ACCIDENTES!H79+ACCIDENTES!M79+ACCIDENTES!R79)/(HH!F79+HH!J79+HH!N79+HH!R79))*1000000</f>
        <v>2.3439126539569131</v>
      </c>
      <c r="M79" s="80">
        <f>((ACCIDENTES!D79+ACCIDENTES!I79+ACCIDENTES!N79+ACCIDENTES!S79)/(HH!F79+HH!J79+HH!N79+HH!R79))*1000000</f>
        <v>94.733136430758577</v>
      </c>
      <c r="N79" s="80">
        <f>((ACCIDENTES!F79+ACCIDENTES!K79+ACCIDENTES!P79+ACCIDENTES!U79)/(HH!F79+HH!J79+HH!N79+HH!R79))*1000000</f>
        <v>9.2779875885794478</v>
      </c>
      <c r="O79" s="81">
        <f>((ACCIDENTES!C79+ACCIDENTES!H79+ACCIDENTES!M79+ACCIDENTES!R79+ACCIDENTES!W79)/(HH!F79+HH!J79+HH!N79+HH!R79+HH!V79))*1000000</f>
        <v>2.1580974730620812</v>
      </c>
      <c r="P79" s="81">
        <f>(((ACCIDENTES!D79+ACCIDENTES!I79+ACCIDENTES!N79+ACCIDENTES!S79+ACCIDENTES!X79)/(HH!F79+HH!J79+HH!N79+HH!R79+HH!V79))*1000000)</f>
        <v>77.460284300978287</v>
      </c>
      <c r="Q79" s="81">
        <f>((ACCIDENTES!F79+ACCIDENTES!K79+ACCIDENTES!P79+ACCIDENTES!U79+ACCIDENTES!Z79)/(HH!F79+HH!J79+HH!N79+HH!R79+HH!V79))*1000000</f>
        <v>8.9406895312571955</v>
      </c>
      <c r="R79" s="80">
        <f>(ACCIDENTES!C79+ACCIDENTES!H79+ACCIDENTES!M79+ACCIDENTES!R79+ACCIDENTES!W79+ACCIDENTES!AB79)*1000000/(HH!F79+HH!J79+HH!N79+HH!R79+HH!V79+HH!Z79)</f>
        <v>2.1710638363772268</v>
      </c>
      <c r="S79" s="81">
        <f>(ACCIDENTES!D79+ACCIDENTES!I79+ACCIDENTES!N79+ACCIDENTES!S79+ACCIDENTES!X79+ACCIDENTES!AC79)*1000000/(HH!F79+HH!J79+HH!N79+HH!R79+HH!V79+HH!Z79)</f>
        <v>81.031764951844139</v>
      </c>
      <c r="T79" s="81">
        <f>(ACCIDENTES!F79+ACCIDENTES!K79+ACCIDENTES!P79+ACCIDENTES!U79+ACCIDENTES!Z79+ACCIDENTES!AE79)*1000000/(HH!F79+HH!J79+HH!N79+HH!R79+HH!V79+HH!Z79)</f>
        <v>8.7481101642258849</v>
      </c>
      <c r="U79" s="81">
        <f>((ACCIDENTES!C79+ACCIDENTES!H79+ACCIDENTES!M79+ACCIDENTES!R79+ACCIDENTES!W79+ACCIDENTES!AB79+ACCIDENTES!AG79)/(HH!F79+HH!J79+HH!N79+HH!R79+HH!V79+HH!Z79+HH!AD79))*1000000</f>
        <v>2.2691709602419601</v>
      </c>
      <c r="V79" s="81">
        <f>((ACCIDENTES!D79+ACCIDENTES!I79+ACCIDENTES!N79+ACCIDENTES!S79+ACCIDENTES!X79+ACCIDENTES!AC79+ACCIDENTES!AH79)/(HH!F79+HH!J79+HH!N79+HH!R79+HH!V79+HH!Z79+HH!AD79))*1000000</f>
        <v>83.01844976494975</v>
      </c>
      <c r="W79" s="81">
        <f>((ACCIDENTES!F79+ACCIDENTES!K79+ACCIDENTES!P79+ACCIDENTES!U79+ACCIDENTES!Z79+ACCIDENTES!AE79+ACCIDENTES!AJ79)/(HH!F79+HH!J79+HH!N79+HH!R79+HH!V79+HH!Z79+HH!AD79))*1000000</f>
        <v>9.0213382077912048</v>
      </c>
      <c r="X79" s="80">
        <f>((ACCIDENTES!C79+ACCIDENTES!H79+ACCIDENTES!M79+ACCIDENTES!R79+ACCIDENTES!W79+ACCIDENTES!AB79+ACCIDENTES!AG79+ACCIDENTES!AL79)/(HH!F79+HH!J79+HH!N79+HH!R79+HH!V79+HH!Z79+HH!AD79+HH!AH79))*1000000</f>
        <v>2.2917884839306226</v>
      </c>
      <c r="Y79" s="80">
        <f>((ACCIDENTES!D79+ACCIDENTES!I79+ACCIDENTES!N79+ACCIDENTES!S79+ACCIDENTES!X79+ACCIDENTES!AC79+ACCIDENTES!AH79+ACCIDENTES!AM79)/(HH!F79+HH!J79+HH!N79+HH!R79+HH!V79+HH!Z79+HH!AD79+HH!AH79))*1000000</f>
        <v>86.50282490410477</v>
      </c>
      <c r="Z79" s="80">
        <f>((ACCIDENTES!F79+ACCIDENTES!K79+ACCIDENTES!P79+ACCIDENTES!U79+ACCIDENTES!Z79+ACCIDENTES!AE79+ACCIDENTES!AJ79+ACCIDENTES!AO79)/(HH!F79+HH!J79+HH!N79+HH!R79+HH!V79+HH!Z79+HH!AD79+HH!AH79))*1000000</f>
        <v>9.4597226783519321</v>
      </c>
      <c r="AA79" s="80">
        <f>((ACCIDENTES!AQ79+ACCIDENTES!AL79+ACCIDENTES!AG79+ACCIDENTES!AB79+ACCIDENTES!W79+ACCIDENTES!R79+ACCIDENTES!M79+ACCIDENTES!H79+ACCIDENTES!C79)/(HH!AL79+HH!AH79+HH!AD79+HH!Z79+HH!V79+HH!R79+HH!N79+HH!J79+HH!F79))*1000000</f>
        <v>2.6588650479350302</v>
      </c>
      <c r="AB79" s="80">
        <f>((ACCIDENTES!AR79+ACCIDENTES!AM79+ACCIDENTES!AH79+ACCIDENTES!AC79+ACCIDENTES!X79+ACCIDENTES!S79+ACCIDENTES!N79+ACCIDENTES!I79+ACCIDENTES!D79)/(HH!AL79+HH!AH79+HH!AD79+HH!Z79+HH!V79+HH!R79+HH!N79+HH!J79+HH!F79))*1000000</f>
        <v>84.865741775893511</v>
      </c>
      <c r="AC79" s="80">
        <f>((ACCIDENTES!F79+ACCIDENTES!K79+ACCIDENTES!P79+ACCIDENTES!U79+ACCIDENTES!Z79+ACCIDENTES!AE79+ACCIDENTES!AJ79+ACCIDENTES!AO79+ACCIDENTES!AT79)/(HH!F79+HH!J79+HH!N79+HH!R79+HH!V79+HH!Z79+HH!AD79+HH!AH79+HH!AL79))*1000000</f>
        <v>9.981640917657737</v>
      </c>
      <c r="AD79" s="80">
        <f>((ACCIDENTES!AV79+ACCIDENTES!AQ79+ACCIDENTES!AL79+ACCIDENTES!AG79+ACCIDENTES!AB79+ACCIDENTES!W79+ACCIDENTES!R79+ACCIDENTES!M79+ACCIDENTES!H79+ACCIDENTES!C79)/(HH!F79+HH!J79+HH!N79+HH!R79+HH!V79+HH!Z79+HH!AD79+HH!AH79+HH!AL79+HH!AP79))*1000000</f>
        <v>2.7621119563894072</v>
      </c>
      <c r="AE79" s="80">
        <f>((ACCIDENTES!D79+ACCIDENTES!I79+ACCIDENTES!N79+ACCIDENTES!S79+ACCIDENTES!X79+ACCIDENTES!AC79+ACCIDENTES!AH79+ACCIDENTES!AM79+ACCIDENTES!AR79+ACCIDENTES!AW79)/(HH!AP79+HH!AL79+HH!AH79+HH!AD79+HH!Z79+HH!V79+HH!R79+HH!N79+HH!J79+HH!F79))*1000000</f>
        <v>79.785576797419751</v>
      </c>
      <c r="AF79" s="80">
        <f>((ACCIDENTES!AY79+ACCIDENTES!AT79+ACCIDENTES!AO79+ACCIDENTES!AJ79+ACCIDENTES!AE79+ACCIDENTES!Z79+ACCIDENTES!U79+ACCIDENTES!P79+ACCIDENTES!K79+ACCIDENTES!F79)/(HH!F79+HH!J79+HH!N79+HH!R79+HH!V79+HH!Z79+HH!AD79+HH!AH79+HH!AL79+HH!AP79))*1000000</f>
        <v>10.061979269704269</v>
      </c>
      <c r="AG79" s="80">
        <f>((ACCIDENTES!BA79+ACCIDENTES!AV79+ACCIDENTES!AQ79+ACCIDENTES!AL79+ACCIDENTES!AG79+ACCIDENTES!AB79+ACCIDENTES!W79+ACCIDENTES!R79+ACCIDENTES!M79+ACCIDENTES!H79+ACCIDENTES!C79)/(HH!AT79+HH!AP79+HH!AL79+HH!AH79+HH!AD79+HH!Z79+HH!V79+HH!R79+HH!N79+HH!J79+HH!F79))*1000000</f>
        <v>2.7937024555990986</v>
      </c>
      <c r="AH79" s="80">
        <f>((ACCIDENTES!D79+ACCIDENTES!I79+ACCIDENTES!N79+ACCIDENTES!S79+ACCIDENTES!X79+ACCIDENTES!AC79+ACCIDENTES!AH79+ACCIDENTES!AM79+ACCIDENTES!AR79+ACCIDENTES!AW79+ACCIDENTES!BB79)/(HH!F79+HH!J79+HH!N79+HH!R79+HH!V79+HH!Z79+HH!AD79+HH!AH79+HH!AL79+HH!AP79+HH!AT79))*1000000</f>
        <v>75.321120750957505</v>
      </c>
      <c r="AI79" s="80">
        <f>((ACCIDENTES!BD79+ACCIDENTES!AY79+ACCIDENTES!AT79+ACCIDENTES!AO79+ACCIDENTES!AJ79+ACCIDENTES!AE79+ACCIDENTES!Z79+ACCIDENTES!U79+ACCIDENTES!P79+ACCIDENTES!K79+ACCIDENTES!F79)/(HH!F79+HH!J79+HH!N79+HH!R79+HH!V79+HH!Z79+HH!AD79+HH!AH79+HH!AL79+HH!AP79+HH!AT79))*1000000</f>
        <v>10.086354320214927</v>
      </c>
      <c r="AJ79" s="80">
        <f>(ACCIDENTES!BK79/HH!BB79)*1000000</f>
        <v>2.7204574720515717</v>
      </c>
      <c r="AK79" s="80">
        <f>(ACCIDENTES!BL79/HH!BB79)*1000000</f>
        <v>70.631136589190817</v>
      </c>
      <c r="AL79" s="80">
        <f>(ACCIDENTES!BN79/HH!BB79)*1000000</f>
        <v>9.8742530467057037</v>
      </c>
      <c r="AM79" s="121"/>
      <c r="AN79" s="138">
        <f t="shared" si="2"/>
        <v>2.1913432473570795</v>
      </c>
      <c r="AO79" s="138">
        <f t="shared" si="3"/>
        <v>42.588313822047297</v>
      </c>
      <c r="AP79" s="83"/>
      <c r="AQ79" s="121"/>
      <c r="AR79" s="81">
        <v>3.2</v>
      </c>
      <c r="AS79" s="81">
        <v>114</v>
      </c>
      <c r="AT79" s="81">
        <v>11.6</v>
      </c>
      <c r="AU79" s="121"/>
      <c r="AV79" s="81">
        <v>1.5654738465414342</v>
      </c>
      <c r="AW79" s="81">
        <v>2.1913432473570795</v>
      </c>
      <c r="AX79" s="81">
        <v>2.7170095164820354</v>
      </c>
      <c r="AY79" s="122"/>
      <c r="AZ79" s="81">
        <v>34.162545012705422</v>
      </c>
      <c r="BA79" s="81">
        <v>42.588313822047297</v>
      </c>
      <c r="BB79" s="81">
        <v>51.312857236689673</v>
      </c>
      <c r="BC79" s="122"/>
      <c r="BD79" s="81">
        <v>34.162545012705422</v>
      </c>
      <c r="BE79" s="81">
        <v>42.588313822047297</v>
      </c>
      <c r="BF79" s="81">
        <v>51.312857236689673</v>
      </c>
      <c r="BG79" s="121"/>
      <c r="BH79" s="121"/>
      <c r="BI79" s="121"/>
      <c r="BJ79" s="121"/>
      <c r="BK79" s="121"/>
      <c r="BL79" s="121"/>
      <c r="BM79" s="121"/>
    </row>
    <row r="80" spans="1:65" s="36" customFormat="1" x14ac:dyDescent="0.3"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N80" s="139"/>
      <c r="AO80" s="139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</row>
    <row r="81" spans="1:59" s="36" customFormat="1" x14ac:dyDescent="0.3"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N81" s="139"/>
      <c r="AO81" s="139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</row>
    <row r="82" spans="1:59" x14ac:dyDescent="0.3">
      <c r="A82" s="17" t="s">
        <v>105</v>
      </c>
      <c r="B82" s="17" t="s">
        <v>106</v>
      </c>
      <c r="C82" s="62">
        <f>(ACCIDENTES!C82/HH!F82)*1000000</f>
        <v>4.3808530524108402</v>
      </c>
      <c r="D82" s="60">
        <f>(ACCIDENTES!D82/HH!F82)*1000000</f>
        <v>788.55354943395116</v>
      </c>
      <c r="E82" s="60">
        <f>(ACCIDENTES!F82/HH!F82)*1000000</f>
        <v>10.952132631027098</v>
      </c>
      <c r="F82" s="60">
        <f>((ACCIDENTES!C82+ACCIDENTES!H82)/(HH!F82+HH!J82))*1000000</f>
        <v>4.4485875128526642</v>
      </c>
      <c r="G82" s="60">
        <f>((ACCIDENTES!D82+ACCIDENTES!I82)/(HH!F82+HH!J82))*1000000</f>
        <v>435.96157625956113</v>
      </c>
      <c r="H82" s="60">
        <f>((ACCIDENTES!F82+ACCIDENTES!K82)/(HH!F82+HH!J82))*1000000</f>
        <v>7.7850281474921639</v>
      </c>
      <c r="I82" s="60">
        <f>((ACCIDENTES!C82+ACCIDENTES!H82+ACCIDENTES!M82)/(HH!F82+HH!J82+HH!N82))*1000000</f>
        <v>4.4390486985467552</v>
      </c>
      <c r="J82" s="60">
        <f>((ACCIDENTES!D82+ACCIDENTES!I82+ACCIDENTES!N82)/(HH!F82+HH!J82+HH!N82))*1000000</f>
        <v>300.37562860166378</v>
      </c>
      <c r="K82" s="60">
        <f>((ACCIDENTES!F82+ACCIDENTES!K82+ACCIDENTES!P82)/(HH!J82+HH!N82+HH!F82))*1000000</f>
        <v>10.357780296609096</v>
      </c>
      <c r="L82" s="60">
        <f>((ACCIDENTES!C82+ACCIDENTES!H82+ACCIDENTES!M82+ACCIDENTES!R82)/(HH!F82+HH!J82+HH!N82+HH!R82))*1000000</f>
        <v>3.8410536233967529</v>
      </c>
      <c r="M82" s="60">
        <f>((ACCIDENTES!D82+ACCIDENTES!I82+ACCIDENTES!N82+ACCIDENTES!S82)/(HH!F82+HH!J82+HH!N82+HH!R82))*1000000</f>
        <v>288.07902175475652</v>
      </c>
      <c r="N82" s="60">
        <f>((ACCIDENTES!F82+ACCIDENTES!K82+ACCIDENTES!P82+ACCIDENTES!U82)/(HH!F82+HH!J82+HH!N82+HH!R82))*1000000</f>
        <v>10.974438923990723</v>
      </c>
      <c r="O82" s="60">
        <f>((ACCIDENTES!C82+ACCIDENTES!H82+ACCIDENTES!M82+ACCIDENTES!R82+ACCIDENTES!W82)/(HH!F82+HH!J82+HH!N82+HH!R82+HH!V82))*1000000</f>
        <v>4.3758451370552551</v>
      </c>
      <c r="P82" s="60">
        <f>(((ACCIDENTES!D82+ACCIDENTES!I82+ACCIDENTES!N82+ACCIDENTES!S82+ACCIDENTES!X82)/(HH!F82+HH!J82+HH!N82+HH!R82+HH!V82))*1000000)</f>
        <v>236.29563740098374</v>
      </c>
      <c r="Q82" s="60">
        <f>((ACCIDENTES!F82+ACCIDENTES!K82+ACCIDENTES!P82+ACCIDENTES!U82+ACCIDENTES!Z82)/(HH!F82+HH!J82+HH!N82+HH!R82+HH!V82))*1000000</f>
        <v>10.50202832893261</v>
      </c>
      <c r="R82" s="60">
        <f>(ACCIDENTES!C82+ACCIDENTES!H82+ACCIDENTES!M82+ACCIDENTES!R82+ACCIDENTES!W82+ACCIDENTES!AB82)*1000000/(HH!F82+HH!J82+HH!N82+HH!R82+HH!V82+HH!Z82)</f>
        <v>4.0290110331280555</v>
      </c>
      <c r="S82" s="60">
        <f>(ACCIDENTES!D82+ACCIDENTES!I82+ACCIDENTES!N82+ACCIDENTES!S82+ACCIDENTES!X82+ACCIDENTES!AC82)*1000000/(HH!F82+HH!J82+HH!N82+HH!R82+HH!V82+HH!Z82)</f>
        <v>207.31093134095269</v>
      </c>
      <c r="T82" s="60">
        <f>(ACCIDENTES!F82+ACCIDENTES!K82+ACCIDENTES!P82+ACCIDENTES!U82+ACCIDENTES!Z82+ACCIDENTES!AE82)*1000000/(HH!F82+HH!J82+HH!N82+HH!R82+HH!V82+HH!Z82)</f>
        <v>9.889390717677955</v>
      </c>
      <c r="U82" s="60">
        <f>((ACCIDENTES!C82+ACCIDENTES!H82+ACCIDENTES!M82+ACCIDENTES!R82+ACCIDENTES!W82+ACCIDENTES!AB82+ACCIDENTES!AG82)/(HH!F82+HH!J82+HH!N82+HH!R82+HH!V82+HH!Z82+HH!AD82))*1000000</f>
        <v>3.4557984202370444</v>
      </c>
      <c r="V82" s="60">
        <f>((ACCIDENTES!D82+ACCIDENTES!I82+ACCIDENTES!N82+ACCIDENTES!S82+ACCIDENTES!X82+ACCIDENTES!AC82+ACCIDENTES!AH82)/(HH!F82+HH!J82+HH!N82+HH!R82+HH!V82+HH!Z82+HH!AD82))*1000000</f>
        <v>177.81653689583339</v>
      </c>
      <c r="W82" s="60">
        <f>((ACCIDENTES!F82+ACCIDENTES!K82+ACCIDENTES!P82+ACCIDENTES!U82+ACCIDENTES!Z82+ACCIDENTES!AE82+ACCIDENTES!AJ82)/(HH!F82+HH!J82+HH!N82+HH!R82+HH!V82+HH!Z82+HH!AD82))*1000000</f>
        <v>10.053231767962313</v>
      </c>
      <c r="X82" s="60">
        <f>((ACCIDENTES!C82+ACCIDENTES!H82+ACCIDENTES!M82+ACCIDENTES!R82+ACCIDENTES!W82+ACCIDENTES!AB82+ACCIDENTES!AG82+ACCIDENTES!AL82)/(HH!F82+HH!J82+HH!N82+HH!R82+HH!V82+HH!Z82+HH!AD82+HH!AH82))*1000000</f>
        <v>3.5803247637130933</v>
      </c>
      <c r="Y82" s="60">
        <f>((ACCIDENTES!D82+ACCIDENTES!I82+ACCIDENTES!N82+ACCIDENTES!S82+ACCIDENTES!X82+ACCIDENTES!AC82+ACCIDENTES!AH82+ACCIDENTES!AM82)/(HH!F82+HH!J82+HH!N82+HH!R82+HH!V82+HH!Z82+HH!AD82+HH!AH82))*1000000</f>
        <v>219.22603937812477</v>
      </c>
      <c r="Z82" s="60">
        <f>((ACCIDENTES!F82+ACCIDENTES!K82+ACCIDENTES!P82+ACCIDENTES!U82+ACCIDENTES!Z82+ACCIDENTES!AE82+ACCIDENTES!AJ82+ACCIDENTES!AO82)/(HH!F82+HH!J82+HH!N82+HH!R82+HH!V82+HH!Z82+HH!AD82+HH!AH82))*1000000</f>
        <v>10.465564693930579</v>
      </c>
      <c r="AA82" s="60">
        <f>((ACCIDENTES!AQ82+ACCIDENTES!AL82+ACCIDENTES!AG82+ACCIDENTES!AB82+ACCIDENTES!W82+ACCIDENTES!R82+ACCIDENTES!M82+ACCIDENTES!H82+ACCIDENTES!C82)/(HH!AL82+HH!AH82+HH!AD82+HH!Z82+HH!V82+HH!R82+HH!N82+HH!J82+HH!F82))*1000000</f>
        <v>4.6454335326027909</v>
      </c>
      <c r="AB82" s="60">
        <f>((ACCIDENTES!AR82+ACCIDENTES!AM82+ACCIDENTES!AH82+ACCIDENTES!AC82+ACCIDENTES!X82+ACCIDENTES!S82+ACCIDENTES!N82+ACCIDENTES!I82+ACCIDENTES!D82)/(HH!AL82+HH!AH82+HH!AD82+HH!Z82+HH!V82+HH!R82+HH!N82+HH!J82+HH!F82))*1000000</f>
        <v>204.39907543452276</v>
      </c>
      <c r="AC82" s="60">
        <f>((ACCIDENTES!F82+ACCIDENTES!K82+ACCIDENTES!P82+ACCIDENTES!U82+ACCIDENTES!Z82+ACCIDENTES!AE82+ACCIDENTES!AJ82+ACCIDENTES!AO82+ACCIDENTES!AT82)/(HH!F82+HH!J82+HH!N82+HH!R82+HH!V82+HH!Z82+HH!AD82+HH!AH82+HH!AL82))*1000000</f>
        <v>11.98032858408088</v>
      </c>
      <c r="AD82" s="60">
        <f>((ACCIDENTES!AV82+ACCIDENTES!AQ82+ACCIDENTES!AL82+ACCIDENTES!AG82+ACCIDENTES!AB82+ACCIDENTES!W82+ACCIDENTES!R82+ACCIDENTES!M82+ACCIDENTES!H82+ACCIDENTES!C82)/(HH!F82+HH!J82+HH!N82+HH!R82+HH!V82+HH!Z82+HH!AD82+HH!AH82+HH!AL82+HH!AP82))*1000000</f>
        <v>5.0473999463619386</v>
      </c>
      <c r="AE82" s="60">
        <f>((ACCIDENTES!D82+ACCIDENTES!I82+ACCIDENTES!N82+ACCIDENTES!S82+ACCIDENTES!X82+ACCIDENTES!AC82+ACCIDENTES!AH82+ACCIDENTES!AM82+ACCIDENTES!AR82+ACCIDENTES!AW82)/(HH!AP82+HH!AL82+HH!AH82+HH!AD82+HH!Z82+HH!V82+HH!R82+HH!N82+HH!J82+HH!F82))*1000000</f>
        <v>192.24010230491558</v>
      </c>
      <c r="AF82" s="60">
        <f>((ACCIDENTES!AY82+ACCIDENTES!AT82+ACCIDENTES!AO82+ACCIDENTES!AJ82+ACCIDENTES!AE82+ACCIDENTES!Z82+ACCIDENTES!U82+ACCIDENTES!P82+ACCIDENTES!K82+ACCIDENTES!F82)/(HH!F82+HH!J82+HH!N82+HH!R82+HH!V82+HH!Z82+HH!AD82+HH!AH82+HH!AL82+HH!AP82))*1000000</f>
        <v>12.508773780114371</v>
      </c>
      <c r="AG82" s="60">
        <f>((ACCIDENTES!BA82+ACCIDENTES!AV82+ACCIDENTES!AQ82+ACCIDENTES!AL82+ACCIDENTES!AG82+ACCIDENTES!AB82+ACCIDENTES!W82+ACCIDENTES!R82+ACCIDENTES!M82+ACCIDENTES!H82+ACCIDENTES!C82)/(HH!AT82+HH!AP82+HH!AL82+HH!AH82+HH!AD82+HH!Z82+HH!V82+HH!R82+HH!N82+HH!J82+HH!F82))*1000000</f>
        <v>4.8043646980670882</v>
      </c>
      <c r="AH82" s="60">
        <f>((ACCIDENTES!D82+ACCIDENTES!I82+ACCIDENTES!N82+ACCIDENTES!S82+ACCIDENTES!X82+ACCIDENTES!AC82+ACCIDENTES!AH82+ACCIDENTES!AM82+ACCIDENTES!AR82+ACCIDENTES!AW82+ACCIDENTES!BB82)/(HH!F82+HH!J82+HH!N82+HH!R82+HH!V82+HH!Z82+HH!AD82+HH!AH82+HH!AL82+HH!AP82+HH!AT82))*1000000</f>
        <v>175.75967520428765</v>
      </c>
      <c r="AI82" s="60">
        <f>((ACCIDENTES!BD82+ACCIDENTES!AY82+ACCIDENTES!AT82+ACCIDENTES!AO82+ACCIDENTES!AJ82+ACCIDENTES!AE82+ACCIDENTES!Z82+ACCIDENTES!U82+ACCIDENTES!P82+ACCIDENTES!K82+ACCIDENTES!F82)/(HH!F82+HH!J82+HH!N82+HH!R82+HH!V82+HH!Z82+HH!AD82+HH!AH82+HH!AL82+HH!AP82+HH!AT82))*1000000</f>
        <v>12.611457332426106</v>
      </c>
      <c r="AJ82" s="60">
        <f>(ACCIDENTES!BK82/HH!BB82)*1000000</f>
        <v>4.6028289590673586</v>
      </c>
      <c r="AK82" s="60">
        <f>(ACCIDENTES!BL82/HH!BB82)*1000000</f>
        <v>161.83546620080833</v>
      </c>
      <c r="AL82" s="60">
        <f>(ACCIDENTES!BN82/HH!BB82)*1000000</f>
        <v>12.151468451937827</v>
      </c>
      <c r="AN82" s="133">
        <f t="shared" si="2"/>
        <v>4.9800588853626468</v>
      </c>
      <c r="AO82" s="133">
        <f t="shared" si="3"/>
        <v>58.982295999286187</v>
      </c>
      <c r="AP82" s="140" t="s">
        <v>107</v>
      </c>
      <c r="AR82" s="60">
        <v>4.7</v>
      </c>
      <c r="AS82" s="60">
        <v>170</v>
      </c>
      <c r="AT82" s="60">
        <v>6.3</v>
      </c>
      <c r="AV82" s="118">
        <v>4.1574203838729025</v>
      </c>
      <c r="AW82" s="60">
        <v>4.9800588853626468</v>
      </c>
      <c r="AX82" s="60">
        <v>5.7850062362827197</v>
      </c>
      <c r="AY82" s="63"/>
      <c r="AZ82" s="118">
        <v>50.808984436097774</v>
      </c>
      <c r="BA82" s="60">
        <v>58.982295999286187</v>
      </c>
      <c r="BB82" s="60">
        <v>71.578395204892615</v>
      </c>
      <c r="BC82" s="63"/>
      <c r="BD82" s="118">
        <v>50.808984436097774</v>
      </c>
      <c r="BE82" s="60">
        <v>58.982295999286187</v>
      </c>
      <c r="BF82" s="60">
        <v>71.578395204892615</v>
      </c>
    </row>
    <row r="83" spans="1:59" x14ac:dyDescent="0.3">
      <c r="A83" s="17" t="s">
        <v>105</v>
      </c>
      <c r="B83" s="17" t="s">
        <v>108</v>
      </c>
      <c r="C83" s="62">
        <f>(ACCIDENTES!C83/HH!F83)*1000000</f>
        <v>0</v>
      </c>
      <c r="D83" s="60">
        <f>(ACCIDENTES!D83/HH!F83)*1000000</f>
        <v>0</v>
      </c>
      <c r="E83" s="60">
        <f>(ACCIDENTES!F83/HH!F83)*1000000</f>
        <v>0</v>
      </c>
      <c r="F83" s="60">
        <f>((ACCIDENTES!C83+ACCIDENTES!H83)/(HH!F83+HH!J83))*1000000</f>
        <v>0</v>
      </c>
      <c r="G83" s="60">
        <f>((ACCIDENTES!D83+ACCIDENTES!I83)/(HH!F83+HH!J83))*1000000</f>
        <v>0</v>
      </c>
      <c r="H83" s="60">
        <f>((ACCIDENTES!F83+ACCIDENTES!K83)/(HH!F83+HH!J83))*1000000</f>
        <v>0</v>
      </c>
      <c r="I83" s="60">
        <f>((ACCIDENTES!C83+ACCIDENTES!H83+ACCIDENTES!M83)/(HH!F83+HH!J83+HH!N83))*1000000</f>
        <v>0</v>
      </c>
      <c r="J83" s="60">
        <f>((ACCIDENTES!D83+ACCIDENTES!I83+ACCIDENTES!N83)/(HH!F83+HH!J83+HH!N83))*1000000</f>
        <v>0</v>
      </c>
      <c r="K83" s="60">
        <f>((ACCIDENTES!F83+ACCIDENTES!K83+ACCIDENTES!P83)/(HH!J83+HH!N83+HH!F83))*1000000</f>
        <v>0.91049330606231871</v>
      </c>
      <c r="L83" s="59">
        <f>((ACCIDENTES!C83+ACCIDENTES!H83+ACCIDENTES!M83+ACCIDENTES!R83)/(HH!F83+HH!J83+HH!N83+HH!R83))*1000000</f>
        <v>0</v>
      </c>
      <c r="M83" s="60">
        <f>((ACCIDENTES!D83+ACCIDENTES!I83+ACCIDENTES!N83+ACCIDENTES!S83)/(HH!F83+HH!J83+HH!N83+HH!R83))*1000000</f>
        <v>0</v>
      </c>
      <c r="N83" s="60">
        <f>((ACCIDENTES!F83+ACCIDENTES!K83+ACCIDENTES!P83+ACCIDENTES!U83)/(HH!F83+HH!J83+HH!N83+HH!R83))*1000000</f>
        <v>0.64599305709056665</v>
      </c>
      <c r="O83" s="60">
        <f>((ACCIDENTES!C83+ACCIDENTES!H83+ACCIDENTES!M83+ACCIDENTES!R83+ACCIDENTES!W83)/(HH!F83+HH!J83+HH!N83+HH!R83+HH!V83))*1000000</f>
        <v>0</v>
      </c>
      <c r="P83" s="60">
        <f>(((ACCIDENTES!D83+ACCIDENTES!I83+ACCIDENTES!N83+ACCIDENTES!S83+ACCIDENTES!X83)/(HH!F83+HH!J83+HH!N83+HH!R83+HH!V83))*1000000)</f>
        <v>0</v>
      </c>
      <c r="Q83" s="60">
        <f>((ACCIDENTES!F83+ACCIDENTES!K83+ACCIDENTES!P83+ACCIDENTES!U83+ACCIDENTES!Z83)/(HH!F83+HH!J83+HH!N83+HH!R83+HH!V83))*1000000</f>
        <v>0.99171911891124787</v>
      </c>
      <c r="R83" s="60">
        <f>(ACCIDENTES!C83+ACCIDENTES!H83+ACCIDENTES!M83+ACCIDENTES!R83+ACCIDENTES!W83+ACCIDENTES!AB83)*1000000/(HH!F83+HH!J83+HH!N83+HH!R83+HH!V83+HH!Z83)</f>
        <v>0.40354529011187684</v>
      </c>
      <c r="S83" s="60">
        <f>(ACCIDENTES!D83+ACCIDENTES!I83+ACCIDENTES!N83+ACCIDENTES!S83+ACCIDENTES!X83+ACCIDENTES!AC83)*1000000/(HH!F83+HH!J83+HH!N83+HH!R83+HH!V83+HH!Z83)</f>
        <v>60.128248226669655</v>
      </c>
      <c r="T83" s="60">
        <f>(ACCIDENTES!F83+ACCIDENTES!K83+ACCIDENTES!P83+ACCIDENTES!U83+ACCIDENTES!Z83+ACCIDENTES!AE83)*1000000/(HH!F83+HH!J83+HH!N83+HH!R83+HH!V83+HH!Z83)</f>
        <v>1.2106358703356306</v>
      </c>
      <c r="U83" s="60">
        <f>((ACCIDENTES!C83+ACCIDENTES!H83+ACCIDENTES!M83+ACCIDENTES!R83+ACCIDENTES!W83+ACCIDENTES!AB83+ACCIDENTES!AG83)/(HH!F83+HH!J83+HH!N83+HH!R83+HH!V83+HH!Z83+HH!AD83))*1000000</f>
        <v>0.68032380342514942</v>
      </c>
      <c r="V83" s="60">
        <f>((ACCIDENTES!D83+ACCIDENTES!I83+ACCIDENTES!N83+ACCIDENTES!S83+ACCIDENTES!X83+ACCIDENTES!AC83+ACCIDENTES!AH83)/(HH!F83+HH!J83+HH!N83+HH!R83+HH!V83+HH!Z83+HH!AD83))*1000000</f>
        <v>51.024285256886195</v>
      </c>
      <c r="W83" s="60">
        <f>((ACCIDENTES!F83+ACCIDENTES!K83+ACCIDENTES!P83+ACCIDENTES!U83+ACCIDENTES!Z83+ACCIDENTES!AE83+ACCIDENTES!AJ83)/(HH!F83+HH!J83+HH!N83+HH!R83+HH!V83+HH!Z83+HH!AD83))*1000000</f>
        <v>2.0409714102754482</v>
      </c>
      <c r="X83" s="60">
        <f>((ACCIDENTES!C83+ACCIDENTES!H83+ACCIDENTES!M83+ACCIDENTES!R83+ACCIDENTES!W83+ACCIDENTES!AB83+ACCIDENTES!AG83+ACCIDENTES!AL83)/(HH!F83+HH!J83+HH!N83+HH!R83+HH!V83+HH!Z83+HH!AD83+HH!AH83))*1000000</f>
        <v>0.58675044336958693</v>
      </c>
      <c r="Y83" s="60">
        <f>((ACCIDENTES!D83+ACCIDENTES!I83+ACCIDENTES!N83+ACCIDENTES!S83+ACCIDENTES!X83+ACCIDENTES!AC83+ACCIDENTES!AH83+ACCIDENTES!AM83)/(HH!F83+HH!J83+HH!N83+HH!R83+HH!V83+HH!Z83+HH!AD83+HH!AH83))*1000000</f>
        <v>44.006283252719015</v>
      </c>
      <c r="Z83" s="60">
        <f>((ACCIDENTES!F83+ACCIDENTES!K83+ACCIDENTES!P83+ACCIDENTES!U83+ACCIDENTES!Z83+ACCIDENTES!AE83+ACCIDENTES!AJ83+ACCIDENTES!AO83)/(HH!F83+HH!J83+HH!N83+HH!R83+HH!V83+HH!Z83+HH!AD83+HH!AH83))*1000000</f>
        <v>2.0536265517935544</v>
      </c>
      <c r="AA83" s="59">
        <f>((ACCIDENTES!AQ83+ACCIDENTES!AL83+ACCIDENTES!AG83+ACCIDENTES!AB83+ACCIDENTES!W83+ACCIDENTES!R83+ACCIDENTES!M83+ACCIDENTES!H83+ACCIDENTES!C83)/(HH!AL83+HH!AH83+HH!AD83+HH!Z83+HH!V83+HH!R83+HH!N83+HH!J83+HH!F83))*1000000</f>
        <v>0.77419384481176812</v>
      </c>
      <c r="AB83" s="59">
        <f>((ACCIDENTES!AR83+ACCIDENTES!AM83+ACCIDENTES!AH83+ACCIDENTES!AC83+ACCIDENTES!X83+ACCIDENTES!S83+ACCIDENTES!N83+ACCIDENTES!I83+ACCIDENTES!D83)/(HH!AL83+HH!AH83+HH!AD83+HH!Z83+HH!V83+HH!R83+HH!N83+HH!J83+HH!F83))*1000000</f>
        <v>42.322596849709996</v>
      </c>
      <c r="AC83" s="59">
        <f>((ACCIDENTES!F83+ACCIDENTES!K83+ACCIDENTES!P83+ACCIDENTES!U83+ACCIDENTES!Z83+ACCIDENTES!AE83+ACCIDENTES!AJ83+ACCIDENTES!AO83+ACCIDENTES!AT83)/(HH!F83+HH!J83+HH!N83+HH!R83+HH!V83+HH!Z83+HH!AD83+HH!AH83+HH!AL83))*1000000</f>
        <v>2.0645169194980482</v>
      </c>
      <c r="AD83" s="59">
        <f>((ACCIDENTES!AV83+ACCIDENTES!AQ83+ACCIDENTES!AL83+ACCIDENTES!AG83+ACCIDENTES!AB83+ACCIDENTES!W83+ACCIDENTES!R83+ACCIDENTES!M83+ACCIDENTES!H83+ACCIDENTES!C83)/(HH!F83+HH!J83+HH!N83+HH!R83+HH!V83+HH!Z83+HH!AD83+HH!AH83+HH!AL83+HH!AP83))*1000000</f>
        <v>0.91683072818366285</v>
      </c>
      <c r="AE83" s="59">
        <f>((ACCIDENTES!D83+ACCIDENTES!I83+ACCIDENTES!N83+ACCIDENTES!S83+ACCIDENTES!X83+ACCIDENTES!AC83+ACCIDENTES!AH83+ACCIDENTES!AM83+ACCIDENTES!AR83+ACCIDENTES!AW83)/(HH!AP83+HH!AL83+HH!AH83+HH!AD83+HH!Z83+HH!V83+HH!R83+HH!N83+HH!J83+HH!F83))*1000000</f>
        <v>38.048475219622006</v>
      </c>
      <c r="AF83" s="60">
        <f>((ACCIDENTES!AY83+ACCIDENTES!AT83+ACCIDENTES!AO83+ACCIDENTES!AJ83+ACCIDENTES!AE83+ACCIDENTES!Z83+ACCIDENTES!U83+ACCIDENTES!P83+ACCIDENTES!K83+ACCIDENTES!F83)/(HH!F83+HH!J83+HH!N83+HH!R83+HH!V83+HH!Z83+HH!AD83+HH!AH83+HH!AL83+HH!AP83))*1000000</f>
        <v>2.2920768204591568</v>
      </c>
      <c r="AG83" s="60">
        <f>((ACCIDENTES!BA83+ACCIDENTES!AV83+ACCIDENTES!AQ83+ACCIDENTES!AL83+ACCIDENTES!AG83+ACCIDENTES!AB83+ACCIDENTES!W83+ACCIDENTES!R83+ACCIDENTES!M83+ACCIDENTES!H83+ACCIDENTES!C83)/(HH!AT83+HH!AP83+HH!AL83+HH!AH83+HH!AD83+HH!Z83+HH!V83+HH!R83+HH!N83+HH!J83+HH!F83))*1000000</f>
        <v>1.0303429791648298</v>
      </c>
      <c r="AH83" s="60">
        <f>((ACCIDENTES!D83+ACCIDENTES!I83+ACCIDENTES!N83+ACCIDENTES!S83+ACCIDENTES!X83+ACCIDENTES!AC83+ACCIDENTES!AH83+ACCIDENTES!AM83+ACCIDENTES!AR83+ACCIDENTES!AW83+ACCIDENTES!BB83)/(HH!F83+HH!J83+HH!N83+HH!R83+HH!V83+HH!Z83+HH!AD83+HH!AH83+HH!AL83+HH!AP83+HH!AT83))*1000000</f>
        <v>38.122690229098701</v>
      </c>
      <c r="AI83" s="59">
        <f>((ACCIDENTES!BD83+ACCIDENTES!AY83+ACCIDENTES!AT83+ACCIDENTES!AO83+ACCIDENTES!AJ83+ACCIDENTES!AE83+ACCIDENTES!Z83+ACCIDENTES!U83+ACCIDENTES!P83+ACCIDENTES!K83+ACCIDENTES!F83)/(HH!F83+HH!J83+HH!N83+HH!R83+HH!V83+HH!Z83+HH!AD83+HH!AH83+HH!AL83+HH!AP83+HH!AT83))*1000000</f>
        <v>2.2667545541626253</v>
      </c>
      <c r="AJ83" s="60">
        <f>(ACCIDENTES!BK83/HH!BB83)*1000000</f>
        <v>1.1216717511136307</v>
      </c>
      <c r="AK83" s="60">
        <f>(ACCIDENTES!BL83/HH!BB83)*1000000</f>
        <v>37.576003662306626</v>
      </c>
      <c r="AL83" s="60">
        <f>(ACCIDENTES!BN83/HH!BB83)*1000000</f>
        <v>2.2433435022272614</v>
      </c>
      <c r="AN83" s="133">
        <f t="shared" si="2"/>
        <v>1.4383863902016771</v>
      </c>
      <c r="AO83" s="133">
        <f t="shared" si="3"/>
        <v>6.1028679698556871</v>
      </c>
      <c r="AP83" s="140" t="s">
        <v>107</v>
      </c>
      <c r="AR83" s="60">
        <v>1.6</v>
      </c>
      <c r="AS83" s="60">
        <v>11.3</v>
      </c>
      <c r="AT83" s="60">
        <v>1.85</v>
      </c>
      <c r="AV83" s="118">
        <v>1.0274188501440549</v>
      </c>
      <c r="AW83" s="60">
        <v>1.4383863902016771</v>
      </c>
      <c r="AX83" s="60">
        <v>1.6438701602304882</v>
      </c>
      <c r="AY83" s="63"/>
      <c r="AZ83" s="118">
        <v>4.2946107936021498</v>
      </c>
      <c r="BA83" s="60">
        <v>6.1028679698556871</v>
      </c>
      <c r="BB83" s="60">
        <v>7.9111251461092236</v>
      </c>
      <c r="BC83" s="63"/>
      <c r="BD83" s="118">
        <v>4.2946107936021498</v>
      </c>
      <c r="BE83" s="60">
        <v>6.1028679698556871</v>
      </c>
      <c r="BF83" s="60">
        <v>7.9111251461092236</v>
      </c>
    </row>
    <row r="84" spans="1:59" x14ac:dyDescent="0.3">
      <c r="A84" s="17" t="s">
        <v>105</v>
      </c>
      <c r="B84" s="17" t="s">
        <v>62</v>
      </c>
      <c r="C84" s="62">
        <f>(ACCIDENTES!C84/HH!F84)*1000000</f>
        <v>2.3746769829143179</v>
      </c>
      <c r="D84" s="60">
        <f>(ACCIDENTES!D84/HH!F84)*1000000</f>
        <v>296.83462286428977</v>
      </c>
      <c r="E84" s="60">
        <f>(ACCIDENTES!F84/HH!F84)*1000000</f>
        <v>4.7493539658286359</v>
      </c>
      <c r="F84" s="60">
        <f>((ACCIDENTES!C84+ACCIDENTES!H84)/(HH!F84+HH!J84))*1000000</f>
        <v>2.3962384870625182</v>
      </c>
      <c r="G84" s="60">
        <f>((ACCIDENTES!D84+ACCIDENTES!I84)/(HH!F84+HH!J84))*1000000</f>
        <v>164.94108252613668</v>
      </c>
      <c r="H84" s="60">
        <f>((ACCIDENTES!F84+ACCIDENTES!K84)/(HH!F84+HH!J84))*1000000</f>
        <v>4.7924769741250364</v>
      </c>
      <c r="I84" s="59">
        <f>((ACCIDENTES!C84+ACCIDENTES!H84+ACCIDENTES!M84)/(HH!F84+HH!J84+HH!N84))*1000000</f>
        <v>2.1236609562222877</v>
      </c>
      <c r="J84" s="60">
        <f>((ACCIDENTES!D84+ACCIDENTES!I84+ACCIDENTES!N84)/(HH!F84+HH!J84+HH!N84))*1000000</f>
        <v>113.3504035383646</v>
      </c>
      <c r="K84" s="60">
        <f>((ACCIDENTES!F84+ACCIDENTES!K84+ACCIDENTES!P84)/(HH!J84+HH!N84+HH!F84))*1000000</f>
        <v>5.3091523905557194</v>
      </c>
      <c r="L84" s="59">
        <f>((ACCIDENTES!C84+ACCIDENTES!H84+ACCIDENTES!M84+ACCIDENTES!R84)/(HH!F84+HH!J84+HH!N84+HH!R84))*1000000</f>
        <v>1.9508944709709555</v>
      </c>
      <c r="M84" s="60">
        <f>((ACCIDENTES!D84+ACCIDENTES!I84+ACCIDENTES!N84+ACCIDENTES!S84)/(HH!F84+HH!J84+HH!N84+HH!R84))*1000000</f>
        <v>110.22553760985899</v>
      </c>
      <c r="N84" s="60">
        <f>((ACCIDENTES!F84+ACCIDENTES!K84+ACCIDENTES!P84+ACCIDENTES!U84)/(HH!F84+HH!J84+HH!N84+HH!R84))*1000000</f>
        <v>5.2674150716215795</v>
      </c>
      <c r="O84" s="60">
        <f>((ACCIDENTES!C84+ACCIDENTES!H84+ACCIDENTES!M84+ACCIDENTES!R84+ACCIDENTES!W84)/(HH!F84+HH!J84+HH!N84+HH!R84+HH!V84))*1000000</f>
        <v>2.0007061312739784</v>
      </c>
      <c r="P84" s="60">
        <f>(((ACCIDENTES!D84+ACCIDENTES!I84+ACCIDENTES!N84+ACCIDENTES!S84+ACCIDENTES!X84)/(HH!F84+HH!J84+HH!N84+HH!R84+HH!V84))*1000000)</f>
        <v>89.262273549146727</v>
      </c>
      <c r="Q84" s="60">
        <f>((ACCIDENTES!F84+ACCIDENTES!K84+ACCIDENTES!P84+ACCIDENTES!U84+ACCIDENTES!Z84)/(HH!F84+HH!J84+HH!N84+HH!R84+HH!V84))*1000000</f>
        <v>4.9248150923667158</v>
      </c>
      <c r="R84" s="60">
        <f>(ACCIDENTES!C84+ACCIDENTES!H84+ACCIDENTES!M84+ACCIDENTES!R84+ACCIDENTES!W84+ACCIDENTES!AB84)*1000000/(HH!F84+HH!J84+HH!N84+HH!R84+HH!V84+HH!Z84)</f>
        <v>2.0396772985752381</v>
      </c>
      <c r="S84" s="60">
        <f>(ACCIDENTES!D84+ACCIDENTES!I84+ACCIDENTES!N84+ACCIDENTES!S84+ACCIDENTES!X84+ACCIDENTES!AC84)*1000000/(HH!F84+HH!J84+HH!N84+HH!R84+HH!V84+HH!Z84)</f>
        <v>96.757191851162844</v>
      </c>
      <c r="T84" s="60">
        <f>(ACCIDENTES!F84+ACCIDENTES!K84+ACCIDENTES!P84+ACCIDENTES!U84+ACCIDENTES!Z84+ACCIDENTES!AE84)*1000000/(HH!F84+HH!J84+HH!N84+HH!R84+HH!V84+HH!Z84)</f>
        <v>4.7167537529552375</v>
      </c>
      <c r="U84" s="60">
        <f>((ACCIDENTES!C84+ACCIDENTES!H84+ACCIDENTES!M84+ACCIDENTES!R84+ACCIDENTES!W84+ACCIDENTES!AB84+ACCIDENTES!AG84)/(HH!F84+HH!J84+HH!N84+HH!R84+HH!V84+HH!Z84+HH!AD84))*1000000</f>
        <v>1.9562677149324801</v>
      </c>
      <c r="V84" s="60">
        <f>((ACCIDENTES!D84+ACCIDENTES!I84+ACCIDENTES!N84+ACCIDENTES!S84+ACCIDENTES!X84+ACCIDENTES!AC84+ACCIDENTES!AH84)/(HH!F84+HH!J84+HH!N84+HH!R84+HH!V84+HH!Z84+HH!AD84))*1000000</f>
        <v>82.706651725756529</v>
      </c>
      <c r="W84" s="60">
        <f>((ACCIDENTES!F84+ACCIDENTES!K84+ACCIDENTES!P84+ACCIDENTES!U84+ACCIDENTES!Z84+ACCIDENTES!AE84+ACCIDENTES!AJ84)/(HH!F84+HH!J84+HH!N84+HH!R84+HH!V84+HH!Z84+HH!AD84))*1000000</f>
        <v>4.999350827049672</v>
      </c>
      <c r="X84" s="60">
        <f>((ACCIDENTES!C84+ACCIDENTES!H84+ACCIDENTES!M84+ACCIDENTES!R84+ACCIDENTES!W84+ACCIDENTES!AB84+ACCIDENTES!AG84+ACCIDENTES!AL84)/(HH!F84+HH!J84+HH!N84+HH!R84+HH!V84+HH!Z84+HH!AD84+HH!AH84))*1000000</f>
        <v>2.1778109367679903</v>
      </c>
      <c r="Y84" s="60">
        <f>((ACCIDENTES!D84+ACCIDENTES!I84+ACCIDENTES!N84+ACCIDENTES!S84+ACCIDENTES!X84+ACCIDENTES!AC84+ACCIDENTES!AH84+ACCIDENTES!AM84)/(HH!F84+HH!J84+HH!N84+HH!R84+HH!V84+HH!Z84+HH!AD84+HH!AH84))*1000000</f>
        <v>96.581180674058714</v>
      </c>
      <c r="Z84" s="60">
        <f>((ACCIDENTES!F84+ACCIDENTES!K84+ACCIDENTES!P84+ACCIDENTES!U84+ACCIDENTES!Z84+ACCIDENTES!AE84+ACCIDENTES!AJ84+ACCIDENTES!AO84)/(HH!F84+HH!J84+HH!N84+HH!R84+HH!V84+HH!Z84+HH!AD84+HH!AH84))*1000000</f>
        <v>5.4918710579366712</v>
      </c>
      <c r="AA84" s="59">
        <f>((ACCIDENTES!AQ84+ACCIDENTES!AL84+ACCIDENTES!AG84+ACCIDENTES!AB84+ACCIDENTES!W84+ACCIDENTES!R84+ACCIDENTES!M84+ACCIDENTES!H84+ACCIDENTES!C84)/(HH!AL84+HH!AH84+HH!AD84+HH!Z84+HH!V84+HH!R84+HH!N84+HH!J84+HH!F84))*1000000</f>
        <v>2.6772878834981864</v>
      </c>
      <c r="AB84" s="59">
        <f>((ACCIDENTES!AR84+ACCIDENTES!AM84+ACCIDENTES!AH84+ACCIDENTES!AC84+ACCIDENTES!X84+ACCIDENTES!S84+ACCIDENTES!N84+ACCIDENTES!I84+ACCIDENTES!D84)/(HH!AL84+HH!AH84+HH!AD84+HH!Z84+HH!V84+HH!R84+HH!N84+HH!J84+HH!F84))*1000000</f>
        <v>92.031770995250142</v>
      </c>
      <c r="AC84" s="59">
        <f>((ACCIDENTES!F84+ACCIDENTES!K84+ACCIDENTES!P84+ACCIDENTES!U84+ACCIDENTES!Z84+ACCIDENTES!AE84+ACCIDENTES!AJ84+ACCIDENTES!AO84+ACCIDENTES!AT84)/(HH!F84+HH!J84+HH!N84+HH!R84+HH!V84+HH!Z84+HH!AD84+HH!AH84+HH!AL84))*1000000</f>
        <v>6.1075629842302384</v>
      </c>
      <c r="AD84" s="59">
        <f>((ACCIDENTES!AV84+ACCIDENTES!AQ84+ACCIDENTES!AL84+ACCIDENTES!AG84+ACCIDENTES!AB84+ACCIDENTES!W84+ACCIDENTES!R84+ACCIDENTES!M84+ACCIDENTES!H84+ACCIDENTES!C84)/(HH!F84+HH!J84+HH!N84+HH!R84+HH!V84+HH!Z84+HH!AD84+HH!AH84+HH!AL84+HH!AP84))*1000000</f>
        <v>2.8415744080118022</v>
      </c>
      <c r="AE84" s="59">
        <f>((ACCIDENTES!D84+ACCIDENTES!I84+ACCIDENTES!N84+ACCIDENTES!S84+ACCIDENTES!X84+ACCIDENTES!AC84+ACCIDENTES!AH84+ACCIDENTES!AM84+ACCIDENTES!AR84+ACCIDENTES!AW84)/(HH!AP84+HH!AL84+HH!AH84+HH!AD84+HH!Z84+HH!V84+HH!R84+HH!N84+HH!J84+HH!F84))*1000000</f>
        <v>85.546345335934262</v>
      </c>
      <c r="AF84" s="60">
        <f>((ACCIDENTES!AY84+ACCIDENTES!AT84+ACCIDENTES!AO84+ACCIDENTES!AJ84+ACCIDENTES!AE84+ACCIDENTES!Z84+ACCIDENTES!U84+ACCIDENTES!P84+ACCIDENTES!K84+ACCIDENTES!F84)/(HH!F84+HH!J84+HH!N84+HH!R84+HH!V84+HH!Z84+HH!AD84+HH!AH84+HH!AL84+HH!AP84))*1000000</f>
        <v>6.2813750071839838</v>
      </c>
      <c r="AG84" s="60">
        <f>((ACCIDENTES!BA84+ACCIDENTES!AV84+ACCIDENTES!AQ84+ACCIDENTES!AL84+ACCIDENTES!AG84+ACCIDENTES!AB84+ACCIDENTES!W84+ACCIDENTES!R84+ACCIDENTES!M84+ACCIDENTES!H84+ACCIDENTES!C84)/(HH!AT84+HH!AP84+HH!AL84+HH!AH84+HH!AD84+HH!Z84+HH!V84+HH!R84+HH!N84+HH!J84+HH!F84))*1000000</f>
        <v>2.7086919800603564</v>
      </c>
      <c r="AH84" s="60">
        <f>((ACCIDENTES!D84+ACCIDENTES!I84+ACCIDENTES!N84+ACCIDENTES!S84+ACCIDENTES!X84+ACCIDENTES!AC84+ACCIDENTES!AH84+ACCIDENTES!AM84+ACCIDENTES!AR84+ACCIDENTES!AW84+ACCIDENTES!BB84)/(HH!F84+HH!J84+HH!N84+HH!R84+HH!V84+HH!Z84+HH!AD84+HH!AH84+HH!AL84+HH!AP84+HH!AT84))*1000000</f>
        <v>78.890653919257886</v>
      </c>
      <c r="AI84" s="59">
        <f>((ACCIDENTES!BD84+ACCIDENTES!AY84+ACCIDENTES!AT84+ACCIDENTES!AO84+ACCIDENTES!AJ84+ACCIDENTES!AE84+ACCIDENTES!Z84+ACCIDENTES!U84+ACCIDENTES!P84+ACCIDENTES!K84+ACCIDENTES!F84)/(HH!F84+HH!J84+HH!N84+HH!R84+HH!V84+HH!Z84+HH!AD84+HH!AH84+HH!AL84+HH!AP84+HH!AT84))*1000000</f>
        <v>6.1622742546373104</v>
      </c>
      <c r="AJ84" s="60">
        <f>(ACCIDENTES!BK84/HH!BB84)*1000000</f>
        <v>2.6596326210093912</v>
      </c>
      <c r="AK84" s="60">
        <f>(ACCIDENTES!BL84/HH!BB84)*1000000</f>
        <v>73.480082645561794</v>
      </c>
      <c r="AL84" s="60">
        <f>(ACCIDENTES!BN84/HH!BB84)*1000000</f>
        <v>5.9377844562070132</v>
      </c>
      <c r="AN84" s="133">
        <f t="shared" si="2"/>
        <v>2.5876957135841891</v>
      </c>
      <c r="AO84" s="133">
        <f t="shared" si="3"/>
        <v>30.995752544973186</v>
      </c>
      <c r="AP84" s="140" t="s">
        <v>107</v>
      </c>
      <c r="AR84" s="60">
        <v>3.8</v>
      </c>
      <c r="AS84" s="60">
        <v>121</v>
      </c>
      <c r="AT84" s="60">
        <v>5</v>
      </c>
      <c r="AV84" s="118">
        <v>1.9808606312977384</v>
      </c>
      <c r="AW84" s="60">
        <v>2.5876957135841891</v>
      </c>
      <c r="AX84" s="60">
        <v>3.1002040991421755</v>
      </c>
      <c r="AY84" s="63"/>
      <c r="AZ84" s="118">
        <v>22.959117983708079</v>
      </c>
      <c r="BA84" s="60">
        <v>30.995752544973186</v>
      </c>
      <c r="BB84" s="60">
        <v>40.315230181745406</v>
      </c>
      <c r="BC84" s="63"/>
      <c r="BD84" s="118">
        <v>22.959117983708079</v>
      </c>
      <c r="BE84" s="60">
        <v>30.995752544973186</v>
      </c>
      <c r="BF84" s="60">
        <v>40.315230181745406</v>
      </c>
      <c r="BG84" s="36" t="s">
        <v>109</v>
      </c>
    </row>
    <row r="85" spans="1:59" s="36" customFormat="1" x14ac:dyDescent="0.3"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23"/>
      <c r="R85" s="123"/>
      <c r="S85" s="123"/>
      <c r="T85" s="123"/>
      <c r="U85" s="211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N85" s="132"/>
      <c r="AO85" s="132"/>
      <c r="AP85" s="141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</row>
    <row r="86" spans="1:59" x14ac:dyDescent="0.3">
      <c r="A86" s="17" t="s">
        <v>110</v>
      </c>
      <c r="B86" s="17" t="s">
        <v>106</v>
      </c>
      <c r="C86" s="62">
        <f>(ACCIDENTES!C86/HH!F86)*1000000</f>
        <v>3.5775968737209487</v>
      </c>
      <c r="D86" s="60">
        <f>(ACCIDENTES!D86/HH!F86)*1000000</f>
        <v>438.85188317643639</v>
      </c>
      <c r="E86" s="60">
        <f>(ACCIDENTES!F86/HH!F86)*1000000</f>
        <v>16.695452077364425</v>
      </c>
      <c r="F86" s="60">
        <f>((ACCIDENTES!C86+ACCIDENTES!H86)/(HH!F86+HH!J86))*1000000</f>
        <v>4.2051125000855798</v>
      </c>
      <c r="G86" s="60">
        <f>((ACCIDENTES!D86+ACCIDENTES!I86)/(HH!F86+HH!J86))*1000000</f>
        <v>262.51916607677123</v>
      </c>
      <c r="H86" s="60">
        <f>((ACCIDENTES!F86+ACCIDENTES!K86)/(HH!F86+HH!J86))*1000000</f>
        <v>16.820450000342319</v>
      </c>
      <c r="I86" s="60">
        <f>((ACCIDENTES!C86+ACCIDENTES!H86+ACCIDENTES!M86)/(HH!F86+HH!J86+HH!N86))*1000000</f>
        <v>4.3861875911664185</v>
      </c>
      <c r="J86" s="60">
        <f>((ACCIDENTES!D86+ACCIDENTES!I86+ACCIDENTES!N86)/(HH!F86+HH!J86+HH!N86))*1000000</f>
        <v>258.38632355234898</v>
      </c>
      <c r="K86" s="60">
        <f>((ACCIDENTES!F86+ACCIDENTES!K86+ACCIDENTES!P86)/(HH!J86+HH!N86+HH!F86))*1000000</f>
        <v>17.544750364665674</v>
      </c>
      <c r="L86" s="60">
        <f>((ACCIDENTES!C86+ACCIDENTES!H86+ACCIDENTES!M86+ACCIDENTES!R86)/(HH!F86+HH!J86+HH!N86+HH!R86))*1000000</f>
        <v>4.4064758505230612</v>
      </c>
      <c r="M86" s="60">
        <f>((ACCIDENTES!D86+ACCIDENTES!I86+ACCIDENTES!N86+ACCIDENTES!S86)/(HH!F86+HH!J86+HH!N86+HH!R86))*1000000</f>
        <v>232.36815985091607</v>
      </c>
      <c r="N86" s="60">
        <f>((ACCIDENTES!F86+ACCIDENTES!K86+ACCIDENTES!P86+ACCIDENTES!U86)/(HH!F86+HH!J86+HH!N86+HH!R86))*1000000</f>
        <v>20.269788912406081</v>
      </c>
      <c r="O86" s="60">
        <f>((ACCIDENTES!C86+ACCIDENTES!H86+ACCIDENTES!M86+ACCIDENTES!R86+ACCIDENTES!W86)/(HH!F86+HH!J86+HH!N86+HH!R86+HH!V86))*1000000</f>
        <v>4.435055247475427</v>
      </c>
      <c r="P86" s="60">
        <f>(((ACCIDENTES!D86+ACCIDENTES!I86+ACCIDENTES!N86+ACCIDENTES!S86+ACCIDENTES!X86)/(HH!F86+HH!J86+HH!N86+HH!R86+HH!V86))*1000000)</f>
        <v>192.80819128498436</v>
      </c>
      <c r="Q86" s="149">
        <f>((ACCIDENTES!F86+ACCIDENTES!K86+ACCIDENTES!P86+ACCIDENTES!U86+ACCIDENTES!Z86)/(HH!F86+HH!J86+HH!N86+HH!R86+HH!V86))*1000000</f>
        <v>20.307884554229588</v>
      </c>
      <c r="R86" s="150">
        <f>(ACCIDENTES!C86+ACCIDENTES!H86+ACCIDENTES!M86+ACCIDENTES!R86+ACCIDENTES!W86+ACCIDENTES!AB86)*1000000/(HH!F86+HH!J86+HH!N86+HH!R86+HH!V86+HH!Z86)</f>
        <v>4.0700578909723193</v>
      </c>
      <c r="S86" s="150">
        <f>(ACCIDENTES!D86+ACCIDENTES!I86+ACCIDENTES!N86+ACCIDENTES!S86+ACCIDENTES!X86+ACCIDENTES!AC86)*1000000/(HH!F86+HH!J86+HH!N86+HH!R86+HH!V86+HH!Z86)</f>
        <v>178.30729808069208</v>
      </c>
      <c r="T86" s="212">
        <f>(ACCIDENTES!F86+ACCIDENTES!K86+ACCIDENTES!P86+ACCIDENTES!U86+ACCIDENTES!Z86+ACCIDENTES!AE86)*1000000/(HH!F86+HH!J86+HH!N86+HH!R86+HH!V86+HH!Z86)</f>
        <v>19.962664893816616</v>
      </c>
      <c r="U86" s="60">
        <f>((ACCIDENTES!C86+ACCIDENTES!H86+ACCIDENTES!M86+ACCIDENTES!R86+ACCIDENTES!W86+ACCIDENTES!AB86+ACCIDENTES!AG86)/(HH!F86+HH!J86+HH!N86+HH!R86+HH!V86+HH!Z86+HH!AD86))*1000000</f>
        <v>4.1106664253679837</v>
      </c>
      <c r="V86" s="60">
        <f>((ACCIDENTES!D86+ACCIDENTES!I86+ACCIDENTES!N86+ACCIDENTES!S86+ACCIDENTES!X86+ACCIDENTES!AC86+ACCIDENTES!AH86)/(HH!F86+HH!J86+HH!N86+HH!R86+HH!V86+HH!Z86+HH!AD86))*1000000</f>
        <v>184.15785585648567</v>
      </c>
      <c r="W86" s="60">
        <f>((ACCIDENTES!F86+ACCIDENTES!K86+ACCIDENTES!P86+ACCIDENTES!U86+ACCIDENTES!Z86+ACCIDENTES!AE86+ACCIDENTES!AJ86)/(HH!F86+HH!J86+HH!N86+HH!R86+HH!V86+HH!Z86+HH!AD86))*1000000</f>
        <v>20.224478812810482</v>
      </c>
      <c r="X86" s="60">
        <f>((ACCIDENTES!C86+ACCIDENTES!H86+ACCIDENTES!M86+ACCIDENTES!R86+ACCIDENTES!W86+ACCIDENTES!AB86+ACCIDENTES!AG86+ACCIDENTES!AL86)/(HH!F86+HH!J86+HH!N86+HH!R86+HH!V86+HH!Z86+HH!AD86+HH!AH86))*1000000</f>
        <v>3.9875736287372137</v>
      </c>
      <c r="Y86" s="60">
        <f>((ACCIDENTES!D86+ACCIDENTES!I86+ACCIDENTES!N86+ACCIDENTES!S86+ACCIDENTES!X86+ACCIDENTES!AC86+ACCIDENTES!AH86+ACCIDENTES!AM86)/(HH!F86+HH!J86+HH!N86+HH!R86+HH!V86+HH!Z86+HH!AD86+HH!AH86))*1000000</f>
        <v>194.39421440093918</v>
      </c>
      <c r="Z86" s="60">
        <f>((ACCIDENTES!F86+ACCIDENTES!K86+ACCIDENTES!P86+ACCIDENTES!U86+ACCIDENTES!Z86+ACCIDENTES!AE86+ACCIDENTES!AJ86+ACCIDENTES!AO86)/(HH!F86+HH!J86+HH!N86+HH!R86+HH!V86+HH!Z86+HH!AD86+HH!AH86))*1000000</f>
        <v>20.649934863103425</v>
      </c>
      <c r="AA86" s="60">
        <f>((ACCIDENTES!AQ86+ACCIDENTES!AL86+ACCIDENTES!AG86+ACCIDENTES!AB86+ACCIDENTES!W86+ACCIDENTES!R86+ACCIDENTES!M86+ACCIDENTES!H86+ACCIDENTES!C86)/(HH!AL86+HH!AH86+HH!AD86+HH!Z86+HH!V86+HH!R86+HH!N86+HH!J86+HH!F86))*1000000</f>
        <v>4.6596438521112962</v>
      </c>
      <c r="AB86" s="60">
        <f>((ACCIDENTES!AR86+ACCIDENTES!AM86+ACCIDENTES!AH86+ACCIDENTES!AC86+ACCIDENTES!X86+ACCIDENTES!S86+ACCIDENTES!N86+ACCIDENTES!I86+ACCIDENTES!D86)/(HH!AL86+HH!AH86+HH!AD86+HH!Z86+HH!V86+HH!R86+HH!N86+HH!J86+HH!F86))*1000000</f>
        <v>187.01543568608852</v>
      </c>
      <c r="AC86" s="60">
        <f>((ACCIDENTES!F86+ACCIDENTES!K86+ACCIDENTES!P86+ACCIDENTES!U86+ACCIDENTES!Z86+ACCIDENTES!AE86+ACCIDENTES!AJ86+ACCIDENTES!AO86+ACCIDENTES!AT86)/(HH!F86+HH!J86+HH!N86+HH!R86+HH!V86+HH!Z86+HH!AD86+HH!AH86+HH!AL86))*1000000</f>
        <v>21.661047096301161</v>
      </c>
      <c r="AD86" s="60">
        <f>((ACCIDENTES!AV86+ACCIDENTES!AQ86+ACCIDENTES!AL86+ACCIDENTES!AG86+ACCIDENTES!AB86+ACCIDENTES!W86+ACCIDENTES!R86+ACCIDENTES!M86+ACCIDENTES!H86+ACCIDENTES!C86)/(HH!F86+HH!J86+HH!N86+HH!R86+HH!V86+HH!Z86+HH!AD86+HH!AH86+HH!AL86+HH!AP86))*1000000</f>
        <v>4.72962116148899</v>
      </c>
      <c r="AE86" s="60">
        <f>((ACCIDENTES!D86+ACCIDENTES!I86+ACCIDENTES!N86+ACCIDENTES!S86+ACCIDENTES!X86+ACCIDENTES!AC86+ACCIDENTES!AH86+ACCIDENTES!AM86+ACCIDENTES!AR86+ACCIDENTES!AW86)/(HH!AP86+HH!AL86+HH!AH86+HH!AD86+HH!Z86+HH!V86+HH!R86+HH!N86+HH!J86+HH!F86))*1000000</f>
        <v>172.63117239434808</v>
      </c>
      <c r="AF86" s="60">
        <f>((ACCIDENTES!AY86+ACCIDENTES!AT86+ACCIDENTES!AO86+ACCIDENTES!AJ86+ACCIDENTES!AE86+ACCIDENTES!Z86+ACCIDENTES!U86+ACCIDENTES!P86+ACCIDENTES!K86+ACCIDENTES!F86)/(HH!F86+HH!J86+HH!N86+HH!R86+HH!V86+HH!Z86+HH!AD86+HH!AH86+HH!AL86+HH!AP86))*1000000</f>
        <v>21.621125309663952</v>
      </c>
      <c r="AG86" s="60">
        <f>((ACCIDENTES!BA86+ACCIDENTES!AV86+ACCIDENTES!AQ86+ACCIDENTES!AL86+ACCIDENTES!AG86+ACCIDENTES!AB86+ACCIDENTES!W86+ACCIDENTES!R86+ACCIDENTES!M86+ACCIDENTES!H86+ACCIDENTES!C86)/(HH!AT86+HH!AP86+HH!AL86+HH!AH86+HH!AD86+HH!Z86+HH!V86+HH!R86+HH!N86+HH!J86+HH!F86))*1000000</f>
        <v>4.799919804165401</v>
      </c>
      <c r="AH86" s="60">
        <f>((ACCIDENTES!D86+ACCIDENTES!I86+ACCIDENTES!N86+ACCIDENTES!S86+ACCIDENTES!X86+ACCIDENTES!AC86+ACCIDENTES!AH86+ACCIDENTES!AM86+ACCIDENTES!AR86+ACCIDENTES!AW86+ACCIDENTES!BB86)/(HH!F86+HH!J86+HH!N86+HH!R86+HH!V86+HH!Z86+HH!AD86+HH!AH86+HH!AL86+HH!AP86+HH!AT86))*1000000</f>
        <v>159.72499093009972</v>
      </c>
      <c r="AI86" s="60">
        <f>((ACCIDENTES!BD86+ACCIDENTES!AY86+ACCIDENTES!AT86+ACCIDENTES!AO86+ACCIDENTES!AJ86+ACCIDENTES!AE86+ACCIDENTES!Z86+ACCIDENTES!U86+ACCIDENTES!P86+ACCIDENTES!K86+ACCIDENTES!F86)/(HH!F86+HH!J86+HH!N86+HH!R86+HH!V86+HH!Z86+HH!AD86+HH!AH86+HH!AL86+HH!AP86+HH!AT86))*1000000</f>
        <v>21.75282804866448</v>
      </c>
      <c r="AJ86" s="60">
        <f>(ACCIDENTES!BK86/HH!BB86)*1000000</f>
        <v>4.685991257252371</v>
      </c>
      <c r="AK86" s="60">
        <f>(ACCIDENTES!BL86/HH!BB86)*1000000</f>
        <v>148.54592285490017</v>
      </c>
      <c r="AL86" s="60">
        <f>(ACCIDENTES!BN86/HH!BB86)*1000000</f>
        <v>21.274400307925763</v>
      </c>
      <c r="AN86" s="133">
        <f t="shared" si="2"/>
        <v>3.2900507791356981</v>
      </c>
      <c r="AO86" s="133" t="str">
        <f>BA86</f>
        <v>63.4</v>
      </c>
      <c r="AP86" s="140" t="s">
        <v>107</v>
      </c>
      <c r="AR86" s="60">
        <v>3.9</v>
      </c>
      <c r="AS86" s="60">
        <v>181</v>
      </c>
      <c r="AT86" s="60">
        <v>19</v>
      </c>
      <c r="AV86" s="118">
        <v>2.7437939324097451</v>
      </c>
      <c r="AW86" s="60">
        <v>3.2900507791356981</v>
      </c>
      <c r="AX86" s="60">
        <v>3.8162921078136764</v>
      </c>
      <c r="AY86" s="123"/>
      <c r="AZ86" s="118">
        <v>54.343799460086274</v>
      </c>
      <c r="BA86" s="60" t="s">
        <v>111</v>
      </c>
      <c r="BB86" s="60">
        <v>74.466066937649302</v>
      </c>
      <c r="BC86" s="123"/>
      <c r="BD86" s="118">
        <v>54.343799460086274</v>
      </c>
      <c r="BE86" s="60">
        <v>63.378303918990454</v>
      </c>
      <c r="BF86" s="60">
        <v>74.466066937649302</v>
      </c>
    </row>
    <row r="87" spans="1:59" s="292" customFormat="1" x14ac:dyDescent="0.3">
      <c r="A87" s="285" t="s">
        <v>110</v>
      </c>
      <c r="B87" s="285" t="s">
        <v>108</v>
      </c>
      <c r="C87" s="286">
        <f>(ACCIDENTES!C87/HH!F87)*1000000</f>
        <v>0</v>
      </c>
      <c r="D87" s="287">
        <f>(ACCIDENTES!D87/HH!F87)*1000000</f>
        <v>0</v>
      </c>
      <c r="E87" s="287">
        <f>(ACCIDENTES!F87/HH!F87)*1000000</f>
        <v>2.2324819651735046</v>
      </c>
      <c r="F87" s="287">
        <f>((ACCIDENTES!C87+ACCIDENTES!H87)/(HH!F87+HH!J87))*1000000</f>
        <v>0</v>
      </c>
      <c r="G87" s="287">
        <f>((ACCIDENTES!D87+ACCIDENTES!I87)/(HH!F87+HH!J87))*1000000</f>
        <v>0</v>
      </c>
      <c r="H87" s="287">
        <f>((ACCIDENTES!F87+ACCIDENTES!K87)/(HH!F87+HH!J87))*1000000</f>
        <v>1.1284079032982237</v>
      </c>
      <c r="I87" s="287">
        <f>((ACCIDENTES!C87+ACCIDENTES!H87+ACCIDENTES!M87)/(HH!F87+HH!J87+HH!N87))*1000000</f>
        <v>0</v>
      </c>
      <c r="J87" s="287">
        <f>((ACCIDENTES!D87+ACCIDENTES!I87+ACCIDENTES!N87)/(HH!F87+HH!J87+HH!N87))*1000000</f>
        <v>0</v>
      </c>
      <c r="K87" s="287">
        <f>((ACCIDENTES!F87+ACCIDENTES!K87+ACCIDENTES!P87)/(HH!J87+HH!N87+HH!F87))*1000000</f>
        <v>1.496396747710325</v>
      </c>
      <c r="L87" s="288">
        <f>((ACCIDENTES!C87+ACCIDENTES!H87+ACCIDENTES!M87+ACCIDENTES!R87)/(HH!F87+HH!J87+HH!N87+HH!R87))*1000000</f>
        <v>0</v>
      </c>
      <c r="M87" s="287">
        <f>((ACCIDENTES!D87+ACCIDENTES!I87+ACCIDENTES!N87+ACCIDENTES!S87)/(HH!F87+HH!J87+HH!N87+HH!R87))*1000000</f>
        <v>0</v>
      </c>
      <c r="N87" s="287">
        <f>((ACCIDENTES!F87+ACCIDENTES!K87+ACCIDENTES!P87+ACCIDENTES!U87)/(HH!F87+HH!J87+HH!N87+HH!R87))*1000000</f>
        <v>1.0685634113640254</v>
      </c>
      <c r="O87" s="287">
        <f>((ACCIDENTES!C87+ACCIDENTES!H87+ACCIDENTES!M87+ACCIDENTES!R87+ACCIDENTES!W87)/(HH!F87+HH!J87+HH!N87+HH!R87+HH!V87))*1000000</f>
        <v>0</v>
      </c>
      <c r="P87" s="287">
        <f>(((ACCIDENTES!D87+ACCIDENTES!I87+ACCIDENTES!N87+ACCIDENTES!S87+ACCIDENTES!X87)/(HH!F87+HH!J87+HH!N87+HH!R87+HH!V87))*1000000)</f>
        <v>0</v>
      </c>
      <c r="Q87" s="289">
        <f>((ACCIDENTES!F87+ACCIDENTES!K87+ACCIDENTES!P87+ACCIDENTES!U87+ACCIDENTES!Z87)/(HH!F87+HH!J87+HH!N87+HH!R87+HH!V87))*1000000</f>
        <v>1.2362750716155109</v>
      </c>
      <c r="R87" s="290">
        <f>(ACCIDENTES!C87+ACCIDENTES!H87+ACCIDENTES!M87+ACCIDENTES!R87+ACCIDENTES!W87+ACCIDENTES!AB87)*1000000/(HH!F87+HH!J87+HH!N87+HH!R87+HH!V87+HH!Z87)</f>
        <v>0.33690819468775524</v>
      </c>
      <c r="S87" s="290">
        <f>(ACCIDENTES!D87+ACCIDENTES!I87+ACCIDENTES!N87+ACCIDENTES!S87+ACCIDENTES!X87+ACCIDENTES!AC87)*1000000/(HH!F87+HH!J87+HH!N87+HH!R87+HH!V87+HH!Z87)</f>
        <v>50.199321008475536</v>
      </c>
      <c r="T87" s="291">
        <f>(ACCIDENTES!F87+ACCIDENTES!K87+ACCIDENTES!P87+ACCIDENTES!U87+ACCIDENTES!Z87+ACCIDENTES!AE87)*1000000/(HH!F87+HH!J87+HH!N87+HH!R87+HH!V87+HH!Z87)</f>
        <v>1.6845409734387764</v>
      </c>
      <c r="U87" s="287">
        <f>((ACCIDENTES!C87+ACCIDENTES!H87+ACCIDENTES!M87+ACCIDENTES!R87+ACCIDENTES!W87+ACCIDENTES!AB87+ACCIDENTES!AG87)/(HH!F87+HH!J87+HH!N87+HH!R87+HH!V87+HH!Z87+HH!AD87))*1000000</f>
        <v>0.56928236498482443</v>
      </c>
      <c r="V87" s="287">
        <f>((ACCIDENTES!D87+ACCIDENTES!I87+ACCIDENTES!N87+ACCIDENTES!S87+ACCIDENTES!X87+ACCIDENTES!AC87+ACCIDENTES!AH87)/(HH!F87+HH!J87+HH!N87+HH!R87+HH!V87+HH!Z87+HH!AD87))*1000000</f>
        <v>42.696177373861829</v>
      </c>
      <c r="W87" s="287">
        <f>((ACCIDENTES!F87+ACCIDENTES!K87+ACCIDENTES!P87+ACCIDENTES!U87+ACCIDENTES!Z87+ACCIDENTES!AE87+ACCIDENTES!AJ87)/(HH!F87+HH!J87+HH!N87+HH!R87+HH!V87+HH!Z87+HH!AD87))*1000000</f>
        <v>2.2771294599392977</v>
      </c>
      <c r="X87" s="287">
        <f>((ACCIDENTES!C87+ACCIDENTES!H87+ACCIDENTES!M87+ACCIDENTES!R87+ACCIDENTES!W87+ACCIDENTES!AB87+ACCIDENTES!AG87+ACCIDENTES!AL87)/(HH!F87+HH!J87+HH!N87+HH!R87+HH!V87+HH!Z87+HH!AD87+HH!AH87))*1000000</f>
        <v>0.49187508120185219</v>
      </c>
      <c r="Y87" s="287">
        <f>((ACCIDENTES!D87+ACCIDENTES!I87+ACCIDENTES!N87+ACCIDENTES!S87+ACCIDENTES!X87+ACCIDENTES!AC87+ACCIDENTES!AH87+ACCIDENTES!AM87)/(HH!F87+HH!J87+HH!N87+HH!R87+HH!V87+HH!Z87+HH!AD87+HH!AH87))*1000000</f>
        <v>36.890631090138918</v>
      </c>
      <c r="Z87" s="287">
        <f>((ACCIDENTES!F87+ACCIDENTES!K87+ACCIDENTES!P87+ACCIDENTES!U87+ACCIDENTES!Z87+ACCIDENTES!AE87+ACCIDENTES!AJ87+ACCIDENTES!AO87)/(HH!F87+HH!J87+HH!N87+HH!R87+HH!V87+HH!Z87+HH!AD87+HH!AH87))*1000000</f>
        <v>2.2134378654083351</v>
      </c>
      <c r="AA87" s="288">
        <f>((ACCIDENTES!AQ87+ACCIDENTES!AL87+ACCIDENTES!AG87+ACCIDENTES!AB87+ACCIDENTES!W87+ACCIDENTES!R87+ACCIDENTES!M87+ACCIDENTES!H87+ACCIDENTES!C87)/(HH!AL87+HH!AH87+HH!AD87+HH!Z87+HH!V87+HH!R87+HH!N87+HH!J87+HH!F87))*1000000</f>
        <v>0.86413183512599934</v>
      </c>
      <c r="AB87" s="288">
        <f>((ACCIDENTES!AR87+ACCIDENTES!AM87+ACCIDENTES!AH87+ACCIDENTES!AC87+ACCIDENTES!X87+ACCIDENTES!S87+ACCIDENTES!N87+ACCIDENTES!I87+ACCIDENTES!D87)/(HH!AL87+HH!AH87+HH!AD87+HH!Z87+HH!V87+HH!R87+HH!N87+HH!J87+HH!F87))*1000000</f>
        <v>37.805767786762466</v>
      </c>
      <c r="AC87" s="288">
        <f>((ACCIDENTES!F87+ACCIDENTES!K87+ACCIDENTES!P87+ACCIDENTES!U87+ACCIDENTES!Z87+ACCIDENTES!AE87+ACCIDENTES!AJ87+ACCIDENTES!AO87+ACCIDENTES!AT87)/(HH!F87+HH!J87+HH!N87+HH!R87+HH!V87+HH!Z87+HH!AD87+HH!AH87+HH!AL87))*1000000</f>
        <v>2.3763625465964981</v>
      </c>
      <c r="AD87" s="288">
        <f>((ACCIDENTES!AV87+ACCIDENTES!AQ87+ACCIDENTES!AL87+ACCIDENTES!AG87+ACCIDENTES!AB87+ACCIDENTES!W87+ACCIDENTES!R87+ACCIDENTES!M87+ACCIDENTES!H87+ACCIDENTES!C87)/(HH!F87+HH!J87+HH!N87+HH!R87+HH!V87+HH!Z87+HH!AD87+HH!AH87+HH!AL87+HH!AP87))*1000000</f>
        <v>0.95959837635915013</v>
      </c>
      <c r="AE87" s="288">
        <f>((ACCIDENTES!D87+ACCIDENTES!I87+ACCIDENTES!N87+ACCIDENTES!S87+ACCIDENTES!X87+ACCIDENTES!AC87+ACCIDENTES!AH87+ACCIDENTES!AM87+ACCIDENTES!AR87+ACCIDENTES!AW87)/(HH!AP87+HH!AL87+HH!AH87+HH!AD87+HH!Z87+HH!V87+HH!R87+HH!N87+HH!J87+HH!F87))*1000000</f>
        <v>33.969782523113913</v>
      </c>
      <c r="AF87" s="287">
        <f>((ACCIDENTES!AY87+ACCIDENTES!AT87+ACCIDENTES!AO87+ACCIDENTES!AJ87+ACCIDENTES!AE87+ACCIDENTES!Z87+ACCIDENTES!U87+ACCIDENTES!P87+ACCIDENTES!K87+ACCIDENTES!F87)/(HH!F87+HH!J87+HH!N87+HH!R87+HH!V87+HH!Z87+HH!AD87+HH!AH87+HH!AL87+HH!AP87))*1000000</f>
        <v>2.4949557785337904</v>
      </c>
      <c r="AG87" s="288">
        <f>((ACCIDENTES!BA87+ACCIDENTES!AV87+ACCIDENTES!AQ87+ACCIDENTES!AL87+ACCIDENTES!AG87+ACCIDENTES!AB87+ACCIDENTES!W87+ACCIDENTES!R87+ACCIDENTES!M87+ACCIDENTES!H87+ACCIDENTES!C87)/(HH!AT87+HH!AP87+HH!AL87+HH!AH87+HH!AD87+HH!Z87+HH!V87+HH!R87+HH!N87+HH!J87+HH!F87))*1000000</f>
        <v>1.0366849754662759</v>
      </c>
      <c r="AH87" s="287">
        <f>((ACCIDENTES!D87+ACCIDENTES!I87+ACCIDENTES!N87+ACCIDENTES!S87+ACCIDENTES!X87+ACCIDENTES!AC87+ACCIDENTES!AH87+ACCIDENTES!AM87+ACCIDENTES!AR87+ACCIDENTES!AW87+ACCIDENTES!BB87)/(HH!F87+HH!J87+HH!N87+HH!R87+HH!V87+HH!Z87+HH!AD87+HH!AH87+HH!AL87+HH!AP87+HH!AT87))*1000000</f>
        <v>33.865042531898347</v>
      </c>
      <c r="AI87" s="288">
        <f>((ACCIDENTES!BD87+ACCIDENTES!AY87+ACCIDENTES!AT87+ACCIDENTES!AO87+ACCIDENTES!AJ87+ACCIDENTES!AE87+ACCIDENTES!Z87+ACCIDENTES!U87+ACCIDENTES!P87+ACCIDENTES!K87+ACCIDENTES!F87)/(HH!F87+HH!J87+HH!N87+HH!R87+HH!V87+HH!Z87+HH!AD87+HH!AH87+HH!AL87+HH!AP87+HH!AT87))*1000000</f>
        <v>2.4189316094213109</v>
      </c>
      <c r="AJ87" s="287">
        <f>(ACCIDENTES!BK87/HH!BB87)*1000000</f>
        <v>1.0980557253346646</v>
      </c>
      <c r="AK87" s="287">
        <f>(ACCIDENTES!BL87/HH!BB87)*1000000</f>
        <v>33.255401967278409</v>
      </c>
      <c r="AL87" s="287">
        <f>(ACCIDENTES!BN87/HH!BB87)*1000000</f>
        <v>2.352976554288567</v>
      </c>
      <c r="AN87" s="286">
        <f t="shared" si="2"/>
        <v>1.3865605001661523</v>
      </c>
      <c r="AO87" s="286">
        <f t="shared" si="3"/>
        <v>11.699104220151911</v>
      </c>
      <c r="AP87" s="293" t="s">
        <v>107</v>
      </c>
      <c r="AR87" s="287">
        <v>1.9</v>
      </c>
      <c r="AS87" s="287">
        <v>21.7</v>
      </c>
      <c r="AT87" s="287">
        <v>2.95</v>
      </c>
      <c r="AV87" s="287">
        <v>1.0399203751246142</v>
      </c>
      <c r="AW87" s="287">
        <v>1.3865605001661523</v>
      </c>
      <c r="AX87" s="287">
        <v>1.90652068772846</v>
      </c>
      <c r="AY87" s="294"/>
      <c r="AZ87" s="287">
        <v>8.232702969736529</v>
      </c>
      <c r="BA87" s="287">
        <v>11.699104220151911</v>
      </c>
      <c r="BB87" s="287">
        <v>15.165505470567291</v>
      </c>
      <c r="BC87" s="294"/>
      <c r="BD87" s="287">
        <v>8.232702969736529</v>
      </c>
      <c r="BE87" s="287">
        <v>11.699104220151911</v>
      </c>
      <c r="BF87" s="287">
        <v>15.165505470567291</v>
      </c>
    </row>
    <row r="88" spans="1:59" x14ac:dyDescent="0.3">
      <c r="A88" s="17" t="s">
        <v>110</v>
      </c>
      <c r="B88" s="17" t="s">
        <v>112</v>
      </c>
      <c r="C88" s="62">
        <f>(ACCIDENTES!C88/HH!F88)*1000000</f>
        <v>2.1880680999728321</v>
      </c>
      <c r="D88" s="60">
        <f>(ACCIDENTES!D88/HH!F88)*1000000</f>
        <v>209.50752057239868</v>
      </c>
      <c r="E88" s="60">
        <f>(ACCIDENTES!F88/HH!F88)*1000000</f>
        <v>8.7522723998913285</v>
      </c>
      <c r="F88" s="60">
        <f>((ACCIDENTES!C88+ACCIDENTES!H88)/(HH!F88+HH!J88))*1000000</f>
        <v>2.4824629713340647</v>
      </c>
      <c r="G88" s="60">
        <f>((ACCIDENTES!D88+ACCIDENTES!I88)/(HH!F88+HH!J88))*1000000</f>
        <v>126.32978231900016</v>
      </c>
      <c r="H88" s="60">
        <f>((ACCIDENTES!F88+ACCIDENTES!K88)/(HH!F88+HH!J88))*1000000</f>
        <v>9.9298518853362587</v>
      </c>
      <c r="I88" s="59">
        <f>((ACCIDENTES!C88+ACCIDENTES!H88+ACCIDENTES!M88)/(HH!F88+HH!J88+HH!N88))*1000000</f>
        <v>2.381354677241883</v>
      </c>
      <c r="J88" s="60">
        <f>((ACCIDENTES!D88+ACCIDENTES!I88+ACCIDENTES!N88)/(HH!F88+HH!J88+HH!N88))*1000000</f>
        <v>122.54817531344767</v>
      </c>
      <c r="K88" s="60">
        <f>((ACCIDENTES!F88+ACCIDENTES!K88+ACCIDENTES!P88)/(HH!J88+HH!N88+HH!F88))*1000000</f>
        <v>9.7085998379861387</v>
      </c>
      <c r="L88" s="59">
        <f>((ACCIDENTES!C88+ACCIDENTES!H88+ACCIDENTES!M88+ACCIDENTES!R88)/(HH!F88+HH!J88+HH!N88+HH!R88))*1000000</f>
        <v>2.4234663818920041</v>
      </c>
      <c r="M88" s="60">
        <f>((ACCIDENTES!D88+ACCIDENTES!I88+ACCIDENTES!N88+ACCIDENTES!S88)/(HH!F88+HH!J88+HH!N88+HH!R88))*1000000</f>
        <v>111.88336463068084</v>
      </c>
      <c r="N88" s="60">
        <f>((ACCIDENTES!F88+ACCIDENTES!K88+ACCIDENTES!P88+ACCIDENTES!U88)/(HH!F88+HH!J88+HH!N88+HH!R88))*1000000</f>
        <v>10.636324676081573</v>
      </c>
      <c r="O88" s="60">
        <f>((ACCIDENTES!C88+ACCIDENTES!H88+ACCIDENTES!M88+ACCIDENTES!R88+ACCIDENTES!W88)/(HH!F88+HH!J88+HH!N88+HH!R88+HH!V88))*1000000</f>
        <v>2.339941669317164</v>
      </c>
      <c r="P88" s="60">
        <f>(((ACCIDENTES!D88+ACCIDENTES!I88+ACCIDENTES!N88+ACCIDENTES!S88+ACCIDENTES!X88)/(HH!F88+HH!J88+HH!N88+HH!R88+HH!V88))*1000000)</f>
        <v>92.108612983121077</v>
      </c>
      <c r="Q88" s="149">
        <f>((ACCIDENTES!F88+ACCIDENTES!K88+ACCIDENTES!P88+ACCIDENTES!U88+ACCIDENTES!Z88)/(HH!F88+HH!J88+HH!N88+HH!R88+HH!V88))*1000000</f>
        <v>10.423376526958275</v>
      </c>
      <c r="R88" s="150">
        <f>(ACCIDENTES!C88+ACCIDENTES!H88+ACCIDENTES!M88+ACCIDENTES!R88+ACCIDENTES!W88+ACCIDENTES!AB88)*1000000/(HH!F88+HH!J88+HH!N88+HH!R88+HH!V88+HH!Z88)</f>
        <v>2.3771836002216742</v>
      </c>
      <c r="S88" s="150">
        <f>(ACCIDENTES!D88+ACCIDENTES!I88+ACCIDENTES!N88+ACCIDENTES!S88+ACCIDENTES!X88+ACCIDENTES!AC88)*1000000/(HH!F88+HH!J88+HH!N88+HH!R88+HH!V88+HH!Z88)</f>
        <v>99.401492024084092</v>
      </c>
      <c r="T88" s="212">
        <f>(ACCIDENTES!F88+ACCIDENTES!K88+ACCIDENTES!P88+ACCIDENTES!U88+ACCIDENTES!Z88+ACCIDENTES!AE88)*1000000/(HH!F88+HH!J88+HH!N88+HH!R88+HH!V88+HH!Z88)</f>
        <v>10.389172771339169</v>
      </c>
      <c r="U88" s="60">
        <f>((ACCIDENTES!C88+ACCIDENTES!H88+ACCIDENTES!M88+ACCIDENTES!R88+ACCIDENTES!W88+ACCIDENTES!AB88+ACCIDENTES!AG88)/(HH!F88+HH!J88+HH!N88+HH!R88+HH!V88+HH!Z88+HH!AD88))*1000000</f>
        <v>2.4691210234604952</v>
      </c>
      <c r="V88" s="60">
        <f>((ACCIDENTES!D88+ACCIDENTES!I88+ACCIDENTES!N88+ACCIDENTES!S88+ACCIDENTES!X88+ACCIDENTES!AC88+ACCIDENTES!AH88)/(HH!F88+HH!J88+HH!N88+HH!R88+HH!V88+HH!Z88+HH!AD88))*1000000</f>
        <v>99.587881279573324</v>
      </c>
      <c r="W88" s="60">
        <f>((ACCIDENTES!F88+ACCIDENTES!K88+ACCIDENTES!P88+ACCIDENTES!U88+ACCIDENTES!Z88+ACCIDENTES!AE88+ACCIDENTES!AJ88)/(HH!F88+HH!J88+HH!N88+HH!R88+HH!V88+HH!Z88+HH!AD88))*1000000</f>
        <v>10.624702585799708</v>
      </c>
      <c r="X88" s="60">
        <f>((ACCIDENTES!C88+ACCIDENTES!H88+ACCIDENTES!M88+ACCIDENTES!R88+ACCIDENTES!W88+ACCIDENTES!AB88+ACCIDENTES!AG88+ACCIDENTES!AL88)/(HH!F88+HH!J88+HH!N88+HH!R88+HH!V88+HH!Z88+HH!AD88+HH!AH88))*1000000</f>
        <v>2.5327736127313814</v>
      </c>
      <c r="Y88" s="60">
        <f>((ACCIDENTES!D88+ACCIDENTES!I88+ACCIDENTES!N88+ACCIDENTES!S88+ACCIDENTES!X88+ACCIDENTES!AC88+ACCIDENTES!AH88+ACCIDENTES!AM88)/(HH!F88+HH!J88+HH!N88+HH!R88+HH!V88+HH!Z88+HH!AD88+HH!AH88))*1000000</f>
        <v>104.23337560086837</v>
      </c>
      <c r="Z88" s="60">
        <f>((ACCIDENTES!F88+ACCIDENTES!K88+ACCIDENTES!P88+ACCIDENTES!U88+ACCIDENTES!Z88+ACCIDENTES!AE88+ACCIDENTES!AJ88+ACCIDENTES!AO88)/(HH!F88+HH!J88+HH!N88+HH!R88+HH!V88+HH!Z88+HH!AD88+HH!AH88))*1000000</f>
        <v>11.040295234982946</v>
      </c>
      <c r="AA88" s="59">
        <f>((ACCIDENTES!AQ88+ACCIDENTES!AL88+ACCIDENTES!AG88+ACCIDENTES!AB88+ACCIDENTES!W88+ACCIDENTES!R88+ACCIDENTES!M88+ACCIDENTES!H88+ACCIDENTES!C88)/(HH!AL88+HH!AH88+HH!AD88+HH!Z88+HH!V88+HH!R88+HH!N88+HH!J88+HH!F88))*1000000</f>
        <v>2.9813248840904594</v>
      </c>
      <c r="AB88" s="59">
        <f>((ACCIDENTES!AR88+ACCIDENTES!AM88+ACCIDENTES!AH88+ACCIDENTES!AC88+ACCIDENTES!X88+ACCIDENTES!S88+ACCIDENTES!N88+ACCIDENTES!I88+ACCIDENTES!D88)/(HH!AL88+HH!AH88+HH!AD88+HH!Z88+HH!V88+HH!R88+HH!N88+HH!J88+HH!F88))*1000000</f>
        <v>101.82371142585876</v>
      </c>
      <c r="AC88" s="59">
        <f>((ACCIDENTES!F88+ACCIDENTES!K88+ACCIDENTES!P88+ACCIDENTES!U88+ACCIDENTES!Z88+ACCIDENTES!AE88+ACCIDENTES!AJ88+ACCIDENTES!AO88+ACCIDENTES!AT88)/(HH!F88+HH!J88+HH!N88+HH!R88+HH!V88+HH!Z88+HH!AD88+HH!AH88+HH!AL88))*1000000</f>
        <v>11.581300511274479</v>
      </c>
      <c r="AD88" s="59">
        <f>((ACCIDENTES!AV88+ACCIDENTES!AQ88+ACCIDENTES!AL88+ACCIDENTES!AG88+ACCIDENTES!AB88+ACCIDENTES!W88+ACCIDENTES!R88+ACCIDENTES!M88+ACCIDENTES!H88+ACCIDENTES!C88)/(HH!F88+HH!J88+HH!N88+HH!R88+HH!V88+HH!Z88+HH!AD88+HH!AH88+HH!AL88+HH!AP88))*1000000</f>
        <v>3.0216059988675927</v>
      </c>
      <c r="AE88" s="59">
        <f>((ACCIDENTES!D88+ACCIDENTES!I88+ACCIDENTES!N88+ACCIDENTES!S88+ACCIDENTES!X88+ACCIDENTES!AC88+ACCIDENTES!AH88+ACCIDENTES!AM88+ACCIDENTES!AR88+ACCIDENTES!AW88)/(HH!AP88+HH!AL88+HH!AH88+HH!AD88+HH!Z88+HH!V88+HH!R88+HH!N88+HH!J88+HH!F88))*1000000</f>
        <v>93.618572303897622</v>
      </c>
      <c r="AF88" s="60">
        <f>((ACCIDENTES!AY88+ACCIDENTES!AT88+ACCIDENTES!AO88+ACCIDENTES!AJ88+ACCIDENTES!AE88+ACCIDENTES!Z88+ACCIDENTES!U88+ACCIDENTES!P88+ACCIDENTES!K88+ACCIDENTES!F88)/(HH!F88+HH!J88+HH!N88+HH!R88+HH!V88+HH!Z88+HH!AD88+HH!AH88+HH!AL88+HH!AP88))*1000000</f>
        <v>11.523073724495056</v>
      </c>
      <c r="AG88" s="59">
        <f>((ACCIDENTES!BA88+ACCIDENTES!AV88+ACCIDENTES!AQ88+ACCIDENTES!AL88+ACCIDENTES!AG88+ACCIDENTES!AB88+ACCIDENTES!W88+ACCIDENTES!R88+ACCIDENTES!M88+ACCIDENTES!H88+ACCIDENTES!C88)/(HH!AT88+HH!AP88+HH!AL88+HH!AH88+HH!AD88+HH!Z88+HH!V88+HH!R88+HH!N88+HH!J88+HH!F88))*1000000</f>
        <v>3.0124571992594431</v>
      </c>
      <c r="AH88" s="60">
        <f>((ACCIDENTES!D88+ACCIDENTES!I88+ACCIDENTES!N88+ACCIDENTES!S88+ACCIDENTES!X88+ACCIDENTES!AC88+ACCIDENTES!AH88+ACCIDENTES!AM88+ACCIDENTES!AR88+ACCIDENTES!AW88+ACCIDENTES!BB88)/(HH!F88+HH!J88+HH!N88+HH!R88+HH!V88+HH!Z88+HH!AD88+HH!AH88+HH!AL88+HH!AP88+HH!AT88))*1000000</f>
        <v>87.036840310911288</v>
      </c>
      <c r="AI88" s="59">
        <f>((ACCIDENTES!BD88+ACCIDENTES!AY88+ACCIDENTES!AT88+ACCIDENTES!AO88+ACCIDENTES!AJ88+ACCIDENTES!AE88+ACCIDENTES!Z88+ACCIDENTES!U88+ACCIDENTES!P88+ACCIDENTES!K88+ACCIDENTES!F88)/(HH!F88+HH!J88+HH!N88+HH!R88+HH!V88+HH!Z88+HH!AD88+HH!AH88+HH!AL88+HH!AP88+HH!AT88))*1000000</f>
        <v>11.447337357185884</v>
      </c>
      <c r="AJ88" s="59">
        <f>(ACCIDENTES!BK88/HH!BB88)*1000000</f>
        <v>2.9228015919499453</v>
      </c>
      <c r="AK88" s="59">
        <f>(ACCIDENTES!BL88/HH!BB88)*1000000</f>
        <v>80.694739603835444</v>
      </c>
      <c r="AL88" s="59">
        <f>(ACCIDENTES!BN88/HH!BB88)*1000000</f>
        <v>11.140533604099065</v>
      </c>
      <c r="AN88" s="133">
        <f t="shared" si="2"/>
        <v>2.3095097630554746</v>
      </c>
      <c r="AO88" s="133">
        <f t="shared" si="3"/>
        <v>41.361613109164693</v>
      </c>
      <c r="AP88" s="140" t="s">
        <v>107</v>
      </c>
      <c r="AR88" s="60">
        <v>3.4</v>
      </c>
      <c r="AS88" s="60">
        <v>137</v>
      </c>
      <c r="AT88" s="60">
        <v>14.1</v>
      </c>
      <c r="AV88" s="118">
        <v>1.8104482520490999</v>
      </c>
      <c r="AW88" s="60">
        <v>2.3095097630554746</v>
      </c>
      <c r="AX88" s="60">
        <v>2.8241264380412696</v>
      </c>
      <c r="AY88" s="123"/>
      <c r="AZ88" s="118">
        <v>32.671029411440706</v>
      </c>
      <c r="BA88" s="60">
        <v>41.361613109164693</v>
      </c>
      <c r="BB88" s="60">
        <v>50.917236759299755</v>
      </c>
      <c r="BC88" s="123"/>
      <c r="BD88" s="118">
        <v>32.671029411440706</v>
      </c>
      <c r="BE88" s="60">
        <v>41.361613109164693</v>
      </c>
      <c r="BF88" s="60">
        <v>50.917236759299755</v>
      </c>
      <c r="BG88" s="36" t="s">
        <v>109</v>
      </c>
    </row>
    <row r="89" spans="1:59" s="36" customFormat="1" x14ac:dyDescent="0.3"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23"/>
      <c r="R89" s="123"/>
      <c r="S89" s="123"/>
      <c r="T89" s="123"/>
      <c r="U89" s="211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N89" s="132"/>
      <c r="AO89" s="132"/>
      <c r="AP89" s="141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</row>
    <row r="90" spans="1:59" s="145" customFormat="1" x14ac:dyDescent="0.3">
      <c r="A90" s="144" t="s">
        <v>113</v>
      </c>
      <c r="B90" s="144" t="s">
        <v>106</v>
      </c>
      <c r="C90" s="160">
        <f>(ACCIDENTES!C90/HH!F90)*1000000</f>
        <v>3.8507103225632231</v>
      </c>
      <c r="D90" s="161">
        <f>(ACCIDENTES!D90/HH!F90)*1000000</f>
        <v>376.40693403055502</v>
      </c>
      <c r="E90" s="161">
        <f>(ACCIDENTES!F90/HH!F90)*1000000</f>
        <v>17.328196451534506</v>
      </c>
      <c r="F90" s="161">
        <f>((ACCIDENTES!C90+ACCIDENTES!H90)/(HH!F90+HH!J90))*1000000</f>
        <v>3.8294577540156247</v>
      </c>
      <c r="G90" s="161">
        <f>((ACCIDENTES!D90+ACCIDENTES!I90)/(HH!F90+HH!J90))*1000000</f>
        <v>220.19382085589839</v>
      </c>
      <c r="H90" s="161">
        <f>((ACCIDENTES!F90+ACCIDENTES!K90)/(HH!F90+HH!J90))*1000000</f>
        <v>16.275195454566404</v>
      </c>
      <c r="I90" s="306">
        <f>((ACCIDENTES!C90+ACCIDENTES!H90+ACCIDENTES!M90)/(HH!F90+HH!J90+HH!N90))*1000000</f>
        <v>3.7735675171878396</v>
      </c>
      <c r="J90" s="306">
        <f>((ACCIDENTES!D90+ACCIDENTES!I90+ACCIDENTES!N90)/(HH!F90+HH!J90+HH!N90))*1000000</f>
        <v>211.00531700275337</v>
      </c>
      <c r="K90" s="306">
        <f>((ACCIDENTES!F90+ACCIDENTES!K90+ACCIDENTES!P90)/(HH!J90+HH!N90+HH!F90))*1000000</f>
        <v>16.352125907813971</v>
      </c>
      <c r="L90" s="161">
        <f>((ACCIDENTES!C90+ACCIDENTES!H90+ACCIDENTES!M90+ACCIDENTES!R90)/(HH!F90+HH!J90+HH!N90+HH!R90))*1000000</f>
        <v>3.9044268814578769</v>
      </c>
      <c r="M90" s="161">
        <f>((ACCIDENTES!D90+ACCIDENTES!I90+ACCIDENTES!N90+ACCIDENTES!S90)/(HH!F90+HH!J90+HH!N90+HH!R90))*1000000</f>
        <v>190.16855634394838</v>
      </c>
      <c r="N90" s="161">
        <f>((ACCIDENTES!F90+ACCIDENTES!K90+ACCIDENTES!P90+ACCIDENTES!U90)/(HH!F90+HH!J90+HH!N90+HH!R90))*1000000</f>
        <v>18.603445729299295</v>
      </c>
      <c r="O90" s="161">
        <f>((ACCIDENTES!C90+ACCIDENTES!H90+ACCIDENTES!M90+ACCIDENTES!R90+ACCIDENTES!W90)/(HH!F90+HH!J90+HH!N90+HH!R90+HH!V90))*1000000</f>
        <v>3.8231499088058833</v>
      </c>
      <c r="P90" s="161">
        <f>(((ACCIDENTES!D90+ACCIDENTES!I90+ACCIDENTES!N90+ACCIDENTES!S90+ACCIDENTES!X90)/(HH!F90+HH!J90+HH!N90+HH!R90+HH!V90))*1000000)</f>
        <v>157.11325577616557</v>
      </c>
      <c r="Q90" s="162">
        <f>((ACCIDENTES!F90+ACCIDENTES!K90+ACCIDENTES!P90+ACCIDENTES!U90+ACCIDENTES!Z90)/(HH!F90+HH!J90+HH!N90+HH!R90+HH!V90))*1000000</f>
        <v>18.387530513780678</v>
      </c>
      <c r="R90" s="307">
        <f>(ACCIDENTES!C90+ACCIDENTES!H90+ACCIDENTES!M90+ACCIDENTES!R90+ACCIDENTES!W90+ACCIDENTES!AB90)*1000000/(HH!F90+HH!J90+HH!N90+HH!R90+HH!V90+HH!Z90)</f>
        <v>3.4850498784884301</v>
      </c>
      <c r="S90" s="307">
        <f>(ACCIDENTES!D90+ACCIDENTES!I90+ACCIDENTES!N90+ACCIDENTES!S90+ACCIDENTES!X90+ACCIDENTES!AC90)*1000000/(HH!F90+HH!J90+HH!N90+HH!R90+HH!V90+HH!Z90)</f>
        <v>145.00837972667077</v>
      </c>
      <c r="T90" s="308">
        <f>(ACCIDENTES!F90+ACCIDENTES!K90+ACCIDENTES!P90+ACCIDENTES!U90+ACCIDENTES!Z90+ACCIDENTES!AE90)*1000000/(HH!F90+HH!J90+HH!N90+HH!R90+HH!V90+HH!Z90)</f>
        <v>17.728297207962882</v>
      </c>
      <c r="U90" s="161">
        <f>((ACCIDENTES!C90+ACCIDENTES!H90+ACCIDENTES!M90+ACCIDENTES!R90+ACCIDENTES!W90+ACCIDENTES!AB90+ACCIDENTES!AG90)/(HH!F90+HH!J90+HH!N90+HH!R90+HH!V90+HH!Z90+HH!AD90))*1000000</f>
        <v>3.6152530220947972</v>
      </c>
      <c r="V90" s="161">
        <f>((ACCIDENTES!D90+ACCIDENTES!I90+ACCIDENTES!N90+ACCIDENTES!S90+ACCIDENTES!X90+ACCIDENTES!AC90+ACCIDENTES!AH90)/(HH!F90+HH!J90+HH!N90+HH!R90+HH!V90+HH!Z90+HH!AD90))*1000000</f>
        <v>153.13178872158676</v>
      </c>
      <c r="W90" s="161">
        <f>((ACCIDENTES!F90+ACCIDENTES!K90+ACCIDENTES!P90+ACCIDENTES!U90+ACCIDENTES!Z90+ACCIDENTES!AE90+ACCIDENTES!AJ90)/(HH!F90+HH!J90+HH!N90+HH!R90+HH!V90+HH!Z90+HH!AD90))*1000000</f>
        <v>17.947148931113457</v>
      </c>
      <c r="X90" s="161">
        <f>((ACCIDENTES!C90+ACCIDENTES!H90+ACCIDENTES!M90+ACCIDENTES!R90+ACCIDENTES!W90+ACCIDENTES!AB90+ACCIDENTES!AG90+ACCIDENTES!AL90)/(HH!F90+HH!J90+HH!N90+HH!R90+HH!V90+HH!Z90+HH!AD90+HH!AH90))*1000000</f>
        <v>3.4730158862274383</v>
      </c>
      <c r="Y90" s="161">
        <f>((ACCIDENTES!D90+ACCIDENTES!I90+ACCIDENTES!N90+ACCIDENTES!S90+ACCIDENTES!X90+ACCIDENTES!AC90+ACCIDENTES!AH90+ACCIDENTES!AM90)/(HH!F90+HH!J90+HH!N90+HH!R90+HH!V90+HH!Z90+HH!AD90+HH!AH90))*1000000</f>
        <v>160.31889461907951</v>
      </c>
      <c r="Z90" s="161">
        <f>((ACCIDENTES!F90+ACCIDENTES!K90+ACCIDENTES!P90+ACCIDENTES!U90+ACCIDENTES!Z90+ACCIDENTES!AE90+ACCIDENTES!AJ90+ACCIDENTES!AO90)/(HH!F90+HH!J90+HH!N90+HH!R90+HH!V90+HH!Z90+HH!AD90+HH!AH90))*1000000</f>
        <v>18.373374365848385</v>
      </c>
      <c r="AA90" s="306">
        <f>((ACCIDENTES!AQ90+ACCIDENTES!AL90+ACCIDENTES!AG90+ACCIDENTES!AB90+ACCIDENTES!W90+ACCIDENTES!R90+ACCIDENTES!M90+ACCIDENTES!H90+ACCIDENTES!C90)/(HH!AL90+HH!AH90+HH!AD90+HH!Z90+HH!V90+HH!R90+HH!N90+HH!J90+HH!F90))*1000000</f>
        <v>3.9681391914025115</v>
      </c>
      <c r="AB90" s="306">
        <f>((ACCIDENTES!AR90+ACCIDENTES!AM90+ACCIDENTES!AH90+ACCIDENTES!AC90+ACCIDENTES!X90+ACCIDENTES!S90+ACCIDENTES!N90+ACCIDENTES!I90+ACCIDENTES!D90)/(HH!AL90+HH!AH90+HH!AD90+HH!Z90+HH!V90+HH!R90+HH!N90+HH!J90+HH!F90))*1000000</f>
        <v>153.86459714663238</v>
      </c>
      <c r="AC90" s="306">
        <f>((ACCIDENTES!F90+ACCIDENTES!K90+ACCIDENTES!P90+ACCIDENTES!U90+ACCIDENTES!Z90+ACCIDENTES!AE90+ACCIDENTES!AJ90+ACCIDENTES!AO90+ACCIDENTES!AT90)/(HH!F90+HH!J90+HH!N90+HH!R90+HH!V90+HH!Z90+HH!AD90+HH!AH90+HH!AL90))*1000000</f>
        <v>19.146271598517124</v>
      </c>
      <c r="AD90" s="161">
        <f>((ACCIDENTES!AV90+ACCIDENTES!AQ90+ACCIDENTES!AL90+ACCIDENTES!AG90+ACCIDENTES!AB90+ACCIDENTES!W90+ACCIDENTES!R90+ACCIDENTES!M90+ACCIDENTES!H90+ACCIDENTES!C90)/(HH!F90+HH!J90+HH!N90+HH!R90+HH!V90+HH!Z90+HH!AD90+HH!AH90+HH!AL90+HH!AP90))*1000000</f>
        <v>4.1003853123163942</v>
      </c>
      <c r="AE90" s="161">
        <f>((ACCIDENTES!D90+ACCIDENTES!I90+ACCIDENTES!N90+ACCIDENTES!S90+ACCIDENTES!X90+ACCIDENTES!AC90+ACCIDENTES!AH90+ACCIDENTES!AM90+ACCIDENTES!AR90+ACCIDENTES!AW90)/(HH!AP90+HH!AL90+HH!AH90+HH!AD90+HH!Z90+HH!V90+HH!R90+HH!N90+HH!J90+HH!F90))*1000000</f>
        <v>142.97865306424987</v>
      </c>
      <c r="AF90" s="161">
        <f>((ACCIDENTES!AY90+ACCIDENTES!AT90+ACCIDENTES!AO90+ACCIDENTES!AJ90+ACCIDENTES!AE90+ACCIDENTES!Z90+ACCIDENTES!U90+ACCIDENTES!P90+ACCIDENTES!K90+ACCIDENTES!F90)/(HH!F90+HH!J90+HH!N90+HH!R90+HH!V90+HH!Z90+HH!AD90+HH!AH90+HH!AL90+HH!AP90))*1000000</f>
        <v>19.16484439452228</v>
      </c>
      <c r="AG90" s="161">
        <f>((ACCIDENTES!BA90+ACCIDENTES!AV90+ACCIDENTES!AQ90+ACCIDENTES!AL90+ACCIDENTES!AG90+ACCIDENTES!AB90+ACCIDENTES!W90+ACCIDENTES!R90+ACCIDENTES!M90+ACCIDENTES!H90+ACCIDENTES!C90)/(HH!AT90+HH!AP90+HH!AL90+HH!AH90+HH!AD90+HH!Z90+HH!V90+HH!R90+HH!N90+HH!J90+HH!F90))*1000000</f>
        <v>4.1813782436342279</v>
      </c>
      <c r="AH90" s="161">
        <f>((ACCIDENTES!D90+ACCIDENTES!I90+ACCIDENTES!N90+ACCIDENTES!S90+ACCIDENTES!X90+ACCIDENTES!AC90+ACCIDENTES!AH90+ACCIDENTES!AM90+ACCIDENTES!AR90+ACCIDENTES!AW90+ACCIDENTES!BB90)/(HH!F90+HH!J90+HH!N90+HH!R90+HH!V90+HH!Z90+HH!AD90+HH!AH90+HH!AL90+HH!AP90+HH!AT90))*1000000</f>
        <v>134.05006722239145</v>
      </c>
      <c r="AI90" s="161">
        <f>((ACCIDENTES!BD90+ACCIDENTES!AY90+ACCIDENTES!AT90+ACCIDENTES!AO90+ACCIDENTES!AJ90+ACCIDENTES!AE90+ACCIDENTES!Z90+ACCIDENTES!U90+ACCIDENTES!P90+ACCIDENTES!K90+ACCIDENTES!F90)/(HH!F90+HH!J90+HH!N90+HH!R90+HH!V90+HH!Z90+HH!AD90+HH!AH90+HH!AL90+HH!AP90+HH!AT90))*1000000</f>
        <v>19.349122852895647</v>
      </c>
      <c r="AJ90" s="161">
        <f>(ACCIDENTES!BK90/HH!BB90)*1000000</f>
        <v>4.1085034269095413</v>
      </c>
      <c r="AK90" s="161">
        <f>(ACCIDENTES!BL90/HH!BB90)*1000000</f>
        <v>125.99410509189259</v>
      </c>
      <c r="AL90" s="161">
        <f>(ACCIDENTES!BN90/HH!BB90)*1000000</f>
        <v>19.020849198655284</v>
      </c>
      <c r="AN90" s="160">
        <f t="shared" si="2"/>
        <v>3.1803908472992988</v>
      </c>
      <c r="AO90" s="160">
        <f t="shared" si="3"/>
        <v>63.814244954776562</v>
      </c>
      <c r="AP90" s="164" t="s">
        <v>107</v>
      </c>
      <c r="AR90" s="161">
        <v>3.7</v>
      </c>
      <c r="AS90" s="161">
        <v>156</v>
      </c>
      <c r="AT90" s="161">
        <v>16.5</v>
      </c>
      <c r="AV90" s="161">
        <v>2.6520750959877537</v>
      </c>
      <c r="AW90" s="161">
        <v>3.1803908472992988</v>
      </c>
      <c r="AX90" s="161">
        <v>3.6576244133846942</v>
      </c>
      <c r="AY90" s="165"/>
      <c r="AZ90" s="161">
        <v>56.023861829807799</v>
      </c>
      <c r="BA90" s="161">
        <v>63.814244954776562</v>
      </c>
      <c r="BB90" s="161">
        <v>73.327427258194405</v>
      </c>
      <c r="BC90" s="165"/>
      <c r="BD90" s="161">
        <v>56.023861829807799</v>
      </c>
      <c r="BE90" s="161">
        <v>63.814244954776562</v>
      </c>
      <c r="BF90" s="161">
        <v>73.327427258194405</v>
      </c>
    </row>
    <row r="91" spans="1:59" s="145" customFormat="1" x14ac:dyDescent="0.3">
      <c r="A91" s="144" t="s">
        <v>113</v>
      </c>
      <c r="B91" s="144" t="s">
        <v>108</v>
      </c>
      <c r="C91" s="160">
        <f>(ACCIDENTES!C91/HH!F91)*1000000</f>
        <v>0</v>
      </c>
      <c r="D91" s="161">
        <f>(ACCIDENTES!D91/HH!F91)*1000000</f>
        <v>0</v>
      </c>
      <c r="E91" s="161">
        <f>(ACCIDENTES!F91/HH!F91)*1000000</f>
        <v>1.8253506338849512</v>
      </c>
      <c r="F91" s="161">
        <f>((ACCIDENTES!C91+ACCIDENTES!H91)/(HH!F91+HH!J91))*1000000</f>
        <v>0</v>
      </c>
      <c r="G91" s="161">
        <f>((ACCIDENTES!D91+ACCIDENTES!I91)/(HH!F91+HH!J91))*1000000</f>
        <v>0</v>
      </c>
      <c r="H91" s="161">
        <f>((ACCIDENTES!F91+ACCIDENTES!K91)/(HH!F91+HH!J91))*1000000</f>
        <v>0.95355031686523462</v>
      </c>
      <c r="I91" s="306">
        <f>((ACCIDENTES!C91+ACCIDENTES!H91+ACCIDENTES!M91)/(HH!F91+HH!J91+HH!N91))*1000000</f>
        <v>0</v>
      </c>
      <c r="J91" s="306">
        <f>((ACCIDENTES!D91+ACCIDENTES!I91+ACCIDENTES!N91)/(HH!F91+HH!J91+HH!N91))*1000000</f>
        <v>0</v>
      </c>
      <c r="K91" s="306">
        <f>((ACCIDENTES!F91+ACCIDENTES!K91+ACCIDENTES!P91)/(HH!J91+HH!N91+HH!F91))*1000000</f>
        <v>1.2497879760735606</v>
      </c>
      <c r="L91" s="163">
        <f>((ACCIDENTES!C91+ACCIDENTES!H91+ACCIDENTES!M91+ACCIDENTES!R91)/(HH!F91+HH!J91+HH!N91+HH!R91))*1000000</f>
        <v>0</v>
      </c>
      <c r="M91" s="163">
        <f>((ACCIDENTES!D91+ACCIDENTES!I91+ACCIDENTES!N91+ACCIDENTES!S91)/(HH!F91+HH!J91+HH!N91+HH!R91))*1000000</f>
        <v>0</v>
      </c>
      <c r="N91" s="161">
        <f>((ACCIDENTES!F91+ACCIDENTES!K91+ACCIDENTES!P91+ACCIDENTES!U91)/(HH!F91+HH!J91+HH!N91+HH!R91))*1000000</f>
        <v>0.89299775146588145</v>
      </c>
      <c r="O91" s="161">
        <f>((ACCIDENTES!C91+ACCIDENTES!H91+ACCIDENTES!M91+ACCIDENTES!R91+ACCIDENTES!W91)/(HH!F91+HH!J91+HH!N91+HH!R91+HH!V91))*1000000</f>
        <v>0</v>
      </c>
      <c r="P91" s="161">
        <f>(((ACCIDENTES!D91+ACCIDENTES!I91+ACCIDENTES!N91+ACCIDENTES!S91+ACCIDENTES!X91)/(HH!F91+HH!J91+HH!N91+HH!R91+HH!V91))*1000000)</f>
        <v>0</v>
      </c>
      <c r="Q91" s="162">
        <f>((ACCIDENTES!F91+ACCIDENTES!K91+ACCIDENTES!P91+ACCIDENTES!U91+ACCIDENTES!Z91)/(HH!F91+HH!J91+HH!N91+HH!R91+HH!V91))*1000000</f>
        <v>1.0315081322238593</v>
      </c>
      <c r="R91" s="307">
        <f>(ACCIDENTES!C91+ACCIDENTES!H91+ACCIDENTES!M91+ACCIDENTES!R91+ACCIDENTES!W91+ACCIDENTES!AB91)*1000000/(HH!F91+HH!J91+HH!N91+HH!R91+HH!V91+HH!Z91)</f>
        <v>0.55836636615571289</v>
      </c>
      <c r="S91" s="307">
        <f>(ACCIDENTES!D91+ACCIDENTES!I91+ACCIDENTES!N91+ACCIDENTES!S91+ACCIDENTES!X91+ACCIDENTES!AC91)*1000000/(HH!F91+HH!J91+HH!N91+HH!R91+HH!V91+HH!Z91)</f>
        <v>41.877477461678467</v>
      </c>
      <c r="T91" s="308">
        <f>(ACCIDENTES!F91+ACCIDENTES!K91+ACCIDENTES!P91+ACCIDENTES!U91+ACCIDENTES!Z91+ACCIDENTES!AE91)*1000000/(HH!F91+HH!J91+HH!N91+HH!R91+HH!V91+HH!Z91)</f>
        <v>1.6750990984671388</v>
      </c>
      <c r="U91" s="161">
        <f>((ACCIDENTES!C91+ACCIDENTES!H91+ACCIDENTES!M91+ACCIDENTES!R91+ACCIDENTES!W91+ACCIDENTES!AB91+ACCIDENTES!AG91)/(HH!F91+HH!J91+HH!N91+HH!R91+HH!V91+HH!Z91+HH!AD91))*1000000</f>
        <v>0.70506744870289761</v>
      </c>
      <c r="V91" s="161">
        <f>((ACCIDENTES!D91+ACCIDENTES!I91+ACCIDENTES!N91+ACCIDENTES!S91+ACCIDENTES!X91+ACCIDENTES!AC91+ACCIDENTES!AH91)/(HH!F91+HH!J91+HH!N91+HH!R91+HH!V91+HH!Z91+HH!AD91))*1000000</f>
        <v>35.488394918045849</v>
      </c>
      <c r="W91" s="161">
        <f>((ACCIDENTES!F91+ACCIDENTES!K91+ACCIDENTES!P91+ACCIDENTES!U91+ACCIDENTES!Z91+ACCIDENTES!AE91+ACCIDENTES!AJ91)/(HH!F91+HH!J91+HH!N91+HH!R91+HH!V91+HH!Z91+HH!AD91))*1000000</f>
        <v>2.1152023461086928</v>
      </c>
      <c r="X91" s="161">
        <f>((ACCIDENTES!C91+ACCIDENTES!H91+ACCIDENTES!M91+ACCIDENTES!R91+ACCIDENTES!W91+ACCIDENTES!AB91+ACCIDENTES!AG91+ACCIDENTES!AL91)/(HH!F91+HH!J91+HH!N91+HH!R91+HH!V91+HH!Z91+HH!AD91+HH!AH91))*1000000</f>
        <v>0.60868211677157202</v>
      </c>
      <c r="Y91" s="161">
        <f>((ACCIDENTES!D91+ACCIDENTES!I91+ACCIDENTES!N91+ACCIDENTES!S91+ACCIDENTES!X91+ACCIDENTES!AC91+ACCIDENTES!AH91+ACCIDENTES!AM91)/(HH!F91+HH!J91+HH!N91+HH!R91+HH!V91+HH!Z91+HH!AD91+HH!AH91))*1000000</f>
        <v>30.636999877502458</v>
      </c>
      <c r="Z91" s="161">
        <f>((ACCIDENTES!F91+ACCIDENTES!K91+ACCIDENTES!P91+ACCIDENTES!U91+ACCIDENTES!Z91+ACCIDENTES!AE91+ACCIDENTES!AJ91+ACCIDENTES!AO91)/(HH!F91+HH!J91+HH!N91+HH!R91+HH!V91+HH!Z91+HH!AD91+HH!AH91))*1000000</f>
        <v>2.0289403892385738</v>
      </c>
      <c r="AA91" s="309">
        <f>((ACCIDENTES!AQ91+ACCIDENTES!AL91+ACCIDENTES!AG91+ACCIDENTES!AB91+ACCIDENTES!W91+ACCIDENTES!R91+ACCIDENTES!M91+ACCIDENTES!H91+ACCIDENTES!C91)/(HH!AL91+HH!AH91+HH!AD91+HH!Z91+HH!V91+HH!R91+HH!N91+HH!J91+HH!F91))*1000000</f>
        <v>1.0704608525804324</v>
      </c>
      <c r="AB91" s="309">
        <f>((ACCIDENTES!AR91+ACCIDENTES!AM91+ACCIDENTES!AH91+ACCIDENTES!AC91+ACCIDENTES!X91+ACCIDENTES!S91+ACCIDENTES!N91+ACCIDENTES!I91+ACCIDENTES!D91)/(HH!AL91+HH!AH91+HH!AD91+HH!Z91+HH!V91+HH!R91+HH!N91+HH!J91+HH!F91))*1000000</f>
        <v>31.757005293219496</v>
      </c>
      <c r="AC91" s="309">
        <f>((ACCIDENTES!F91+ACCIDENTES!K91+ACCIDENTES!P91+ACCIDENTES!U91+ACCIDENTES!Z91+ACCIDENTES!AE91+ACCIDENTES!AJ91+ACCIDENTES!AO91+ACCIDENTES!AT91)/(HH!F91+HH!J91+HH!N91+HH!R91+HH!V91+HH!Z91+HH!AD91+HH!AH91+HH!AL91))*1000000</f>
        <v>2.3193318472576041</v>
      </c>
      <c r="AD91" s="163">
        <f>((ACCIDENTES!AV91+ACCIDENTES!AQ91+ACCIDENTES!AL91+ACCIDENTES!AG91+ACCIDENTES!AB91+ACCIDENTES!W91+ACCIDENTES!R91+ACCIDENTES!M91+ACCIDENTES!H91+ACCIDENTES!C91)/(HH!F91+HH!J91+HH!N91+HH!R91+HH!V91+HH!Z91+HH!AD91+HH!AH91+HH!AL91+HH!AP91))*1000000</f>
        <v>1.1191409665539032</v>
      </c>
      <c r="AE91" s="163">
        <f>((ACCIDENTES!D91+ACCIDENTES!I91+ACCIDENTES!N91+ACCIDENTES!S91+ACCIDENTES!X91+ACCIDENTES!AC91+ACCIDENTES!AH91+ACCIDENTES!AM91+ACCIDENTES!AR91+ACCIDENTES!AW91)/(HH!AP91+HH!AL91+HH!AH91+HH!AD91+HH!Z91+HH!V91+HH!R91+HH!N91+HH!J91+HH!F91))*1000000</f>
        <v>28.777910568528931</v>
      </c>
      <c r="AF91" s="161">
        <f>((ACCIDENTES!AY91+ACCIDENTES!AT91+ACCIDENTES!AO91+ACCIDENTES!AJ91+ACCIDENTES!AE91+ACCIDENTES!Z91+ACCIDENTES!U91+ACCIDENTES!P91+ACCIDENTES!K91+ACCIDENTES!F91)/(HH!F91+HH!J91+HH!N91+HH!R91+HH!V91+HH!Z91+HH!AD91+HH!AH91+HH!AL91+HH!AP91))*1000000</f>
        <v>2.3981592140440782</v>
      </c>
      <c r="AG91" s="161">
        <f>((ACCIDENTES!BA91+ACCIDENTES!AV91+ACCIDENTES!AQ91+ACCIDENTES!AL91+ACCIDENTES!AG91+ACCIDENTES!AB91+ACCIDENTES!W91+ACCIDENTES!R91+ACCIDENTES!M91+ACCIDENTES!H91+ACCIDENTES!C91)/(HH!AT91+HH!AP91+HH!AL91+HH!AH91+HH!AD91+HH!Z91+HH!V91+HH!R91+HH!N91+HH!J91+HH!F91))*1000000</f>
        <v>1.1618729644488903</v>
      </c>
      <c r="AH91" s="161">
        <f>((ACCIDENTES!D91+ACCIDENTES!I91+ACCIDENTES!N91+ACCIDENTES!S91+ACCIDENTES!X91+ACCIDENTES!AC91+ACCIDENTES!AH91+ACCIDENTES!AM91+ACCIDENTES!AR91+ACCIDENTES!AW91+ACCIDENTES!BB91)/(HH!F91+HH!J91+HH!N91+HH!R91+HH!V91+HH!Z91+HH!AD91+HH!AH91+HH!AL91+HH!AP91+HH!AT91))*1000000</f>
        <v>28.90158999066615</v>
      </c>
      <c r="AI91" s="161">
        <f>((ACCIDENTES!BD91+ACCIDENTES!AY91+ACCIDENTES!AT91+ACCIDENTES!AO91+ACCIDENTES!AJ91+ACCIDENTES!AE91+ACCIDENTES!Z91+ACCIDENTES!U91+ACCIDENTES!P91+ACCIDENTES!K91+ACCIDENTES!F91)/(HH!F91+HH!J91+HH!N91+HH!R91+HH!V91+HH!Z91+HH!AD91+HH!AH91+HH!AL91+HH!AP91+HH!AT91))*1000000</f>
        <v>2.3237459288977806</v>
      </c>
      <c r="AJ91" s="161">
        <f>(ACCIDENTES!BK91/HH!BB91)*1000000</f>
        <v>1.1932847740766281</v>
      </c>
      <c r="AK91" s="161">
        <f>(ACCIDENTES!BL91/HH!BB91)*1000000</f>
        <v>28.506247380719451</v>
      </c>
      <c r="AL91" s="161">
        <f>(ACCIDENTES!BN91/HH!BB91)*1000000</f>
        <v>2.2539823510336312</v>
      </c>
      <c r="AN91" s="160">
        <f t="shared" si="2"/>
        <v>1.3585607992034965</v>
      </c>
      <c r="AO91" s="160">
        <f t="shared" si="3"/>
        <v>15.02899393113873</v>
      </c>
      <c r="AP91" s="164" t="s">
        <v>107</v>
      </c>
      <c r="AR91" s="161">
        <v>2</v>
      </c>
      <c r="AS91" s="161">
        <v>32.5</v>
      </c>
      <c r="AT91" s="161">
        <v>2.7</v>
      </c>
      <c r="AV91" s="161">
        <v>0.90570719946899769</v>
      </c>
      <c r="AW91" s="161">
        <v>1.3585607992034965</v>
      </c>
      <c r="AX91" s="161">
        <v>1.9623655988494948</v>
      </c>
      <c r="AY91" s="165"/>
      <c r="AZ91" s="161">
        <v>7.1701819957962316</v>
      </c>
      <c r="BA91" s="161">
        <v>15.02899393113873</v>
      </c>
      <c r="BB91" s="161">
        <v>21.274543220777062</v>
      </c>
      <c r="BC91" s="165"/>
      <c r="BD91" s="161">
        <v>7.1701819957962316</v>
      </c>
      <c r="BE91" s="161">
        <v>15.02899393113873</v>
      </c>
      <c r="BF91" s="161">
        <v>21.274543220777062</v>
      </c>
    </row>
    <row r="92" spans="1:59" s="236" customFormat="1" x14ac:dyDescent="0.3">
      <c r="A92" s="228" t="s">
        <v>113</v>
      </c>
      <c r="B92" s="229" t="s">
        <v>114</v>
      </c>
      <c r="C92" s="230">
        <f>(ACCIDENTES!C92/HH!F92)*1000000</f>
        <v>2.4928667604409749</v>
      </c>
      <c r="D92" s="231">
        <f>(ACCIDENTES!D92/HH!F92)*1000000</f>
        <v>243.67772583310528</v>
      </c>
      <c r="E92" s="231">
        <f>(ACCIDENTES!F92/HH!F92)*1000000</f>
        <v>11.841117112094629</v>
      </c>
      <c r="F92" s="231">
        <f>((ACCIDENTES!C92+ACCIDENTES!H92)/(HH!F92+HH!J92))*1000000</f>
        <v>2.5257149591059651</v>
      </c>
      <c r="G92" s="231">
        <f>((ACCIDENTES!D92+ACCIDENTES!I92)/(HH!F92+HH!J92))*1000000</f>
        <v>145.22861014859299</v>
      </c>
      <c r="H92" s="231">
        <f>((ACCIDENTES!F92+ACCIDENTES!K92)/(HH!F92+HH!J92))*1000000</f>
        <v>11.050002946088597</v>
      </c>
      <c r="I92" s="231">
        <f>((ACCIDENTES!C92+ACCIDENTES!H92+ACCIDENTES!M92)/(HH!F92+HH!J92+HH!N92))*1000000</f>
        <v>2.4857488445477975</v>
      </c>
      <c r="J92" s="231">
        <f>((ACCIDENTES!D92+ACCIDENTES!I92+ACCIDENTES!N92)/(HH!F92+HH!J92+HH!N92))*1000000</f>
        <v>138.99478955763104</v>
      </c>
      <c r="K92" s="231">
        <f>((ACCIDENTES!F92+ACCIDENTES!K92+ACCIDENTES!P92)/(HH!J92+HH!N92+HH!F92))*1000000</f>
        <v>11.18586980046509</v>
      </c>
      <c r="L92" s="232">
        <f>((ACCIDENTES!C92+ACCIDENTES!H92+ACCIDENTES!M92+ACCIDENTES!R92)/(HH!F92+HH!J92+HH!N92+HH!R92))*1000000</f>
        <v>2.5541201521050958</v>
      </c>
      <c r="M92" s="232">
        <f>((ACCIDENTES!D92+ACCIDENTES!I92+ACCIDENTES!N92+ACCIDENTES!S92)/(HH!F92+HH!J92+HH!N92+HH!R92))*1000000</f>
        <v>124.40067564370702</v>
      </c>
      <c r="N92" s="231">
        <f>((ACCIDENTES!F92+ACCIDENTES!K92+ACCIDENTES!P92+ACCIDENTES!U92)/(HH!F92+HH!J92+HH!N92+HH!R92))*1000000</f>
        <v>12.47011603674841</v>
      </c>
      <c r="O92" s="231">
        <f>((ACCIDENTES!C92+ACCIDENTES!H92+ACCIDENTES!M92+ACCIDENTES!R92+ACCIDENTES!W92)/(HH!F92+HH!J92+HH!N92+HH!R92+HH!V92))*1000000</f>
        <v>2.4762840381749491</v>
      </c>
      <c r="P92" s="231">
        <f>(((ACCIDENTES!D92+ACCIDENTES!I92+ACCIDENTES!N92+ACCIDENTES!S92+ACCIDENTES!X92)/(HH!F92+HH!J92+HH!N92+HH!R92+HH!V92))*1000000)</f>
        <v>101.76348214023719</v>
      </c>
      <c r="Q92" s="233">
        <f>((ACCIDENTES!F92+ACCIDENTES!K92+ACCIDENTES!P92+ACCIDENTES!U92+ACCIDENTES!Z92)/(HH!F92+HH!J92+HH!N92+HH!R92+HH!V92))*1000000</f>
        <v>12.263501903342604</v>
      </c>
      <c r="R92" s="234">
        <f>(ACCIDENTES!C92+ACCIDENTES!H92+ACCIDENTES!M92+ACCIDENTES!R92+ACCIDENTES!W92+ACCIDENTES!AB92)*1000000/(HH!F92+HH!J92+HH!N92+HH!R92+HH!V92+HH!Z92)</f>
        <v>2.5297146025833612</v>
      </c>
      <c r="S92" s="234">
        <f>(ACCIDENTES!D92+ACCIDENTES!I92+ACCIDENTES!N92+ACCIDENTES!S92+ACCIDENTES!X92+ACCIDENTES!AC92)*1000000/(HH!F92+HH!J92+HH!N92+HH!R92+HH!V92+HH!Z92)</f>
        <v>109.2642114885044</v>
      </c>
      <c r="T92" s="235">
        <f>(ACCIDENTES!F92+ACCIDENTES!K92+ACCIDENTES!P92+ACCIDENTES!U92+ACCIDENTES!Z92+ACCIDENTES!AE92)*1000000/(HH!F92+HH!J92+HH!N92+HH!R92+HH!V92+HH!Z92)</f>
        <v>11.967496004528977</v>
      </c>
      <c r="U92" s="231">
        <f>((ACCIDENTES!C92+ACCIDENTES!H92+ACCIDENTES!M92+ACCIDENTES!R92+ACCIDENTES!W92+ACCIDENTES!AB92+ACCIDENTES!AG92)/(HH!F92+HH!J92+HH!N92+HH!R92+HH!V92+HH!Z92+HH!AD92))*1000000</f>
        <v>2.6413238626876878</v>
      </c>
      <c r="V92" s="231">
        <f>((ACCIDENTES!D92+ACCIDENTES!I92+ACCIDENTES!N92+ACCIDENTES!S92+ACCIDENTES!X92+ACCIDENTES!AC92+ACCIDENTES!AH92)/(HH!F92+HH!J92+HH!N92+HH!R92+HH!V92+HH!Z92+HH!AD92))*1000000</f>
        <v>111.67847456926381</v>
      </c>
      <c r="W92" s="231">
        <f>((ACCIDENTES!F92+ACCIDENTES!K92+ACCIDENTES!P92+ACCIDENTES!U92+ACCIDENTES!Z92+ACCIDENTES!AE92+ACCIDENTES!AJ92)/(HH!F92+HH!J92+HH!N92+HH!R92+HH!V92+HH!Z92+HH!AD92))*1000000</f>
        <v>12.216122864930558</v>
      </c>
      <c r="X92" s="231">
        <f>((ACCIDENTES!C92+ACCIDENTES!H92+ACCIDENTES!M92+ACCIDENTES!R92+ACCIDENTES!W92+ACCIDENTES!AB92+ACCIDENTES!AG92+ACCIDENTES!AL92)/(HH!F92+HH!J92+HH!N92+HH!R92+HH!V92+HH!Z92+HH!AD92+HH!AH92))*1000000</f>
        <v>2.5733135653397605</v>
      </c>
      <c r="Y92" s="231">
        <f>((ACCIDENTES!D92+ACCIDENTES!I92+ACCIDENTES!N92+ACCIDENTES!S92+ACCIDENTES!X92+ACCIDENTES!AC92+ACCIDENTES!AH92+ACCIDENTES!AM92)/(HH!F92+HH!J92+HH!N92+HH!R92+HH!V92+HH!Z92+HH!AD92+HH!AH92))*1000000</f>
        <v>114.86985831947209</v>
      </c>
      <c r="Z92" s="231">
        <f>((ACCIDENTES!F92+ACCIDENTES!K92+ACCIDENTES!P92+ACCIDENTES!U92+ACCIDENTES!Z92+ACCIDENTES!AE92+ACCIDENTES!AJ92+ACCIDENTES!AO92)/(HH!F92+HH!J92+HH!N92+HH!R92+HH!V92+HH!Z92+HH!AD92+HH!AH92))*1000000</f>
        <v>12.509163164846058</v>
      </c>
      <c r="AA92" s="232">
        <f>((ACCIDENTES!AQ92+ACCIDENTES!AL92+ACCIDENTES!AG92+ACCIDENTES!AB92+ACCIDENTES!W92+ACCIDENTES!R92+ACCIDENTES!M92+ACCIDENTES!H92+ACCIDENTES!C92)/(HH!AL92+HH!AH92+HH!AD92+HH!Z92+HH!V92+HH!R92+HH!N92+HH!J92+HH!F92))*1000000</f>
        <v>3.025907131046921</v>
      </c>
      <c r="AB92" s="232">
        <f>((ACCIDENTES!AR92+ACCIDENTES!AM92+ACCIDENTES!AH92+ACCIDENTES!AC92+ACCIDENTES!X92+ACCIDENTES!S92+ACCIDENTES!N92+ACCIDENTES!I92+ACCIDENTES!D92)/(HH!AL92+HH!AH92+HH!AD92+HH!Z92+HH!V92+HH!R92+HH!N92+HH!J92+HH!F92))*1000000</f>
        <v>110.57168974700623</v>
      </c>
      <c r="AC92" s="232">
        <f>((ACCIDENTES!F92+ACCIDENTES!K92+ACCIDENTES!P92+ACCIDENTES!U92+ACCIDENTES!Z92+ACCIDENTES!AE92+ACCIDENTES!AJ92+ACCIDENTES!AO92+ACCIDENTES!AT92)/(HH!F92+HH!J92+HH!N92+HH!R92+HH!V92+HH!Z92+HH!AD92+HH!AH92+HH!AL92))*1000000</f>
        <v>13.049224502639845</v>
      </c>
      <c r="AD92" s="232">
        <f>((ACCIDENTES!AV92+ACCIDENTES!AQ92+ACCIDENTES!AL92+ACCIDENTES!AG92+ACCIDENTES!AB92+ACCIDENTES!W92+ACCIDENTES!R92+ACCIDENTES!M92+ACCIDENTES!H92+ACCIDENTES!C92)/(HH!F92+HH!J92+HH!N92+HH!R92+HH!V92+HH!Z92+HH!AD92+HH!AH92+HH!AL92+HH!AP92))*1000000</f>
        <v>3.2215281468278598</v>
      </c>
      <c r="AE92" s="232">
        <f>((ACCIDENTES!D92+ACCIDENTES!I92+ACCIDENTES!N92+ACCIDENTES!S92+ACCIDENTES!X92+ACCIDENTES!AC92+ACCIDENTES!AH92+ACCIDENTES!AM92+ACCIDENTES!AR92+ACCIDENTES!AW92)/(HH!AP92+HH!AL92+HH!AH92+HH!AD92+HH!Z92+HH!V92+HH!R92+HH!N92+HH!J92+HH!F92))*1000000</f>
        <v>103.37149088680974</v>
      </c>
      <c r="AF92" s="231">
        <f>((ACCIDENTES!AY92+ACCIDENTES!AT92+ACCIDENTES!AO92+ACCIDENTES!AJ92+ACCIDENTES!AE92+ACCIDENTES!Z92+ACCIDENTES!U92+ACCIDENTES!P92+ACCIDENTES!K92+ACCIDENTES!F92)/(HH!F92+HH!J92+HH!N92+HH!R92+HH!V92+HH!Z92+HH!AD92+HH!AH92+HH!AL92+HH!AP92))*1000000</f>
        <v>13.112184737966027</v>
      </c>
      <c r="AG92" s="231">
        <f>((ACCIDENTES!BA92+ACCIDENTES!AV92+ACCIDENTES!AQ92+ACCIDENTES!AL92+ACCIDENTES!AG92+ACCIDENTES!AB92+ACCIDENTES!W92+ACCIDENTES!R92+ACCIDENTES!M92+ACCIDENTES!H92+ACCIDENTES!C92)/(HH!AT92+HH!AP92+HH!AL92+HH!AH92+HH!AD92+HH!Z92+HH!V92+HH!R92+HH!N92+HH!J92+HH!F92))*1000000</f>
        <v>3.2566328567373648</v>
      </c>
      <c r="AH92" s="231">
        <f>((ACCIDENTES!D92+ACCIDENTES!I92+ACCIDENTES!N92+ACCIDENTES!S92+ACCIDENTES!X92+ACCIDENTES!AC92+ACCIDENTES!AH92+ACCIDENTES!AM92+ACCIDENTES!AR92+ACCIDENTES!AW92+ACCIDENTES!BB92)/(HH!F92+HH!J92+HH!N92+HH!R92+HH!V92+HH!Z92+HH!AD92+HH!AH92+HH!AL92+HH!AP92+HH!AT92))*1000000</f>
        <v>97.337137606927882</v>
      </c>
      <c r="AI92" s="231">
        <f>((ACCIDENTES!BD92+ACCIDENTES!AY92+ACCIDENTES!AT92+ACCIDENTES!AO92+ACCIDENTES!AJ92+ACCIDENTES!AE92+ACCIDENTES!Z92+ACCIDENTES!U92+ACCIDENTES!P92+ACCIDENTES!K92+ACCIDENTES!F92)/(HH!F92+HH!J92+HH!N92+HH!R92+HH!V92+HH!Z92+HH!AD92+HH!AH92+HH!AL92+HH!AP92+HH!AT92))*1000000</f>
        <v>13.129916597004609</v>
      </c>
      <c r="AJ92" s="231">
        <f>(ACCIDENTES!BK92/HH!BB92)*1000000</f>
        <v>3.0962518877733594</v>
      </c>
      <c r="AK92" s="231">
        <f>(ACCIDENTES!BL92/HH!BB92)*1000000</f>
        <v>90.69636298954579</v>
      </c>
      <c r="AL92" s="231">
        <f>(ACCIDENTES!BN92/HH!BB92)*1000000</f>
        <v>12.813719350938978</v>
      </c>
      <c r="AN92" s="237"/>
      <c r="AO92" s="237"/>
      <c r="AP92" s="238"/>
      <c r="AR92" s="231"/>
      <c r="AS92" s="231"/>
      <c r="AT92" s="231"/>
      <c r="AV92" s="231"/>
      <c r="AW92" s="231"/>
      <c r="AX92" s="231"/>
      <c r="AY92" s="239"/>
      <c r="AZ92" s="231"/>
      <c r="BA92" s="231"/>
      <c r="BB92" s="231"/>
      <c r="BC92" s="239"/>
      <c r="BD92" s="231"/>
      <c r="BE92" s="231"/>
      <c r="BF92" s="231"/>
    </row>
    <row r="93" spans="1:59" s="269" customFormat="1" x14ac:dyDescent="0.3">
      <c r="A93" s="262" t="s">
        <v>113</v>
      </c>
      <c r="B93" s="262" t="s">
        <v>115</v>
      </c>
      <c r="C93" s="263">
        <f>(ACCIDENTES!C93/HH!F93)*1000000</f>
        <v>2.327783222040285</v>
      </c>
      <c r="D93" s="264">
        <f>(ACCIDENTES!D93/HH!F93)*1000000</f>
        <v>189.01599762967112</v>
      </c>
      <c r="E93" s="264">
        <f>(ACCIDENTES!F93/HH!F93)*1000000</f>
        <v>9.3111328881611399</v>
      </c>
      <c r="F93" s="264">
        <f>((ACCIDENTES!C93+ACCIDENTES!H93)/(HH!F93+HH!J93))*1000000</f>
        <v>2.3524098252094259</v>
      </c>
      <c r="G93" s="264">
        <f>((ACCIDENTES!D93+ACCIDENTES!I93)/(HH!F93+HH!J93))*1000000</f>
        <v>113.15091259257339</v>
      </c>
      <c r="H93" s="264">
        <f>((ACCIDENTES!F93+ACCIDENTES!K93)/(HH!F93+HH!J93))*1000000</f>
        <v>9.8801212658795894</v>
      </c>
      <c r="I93" s="264">
        <f>((ACCIDENTES!C93+ACCIDENTES!H93+ACCIDENTES!M93)/(HH!F93+HH!J93+HH!N93))*1000000</f>
        <v>2.1631847588973434</v>
      </c>
      <c r="J93" s="264">
        <f>((ACCIDENTES!D93+ACCIDENTES!I93+ACCIDENTES!N93)/(HH!F93+HH!J93+HH!N93))*1000000</f>
        <v>106.92313236835442</v>
      </c>
      <c r="K93" s="264">
        <f>((ACCIDENTES!F93+ACCIDENTES!K93+ACCIDENTES!P93)/(HH!J93+HH!N93+HH!F93))*1000000</f>
        <v>9.425305020909855</v>
      </c>
      <c r="L93" s="265">
        <f>((ACCIDENTES!C93+ACCIDENTES!H93+ACCIDENTES!M93+ACCIDENTES!R93)/(HH!F93+HH!J93+HH!N93+HH!R93))*1000000</f>
        <v>2.2559124184956016</v>
      </c>
      <c r="M93" s="265">
        <f>((ACCIDENTES!D93+ACCIDENTES!I93+ACCIDENTES!N93+ACCIDENTES!S93)/(HH!F93+HH!J93+HH!N93+HH!R93))*1000000</f>
        <v>97.906598962709126</v>
      </c>
      <c r="N93" s="264">
        <f>((ACCIDENTES!F93+ACCIDENTES!K93+ACCIDENTES!P93+ACCIDENTES!U93)/(HH!F93+HH!J93+HH!N93+HH!R93))*1000000</f>
        <v>10.264401504154987</v>
      </c>
      <c r="O93" s="264">
        <f>((ACCIDENTES!C93+ACCIDENTES!H93+ACCIDENTES!M93+ACCIDENTES!R93+ACCIDENTES!W93)/(HH!F93+HH!J93+HH!N93+HH!R93+HH!V93))*1000000</f>
        <v>2.1324324422300878</v>
      </c>
      <c r="P93" s="264">
        <f>(((ACCIDENTES!D93+ACCIDENTES!I93+ACCIDENTES!N93+ACCIDENTES!S93+ACCIDENTES!X93)/(HH!F93+HH!J93+HH!N93+HH!R93+HH!V93))*1000000)</f>
        <v>80.232770638907056</v>
      </c>
      <c r="Q93" s="266">
        <f>((ACCIDENTES!F93+ACCIDENTES!K93+ACCIDENTES!P93+ACCIDENTES!U93+ACCIDENTES!Z93)/(HH!F93+HH!J93+HH!N93+HH!R93+HH!V93))*1000000</f>
        <v>9.9513513970737435</v>
      </c>
      <c r="R93" s="267">
        <f>(ACCIDENTES!C93+ACCIDENTES!H93+ACCIDENTES!M93+ACCIDENTES!R93+ACCIDENTES!W93+ACCIDENTES!AB93)*1000000/(HH!F93+HH!J93+HH!N93+HH!R93+HH!V93+HH!Z93)</f>
        <v>2.2039682653832093</v>
      </c>
      <c r="S93" s="267">
        <f>(ACCIDENTES!D93+ACCIDENTES!I93+ACCIDENTES!N93+ACCIDENTES!S93+ACCIDENTES!X93+ACCIDENTES!AC93)*1000000/(HH!F93+HH!J93+HH!N93+HH!R93+HH!V93+HH!Z93)</f>
        <v>85.734365523406836</v>
      </c>
      <c r="T93" s="268">
        <f>(ACCIDENTES!F93+ACCIDENTES!K93+ACCIDENTES!P93+ACCIDENTES!U93+ACCIDENTES!Z93+ACCIDENTES!AE93)*1000000/(HH!F93+HH!J93+HH!N93+HH!R93+HH!V93+HH!Z93)</f>
        <v>9.7709259765322276</v>
      </c>
      <c r="U93" s="264">
        <f>((ACCIDENTES!C93+ACCIDENTES!H93+ACCIDENTES!M93+ACCIDENTES!R93+ACCIDENTES!W93+ACCIDENTES!AB93+ACCIDENTES!AG93)/(HH!F93+HH!J93+HH!N93+HH!R93+HH!V93+HH!Z93+HH!AD93))*1000000</f>
        <v>2.3096765897453779</v>
      </c>
      <c r="V93" s="264">
        <f>((ACCIDENTES!D93+ACCIDENTES!I93+ACCIDENTES!N93+ACCIDENTES!S93+ACCIDENTES!X93+ACCIDENTES!AC93+ACCIDENTES!AH93)/(HH!F93+HH!J93+HH!N93+HH!R93+HH!V93+HH!Z93+HH!AD93))*1000000</f>
        <v>87.268320877406438</v>
      </c>
      <c r="W93" s="264">
        <f>((ACCIDENTES!F93+ACCIDENTES!K93+ACCIDENTES!P93+ACCIDENTES!U93+ACCIDENTES!Z93+ACCIDENTES!AE93+ACCIDENTES!AJ93)/(HH!F93+HH!J93+HH!N93+HH!R93+HH!V93+HH!Z93+HH!AD93))*1000000</f>
        <v>9.925366966743649</v>
      </c>
      <c r="X93" s="264">
        <f>((ACCIDENTES!C93+ACCIDENTES!H93+ACCIDENTES!M93+ACCIDENTES!R93+ACCIDENTES!W93+ACCIDENTES!AB93+ACCIDENTES!AG93+ACCIDENTES!AL93)/(HH!F93+HH!J93+HH!N93+HH!R93+HH!V93+HH!Z93+HH!AD93+HH!AH93))*1000000</f>
        <v>2.3294507815381524</v>
      </c>
      <c r="Y93" s="264">
        <f>((ACCIDENTES!D93+ACCIDENTES!I93+ACCIDENTES!N93+ACCIDENTES!S93+ACCIDENTES!X93+ACCIDENTES!AC93+ACCIDENTES!AH93+ACCIDENTES!AM93)/(HH!F93+HH!J93+HH!N93+HH!R93+HH!V93+HH!Z93+HH!AD93+HH!AH93))*1000000</f>
        <v>90.57771411004164</v>
      </c>
      <c r="Z93" s="264">
        <f>((ACCIDENTES!F93+ACCIDENTES!K93+ACCIDENTES!P93+ACCIDENTES!U93+ACCIDENTES!Z93+ACCIDENTES!AE93+ACCIDENTES!AJ93+ACCIDENTES!AO93)/(HH!F93+HH!J93+HH!N93+HH!R93+HH!V93+HH!Z93+HH!AD93+HH!AH93))*1000000</f>
        <v>10.292922057959279</v>
      </c>
      <c r="AA93" s="265">
        <f>((ACCIDENTES!AQ93+ACCIDENTES!AL93+ACCIDENTES!AG93+ACCIDENTES!AB93+ACCIDENTES!W93+ACCIDENTES!R93+ACCIDENTES!M93+ACCIDENTES!H93+ACCIDENTES!C93)/(HH!AL93+HH!AH93+HH!AD93+HH!Z93+HH!V93+HH!R93+HH!N93+HH!J93+HH!F93))*1000000</f>
        <v>2.7281335086971739</v>
      </c>
      <c r="AB93" s="265">
        <f>((ACCIDENTES!AR93+ACCIDENTES!AM93+ACCIDENTES!AH93+ACCIDENTES!AC93+ACCIDENTES!X93+ACCIDENTES!S93+ACCIDENTES!N93+ACCIDENTES!I93+ACCIDENTES!D93)/(HH!AL93+HH!AH93+HH!AD93+HH!Z93+HH!V93+HH!R93+HH!N93+HH!J93+HH!F93))*1000000</f>
        <v>88.305374097303272</v>
      </c>
      <c r="AC93" s="265">
        <f>((ACCIDENTES!F93+ACCIDENTES!K93+ACCIDENTES!P93+ACCIDENTES!U93+ACCIDENTES!Z93+ACCIDENTES!AE93+ACCIDENTES!AJ93+ACCIDENTES!AO93+ACCIDENTES!AT93)/(HH!F93+HH!J93+HH!N93+HH!R93+HH!V93+HH!Z93+HH!AD93+HH!AH93+HH!AL93))*1000000</f>
        <v>10.768948060646739</v>
      </c>
      <c r="AD93" s="265">
        <f>((ACCIDENTES!AV93+ACCIDENTES!AQ93+ACCIDENTES!AL93+ACCIDENTES!AG93+ACCIDENTES!AB93+ACCIDENTES!W93+ACCIDENTES!R93+ACCIDENTES!M93+ACCIDENTES!H93+ACCIDENTES!C93)/(HH!F93+HH!J93+HH!N93+HH!R93+HH!V93+HH!Z93+HH!AD93+HH!AH93+HH!AL93+HH!AP93))*1000000</f>
        <v>2.8333218091475496</v>
      </c>
      <c r="AE93" s="265">
        <f>((ACCIDENTES!D93+ACCIDENTES!I93+ACCIDENTES!N93+ACCIDENTES!S93+ACCIDENTES!X93+ACCIDENTES!AC93+ACCIDENTES!AH93+ACCIDENTES!AM93+ACCIDENTES!AR93+ACCIDENTES!AW93)/(HH!AP93+HH!AL93+HH!AH93+HH!AD93+HH!Z93+HH!V93+HH!R93+HH!N93+HH!J93+HH!F93))*1000000</f>
        <v>82.423907175201435</v>
      </c>
      <c r="AF93" s="264">
        <f>((ACCIDENTES!AY93+ACCIDENTES!AT93+ACCIDENTES!AO93+ACCIDENTES!AJ93+ACCIDENTES!AE93+ACCIDENTES!Z93+ACCIDENTES!U93+ACCIDENTES!P93+ACCIDENTES!K93+ACCIDENTES!F93)/(HH!F93+HH!J93+HH!N93+HH!R93+HH!V93+HH!Z93+HH!AD93+HH!AH93+HH!AL93+HH!AP93))*1000000</f>
        <v>10.732279580104354</v>
      </c>
      <c r="AG93" s="264">
        <f>((ACCIDENTES!BA93+ACCIDENTES!AV93+ACCIDENTES!AQ93+ACCIDENTES!AL93+ACCIDENTES!AG93+ACCIDENTES!AB93+ACCIDENTES!W93+ACCIDENTES!R93+ACCIDENTES!M93+ACCIDENTES!H93+ACCIDENTES!C93)/(HH!AT93+HH!AP93+HH!AL93+HH!AH93+HH!AD93+HH!Z93+HH!V93+HH!R93+HH!N93+HH!J93+HH!F93))*1000000</f>
        <v>2.8220601358881123</v>
      </c>
      <c r="AH93" s="264">
        <f>((ACCIDENTES!D93+ACCIDENTES!I93+ACCIDENTES!N93+ACCIDENTES!S93+ACCIDENTES!X93+ACCIDENTES!AC93+ACCIDENTES!AH93+ACCIDENTES!AM93+ACCIDENTES!AR93+ACCIDENTES!AW93+ACCIDENTES!BB93)/(HH!F93+HH!J93+HH!N93+HH!R93+HH!V93+HH!Z93+HH!AD93+HH!AH93+HH!AL93+HH!AP93+HH!AT93))*1000000</f>
        <v>77.371482058932401</v>
      </c>
      <c r="AI93" s="264">
        <f>((ACCIDENTES!BD93+ACCIDENTES!AY93+ACCIDENTES!AT93+ACCIDENTES!AO93+ACCIDENTES!AJ93+ACCIDENTES!AE93+ACCIDENTES!Z93+ACCIDENTES!U93+ACCIDENTES!P93+ACCIDENTES!K93+ACCIDENTES!F93)/(HH!F93+HH!J93+HH!N93+HH!R93+HH!V93+HH!Z93+HH!AD93+HH!AH93+HH!AL93+HH!AP93+HH!AT93))*1000000</f>
        <v>10.661116068910646</v>
      </c>
      <c r="AJ93" s="265">
        <f>(ACCIDENTES!BK93/HH!BB93)*1000000</f>
        <v>2.7050724378221123</v>
      </c>
      <c r="AK93" s="265">
        <f>(ACCIDENTES!BL93/HH!BB93)*1000000</f>
        <v>71.377844725999466</v>
      </c>
      <c r="AL93" s="265">
        <f>(ACCIDENTES!BN93/HH!BB93)*1000000</f>
        <v>10.387478161236913</v>
      </c>
      <c r="AN93" s="270">
        <v>2.9</v>
      </c>
      <c r="AO93" s="270">
        <v>70</v>
      </c>
      <c r="AP93" s="271" t="s">
        <v>107</v>
      </c>
      <c r="AR93" s="264">
        <v>3.3</v>
      </c>
      <c r="AS93" s="264">
        <v>125</v>
      </c>
      <c r="AT93" s="264">
        <v>12.9</v>
      </c>
      <c r="AV93" s="264">
        <v>2.7</v>
      </c>
      <c r="AW93" s="264">
        <v>2.9</v>
      </c>
      <c r="AX93" s="264">
        <v>3.1</v>
      </c>
      <c r="AY93" s="272"/>
      <c r="AZ93" s="264">
        <v>60</v>
      </c>
      <c r="BA93" s="264">
        <v>70</v>
      </c>
      <c r="BB93" s="264">
        <v>80</v>
      </c>
      <c r="BC93" s="272"/>
      <c r="BD93" s="264">
        <v>34.417270593154633</v>
      </c>
      <c r="BE93" s="264">
        <v>43.398490569355538</v>
      </c>
      <c r="BF93" s="264">
        <v>52.734586839361526</v>
      </c>
      <c r="BG93" s="269" t="s">
        <v>109</v>
      </c>
    </row>
    <row r="94" spans="1:59" s="36" customFormat="1" x14ac:dyDescent="0.3"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23"/>
      <c r="R94" s="123"/>
      <c r="S94" s="123"/>
      <c r="T94" s="123"/>
      <c r="U94" s="211"/>
      <c r="V94" s="123"/>
      <c r="W94" s="123"/>
      <c r="X94" s="123"/>
      <c r="Y94" s="123"/>
      <c r="Z94" s="123"/>
      <c r="AA94" s="6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N94" s="132"/>
      <c r="AO94" s="132"/>
      <c r="AP94" s="141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</row>
    <row r="95" spans="1:59" x14ac:dyDescent="0.3">
      <c r="A95" s="17" t="s">
        <v>116</v>
      </c>
      <c r="B95" s="17" t="s">
        <v>117</v>
      </c>
      <c r="C95" s="62">
        <f>(ACCIDENTES!C95/HH!F95)*1000000</f>
        <v>2.8045868044930731</v>
      </c>
      <c r="D95" s="60">
        <f>(ACCIDENTES!D95/HH!F95)*1000000</f>
        <v>167.47389775401493</v>
      </c>
      <c r="E95" s="60">
        <f>(ACCIDENTES!F95/HH!F95)*1000000</f>
        <v>8.8144156712639443</v>
      </c>
      <c r="F95" s="60">
        <f>((ACCIDENTES!C95+ACCIDENTES!H95)/(HH!F95+HH!J95))*1000000</f>
        <v>2.6225989508954526</v>
      </c>
      <c r="G95" s="60">
        <f>((ACCIDENTES!D95+ACCIDENTES!I95)/(HH!F95+HH!J95))*1000000</f>
        <v>105.50917317833245</v>
      </c>
      <c r="H95" s="60">
        <f>((ACCIDENTES!F95+ACCIDENTES!K95)/(HH!F95+HH!J95))*1000000</f>
        <v>9.0782271377150288</v>
      </c>
      <c r="I95" s="60">
        <f>((ACCIDENTES!C95+ACCIDENTES!H95+ACCIDENTES!M95)/(HH!F95+HH!J95+HH!N95))*1000000</f>
        <v>2.2583336893640595</v>
      </c>
      <c r="J95" s="60">
        <f>((ACCIDENTES!D95+ACCIDENTES!I95+ACCIDENTES!N95)/(HH!F95+HH!J95+HH!N95))*1000000</f>
        <v>97.50687811724822</v>
      </c>
      <c r="K95" s="60">
        <f>((ACCIDENTES!F95+ACCIDENTES!K95+ACCIDENTES!P95)/(HH!J95+HH!N95+HH!F95))*1000000</f>
        <v>8.5019621246646953</v>
      </c>
      <c r="L95" s="60">
        <f>((ACCIDENTES!C95+ACCIDENTES!H95+ACCIDENTES!M95+ACCIDENTES!R95)/(HH!F95+HH!J95+HH!N95+HH!R95))*1000000</f>
        <v>2.3439126539569131</v>
      </c>
      <c r="M95" s="60">
        <f>((ACCIDENTES!D95+ACCIDENTES!I95+ACCIDENTES!N95+ACCIDENTES!S95)/(HH!F95+HH!J95+HH!N95+HH!R95))*1000000</f>
        <v>94.733136430758577</v>
      </c>
      <c r="N95" s="60">
        <f>((ACCIDENTES!F95+ACCIDENTES!K95+ACCIDENTES!P95+ACCIDENTES!U95)/(HH!F95+HH!J95+HH!N95+HH!R95))*1000000</f>
        <v>9.2779875885794478</v>
      </c>
      <c r="O95" s="60">
        <f>((ACCIDENTES!C95+ACCIDENTES!H95+ACCIDENTES!M95+ACCIDENTES!R95+ACCIDENTES!W95)/(HH!F95+HH!J95+HH!N95+HH!R95+HH!V95))*1000000</f>
        <v>2.1580974730620812</v>
      </c>
      <c r="P95" s="60">
        <f>(((ACCIDENTES!D95+ACCIDENTES!I95+ACCIDENTES!N95+ACCIDENTES!S95+ACCIDENTES!X95)/(HH!F95+HH!J95+HH!N95+HH!R95+HH!V95))*1000000)</f>
        <v>77.460284300978287</v>
      </c>
      <c r="Q95" s="149">
        <f>((ACCIDENTES!F95+ACCIDENTES!K95+ACCIDENTES!P95+ACCIDENTES!U95+ACCIDENTES!Z95)/(HH!F95+HH!J95+HH!N95+HH!R95+HH!V95))*1000000</f>
        <v>8.9406895312571955</v>
      </c>
      <c r="R95" s="60">
        <f>(ACCIDENTES!C95+ACCIDENTES!H95+ACCIDENTES!M95+ACCIDENTES!R95+ACCIDENTES!W95+ACCIDENTES!AB95)*1000000/(HH!F95+HH!J95+HH!N95+HH!R95+HH!V95+HH!Z95)</f>
        <v>2.1710638363772268</v>
      </c>
      <c r="S95" s="60">
        <f>(ACCIDENTES!D95+ACCIDENTES!I95+ACCIDENTES!N95+ACCIDENTES!S95+ACCIDENTES!X95+ACCIDENTES!AC95)*1000000/(HH!F95+HH!J95+HH!N95+HH!R95+HH!V95+HH!Z95)</f>
        <v>81.031764951844139</v>
      </c>
      <c r="T95" s="60">
        <f>(ACCIDENTES!F95+ACCIDENTES!K95+ACCIDENTES!P95+ACCIDENTES!U95+ACCIDENTES!Z95+ACCIDENTES!AE95)*1000000/(HH!F95+HH!J95+HH!N95+HH!R95+HH!V95+HH!Z95)</f>
        <v>8.7481101642258849</v>
      </c>
      <c r="U95" s="60">
        <f>((ACCIDENTES!C95+ACCIDENTES!H95+ACCIDENTES!M95+ACCIDENTES!R95+ACCIDENTES!W95+ACCIDENTES!AB95+ACCIDENTES!AG95)/(HH!F95+HH!J95+HH!N95+HH!R95+HH!V95+HH!Z95+HH!AD95))*1000000</f>
        <v>2.2691709602419601</v>
      </c>
      <c r="V95" s="60">
        <f>((ACCIDENTES!D95+ACCIDENTES!I95+ACCIDENTES!N95+ACCIDENTES!S95+ACCIDENTES!X95+ACCIDENTES!AC95+ACCIDENTES!AH95)/(HH!F95+HH!J95+HH!N95+HH!R95+HH!V95+HH!Z95+HH!AD95))*1000000</f>
        <v>83.01844976494975</v>
      </c>
      <c r="W95" s="60">
        <f>((ACCIDENTES!F95+ACCIDENTES!K95+ACCIDENTES!P95+ACCIDENTES!U95+ACCIDENTES!Z95+ACCIDENTES!AE95+ACCIDENTES!AJ95)/(HH!F95+HH!J95+HH!N95+HH!R95+HH!V95+HH!Z95+HH!AD95))*1000000</f>
        <v>9.0213382077912048</v>
      </c>
      <c r="X95" s="60">
        <f>((ACCIDENTES!C95+ACCIDENTES!H95+ACCIDENTES!M95+ACCIDENTES!R95+ACCIDENTES!W95+ACCIDENTES!AB95+ACCIDENTES!AG95+ACCIDENTES!AL95)/(HH!F95+HH!J95+HH!N95+HH!R95+HH!V95+HH!Z95+HH!AD95+HH!AH95))*1000000</f>
        <v>2.2917884839306226</v>
      </c>
      <c r="Y95" s="60">
        <f>((ACCIDENTES!D95+ACCIDENTES!I95+ACCIDENTES!N95+ACCIDENTES!S95+ACCIDENTES!X95+ACCIDENTES!AC95+ACCIDENTES!AH95+ACCIDENTES!AM95)/(HH!F95+HH!J95+HH!N95+HH!R95+HH!V95+HH!Z95+HH!AD95+HH!AH95))*1000000</f>
        <v>86.50282490410477</v>
      </c>
      <c r="Z95" s="60">
        <f>((ACCIDENTES!F95+ACCIDENTES!K95+ACCIDENTES!P95+ACCIDENTES!U95+ACCIDENTES!Z95+ACCIDENTES!AE95+ACCIDENTES!AJ95+ACCIDENTES!AO95)/(HH!F95+HH!J95+HH!N95+HH!R95+HH!V95+HH!Z95+HH!AD95+HH!AH95))*1000000</f>
        <v>9.4597226783519321</v>
      </c>
      <c r="AA95" s="60">
        <f>((ACCIDENTES!AQ95+ACCIDENTES!AL95+ACCIDENTES!AG95+ACCIDENTES!AB95+ACCIDENTES!W95+ACCIDENTES!R95+ACCIDENTES!M95+ACCIDENTES!H95+ACCIDENTES!C95)/(HH!AL95+HH!AH95+HH!AD95+HH!Z95+HH!V95+HH!R95+HH!N95+HH!J95+HH!F95))*1000000</f>
        <v>2.6588650479350302</v>
      </c>
      <c r="AB95" s="60">
        <f>((ACCIDENTES!AR95+ACCIDENTES!AM95+ACCIDENTES!AH95+ACCIDENTES!AC95+ACCIDENTES!X95+ACCIDENTES!S95+ACCIDENTES!N95+ACCIDENTES!I95+ACCIDENTES!D95)/(HH!AL95+HH!AH95+HH!AD95+HH!Z95+HH!V95+HH!R95+HH!N95+HH!J95+HH!F95))*1000000</f>
        <v>84.865741775893511</v>
      </c>
      <c r="AC95" s="60">
        <f>((ACCIDENTES!F95+ACCIDENTES!K95+ACCIDENTES!P95+ACCIDENTES!U95+ACCIDENTES!Z95+ACCIDENTES!AE95+ACCIDENTES!AJ95+ACCIDENTES!AO95+ACCIDENTES!AT95)/(HH!F95+HH!J95+HH!N95+HH!R95+HH!V95+HH!Z95+HH!AD95+HH!AH95+HH!AL95))*1000000</f>
        <v>9.981640917657737</v>
      </c>
      <c r="AD95" s="60">
        <f>((ACCIDENTES!AV95+ACCIDENTES!AQ95+ACCIDENTES!AL95+ACCIDENTES!AG95+ACCIDENTES!AB95+ACCIDENTES!W95+ACCIDENTES!R95+ACCIDENTES!M95+ACCIDENTES!H95+ACCIDENTES!C95)/(HH!F95+HH!J95+HH!N95+HH!R95+HH!V95+HH!Z95+HH!AD95+HH!AH95+HH!AL95+HH!AP95))*1000000</f>
        <v>2.7621119563894072</v>
      </c>
      <c r="AE95" s="60">
        <f>((ACCIDENTES!D95+ACCIDENTES!I95+ACCIDENTES!N95+ACCIDENTES!S95+ACCIDENTES!X95+ACCIDENTES!AC95+ACCIDENTES!AH95+ACCIDENTES!AM95+ACCIDENTES!AR95+ACCIDENTES!AW95)/(HH!AP95+HH!AL95+HH!AH95+HH!AD95+HH!Z95+HH!V95+HH!R95+HH!N95+HH!J95+HH!F95))*1000000</f>
        <v>79.785576797419751</v>
      </c>
      <c r="AF95" s="60">
        <f>((ACCIDENTES!AY95+ACCIDENTES!AT95+ACCIDENTES!AO95+ACCIDENTES!AJ95+ACCIDENTES!AE95+ACCIDENTES!Z95+ACCIDENTES!U95+ACCIDENTES!P95+ACCIDENTES!K95+ACCIDENTES!F95)/(HH!F95+HH!J95+HH!N95+HH!R95+HH!V95+HH!Z95+HH!AD95+HH!AH95+HH!AL95+HH!AP95))*1000000</f>
        <v>10.061979269704269</v>
      </c>
      <c r="AG95" s="60">
        <f>((ACCIDENTES!BA95+ACCIDENTES!AV95+ACCIDENTES!AQ95+ACCIDENTES!AL95+ACCIDENTES!AG95+ACCIDENTES!AB95+ACCIDENTES!W95+ACCIDENTES!R95+ACCIDENTES!M95+ACCIDENTES!H95+ACCIDENTES!C95)/(HH!AT95+HH!AP95+HH!AL95+HH!AH95+HH!AD95+HH!Z95+HH!V95+HH!R95+HH!N95+HH!J95+HH!F95))*1000000</f>
        <v>2.7937024555990986</v>
      </c>
      <c r="AH95" s="60">
        <f>((ACCIDENTES!D95+ACCIDENTES!I95+ACCIDENTES!N95+ACCIDENTES!S95+ACCIDENTES!X95+ACCIDENTES!AC95+ACCIDENTES!AH95+ACCIDENTES!AM95+ACCIDENTES!AR95+ACCIDENTES!AW95+ACCIDENTES!BB95)/(HH!F95+HH!J95+HH!N95+HH!R95+HH!V95+HH!Z95+HH!AD95+HH!AH95+HH!AL95+HH!AP95+HH!AT95))*1000000</f>
        <v>75.321120750957505</v>
      </c>
      <c r="AI95" s="60">
        <f>((ACCIDENTES!BD95+ACCIDENTES!AY95+ACCIDENTES!AT95+ACCIDENTES!AO95+ACCIDENTES!AJ95+ACCIDENTES!AE95+ACCIDENTES!Z95+ACCIDENTES!U95+ACCIDENTES!P95+ACCIDENTES!K95+ACCIDENTES!F95)/(HH!F95+HH!J95+HH!N95+HH!R95+HH!V95+HH!Z95+HH!AD95+HH!AH95+HH!AL95+HH!AP95+HH!AT95))*1000000</f>
        <v>10.086354320214927</v>
      </c>
      <c r="AJ95" s="60">
        <f>(ACCIDENTES!BK95/HH!BB95)*1000000</f>
        <v>2.7204574720515717</v>
      </c>
      <c r="AK95" s="60">
        <f>(ACCIDENTES!BL95/HH!BB95)*1000000</f>
        <v>70.631136589190817</v>
      </c>
      <c r="AL95" s="60">
        <f>(ACCIDENTES!BN95/HH!BB95)*1000000</f>
        <v>9.8742530467057037</v>
      </c>
      <c r="AN95" s="133">
        <f t="shared" si="2"/>
        <v>2.1913432473570795</v>
      </c>
      <c r="AO95" s="133">
        <f t="shared" si="3"/>
        <v>42.588313822047297</v>
      </c>
      <c r="AP95" s="140" t="s">
        <v>107</v>
      </c>
      <c r="AR95" s="60">
        <v>3.2</v>
      </c>
      <c r="AS95" s="60">
        <v>114</v>
      </c>
      <c r="AT95" s="60">
        <v>11.6</v>
      </c>
      <c r="AV95" s="118">
        <v>1.5654738465414342</v>
      </c>
      <c r="AW95" s="60">
        <v>2.1913432473570795</v>
      </c>
      <c r="AX95" s="60">
        <v>2.7170095164820354</v>
      </c>
      <c r="AY95" s="63"/>
      <c r="AZ95" s="118">
        <v>34.162545012705422</v>
      </c>
      <c r="BA95" s="60">
        <v>42.588313822047297</v>
      </c>
      <c r="BB95" s="60">
        <v>51.312857236689673</v>
      </c>
      <c r="BC95" s="63"/>
      <c r="BD95" s="118">
        <v>34.162545012705422</v>
      </c>
      <c r="BE95" s="60">
        <v>42.588313822047297</v>
      </c>
      <c r="BF95" s="60">
        <v>51.312857236689673</v>
      </c>
      <c r="BG95" s="36" t="s">
        <v>109</v>
      </c>
    </row>
    <row r="96" spans="1:59" s="36" customFormat="1" x14ac:dyDescent="0.3"/>
    <row r="97" s="36" customFormat="1" x14ac:dyDescent="0.3"/>
    <row r="98" s="36" customFormat="1" x14ac:dyDescent="0.3"/>
    <row r="99" s="36" customFormat="1" x14ac:dyDescent="0.3"/>
    <row r="100" s="36" customFormat="1" x14ac:dyDescent="0.3"/>
  </sheetData>
  <mergeCells count="26">
    <mergeCell ref="A60:B60"/>
    <mergeCell ref="A69:B69"/>
    <mergeCell ref="A70:B70"/>
    <mergeCell ref="A77:B77"/>
    <mergeCell ref="F3:H3"/>
    <mergeCell ref="AD3:AF3"/>
    <mergeCell ref="C3:E3"/>
    <mergeCell ref="AR3:AT3"/>
    <mergeCell ref="I3:K3"/>
    <mergeCell ref="L3:N3"/>
    <mergeCell ref="AV3:AX3"/>
    <mergeCell ref="AZ3:BB3"/>
    <mergeCell ref="AV2:BB2"/>
    <mergeCell ref="BD3:BF3"/>
    <mergeCell ref="A79:B79"/>
    <mergeCell ref="AN3:AP3"/>
    <mergeCell ref="AG3:AI3"/>
    <mergeCell ref="AJ3:AL3"/>
    <mergeCell ref="A40:B40"/>
    <mergeCell ref="A49:B49"/>
    <mergeCell ref="A59:B59"/>
    <mergeCell ref="O3:Q3"/>
    <mergeCell ref="R3:T3"/>
    <mergeCell ref="U3:W3"/>
    <mergeCell ref="X3:Z3"/>
    <mergeCell ref="AA3:AC3"/>
  </mergeCells>
  <pageMargins left="0.7" right="0.7" top="0.75" bottom="0.75" header="0.3" footer="0.3"/>
  <ignoredErrors>
    <ignoredError sqref="D79 P79 D23:D77 D5:D21 P5:P10 P12:P21 P23:P77" evalError="1"/>
    <ignoredError sqref="AN5:AO69 AN90:AO91 AN82:AO84 AN86:AN88 AO87:AO88 AN95:AO95 AP59 AT49 AN79:AO79 C82:C91 AN71:AO77 C93:C95" unlockedFormula="1"/>
    <ignoredError sqref="C79 C6:C11 C23:C77 C13:C21" evalError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B285-3AC6-4C69-9EC1-8C058840E50F}">
  <dimension ref="C2:D66"/>
  <sheetViews>
    <sheetView workbookViewId="0">
      <selection activeCell="C2" sqref="C2"/>
    </sheetView>
  </sheetViews>
  <sheetFormatPr baseColWidth="10" defaultColWidth="8.88671875" defaultRowHeight="14.4" x14ac:dyDescent="0.3"/>
  <cols>
    <col min="3" max="3" width="15.5546875" bestFit="1" customWidth="1"/>
    <col min="4" max="4" width="36.88671875" bestFit="1" customWidth="1"/>
  </cols>
  <sheetData>
    <row r="2" spans="3:4" x14ac:dyDescent="0.3">
      <c r="C2" s="142" t="s">
        <v>20</v>
      </c>
      <c r="D2" s="143" t="s">
        <v>21</v>
      </c>
    </row>
    <row r="3" spans="3:4" x14ac:dyDescent="0.3">
      <c r="C3" s="1" t="s">
        <v>25</v>
      </c>
      <c r="D3" s="2" t="s">
        <v>26</v>
      </c>
    </row>
    <row r="4" spans="3:4" x14ac:dyDescent="0.3">
      <c r="C4" s="3" t="s">
        <v>25</v>
      </c>
      <c r="D4" s="4" t="s">
        <v>27</v>
      </c>
    </row>
    <row r="5" spans="3:4" x14ac:dyDescent="0.3">
      <c r="C5" s="3" t="s">
        <v>25</v>
      </c>
      <c r="D5" s="4" t="s">
        <v>28</v>
      </c>
    </row>
    <row r="6" spans="3:4" x14ac:dyDescent="0.3">
      <c r="C6" s="3" t="s">
        <v>25</v>
      </c>
      <c r="D6" s="4" t="s">
        <v>30</v>
      </c>
    </row>
    <row r="7" spans="3:4" x14ac:dyDescent="0.3">
      <c r="C7" s="3" t="s">
        <v>25</v>
      </c>
      <c r="D7" s="4" t="s">
        <v>31</v>
      </c>
    </row>
    <row r="8" spans="3:4" x14ac:dyDescent="0.3">
      <c r="C8" s="3" t="s">
        <v>25</v>
      </c>
      <c r="D8" s="4" t="s">
        <v>32</v>
      </c>
    </row>
    <row r="9" spans="3:4" x14ac:dyDescent="0.3">
      <c r="C9" s="3" t="s">
        <v>25</v>
      </c>
      <c r="D9" s="5" t="s">
        <v>33</v>
      </c>
    </row>
    <row r="10" spans="3:4" x14ac:dyDescent="0.3">
      <c r="C10" s="6" t="s">
        <v>25</v>
      </c>
      <c r="D10" s="7" t="s">
        <v>34</v>
      </c>
    </row>
    <row r="11" spans="3:4" x14ac:dyDescent="0.3">
      <c r="C11" s="6" t="s">
        <v>25</v>
      </c>
      <c r="D11" s="7" t="s">
        <v>35</v>
      </c>
    </row>
    <row r="12" spans="3:4" x14ac:dyDescent="0.3">
      <c r="C12" s="3" t="s">
        <v>25</v>
      </c>
      <c r="D12" s="4" t="s">
        <v>36</v>
      </c>
    </row>
    <row r="13" spans="3:4" x14ac:dyDescent="0.3">
      <c r="C13" s="3" t="s">
        <v>25</v>
      </c>
      <c r="D13" s="4" t="s">
        <v>37</v>
      </c>
    </row>
    <row r="14" spans="3:4" x14ac:dyDescent="0.3">
      <c r="C14" s="3" t="s">
        <v>25</v>
      </c>
      <c r="D14" s="8" t="s">
        <v>38</v>
      </c>
    </row>
    <row r="15" spans="3:4" x14ac:dyDescent="0.3">
      <c r="C15" s="3" t="s">
        <v>25</v>
      </c>
      <c r="D15" s="4" t="s">
        <v>39</v>
      </c>
    </row>
    <row r="16" spans="3:4" x14ac:dyDescent="0.3">
      <c r="C16" s="3" t="s">
        <v>25</v>
      </c>
      <c r="D16" s="4" t="s">
        <v>40</v>
      </c>
    </row>
    <row r="17" spans="3:4" x14ac:dyDescent="0.3">
      <c r="C17" s="3" t="s">
        <v>25</v>
      </c>
      <c r="D17" s="5" t="s">
        <v>41</v>
      </c>
    </row>
    <row r="18" spans="3:4" x14ac:dyDescent="0.3">
      <c r="C18" s="3" t="s">
        <v>25</v>
      </c>
      <c r="D18" s="5" t="s">
        <v>42</v>
      </c>
    </row>
    <row r="19" spans="3:4" x14ac:dyDescent="0.3">
      <c r="C19" s="3" t="s">
        <v>25</v>
      </c>
      <c r="D19" s="4" t="s">
        <v>43</v>
      </c>
    </row>
    <row r="20" spans="3:4" x14ac:dyDescent="0.3">
      <c r="C20" s="3" t="s">
        <v>25</v>
      </c>
      <c r="D20" s="4" t="s">
        <v>44</v>
      </c>
    </row>
    <row r="21" spans="3:4" x14ac:dyDescent="0.3">
      <c r="C21" s="6" t="s">
        <v>25</v>
      </c>
      <c r="D21" s="7" t="s">
        <v>45</v>
      </c>
    </row>
    <row r="22" spans="3:4" x14ac:dyDescent="0.3">
      <c r="C22" s="3" t="s">
        <v>25</v>
      </c>
      <c r="D22" s="9" t="s">
        <v>46</v>
      </c>
    </row>
    <row r="23" spans="3:4" x14ac:dyDescent="0.3">
      <c r="C23" s="3" t="s">
        <v>25</v>
      </c>
      <c r="D23" s="9" t="s">
        <v>47</v>
      </c>
    </row>
    <row r="24" spans="3:4" x14ac:dyDescent="0.3">
      <c r="C24" s="3" t="s">
        <v>25</v>
      </c>
      <c r="D24" s="9" t="s">
        <v>48</v>
      </c>
    </row>
    <row r="25" spans="3:4" x14ac:dyDescent="0.3">
      <c r="C25" s="3" t="s">
        <v>25</v>
      </c>
      <c r="D25" s="9" t="s">
        <v>49</v>
      </c>
    </row>
    <row r="26" spans="3:4" x14ac:dyDescent="0.3">
      <c r="C26" s="3" t="s">
        <v>25</v>
      </c>
      <c r="D26" s="9" t="s">
        <v>50</v>
      </c>
    </row>
    <row r="27" spans="3:4" x14ac:dyDescent="0.3">
      <c r="C27" s="3" t="s">
        <v>25</v>
      </c>
      <c r="D27" s="52" t="s">
        <v>80</v>
      </c>
    </row>
    <row r="28" spans="3:4" x14ac:dyDescent="0.3">
      <c r="C28" s="3" t="s">
        <v>25</v>
      </c>
      <c r="D28" s="52" t="s">
        <v>81</v>
      </c>
    </row>
    <row r="29" spans="3:4" x14ac:dyDescent="0.3">
      <c r="C29" s="3" t="s">
        <v>25</v>
      </c>
      <c r="D29" s="52" t="s">
        <v>53</v>
      </c>
    </row>
    <row r="30" spans="3:4" x14ac:dyDescent="0.3">
      <c r="C30" s="6" t="s">
        <v>25</v>
      </c>
      <c r="D30" s="7" t="s">
        <v>54</v>
      </c>
    </row>
    <row r="31" spans="3:4" x14ac:dyDescent="0.3">
      <c r="C31" s="3" t="s">
        <v>25</v>
      </c>
      <c r="D31" s="4" t="s">
        <v>55</v>
      </c>
    </row>
    <row r="32" spans="3:4" x14ac:dyDescent="0.3">
      <c r="C32" s="3" t="s">
        <v>25</v>
      </c>
      <c r="D32" s="4" t="s">
        <v>56</v>
      </c>
    </row>
    <row r="33" spans="3:4" x14ac:dyDescent="0.3">
      <c r="C33" s="3" t="s">
        <v>25</v>
      </c>
      <c r="D33" s="4" t="s">
        <v>57</v>
      </c>
    </row>
    <row r="34" spans="3:4" x14ac:dyDescent="0.3">
      <c r="C34" s="3" t="s">
        <v>25</v>
      </c>
      <c r="D34" s="4" t="s">
        <v>58</v>
      </c>
    </row>
    <row r="35" spans="3:4" x14ac:dyDescent="0.3">
      <c r="C35" s="3" t="s">
        <v>25</v>
      </c>
      <c r="D35" s="4" t="s">
        <v>59</v>
      </c>
    </row>
    <row r="36" spans="3:4" x14ac:dyDescent="0.3">
      <c r="C36" s="3" t="s">
        <v>25</v>
      </c>
      <c r="D36" s="4" t="s">
        <v>60</v>
      </c>
    </row>
    <row r="37" spans="3:4" x14ac:dyDescent="0.3">
      <c r="C37" s="3" t="s">
        <v>25</v>
      </c>
      <c r="D37" s="4" t="s">
        <v>61</v>
      </c>
    </row>
    <row r="38" spans="3:4" x14ac:dyDescent="0.3">
      <c r="C38" s="319" t="s">
        <v>118</v>
      </c>
      <c r="D38" s="320"/>
    </row>
    <row r="39" spans="3:4" x14ac:dyDescent="0.3">
      <c r="C39" s="10" t="s">
        <v>63</v>
      </c>
      <c r="D39" s="4" t="s">
        <v>64</v>
      </c>
    </row>
    <row r="40" spans="3:4" x14ac:dyDescent="0.3">
      <c r="C40" s="10" t="s">
        <v>63</v>
      </c>
      <c r="D40" s="4" t="s">
        <v>65</v>
      </c>
    </row>
    <row r="41" spans="3:4" x14ac:dyDescent="0.3">
      <c r="C41" s="10" t="s">
        <v>63</v>
      </c>
      <c r="D41" s="4" t="s">
        <v>66</v>
      </c>
    </row>
    <row r="42" spans="3:4" x14ac:dyDescent="0.3">
      <c r="C42" s="10" t="s">
        <v>63</v>
      </c>
      <c r="D42" s="5" t="s">
        <v>67</v>
      </c>
    </row>
    <row r="43" spans="3:4" x14ac:dyDescent="0.3">
      <c r="C43" s="10" t="s">
        <v>63</v>
      </c>
      <c r="D43" s="5" t="s">
        <v>68</v>
      </c>
    </row>
    <row r="44" spans="3:4" x14ac:dyDescent="0.3">
      <c r="C44" s="10" t="s">
        <v>63</v>
      </c>
      <c r="D44" s="5" t="s">
        <v>69</v>
      </c>
    </row>
    <row r="45" spans="3:4" x14ac:dyDescent="0.3">
      <c r="C45" s="10" t="s">
        <v>63</v>
      </c>
      <c r="D45" s="4" t="s">
        <v>70</v>
      </c>
    </row>
    <row r="46" spans="3:4" x14ac:dyDescent="0.3">
      <c r="C46" s="10" t="s">
        <v>63</v>
      </c>
      <c r="D46" s="4" t="s">
        <v>71</v>
      </c>
    </row>
    <row r="47" spans="3:4" x14ac:dyDescent="0.3">
      <c r="C47" s="321" t="s">
        <v>63</v>
      </c>
      <c r="D47" s="322"/>
    </row>
    <row r="48" spans="3:4" x14ac:dyDescent="0.3">
      <c r="C48" s="10" t="s">
        <v>72</v>
      </c>
      <c r="D48" s="5" t="s">
        <v>73</v>
      </c>
    </row>
    <row r="49" spans="3:4" x14ac:dyDescent="0.3">
      <c r="C49" s="10" t="s">
        <v>72</v>
      </c>
      <c r="D49" s="5" t="s">
        <v>74</v>
      </c>
    </row>
    <row r="50" spans="3:4" x14ac:dyDescent="0.3">
      <c r="C50" s="10" t="s">
        <v>72</v>
      </c>
      <c r="D50" s="5" t="s">
        <v>75</v>
      </c>
    </row>
    <row r="51" spans="3:4" x14ac:dyDescent="0.3">
      <c r="C51" s="10" t="s">
        <v>72</v>
      </c>
      <c r="D51" s="5" t="s">
        <v>76</v>
      </c>
    </row>
    <row r="52" spans="3:4" x14ac:dyDescent="0.3">
      <c r="C52" s="10" t="s">
        <v>72</v>
      </c>
      <c r="D52" s="5" t="s">
        <v>77</v>
      </c>
    </row>
    <row r="53" spans="3:4" x14ac:dyDescent="0.3">
      <c r="C53" s="10" t="s">
        <v>72</v>
      </c>
      <c r="D53" s="5" t="s">
        <v>78</v>
      </c>
    </row>
    <row r="54" spans="3:4" x14ac:dyDescent="0.3">
      <c r="C54" s="10" t="s">
        <v>72</v>
      </c>
      <c r="D54" s="5" t="s">
        <v>79</v>
      </c>
    </row>
    <row r="55" spans="3:4" x14ac:dyDescent="0.3">
      <c r="C55" s="10" t="s">
        <v>72</v>
      </c>
      <c r="D55" s="5" t="s">
        <v>80</v>
      </c>
    </row>
    <row r="56" spans="3:4" x14ac:dyDescent="0.3">
      <c r="C56" s="10" t="s">
        <v>72</v>
      </c>
      <c r="D56" s="5" t="s">
        <v>81</v>
      </c>
    </row>
    <row r="57" spans="3:4" x14ac:dyDescent="0.3">
      <c r="C57" s="323" t="s">
        <v>82</v>
      </c>
      <c r="D57" s="324"/>
    </row>
    <row r="58" spans="3:4" x14ac:dyDescent="0.3">
      <c r="C58" s="335" t="s">
        <v>83</v>
      </c>
      <c r="D58" s="336"/>
    </row>
    <row r="59" spans="3:4" x14ac:dyDescent="0.3">
      <c r="C59" s="10" t="s">
        <v>84</v>
      </c>
      <c r="D59" s="11" t="s">
        <v>85</v>
      </c>
    </row>
    <row r="60" spans="3:4" x14ac:dyDescent="0.3">
      <c r="C60" s="10" t="s">
        <v>84</v>
      </c>
      <c r="D60" s="11" t="s">
        <v>86</v>
      </c>
    </row>
    <row r="61" spans="3:4" x14ac:dyDescent="0.3">
      <c r="C61" s="10" t="s">
        <v>84</v>
      </c>
      <c r="D61" s="11" t="s">
        <v>87</v>
      </c>
    </row>
    <row r="62" spans="3:4" x14ac:dyDescent="0.3">
      <c r="C62" s="10" t="s">
        <v>84</v>
      </c>
      <c r="D62" s="11" t="s">
        <v>88</v>
      </c>
    </row>
    <row r="63" spans="3:4" x14ac:dyDescent="0.3">
      <c r="C63" s="10" t="s">
        <v>84</v>
      </c>
      <c r="D63" s="11" t="s">
        <v>89</v>
      </c>
    </row>
    <row r="64" spans="3:4" x14ac:dyDescent="0.3">
      <c r="C64" s="10" t="s">
        <v>84</v>
      </c>
      <c r="D64" s="11" t="s">
        <v>119</v>
      </c>
    </row>
    <row r="65" spans="3:4" x14ac:dyDescent="0.3">
      <c r="C65" s="10" t="s">
        <v>84</v>
      </c>
      <c r="D65" s="11" t="s">
        <v>120</v>
      </c>
    </row>
    <row r="66" spans="3:4" x14ac:dyDescent="0.3">
      <c r="C66" s="10" t="s">
        <v>84</v>
      </c>
      <c r="D66" s="11" t="s">
        <v>92</v>
      </c>
    </row>
  </sheetData>
  <mergeCells count="4">
    <mergeCell ref="C38:D38"/>
    <mergeCell ref="C47:D47"/>
    <mergeCell ref="C57:D57"/>
    <mergeCell ref="C58:D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13"/>
  <sheetViews>
    <sheetView zoomScale="81" zoomScaleNormal="81" workbookViewId="0">
      <pane xSplit="2" ySplit="4" topLeftCell="BD5" activePane="bottomRight" state="frozen"/>
      <selection pane="topRight" activeCell="C1" sqref="C1"/>
      <selection pane="bottomLeft" activeCell="A5" sqref="A5"/>
      <selection pane="bottomRight" activeCell="BK6" sqref="BK6"/>
    </sheetView>
  </sheetViews>
  <sheetFormatPr baseColWidth="10" defaultColWidth="11.44140625" defaultRowHeight="14.4" outlineLevelRow="2" x14ac:dyDescent="0.3"/>
  <cols>
    <col min="1" max="1" width="19.5546875" customWidth="1"/>
    <col min="2" max="2" width="38.44140625" customWidth="1"/>
    <col min="3" max="3" width="12.88671875" customWidth="1"/>
    <col min="4" max="4" width="8.88671875" style="248" customWidth="1"/>
    <col min="5" max="5" width="12.44140625" customWidth="1"/>
    <col min="6" max="6" width="11.88671875" customWidth="1"/>
    <col min="7" max="7" width="12.5546875" customWidth="1"/>
    <col min="8" max="8" width="11.88671875" customWidth="1"/>
    <col min="9" max="9" width="8.88671875" style="248" customWidth="1"/>
    <col min="10" max="11" width="11.88671875" customWidth="1"/>
    <col min="12" max="12" width="12.5546875" customWidth="1"/>
    <col min="13" max="13" width="11.88671875" customWidth="1"/>
    <col min="14" max="14" width="8.88671875" style="248" customWidth="1"/>
    <col min="15" max="16" width="11.88671875" customWidth="1"/>
    <col min="17" max="17" width="12.5546875" customWidth="1"/>
    <col min="18" max="18" width="11.88671875" customWidth="1"/>
    <col min="19" max="19" width="8.88671875" style="248" customWidth="1"/>
    <col min="20" max="21" width="11.88671875" customWidth="1"/>
    <col min="22" max="22" width="12.5546875" customWidth="1"/>
    <col min="23" max="23" width="11.88671875" customWidth="1"/>
    <col min="24" max="24" width="8.88671875" style="248" customWidth="1"/>
    <col min="25" max="26" width="11.88671875" customWidth="1"/>
    <col min="27" max="27" width="12.5546875" customWidth="1"/>
    <col min="28" max="28" width="11.88671875" customWidth="1"/>
    <col min="29" max="29" width="10.44140625" style="248" customWidth="1"/>
    <col min="30" max="31" width="11.88671875" customWidth="1"/>
    <col min="32" max="32" width="12.5546875" customWidth="1"/>
    <col min="33" max="33" width="11.88671875" customWidth="1"/>
    <col min="34" max="34" width="8.88671875" style="248" customWidth="1"/>
    <col min="35" max="36" width="11.88671875" customWidth="1"/>
    <col min="37" max="37" width="11.44140625" customWidth="1"/>
    <col min="38" max="38" width="11.88671875" customWidth="1"/>
    <col min="39" max="39" width="8.88671875" style="248" customWidth="1"/>
    <col min="40" max="41" width="11.88671875" customWidth="1"/>
    <col min="42" max="42" width="12.5546875" customWidth="1"/>
    <col min="43" max="43" width="11.88671875" customWidth="1"/>
    <col min="44" max="44" width="8.88671875" style="248" customWidth="1"/>
    <col min="45" max="46" width="11.88671875" customWidth="1"/>
    <col min="47" max="47" width="12.5546875" customWidth="1"/>
    <col min="48" max="48" width="11.88671875" customWidth="1"/>
    <col min="49" max="49" width="8.88671875" style="248" customWidth="1"/>
    <col min="50" max="51" width="11.88671875" customWidth="1"/>
    <col min="52" max="52" width="12.5546875" customWidth="1"/>
    <col min="53" max="53" width="11.88671875" customWidth="1"/>
    <col min="54" max="54" width="8.88671875" customWidth="1"/>
    <col min="55" max="56" width="11.88671875" customWidth="1"/>
    <col min="57" max="57" width="12.5546875" customWidth="1"/>
    <col min="58" max="58" width="11.88671875" customWidth="1"/>
    <col min="59" max="59" width="8.88671875" customWidth="1"/>
    <col min="60" max="61" width="11.88671875" customWidth="1"/>
    <col min="62" max="62" width="12.5546875" customWidth="1"/>
    <col min="63" max="63" width="11.44140625" customWidth="1"/>
    <col min="64" max="64" width="11.44140625" style="248" customWidth="1"/>
    <col min="65" max="66" width="11.88671875" customWidth="1"/>
    <col min="67" max="67" width="12.5546875" customWidth="1"/>
    <col min="68" max="68" width="11.44140625" customWidth="1"/>
    <col min="69" max="69" width="11.44140625" hidden="1" customWidth="1"/>
    <col min="70" max="70" width="8.88671875" hidden="1" customWidth="1"/>
    <col min="71" max="72" width="11.88671875" hidden="1" customWidth="1"/>
    <col min="73" max="73" width="12.5546875" hidden="1" customWidth="1"/>
    <col min="74" max="74" width="1.5546875" hidden="1" customWidth="1"/>
    <col min="75" max="75" width="11.88671875" hidden="1" customWidth="1"/>
    <col min="76" max="76" width="8.88671875" hidden="1" customWidth="1"/>
    <col min="77" max="78" width="11.88671875" hidden="1" customWidth="1"/>
    <col min="79" max="79" width="12.5546875" hidden="1" customWidth="1"/>
  </cols>
  <sheetData>
    <row r="1" spans="1:79" x14ac:dyDescent="0.3">
      <c r="L1" s="44"/>
      <c r="AF1" s="44">
        <f>D59+I59+N59+S59+X59+AC59+AH59+AM59+AR59</f>
        <v>612</v>
      </c>
    </row>
    <row r="2" spans="1:79" x14ac:dyDescent="0.3">
      <c r="A2" s="20" t="s">
        <v>121</v>
      </c>
    </row>
    <row r="3" spans="1:79" x14ac:dyDescent="0.3">
      <c r="A3" s="158"/>
      <c r="B3" s="14"/>
      <c r="C3" s="325" t="s">
        <v>3</v>
      </c>
      <c r="D3" s="325"/>
      <c r="E3" s="325"/>
      <c r="F3" s="325"/>
      <c r="G3" s="325"/>
      <c r="H3" s="339" t="s">
        <v>4</v>
      </c>
      <c r="I3" s="340"/>
      <c r="J3" s="340"/>
      <c r="K3" s="340"/>
      <c r="L3" s="341"/>
      <c r="M3" s="339" t="s">
        <v>5</v>
      </c>
      <c r="N3" s="340"/>
      <c r="O3" s="340"/>
      <c r="P3" s="340"/>
      <c r="Q3" s="341"/>
      <c r="R3" s="339" t="s">
        <v>6</v>
      </c>
      <c r="S3" s="340"/>
      <c r="T3" s="340"/>
      <c r="U3" s="340"/>
      <c r="V3" s="341"/>
      <c r="W3" s="339" t="s">
        <v>7</v>
      </c>
      <c r="X3" s="340"/>
      <c r="Y3" s="340"/>
      <c r="Z3" s="340"/>
      <c r="AA3" s="341"/>
      <c r="AB3" s="339" t="s">
        <v>8</v>
      </c>
      <c r="AC3" s="340"/>
      <c r="AD3" s="340"/>
      <c r="AE3" s="340"/>
      <c r="AF3" s="341"/>
      <c r="AG3" s="339" t="s">
        <v>9</v>
      </c>
      <c r="AH3" s="340"/>
      <c r="AI3" s="340"/>
      <c r="AJ3" s="340"/>
      <c r="AK3" s="341"/>
      <c r="AL3" s="339" t="s">
        <v>10</v>
      </c>
      <c r="AM3" s="340"/>
      <c r="AN3" s="340"/>
      <c r="AO3" s="340"/>
      <c r="AP3" s="341"/>
      <c r="AQ3" s="339" t="s">
        <v>11</v>
      </c>
      <c r="AR3" s="340"/>
      <c r="AS3" s="340"/>
      <c r="AT3" s="340"/>
      <c r="AU3" s="341"/>
      <c r="AV3" s="339" t="s">
        <v>12</v>
      </c>
      <c r="AW3" s="340"/>
      <c r="AX3" s="340"/>
      <c r="AY3" s="340"/>
      <c r="AZ3" s="341"/>
      <c r="BA3" s="339" t="s">
        <v>13</v>
      </c>
      <c r="BB3" s="340"/>
      <c r="BC3" s="340"/>
      <c r="BD3" s="340"/>
      <c r="BE3" s="341"/>
      <c r="BF3" s="339" t="s">
        <v>14</v>
      </c>
      <c r="BG3" s="340"/>
      <c r="BH3" s="340"/>
      <c r="BI3" s="340"/>
      <c r="BJ3" s="341"/>
      <c r="BK3" s="342" t="s">
        <v>122</v>
      </c>
      <c r="BL3" s="343"/>
      <c r="BM3" s="343"/>
      <c r="BN3" s="343"/>
      <c r="BO3" s="344"/>
      <c r="BQ3" s="342" t="s">
        <v>123</v>
      </c>
      <c r="BR3" s="343"/>
      <c r="BS3" s="343"/>
      <c r="BT3" s="343"/>
      <c r="BU3" s="344"/>
      <c r="BW3" s="342" t="s">
        <v>124</v>
      </c>
      <c r="BX3" s="343"/>
      <c r="BY3" s="343"/>
      <c r="BZ3" s="343"/>
      <c r="CA3" s="344"/>
    </row>
    <row r="4" spans="1:79" ht="45" customHeight="1" thickBot="1" x14ac:dyDescent="0.35">
      <c r="A4" s="142" t="s">
        <v>20</v>
      </c>
      <c r="B4" s="143" t="s">
        <v>21</v>
      </c>
      <c r="C4" s="21" t="s">
        <v>125</v>
      </c>
      <c r="D4" s="249" t="s">
        <v>126</v>
      </c>
      <c r="E4" s="21" t="s">
        <v>127</v>
      </c>
      <c r="F4" s="22" t="s">
        <v>128</v>
      </c>
      <c r="G4" s="22" t="s">
        <v>129</v>
      </c>
      <c r="H4" s="21" t="s">
        <v>125</v>
      </c>
      <c r="I4" s="249" t="s">
        <v>126</v>
      </c>
      <c r="J4" s="21" t="s">
        <v>127</v>
      </c>
      <c r="K4" s="22" t="s">
        <v>128</v>
      </c>
      <c r="L4" s="22" t="s">
        <v>129</v>
      </c>
      <c r="M4" s="21" t="s">
        <v>125</v>
      </c>
      <c r="N4" s="249" t="s">
        <v>126</v>
      </c>
      <c r="O4" s="21" t="s">
        <v>127</v>
      </c>
      <c r="P4" s="22" t="s">
        <v>128</v>
      </c>
      <c r="Q4" s="22" t="s">
        <v>129</v>
      </c>
      <c r="R4" s="21" t="s">
        <v>125</v>
      </c>
      <c r="S4" s="249" t="s">
        <v>126</v>
      </c>
      <c r="T4" s="21" t="s">
        <v>127</v>
      </c>
      <c r="U4" s="22" t="s">
        <v>128</v>
      </c>
      <c r="V4" s="22" t="s">
        <v>129</v>
      </c>
      <c r="W4" s="21" t="s">
        <v>125</v>
      </c>
      <c r="X4" s="249" t="s">
        <v>126</v>
      </c>
      <c r="Y4" s="21" t="s">
        <v>127</v>
      </c>
      <c r="Z4" s="22" t="s">
        <v>128</v>
      </c>
      <c r="AA4" s="22" t="s">
        <v>129</v>
      </c>
      <c r="AB4" s="21" t="s">
        <v>125</v>
      </c>
      <c r="AC4" s="249" t="s">
        <v>126</v>
      </c>
      <c r="AD4" s="21" t="s">
        <v>127</v>
      </c>
      <c r="AE4" s="22" t="s">
        <v>128</v>
      </c>
      <c r="AF4" s="22" t="s">
        <v>129</v>
      </c>
      <c r="AG4" s="21" t="s">
        <v>125</v>
      </c>
      <c r="AH4" s="249" t="s">
        <v>126</v>
      </c>
      <c r="AI4" s="21" t="s">
        <v>127</v>
      </c>
      <c r="AJ4" s="22" t="s">
        <v>128</v>
      </c>
      <c r="AK4" s="22" t="s">
        <v>129</v>
      </c>
      <c r="AL4" s="21" t="s">
        <v>125</v>
      </c>
      <c r="AM4" s="249" t="s">
        <v>126</v>
      </c>
      <c r="AN4" s="21" t="s">
        <v>127</v>
      </c>
      <c r="AO4" s="22" t="s">
        <v>128</v>
      </c>
      <c r="AP4" s="22" t="s">
        <v>129</v>
      </c>
      <c r="AQ4" s="21" t="s">
        <v>125</v>
      </c>
      <c r="AR4" s="249" t="s">
        <v>126</v>
      </c>
      <c r="AS4" s="21" t="s">
        <v>127</v>
      </c>
      <c r="AT4" s="22" t="s">
        <v>128</v>
      </c>
      <c r="AU4" s="22" t="s">
        <v>129</v>
      </c>
      <c r="AV4" s="21" t="s">
        <v>125</v>
      </c>
      <c r="AW4" s="249" t="s">
        <v>126</v>
      </c>
      <c r="AX4" s="21" t="s">
        <v>127</v>
      </c>
      <c r="AY4" s="22" t="s">
        <v>128</v>
      </c>
      <c r="AZ4" s="22" t="s">
        <v>129</v>
      </c>
      <c r="BA4" s="21" t="s">
        <v>125</v>
      </c>
      <c r="BB4" s="21" t="s">
        <v>126</v>
      </c>
      <c r="BC4" s="21" t="s">
        <v>127</v>
      </c>
      <c r="BD4" s="22" t="s">
        <v>128</v>
      </c>
      <c r="BE4" s="22" t="s">
        <v>129</v>
      </c>
      <c r="BF4" s="21" t="s">
        <v>125</v>
      </c>
      <c r="BG4" s="21" t="s">
        <v>126</v>
      </c>
      <c r="BH4" s="21" t="s">
        <v>127</v>
      </c>
      <c r="BI4" s="22" t="s">
        <v>128</v>
      </c>
      <c r="BJ4" s="22" t="s">
        <v>129</v>
      </c>
      <c r="BK4" s="21" t="s">
        <v>125</v>
      </c>
      <c r="BL4" s="249" t="s">
        <v>126</v>
      </c>
      <c r="BM4" s="21" t="s">
        <v>127</v>
      </c>
      <c r="BN4" s="22" t="s">
        <v>128</v>
      </c>
      <c r="BO4" s="22" t="s">
        <v>129</v>
      </c>
      <c r="BQ4" s="21" t="s">
        <v>125</v>
      </c>
      <c r="BR4" s="21" t="s">
        <v>126</v>
      </c>
      <c r="BS4" s="21" t="s">
        <v>127</v>
      </c>
      <c r="BT4" s="22" t="s">
        <v>128</v>
      </c>
      <c r="BU4" s="22" t="s">
        <v>129</v>
      </c>
      <c r="BW4" s="21" t="s">
        <v>125</v>
      </c>
      <c r="BX4" s="21" t="s">
        <v>126</v>
      </c>
      <c r="BY4" s="21" t="s">
        <v>127</v>
      </c>
      <c r="BZ4" s="22" t="s">
        <v>128</v>
      </c>
      <c r="CA4" s="22" t="s">
        <v>129</v>
      </c>
    </row>
    <row r="5" spans="1:79" outlineLevel="2" x14ac:dyDescent="0.3">
      <c r="A5" s="1" t="s">
        <v>25</v>
      </c>
      <c r="B5" s="2" t="s">
        <v>26</v>
      </c>
      <c r="C5" s="94"/>
      <c r="D5" s="250"/>
      <c r="E5" s="94"/>
      <c r="F5" s="107">
        <f>C5+E5</f>
        <v>0</v>
      </c>
      <c r="G5" s="107"/>
      <c r="H5" s="108"/>
      <c r="I5" s="250"/>
      <c r="J5" s="108"/>
      <c r="K5" s="107">
        <f>H5+J5</f>
        <v>0</v>
      </c>
      <c r="L5" s="107"/>
      <c r="M5" s="108"/>
      <c r="N5" s="250"/>
      <c r="O5" s="108"/>
      <c r="P5" s="107">
        <f>M5+O5</f>
        <v>0</v>
      </c>
      <c r="Q5" s="107"/>
      <c r="R5" s="108"/>
      <c r="S5" s="250"/>
      <c r="T5" s="108"/>
      <c r="U5" s="107">
        <f>R5+T5</f>
        <v>0</v>
      </c>
      <c r="V5" s="107"/>
      <c r="W5" s="108">
        <v>1</v>
      </c>
      <c r="X5" s="250">
        <v>1</v>
      </c>
      <c r="Y5" s="108">
        <v>0</v>
      </c>
      <c r="Z5" s="107">
        <f>W5+Y5</f>
        <v>1</v>
      </c>
      <c r="AA5" s="107"/>
      <c r="AB5" s="56">
        <v>0</v>
      </c>
      <c r="AC5" s="259">
        <v>0</v>
      </c>
      <c r="AD5" s="56">
        <v>0</v>
      </c>
      <c r="AE5" s="55">
        <f>AB5+AD5</f>
        <v>0</v>
      </c>
      <c r="AF5" s="55"/>
      <c r="AG5" s="56">
        <v>0</v>
      </c>
      <c r="AH5" s="259">
        <v>0</v>
      </c>
      <c r="AI5" s="56">
        <v>0</v>
      </c>
      <c r="AJ5" s="55">
        <f>AG5+AI5</f>
        <v>0</v>
      </c>
      <c r="AK5" s="55">
        <v>0</v>
      </c>
      <c r="AL5" s="56">
        <v>0</v>
      </c>
      <c r="AM5" s="259">
        <v>0</v>
      </c>
      <c r="AN5" s="56">
        <v>0</v>
      </c>
      <c r="AO5" s="55">
        <f>AL5+AN5</f>
        <v>0</v>
      </c>
      <c r="AP5" s="55">
        <v>0</v>
      </c>
      <c r="AQ5" s="56">
        <v>0</v>
      </c>
      <c r="AR5" s="259">
        <v>0</v>
      </c>
      <c r="AS5" s="56">
        <v>0</v>
      </c>
      <c r="AT5" s="55">
        <f>AQ5+AS5</f>
        <v>0</v>
      </c>
      <c r="AU5" s="55">
        <v>0</v>
      </c>
      <c r="AV5" s="56">
        <v>0</v>
      </c>
      <c r="AW5" s="259">
        <v>0</v>
      </c>
      <c r="AX5" s="56">
        <v>0</v>
      </c>
      <c r="AY5" s="55">
        <f>AV5+AX5</f>
        <v>0</v>
      </c>
      <c r="AZ5" s="55">
        <v>0</v>
      </c>
      <c r="BA5" s="56">
        <v>0</v>
      </c>
      <c r="BB5" s="15">
        <v>0</v>
      </c>
      <c r="BC5" s="56">
        <v>0</v>
      </c>
      <c r="BD5" s="55">
        <f>BA5+BC5</f>
        <v>0</v>
      </c>
      <c r="BE5" s="55">
        <v>0</v>
      </c>
      <c r="BF5" s="56">
        <v>0</v>
      </c>
      <c r="BG5" s="15">
        <v>0</v>
      </c>
      <c r="BH5" s="56">
        <v>0</v>
      </c>
      <c r="BI5" s="55">
        <f>BF5+BH5</f>
        <v>0</v>
      </c>
      <c r="BJ5" s="55"/>
      <c r="BK5" s="15">
        <f>SUM(BF5,BA5,AV5,AQ5,AL5,AG5,AB5,W5,R5,M5,H5,C5)</f>
        <v>1</v>
      </c>
      <c r="BL5" s="259">
        <f t="shared" ref="BL5:BL37" si="0">SUM(BG5,BB5,AW5,AR5,AM5,AH5,AC5,X5,S5,N5,I5,D5)</f>
        <v>1</v>
      </c>
      <c r="BM5" s="15">
        <f>SUM(BH5,BC5,AX5,AS5,AN5,AI5,AD5,Y5,T5,O5,J5,E5)</f>
        <v>0</v>
      </c>
      <c r="BN5" s="55">
        <f>SUM(BI5,BD5,AY5,AT5,AO5,AJ5,AE5,Z5,U5,P5,K5,F5)</f>
        <v>1</v>
      </c>
      <c r="BO5" s="55"/>
      <c r="BQ5" s="15">
        <f>C5+H5+M5</f>
        <v>0</v>
      </c>
      <c r="BR5" s="15">
        <f>D5+I5+N5</f>
        <v>0</v>
      </c>
      <c r="BS5" s="15">
        <f>E5+J5+O5</f>
        <v>0</v>
      </c>
      <c r="BT5" s="55">
        <f>BQ5+BS5</f>
        <v>0</v>
      </c>
      <c r="BU5" s="55"/>
      <c r="BW5" s="15">
        <f>R5+W5+AB5</f>
        <v>1</v>
      </c>
      <c r="BX5" s="15">
        <f>S5+X5+AC5</f>
        <v>1</v>
      </c>
      <c r="BY5" s="15">
        <f>T5+Y5+AD5</f>
        <v>0</v>
      </c>
      <c r="BZ5" s="55">
        <f>BW5+BY5</f>
        <v>1</v>
      </c>
      <c r="CA5" s="55"/>
    </row>
    <row r="6" spans="1:79" outlineLevel="2" x14ac:dyDescent="0.3">
      <c r="A6" s="3" t="s">
        <v>25</v>
      </c>
      <c r="B6" s="4" t="s">
        <v>27</v>
      </c>
      <c r="C6" s="95"/>
      <c r="D6" s="251"/>
      <c r="E6" s="95"/>
      <c r="F6" s="107">
        <f t="shared" ref="F6:F70" si="1">C6+E6</f>
        <v>0</v>
      </c>
      <c r="G6" s="107"/>
      <c r="H6" s="109"/>
      <c r="I6" s="251"/>
      <c r="J6" s="109"/>
      <c r="K6" s="107">
        <f t="shared" ref="K6:K70" si="2">H6+J6</f>
        <v>0</v>
      </c>
      <c r="L6" s="107"/>
      <c r="M6" s="109"/>
      <c r="N6" s="251"/>
      <c r="O6" s="109"/>
      <c r="P6" s="107">
        <f t="shared" ref="P6:P70" si="3">M6+O6</f>
        <v>0</v>
      </c>
      <c r="Q6" s="107"/>
      <c r="R6" s="109"/>
      <c r="S6" s="251"/>
      <c r="T6" s="109">
        <v>1</v>
      </c>
      <c r="U6" s="107">
        <f t="shared" ref="U6:U70" si="4">R6+T6</f>
        <v>1</v>
      </c>
      <c r="V6" s="107"/>
      <c r="W6" s="109"/>
      <c r="X6" s="251"/>
      <c r="Y6" s="109"/>
      <c r="Z6" s="107">
        <f t="shared" ref="Z6:Z70" si="5">W6+Y6</f>
        <v>0</v>
      </c>
      <c r="AA6" s="107"/>
      <c r="AB6" s="46">
        <v>1</v>
      </c>
      <c r="AC6" s="252">
        <v>26</v>
      </c>
      <c r="AD6" s="46">
        <v>0</v>
      </c>
      <c r="AE6" s="55">
        <f t="shared" ref="AE6:AE70" si="6">AB6+AD6</f>
        <v>1</v>
      </c>
      <c r="AF6" s="55"/>
      <c r="AG6" s="46">
        <v>0</v>
      </c>
      <c r="AH6" s="252">
        <v>0</v>
      </c>
      <c r="AI6" s="46">
        <v>0</v>
      </c>
      <c r="AJ6" s="55">
        <f t="shared" ref="AJ6:AJ70" si="7">AG6+AI6</f>
        <v>0</v>
      </c>
      <c r="AK6" s="55">
        <v>0</v>
      </c>
      <c r="AL6" s="46">
        <v>0</v>
      </c>
      <c r="AM6" s="252">
        <v>0</v>
      </c>
      <c r="AN6" s="46">
        <v>1</v>
      </c>
      <c r="AO6" s="55">
        <f t="shared" ref="AO6:AO70" si="8">AL6+AN6</f>
        <v>1</v>
      </c>
      <c r="AP6" s="55">
        <v>0</v>
      </c>
      <c r="AQ6" s="46">
        <v>0</v>
      </c>
      <c r="AR6" s="252">
        <v>0</v>
      </c>
      <c r="AS6" s="46">
        <v>0</v>
      </c>
      <c r="AT6" s="55">
        <f t="shared" ref="AT6:AT70" si="9">AQ6+AS6</f>
        <v>0</v>
      </c>
      <c r="AU6" s="55">
        <v>0</v>
      </c>
      <c r="AV6" s="46">
        <v>0</v>
      </c>
      <c r="AW6" s="252">
        <v>0</v>
      </c>
      <c r="AX6" s="46">
        <v>0</v>
      </c>
      <c r="AY6" s="55">
        <f t="shared" ref="AY6:AY70" si="10">AV6+AX6</f>
        <v>0</v>
      </c>
      <c r="AZ6" s="55">
        <v>0</v>
      </c>
      <c r="BA6" s="46">
        <v>0</v>
      </c>
      <c r="BB6" s="16">
        <v>0</v>
      </c>
      <c r="BC6" s="46">
        <v>1</v>
      </c>
      <c r="BD6" s="55">
        <f t="shared" ref="BD6:BD70" si="11">BA6+BC6</f>
        <v>1</v>
      </c>
      <c r="BE6" s="55">
        <v>0</v>
      </c>
      <c r="BF6" s="46">
        <v>0</v>
      </c>
      <c r="BG6" s="16">
        <v>0</v>
      </c>
      <c r="BH6" s="46">
        <v>0</v>
      </c>
      <c r="BI6" s="55">
        <f t="shared" ref="BI6:BI70" si="12">BF6+BH6</f>
        <v>0</v>
      </c>
      <c r="BJ6" s="55"/>
      <c r="BK6" s="15">
        <f t="shared" ref="BK6:BK37" si="13">SUM(BF6,BA6,AV6,AQ6,AL6,AG6,AB6,W6,R6,M6,H6,C6)</f>
        <v>1</v>
      </c>
      <c r="BL6" s="259">
        <f t="shared" si="0"/>
        <v>26</v>
      </c>
      <c r="BM6" s="15">
        <f t="shared" ref="BM6:BM70" si="14">SUM(BH6,BC6,AX6,AS6,AN6,AI6,AD6,Y6,T6,O6,J6,E6)</f>
        <v>3</v>
      </c>
      <c r="BN6" s="55">
        <f t="shared" ref="BN6:BN37" si="15">SUM(BI6,BD6,AY6,AT6,AO6,AJ6,AE6,Z6,U6,P6,K6,F6)</f>
        <v>4</v>
      </c>
      <c r="BO6" s="55"/>
      <c r="BQ6" s="15">
        <f t="shared" ref="BQ6:BQ69" si="16">C6+H6+M6</f>
        <v>0</v>
      </c>
      <c r="BR6" s="15">
        <f t="shared" ref="BR6:BR69" si="17">D6+I6+N6</f>
        <v>0</v>
      </c>
      <c r="BS6" s="15">
        <f t="shared" ref="BS6:BS69" si="18">E6+J6+O6</f>
        <v>0</v>
      </c>
      <c r="BT6" s="55">
        <f t="shared" ref="BT6:BT69" si="19">BQ6+BS6</f>
        <v>0</v>
      </c>
      <c r="BU6" s="55"/>
      <c r="BW6" s="15">
        <f t="shared" ref="BW6:BW69" si="20">R6+W6+AB6</f>
        <v>1</v>
      </c>
      <c r="BX6" s="15">
        <f t="shared" ref="BX6:BX69" si="21">S6+X6+AC6</f>
        <v>26</v>
      </c>
      <c r="BY6" s="15">
        <f t="shared" ref="BY6:BY69" si="22">T6+Y6+AD6</f>
        <v>1</v>
      </c>
      <c r="BZ6" s="55">
        <f t="shared" ref="BZ6:BZ69" si="23">BW6+BY6</f>
        <v>2</v>
      </c>
      <c r="CA6" s="55"/>
    </row>
    <row r="7" spans="1:79" outlineLevel="2" x14ac:dyDescent="0.3">
      <c r="A7" s="3" t="s">
        <v>25</v>
      </c>
      <c r="B7" s="4" t="s">
        <v>28</v>
      </c>
      <c r="C7" s="95">
        <v>0</v>
      </c>
      <c r="D7" s="251">
        <v>0</v>
      </c>
      <c r="E7" s="95">
        <v>3</v>
      </c>
      <c r="F7" s="107">
        <f t="shared" si="1"/>
        <v>3</v>
      </c>
      <c r="G7" s="107"/>
      <c r="H7" s="109">
        <v>2</v>
      </c>
      <c r="I7" s="251">
        <v>32</v>
      </c>
      <c r="J7" s="109"/>
      <c r="K7" s="107">
        <f t="shared" si="2"/>
        <v>2</v>
      </c>
      <c r="L7" s="107"/>
      <c r="M7" s="109">
        <v>1</v>
      </c>
      <c r="N7" s="251">
        <v>8</v>
      </c>
      <c r="O7" s="109"/>
      <c r="P7" s="107">
        <f t="shared" si="3"/>
        <v>1</v>
      </c>
      <c r="Q7" s="107"/>
      <c r="R7" s="109">
        <v>0</v>
      </c>
      <c r="S7" s="251">
        <v>0</v>
      </c>
      <c r="T7" s="109">
        <v>1</v>
      </c>
      <c r="U7" s="107">
        <f t="shared" si="4"/>
        <v>1</v>
      </c>
      <c r="V7" s="107"/>
      <c r="W7" s="109">
        <v>0</v>
      </c>
      <c r="X7" s="251">
        <v>0</v>
      </c>
      <c r="Y7" s="109">
        <v>1</v>
      </c>
      <c r="Z7" s="107">
        <f t="shared" si="5"/>
        <v>1</v>
      </c>
      <c r="AA7" s="107">
        <v>0</v>
      </c>
      <c r="AB7" s="46">
        <v>0</v>
      </c>
      <c r="AC7" s="252">
        <v>0</v>
      </c>
      <c r="AD7" s="46">
        <v>2</v>
      </c>
      <c r="AE7" s="55">
        <f t="shared" si="6"/>
        <v>2</v>
      </c>
      <c r="AF7" s="55"/>
      <c r="AG7" s="46">
        <v>0</v>
      </c>
      <c r="AH7" s="252">
        <v>0</v>
      </c>
      <c r="AI7" s="46">
        <v>1</v>
      </c>
      <c r="AJ7" s="55">
        <f t="shared" si="7"/>
        <v>1</v>
      </c>
      <c r="AK7" s="55">
        <v>0</v>
      </c>
      <c r="AL7" s="46">
        <v>0</v>
      </c>
      <c r="AM7" s="252">
        <v>0</v>
      </c>
      <c r="AN7" s="46">
        <v>2</v>
      </c>
      <c r="AO7" s="55">
        <f t="shared" si="8"/>
        <v>2</v>
      </c>
      <c r="AP7" s="55">
        <v>0</v>
      </c>
      <c r="AQ7" s="46">
        <v>2</v>
      </c>
      <c r="AR7" s="252">
        <v>25</v>
      </c>
      <c r="AS7" s="46">
        <v>3</v>
      </c>
      <c r="AT7" s="55">
        <f t="shared" si="9"/>
        <v>5</v>
      </c>
      <c r="AU7" s="55"/>
      <c r="AV7" s="46">
        <v>2</v>
      </c>
      <c r="AW7" s="252">
        <v>30</v>
      </c>
      <c r="AX7" s="46">
        <v>3</v>
      </c>
      <c r="AY7" s="55">
        <f t="shared" si="10"/>
        <v>5</v>
      </c>
      <c r="AZ7" s="55"/>
      <c r="BA7" s="46">
        <v>0</v>
      </c>
      <c r="BB7" s="16">
        <v>0</v>
      </c>
      <c r="BC7" s="46">
        <v>1</v>
      </c>
      <c r="BD7" s="55">
        <f t="shared" si="11"/>
        <v>1</v>
      </c>
      <c r="BE7" s="55">
        <v>0</v>
      </c>
      <c r="BF7" s="46">
        <v>0</v>
      </c>
      <c r="BG7" s="16">
        <v>0</v>
      </c>
      <c r="BH7" s="46">
        <v>1</v>
      </c>
      <c r="BI7" s="55">
        <f t="shared" si="12"/>
        <v>1</v>
      </c>
      <c r="BJ7" s="55">
        <v>1</v>
      </c>
      <c r="BK7" s="15">
        <f t="shared" si="13"/>
        <v>7</v>
      </c>
      <c r="BL7" s="259">
        <f t="shared" si="0"/>
        <v>95</v>
      </c>
      <c r="BM7" s="15">
        <f t="shared" si="14"/>
        <v>18</v>
      </c>
      <c r="BN7" s="55">
        <f>SUM(BI7,BD7,AY7,AT7,AO7,AJ7,AE7,Z7,U7,P7,K7,F7)</f>
        <v>25</v>
      </c>
      <c r="BO7" s="55"/>
      <c r="BQ7" s="15">
        <f t="shared" si="16"/>
        <v>3</v>
      </c>
      <c r="BR7" s="15">
        <f t="shared" si="17"/>
        <v>40</v>
      </c>
      <c r="BS7" s="15">
        <f t="shared" si="18"/>
        <v>3</v>
      </c>
      <c r="BT7" s="55">
        <f t="shared" si="19"/>
        <v>6</v>
      </c>
      <c r="BU7" s="55"/>
      <c r="BW7" s="15">
        <f t="shared" si="20"/>
        <v>0</v>
      </c>
      <c r="BX7" s="15">
        <f t="shared" si="21"/>
        <v>0</v>
      </c>
      <c r="BY7" s="15">
        <f t="shared" si="22"/>
        <v>4</v>
      </c>
      <c r="BZ7" s="55">
        <f t="shared" si="23"/>
        <v>4</v>
      </c>
      <c r="CA7" s="55"/>
    </row>
    <row r="8" spans="1:79" outlineLevel="2" x14ac:dyDescent="0.3">
      <c r="A8" s="3" t="s">
        <v>25</v>
      </c>
      <c r="B8" s="4" t="s">
        <v>30</v>
      </c>
      <c r="C8" s="46">
        <v>0</v>
      </c>
      <c r="D8" s="252">
        <v>0</v>
      </c>
      <c r="E8" s="46">
        <v>0</v>
      </c>
      <c r="F8" s="107">
        <f t="shared" si="1"/>
        <v>0</v>
      </c>
      <c r="G8" s="107"/>
      <c r="H8" s="46">
        <v>0</v>
      </c>
      <c r="I8" s="252">
        <v>0</v>
      </c>
      <c r="J8" s="46">
        <v>0</v>
      </c>
      <c r="K8" s="107">
        <f t="shared" si="2"/>
        <v>0</v>
      </c>
      <c r="L8" s="107"/>
      <c r="M8" s="46">
        <v>0</v>
      </c>
      <c r="N8" s="252">
        <v>0</v>
      </c>
      <c r="O8" s="46">
        <v>0</v>
      </c>
      <c r="P8" s="107">
        <f t="shared" si="3"/>
        <v>0</v>
      </c>
      <c r="Q8" s="107"/>
      <c r="R8" s="46">
        <v>0</v>
      </c>
      <c r="S8" s="252">
        <v>0</v>
      </c>
      <c r="T8" s="46">
        <v>0</v>
      </c>
      <c r="U8" s="107">
        <f t="shared" si="4"/>
        <v>0</v>
      </c>
      <c r="V8" s="107"/>
      <c r="W8" s="46">
        <v>0</v>
      </c>
      <c r="X8" s="252">
        <v>0</v>
      </c>
      <c r="Y8" s="46">
        <v>0</v>
      </c>
      <c r="Z8" s="107">
        <f t="shared" si="5"/>
        <v>0</v>
      </c>
      <c r="AA8" s="107"/>
      <c r="AB8" s="46">
        <v>0</v>
      </c>
      <c r="AC8" s="252">
        <v>0</v>
      </c>
      <c r="AD8" s="46">
        <v>0</v>
      </c>
      <c r="AE8" s="55">
        <f t="shared" si="6"/>
        <v>0</v>
      </c>
      <c r="AF8" s="55"/>
      <c r="AG8" s="46">
        <v>0</v>
      </c>
      <c r="AH8" s="252">
        <v>0</v>
      </c>
      <c r="AI8" s="46">
        <v>0</v>
      </c>
      <c r="AJ8" s="55">
        <f t="shared" si="7"/>
        <v>0</v>
      </c>
      <c r="AK8" s="55">
        <v>0</v>
      </c>
      <c r="AL8" s="46">
        <v>1</v>
      </c>
      <c r="AM8" s="252">
        <v>94</v>
      </c>
      <c r="AN8" s="46">
        <v>0</v>
      </c>
      <c r="AO8" s="55">
        <f t="shared" si="8"/>
        <v>1</v>
      </c>
      <c r="AP8" s="55">
        <v>0</v>
      </c>
      <c r="AQ8" s="46"/>
      <c r="AR8" s="252"/>
      <c r="AS8" s="46"/>
      <c r="AT8" s="55">
        <f t="shared" si="9"/>
        <v>0</v>
      </c>
      <c r="AU8" s="55"/>
      <c r="AV8" s="46">
        <v>1</v>
      </c>
      <c r="AW8" s="252">
        <v>2</v>
      </c>
      <c r="AX8" s="46"/>
      <c r="AY8" s="55">
        <f t="shared" si="10"/>
        <v>1</v>
      </c>
      <c r="AZ8" s="55"/>
      <c r="BA8" s="46">
        <v>1</v>
      </c>
      <c r="BB8" s="16">
        <v>2</v>
      </c>
      <c r="BC8" s="46">
        <v>0</v>
      </c>
      <c r="BD8" s="55">
        <f>BA8+BC8</f>
        <v>1</v>
      </c>
      <c r="BE8" s="55">
        <v>0</v>
      </c>
      <c r="BF8" s="46">
        <v>1</v>
      </c>
      <c r="BG8" s="16">
        <v>1</v>
      </c>
      <c r="BH8" s="46">
        <v>0</v>
      </c>
      <c r="BI8" s="55">
        <f t="shared" si="12"/>
        <v>1</v>
      </c>
      <c r="BJ8" s="55">
        <v>0</v>
      </c>
      <c r="BK8" s="15">
        <f t="shared" si="13"/>
        <v>4</v>
      </c>
      <c r="BL8" s="259">
        <f t="shared" si="0"/>
        <v>99</v>
      </c>
      <c r="BM8" s="15">
        <f t="shared" si="14"/>
        <v>0</v>
      </c>
      <c r="BN8" s="55">
        <f t="shared" si="15"/>
        <v>4</v>
      </c>
      <c r="BO8" s="55"/>
      <c r="BQ8" s="15">
        <f t="shared" si="16"/>
        <v>0</v>
      </c>
      <c r="BR8" s="15">
        <f t="shared" si="17"/>
        <v>0</v>
      </c>
      <c r="BS8" s="15">
        <f t="shared" si="18"/>
        <v>0</v>
      </c>
      <c r="BT8" s="55">
        <f t="shared" si="19"/>
        <v>0</v>
      </c>
      <c r="BU8" s="55"/>
      <c r="BW8" s="15">
        <f t="shared" si="20"/>
        <v>0</v>
      </c>
      <c r="BX8" s="15">
        <f t="shared" si="21"/>
        <v>0</v>
      </c>
      <c r="BY8" s="15">
        <f t="shared" si="22"/>
        <v>0</v>
      </c>
      <c r="BZ8" s="55">
        <f t="shared" si="23"/>
        <v>0</v>
      </c>
      <c r="CA8" s="55"/>
    </row>
    <row r="9" spans="1:79" outlineLevel="2" x14ac:dyDescent="0.3">
      <c r="A9" s="3" t="s">
        <v>25</v>
      </c>
      <c r="B9" s="4" t="s">
        <v>31</v>
      </c>
      <c r="C9" s="95">
        <v>1</v>
      </c>
      <c r="D9" s="251">
        <v>180</v>
      </c>
      <c r="E9" s="95">
        <v>0</v>
      </c>
      <c r="F9" s="107">
        <f t="shared" si="1"/>
        <v>1</v>
      </c>
      <c r="G9" s="107">
        <v>0</v>
      </c>
      <c r="H9" s="109">
        <v>0</v>
      </c>
      <c r="I9" s="251">
        <v>0</v>
      </c>
      <c r="J9" s="109">
        <v>0</v>
      </c>
      <c r="K9" s="107">
        <f t="shared" si="2"/>
        <v>0</v>
      </c>
      <c r="L9" s="107">
        <v>0</v>
      </c>
      <c r="M9" s="109">
        <v>0</v>
      </c>
      <c r="N9" s="251">
        <v>0</v>
      </c>
      <c r="O9" s="109">
        <v>0</v>
      </c>
      <c r="P9" s="107">
        <f t="shared" si="3"/>
        <v>0</v>
      </c>
      <c r="Q9" s="107">
        <v>0</v>
      </c>
      <c r="R9" s="109">
        <v>0</v>
      </c>
      <c r="S9" s="252">
        <v>0</v>
      </c>
      <c r="T9" s="109">
        <v>2</v>
      </c>
      <c r="U9" s="107">
        <f t="shared" si="4"/>
        <v>2</v>
      </c>
      <c r="V9" s="107">
        <v>0</v>
      </c>
      <c r="W9" s="109">
        <v>0</v>
      </c>
      <c r="X9" s="252">
        <v>0</v>
      </c>
      <c r="Y9" s="109">
        <v>0</v>
      </c>
      <c r="Z9" s="107">
        <f t="shared" si="5"/>
        <v>0</v>
      </c>
      <c r="AA9" s="107">
        <v>0</v>
      </c>
      <c r="AB9" s="46">
        <v>0</v>
      </c>
      <c r="AC9" s="252">
        <v>0</v>
      </c>
      <c r="AD9" s="46">
        <v>0</v>
      </c>
      <c r="AE9" s="55">
        <f t="shared" si="6"/>
        <v>0</v>
      </c>
      <c r="AF9" s="55">
        <v>0</v>
      </c>
      <c r="AG9" s="46">
        <v>0</v>
      </c>
      <c r="AH9" s="252">
        <v>0</v>
      </c>
      <c r="AI9" s="46">
        <v>1</v>
      </c>
      <c r="AJ9" s="55">
        <f t="shared" si="7"/>
        <v>1</v>
      </c>
      <c r="AK9" s="55">
        <v>0</v>
      </c>
      <c r="AL9" s="46">
        <v>1</v>
      </c>
      <c r="AM9" s="252">
        <v>136</v>
      </c>
      <c r="AN9" s="46">
        <v>0</v>
      </c>
      <c r="AO9" s="55">
        <f t="shared" si="8"/>
        <v>1</v>
      </c>
      <c r="AP9" s="55">
        <v>0</v>
      </c>
      <c r="AQ9" s="46">
        <v>4</v>
      </c>
      <c r="AR9" s="252">
        <v>15</v>
      </c>
      <c r="AS9" s="46">
        <v>2</v>
      </c>
      <c r="AT9" s="55">
        <f t="shared" si="9"/>
        <v>6</v>
      </c>
      <c r="AU9" s="55">
        <v>0</v>
      </c>
      <c r="AV9" s="46">
        <v>1</v>
      </c>
      <c r="AW9" s="252">
        <v>8</v>
      </c>
      <c r="AX9" s="46">
        <v>0</v>
      </c>
      <c r="AY9" s="55">
        <f t="shared" si="10"/>
        <v>1</v>
      </c>
      <c r="AZ9" s="55"/>
      <c r="BA9" s="46">
        <v>0</v>
      </c>
      <c r="BB9" s="16">
        <v>0</v>
      </c>
      <c r="BC9" s="46">
        <v>2</v>
      </c>
      <c r="BD9" s="55">
        <f t="shared" si="11"/>
        <v>2</v>
      </c>
      <c r="BE9" s="55"/>
      <c r="BF9" s="46">
        <v>0</v>
      </c>
      <c r="BG9" s="16">
        <v>0</v>
      </c>
      <c r="BH9" s="46">
        <v>1</v>
      </c>
      <c r="BI9" s="55">
        <f t="shared" si="12"/>
        <v>1</v>
      </c>
      <c r="BJ9" s="55">
        <v>0</v>
      </c>
      <c r="BK9" s="15">
        <f>SUM(BF9,BA9,AV9,AQ9,AL9,AG9,AB9,W9,R9,M9,H9,C9)</f>
        <v>7</v>
      </c>
      <c r="BL9" s="259">
        <f t="shared" si="0"/>
        <v>339</v>
      </c>
      <c r="BM9" s="15">
        <f>SUM(BH9,BC9,AX9,AS9,AN9,AI9,AD9,Y9,T9,O9,J9,E9)</f>
        <v>8</v>
      </c>
      <c r="BN9" s="55">
        <f t="shared" si="15"/>
        <v>15</v>
      </c>
      <c r="BO9" s="55"/>
      <c r="BQ9" s="15">
        <f t="shared" si="16"/>
        <v>1</v>
      </c>
      <c r="BR9" s="15">
        <f t="shared" si="17"/>
        <v>180</v>
      </c>
      <c r="BS9" s="15">
        <f t="shared" si="18"/>
        <v>0</v>
      </c>
      <c r="BT9" s="55">
        <f t="shared" si="19"/>
        <v>1</v>
      </c>
      <c r="BU9" s="55"/>
      <c r="BW9" s="15">
        <f t="shared" si="20"/>
        <v>0</v>
      </c>
      <c r="BX9" s="15">
        <f t="shared" si="21"/>
        <v>0</v>
      </c>
      <c r="BY9" s="15">
        <f t="shared" si="22"/>
        <v>2</v>
      </c>
      <c r="BZ9" s="55">
        <f t="shared" si="23"/>
        <v>2</v>
      </c>
      <c r="CA9" s="55"/>
    </row>
    <row r="10" spans="1:79" outlineLevel="2" x14ac:dyDescent="0.3">
      <c r="A10" s="3" t="s">
        <v>25</v>
      </c>
      <c r="B10" s="4" t="s">
        <v>32</v>
      </c>
      <c r="C10" s="95">
        <v>1</v>
      </c>
      <c r="D10" s="251">
        <v>180</v>
      </c>
      <c r="E10" s="95">
        <v>0</v>
      </c>
      <c r="F10" s="107">
        <f t="shared" si="1"/>
        <v>1</v>
      </c>
      <c r="G10" s="107">
        <v>0</v>
      </c>
      <c r="H10" s="109">
        <v>0</v>
      </c>
      <c r="I10" s="251">
        <v>0</v>
      </c>
      <c r="J10" s="109">
        <v>0</v>
      </c>
      <c r="K10" s="107">
        <f t="shared" si="2"/>
        <v>0</v>
      </c>
      <c r="L10" s="107">
        <v>0</v>
      </c>
      <c r="M10" s="109">
        <v>1</v>
      </c>
      <c r="N10" s="251">
        <v>6</v>
      </c>
      <c r="O10" s="109">
        <v>0</v>
      </c>
      <c r="P10" s="107">
        <f t="shared" si="3"/>
        <v>1</v>
      </c>
      <c r="Q10" s="107">
        <v>0</v>
      </c>
      <c r="R10" s="109">
        <v>0</v>
      </c>
      <c r="S10" s="252">
        <v>0</v>
      </c>
      <c r="T10" s="109">
        <v>1</v>
      </c>
      <c r="U10" s="107">
        <f t="shared" si="4"/>
        <v>1</v>
      </c>
      <c r="V10" s="107">
        <v>0</v>
      </c>
      <c r="W10" s="109">
        <v>0</v>
      </c>
      <c r="X10" s="252">
        <v>0</v>
      </c>
      <c r="Y10" s="109">
        <v>0</v>
      </c>
      <c r="Z10" s="107">
        <f t="shared" si="5"/>
        <v>0</v>
      </c>
      <c r="AA10" s="107">
        <v>0</v>
      </c>
      <c r="AB10" s="46">
        <v>0</v>
      </c>
      <c r="AC10" s="252">
        <v>0</v>
      </c>
      <c r="AD10" s="46">
        <v>0</v>
      </c>
      <c r="AE10" s="55">
        <f t="shared" si="6"/>
        <v>0</v>
      </c>
      <c r="AF10" s="55">
        <v>0</v>
      </c>
      <c r="AG10" s="46">
        <v>0</v>
      </c>
      <c r="AH10" s="252">
        <v>0</v>
      </c>
      <c r="AI10" s="46">
        <v>0</v>
      </c>
      <c r="AJ10" s="55">
        <f t="shared" si="7"/>
        <v>0</v>
      </c>
      <c r="AK10" s="55">
        <v>0</v>
      </c>
      <c r="AL10" s="46">
        <v>0</v>
      </c>
      <c r="AM10" s="252">
        <v>0</v>
      </c>
      <c r="AN10" s="46">
        <v>0</v>
      </c>
      <c r="AO10" s="55">
        <f t="shared" si="8"/>
        <v>0</v>
      </c>
      <c r="AP10" s="55">
        <v>0</v>
      </c>
      <c r="AQ10" s="46">
        <v>0</v>
      </c>
      <c r="AR10" s="252">
        <v>0</v>
      </c>
      <c r="AS10" s="46">
        <v>0</v>
      </c>
      <c r="AT10" s="55">
        <f t="shared" si="9"/>
        <v>0</v>
      </c>
      <c r="AU10" s="55">
        <v>0</v>
      </c>
      <c r="AV10" s="46">
        <v>0</v>
      </c>
      <c r="AW10" s="252">
        <v>0</v>
      </c>
      <c r="AX10" s="46">
        <v>0</v>
      </c>
      <c r="AY10" s="55">
        <f t="shared" si="10"/>
        <v>0</v>
      </c>
      <c r="AZ10" s="55"/>
      <c r="BA10" s="46">
        <v>0</v>
      </c>
      <c r="BB10" s="16">
        <v>0</v>
      </c>
      <c r="BC10" s="46">
        <v>0</v>
      </c>
      <c r="BD10" s="55">
        <f t="shared" si="11"/>
        <v>0</v>
      </c>
      <c r="BE10" s="55"/>
      <c r="BF10" s="46"/>
      <c r="BG10" s="16"/>
      <c r="BH10" s="46"/>
      <c r="BI10" s="55">
        <f t="shared" si="12"/>
        <v>0</v>
      </c>
      <c r="BJ10" s="55"/>
      <c r="BK10" s="15">
        <f t="shared" si="13"/>
        <v>2</v>
      </c>
      <c r="BL10" s="259">
        <f t="shared" si="0"/>
        <v>186</v>
      </c>
      <c r="BM10" s="15">
        <f t="shared" si="14"/>
        <v>1</v>
      </c>
      <c r="BN10" s="55">
        <f t="shared" si="15"/>
        <v>3</v>
      </c>
      <c r="BO10" s="55"/>
      <c r="BQ10" s="15">
        <f t="shared" si="16"/>
        <v>2</v>
      </c>
      <c r="BR10" s="15">
        <f t="shared" si="17"/>
        <v>186</v>
      </c>
      <c r="BS10" s="15">
        <f t="shared" si="18"/>
        <v>0</v>
      </c>
      <c r="BT10" s="55">
        <f t="shared" si="19"/>
        <v>2</v>
      </c>
      <c r="BU10" s="55"/>
      <c r="BW10" s="15">
        <f t="shared" si="20"/>
        <v>0</v>
      </c>
      <c r="BX10" s="15">
        <f t="shared" si="21"/>
        <v>0</v>
      </c>
      <c r="BY10" s="15">
        <f t="shared" si="22"/>
        <v>1</v>
      </c>
      <c r="BZ10" s="55">
        <f t="shared" si="23"/>
        <v>1</v>
      </c>
      <c r="CA10" s="55"/>
    </row>
    <row r="11" spans="1:79" outlineLevel="2" x14ac:dyDescent="0.3">
      <c r="A11" s="3" t="s">
        <v>25</v>
      </c>
      <c r="B11" s="5" t="s">
        <v>33</v>
      </c>
      <c r="C11" s="95"/>
      <c r="D11" s="251"/>
      <c r="E11" s="95"/>
      <c r="F11" s="107">
        <f t="shared" si="1"/>
        <v>0</v>
      </c>
      <c r="G11" s="107"/>
      <c r="H11" s="109"/>
      <c r="I11" s="251"/>
      <c r="J11" s="109"/>
      <c r="K11" s="107">
        <f t="shared" si="2"/>
        <v>0</v>
      </c>
      <c r="L11" s="107"/>
      <c r="M11" s="109"/>
      <c r="N11" s="251"/>
      <c r="O11" s="109">
        <v>5</v>
      </c>
      <c r="P11" s="107">
        <f t="shared" si="3"/>
        <v>5</v>
      </c>
      <c r="Q11" s="107"/>
      <c r="R11" s="109">
        <v>1</v>
      </c>
      <c r="S11" s="251">
        <v>119</v>
      </c>
      <c r="T11" s="109">
        <v>0</v>
      </c>
      <c r="U11" s="107">
        <f t="shared" si="4"/>
        <v>1</v>
      </c>
      <c r="V11" s="107">
        <v>0</v>
      </c>
      <c r="W11" s="109">
        <v>2</v>
      </c>
      <c r="X11" s="251">
        <v>14</v>
      </c>
      <c r="Y11" s="109">
        <v>0</v>
      </c>
      <c r="Z11" s="107">
        <f t="shared" si="5"/>
        <v>2</v>
      </c>
      <c r="AA11" s="107">
        <v>0</v>
      </c>
      <c r="AB11" s="46">
        <v>0</v>
      </c>
      <c r="AC11" s="252">
        <v>0</v>
      </c>
      <c r="AD11" s="46">
        <v>0</v>
      </c>
      <c r="AE11" s="55">
        <f>AB11+AD11</f>
        <v>0</v>
      </c>
      <c r="AF11" s="55">
        <v>0</v>
      </c>
      <c r="AG11" s="46">
        <v>0</v>
      </c>
      <c r="AH11" s="252">
        <v>0</v>
      </c>
      <c r="AI11" s="46">
        <v>3</v>
      </c>
      <c r="AJ11" s="55">
        <f t="shared" si="7"/>
        <v>3</v>
      </c>
      <c r="AK11" s="55">
        <v>0</v>
      </c>
      <c r="AL11" s="46">
        <v>0</v>
      </c>
      <c r="AM11" s="252">
        <v>0</v>
      </c>
      <c r="AN11" s="46">
        <v>1</v>
      </c>
      <c r="AO11" s="55">
        <f t="shared" si="8"/>
        <v>1</v>
      </c>
      <c r="AP11" s="55">
        <v>0</v>
      </c>
      <c r="AQ11" s="46">
        <v>0</v>
      </c>
      <c r="AR11" s="252">
        <v>0</v>
      </c>
      <c r="AS11" s="46">
        <v>0</v>
      </c>
      <c r="AT11" s="55">
        <f>AQ11+AS11</f>
        <v>0</v>
      </c>
      <c r="AU11" s="55">
        <v>1</v>
      </c>
      <c r="AV11" s="46">
        <v>0</v>
      </c>
      <c r="AW11" s="252">
        <v>0</v>
      </c>
      <c r="AX11" s="46">
        <v>1</v>
      </c>
      <c r="AY11" s="55">
        <f t="shared" si="10"/>
        <v>1</v>
      </c>
      <c r="AZ11" s="55">
        <v>0</v>
      </c>
      <c r="BA11" s="46">
        <v>0</v>
      </c>
      <c r="BB11" s="16">
        <v>0</v>
      </c>
      <c r="BC11" s="46">
        <v>1</v>
      </c>
      <c r="BD11" s="55">
        <f t="shared" si="11"/>
        <v>1</v>
      </c>
      <c r="BE11" s="55">
        <v>0</v>
      </c>
      <c r="BF11" s="46">
        <v>0</v>
      </c>
      <c r="BG11" s="16">
        <v>0</v>
      </c>
      <c r="BH11" s="46">
        <v>0</v>
      </c>
      <c r="BI11" s="55">
        <f t="shared" si="12"/>
        <v>0</v>
      </c>
      <c r="BJ11" s="55">
        <v>0</v>
      </c>
      <c r="BK11" s="15">
        <f t="shared" si="13"/>
        <v>3</v>
      </c>
      <c r="BL11" s="259">
        <f t="shared" si="0"/>
        <v>133</v>
      </c>
      <c r="BM11" s="15">
        <f t="shared" si="14"/>
        <v>11</v>
      </c>
      <c r="BN11" s="55">
        <f>SUM(BI11,BD11,AY11,AT11,AO11,AJ11,AE11,Z11,U11,P11,K11,F11)</f>
        <v>14</v>
      </c>
      <c r="BO11" s="55"/>
      <c r="BQ11" s="15">
        <f t="shared" si="16"/>
        <v>0</v>
      </c>
      <c r="BR11" s="15">
        <f t="shared" si="17"/>
        <v>0</v>
      </c>
      <c r="BS11" s="15">
        <f t="shared" si="18"/>
        <v>5</v>
      </c>
      <c r="BT11" s="55">
        <f t="shared" si="19"/>
        <v>5</v>
      </c>
      <c r="BU11" s="55"/>
      <c r="BW11" s="15">
        <f t="shared" si="20"/>
        <v>3</v>
      </c>
      <c r="BX11" s="15">
        <f t="shared" si="21"/>
        <v>133</v>
      </c>
      <c r="BY11" s="15">
        <f t="shared" si="22"/>
        <v>0</v>
      </c>
      <c r="BZ11" s="55">
        <f t="shared" si="23"/>
        <v>3</v>
      </c>
      <c r="CA11" s="55"/>
    </row>
    <row r="12" spans="1:79" s="19" customFormat="1" outlineLevel="1" x14ac:dyDescent="0.3">
      <c r="A12" s="6" t="s">
        <v>25</v>
      </c>
      <c r="B12" s="7" t="s">
        <v>34</v>
      </c>
      <c r="C12" s="96">
        <f>SUM(C5:C11)</f>
        <v>2</v>
      </c>
      <c r="D12" s="251">
        <f t="shared" ref="D12:E12" si="24">SUM(D5:D11)</f>
        <v>360</v>
      </c>
      <c r="E12" s="96">
        <f t="shared" si="24"/>
        <v>3</v>
      </c>
      <c r="F12" s="107">
        <f t="shared" si="1"/>
        <v>5</v>
      </c>
      <c r="G12" s="107"/>
      <c r="H12" s="96">
        <f>SUM(H5:H11)</f>
        <v>2</v>
      </c>
      <c r="I12" s="251">
        <f t="shared" ref="I12" si="25">SUM(I5:I11)</f>
        <v>32</v>
      </c>
      <c r="J12" s="96">
        <f t="shared" ref="J12" si="26">SUM(J5:J11)</f>
        <v>0</v>
      </c>
      <c r="K12" s="107">
        <f t="shared" si="2"/>
        <v>2</v>
      </c>
      <c r="L12" s="107"/>
      <c r="M12" s="96">
        <f>SUM(M5:M11)</f>
        <v>2</v>
      </c>
      <c r="N12" s="251">
        <f t="shared" ref="N12" si="27">SUM(N5:N11)</f>
        <v>14</v>
      </c>
      <c r="O12" s="96">
        <f t="shared" ref="O12" si="28">SUM(O5:O11)</f>
        <v>5</v>
      </c>
      <c r="P12" s="107">
        <f t="shared" si="3"/>
        <v>7</v>
      </c>
      <c r="Q12" s="107"/>
      <c r="R12" s="96">
        <f>SUM(R5:R11)</f>
        <v>1</v>
      </c>
      <c r="S12" s="251">
        <f>SUM(S5:S11)</f>
        <v>119</v>
      </c>
      <c r="T12" s="96">
        <f t="shared" ref="T12" si="29">SUM(T5:T11)</f>
        <v>5</v>
      </c>
      <c r="U12" s="107">
        <f t="shared" si="4"/>
        <v>6</v>
      </c>
      <c r="V12" s="107"/>
      <c r="W12" s="96">
        <f>SUM(W5:W11)</f>
        <v>3</v>
      </c>
      <c r="X12" s="251">
        <f t="shared" ref="X12" si="30">SUM(X5:X11)</f>
        <v>15</v>
      </c>
      <c r="Y12" s="96">
        <f t="shared" ref="Y12" si="31">SUM(Y5:Y11)</f>
        <v>1</v>
      </c>
      <c r="Z12" s="107">
        <f t="shared" si="5"/>
        <v>4</v>
      </c>
      <c r="AA12" s="107"/>
      <c r="AB12" s="96">
        <f>SUM(AB5:AB11)</f>
        <v>1</v>
      </c>
      <c r="AC12" s="251">
        <f t="shared" ref="AC12:AD12" si="32">SUM(AC5:AC11)</f>
        <v>26</v>
      </c>
      <c r="AD12" s="96">
        <f t="shared" si="32"/>
        <v>2</v>
      </c>
      <c r="AE12" s="55">
        <f t="shared" si="6"/>
        <v>3</v>
      </c>
      <c r="AF12" s="55"/>
      <c r="AG12" s="96">
        <f>SUM(AG5:AG11)</f>
        <v>0</v>
      </c>
      <c r="AH12" s="251">
        <f t="shared" ref="AH12:AI12" si="33">SUM(AH5:AH11)</f>
        <v>0</v>
      </c>
      <c r="AI12" s="96">
        <f t="shared" si="33"/>
        <v>5</v>
      </c>
      <c r="AJ12" s="55">
        <f t="shared" si="7"/>
        <v>5</v>
      </c>
      <c r="AK12" s="55"/>
      <c r="AL12" s="96">
        <f>SUM(AL5:AL11)</f>
        <v>2</v>
      </c>
      <c r="AM12" s="251">
        <f t="shared" ref="AM12:AN12" si="34">SUM(AM5:AM11)</f>
        <v>230</v>
      </c>
      <c r="AN12" s="96">
        <f t="shared" si="34"/>
        <v>4</v>
      </c>
      <c r="AO12" s="55">
        <f t="shared" si="8"/>
        <v>6</v>
      </c>
      <c r="AP12" s="55"/>
      <c r="AQ12" s="96">
        <f>SUM(AQ5:AQ11)</f>
        <v>6</v>
      </c>
      <c r="AR12" s="251">
        <f t="shared" ref="AR12:AS12" si="35">SUM(AR5:AR11)</f>
        <v>40</v>
      </c>
      <c r="AS12" s="96">
        <f t="shared" si="35"/>
        <v>5</v>
      </c>
      <c r="AT12" s="55">
        <f t="shared" si="9"/>
        <v>11</v>
      </c>
      <c r="AU12" s="55"/>
      <c r="AV12" s="96">
        <f>SUM(AV5:AV11)</f>
        <v>4</v>
      </c>
      <c r="AW12" s="251">
        <f t="shared" ref="AW12:AX12" si="36">SUM(AW5:AW11)</f>
        <v>40</v>
      </c>
      <c r="AX12" s="96">
        <f t="shared" si="36"/>
        <v>4</v>
      </c>
      <c r="AY12" s="55">
        <f t="shared" si="10"/>
        <v>8</v>
      </c>
      <c r="AZ12" s="55"/>
      <c r="BA12" s="96">
        <f>SUM(BA5:BA11)</f>
        <v>1</v>
      </c>
      <c r="BB12" s="251">
        <f t="shared" ref="BB12:BC12" si="37">SUM(BB5:BB11)</f>
        <v>2</v>
      </c>
      <c r="BC12" s="96">
        <f t="shared" si="37"/>
        <v>5</v>
      </c>
      <c r="BD12" s="55">
        <f t="shared" si="11"/>
        <v>6</v>
      </c>
      <c r="BE12" s="55"/>
      <c r="BF12" s="96">
        <f>SUM(BF5:BF11)</f>
        <v>1</v>
      </c>
      <c r="BG12" s="251">
        <f t="shared" ref="BG12:BH12" si="38">SUM(BG5:BG11)</f>
        <v>1</v>
      </c>
      <c r="BH12" s="96">
        <f t="shared" si="38"/>
        <v>2</v>
      </c>
      <c r="BI12" s="55">
        <f t="shared" si="12"/>
        <v>3</v>
      </c>
      <c r="BJ12" s="55"/>
      <c r="BK12" s="15">
        <f>SUM(BF12,BA12,AV12,AQ12,AL12,AG12,AB12,W12,R12,M12,H12,C12)</f>
        <v>25</v>
      </c>
      <c r="BL12" s="259">
        <f t="shared" si="0"/>
        <v>879</v>
      </c>
      <c r="BM12" s="15">
        <f t="shared" si="14"/>
        <v>41</v>
      </c>
      <c r="BN12" s="55">
        <f t="shared" si="15"/>
        <v>66</v>
      </c>
      <c r="BO12" s="55"/>
      <c r="BQ12" s="15">
        <f t="shared" si="16"/>
        <v>6</v>
      </c>
      <c r="BR12" s="15">
        <f t="shared" si="17"/>
        <v>406</v>
      </c>
      <c r="BS12" s="15">
        <f t="shared" si="18"/>
        <v>8</v>
      </c>
      <c r="BT12" s="55">
        <f t="shared" si="19"/>
        <v>14</v>
      </c>
      <c r="BU12" s="55"/>
      <c r="BW12" s="15">
        <f t="shared" si="20"/>
        <v>5</v>
      </c>
      <c r="BX12" s="15">
        <f t="shared" si="21"/>
        <v>160</v>
      </c>
      <c r="BY12" s="15">
        <f t="shared" si="22"/>
        <v>8</v>
      </c>
      <c r="BZ12" s="55">
        <f t="shared" si="23"/>
        <v>13</v>
      </c>
      <c r="CA12" s="55"/>
    </row>
    <row r="13" spans="1:79" s="19" customFormat="1" outlineLevel="1" x14ac:dyDescent="0.3">
      <c r="A13" s="6" t="s">
        <v>25</v>
      </c>
      <c r="B13" s="7" t="s">
        <v>35</v>
      </c>
      <c r="C13" s="96">
        <f>SUM(C14:C22)</f>
        <v>0</v>
      </c>
      <c r="D13" s="251">
        <f>SUM(D14:D22)</f>
        <v>0</v>
      </c>
      <c r="E13" s="96">
        <f>SUM(E14:E22)</f>
        <v>0</v>
      </c>
      <c r="F13" s="107">
        <f t="shared" si="1"/>
        <v>0</v>
      </c>
      <c r="G13" s="107"/>
      <c r="H13" s="96">
        <f>SUM(H14:H22)</f>
        <v>0</v>
      </c>
      <c r="I13" s="251">
        <f>SUM(I14:I22)</f>
        <v>0</v>
      </c>
      <c r="J13" s="96">
        <f>SUM(J14:J22)</f>
        <v>0</v>
      </c>
      <c r="K13" s="107">
        <f t="shared" si="2"/>
        <v>0</v>
      </c>
      <c r="L13" s="107"/>
      <c r="M13" s="96">
        <f>SUM(M14:M22)</f>
        <v>0</v>
      </c>
      <c r="N13" s="251">
        <f>SUM(N14:N22)</f>
        <v>0</v>
      </c>
      <c r="O13" s="96">
        <f>SUM(O14:O22)</f>
        <v>1</v>
      </c>
      <c r="P13" s="107">
        <f t="shared" si="3"/>
        <v>1</v>
      </c>
      <c r="Q13" s="107"/>
      <c r="R13" s="96">
        <f>SUM(R14:R22)</f>
        <v>0</v>
      </c>
      <c r="S13" s="251">
        <f>SUM(S14:S22)</f>
        <v>0</v>
      </c>
      <c r="T13" s="96">
        <f>SUM(T14:T22)</f>
        <v>0</v>
      </c>
      <c r="U13" s="107">
        <f t="shared" si="4"/>
        <v>0</v>
      </c>
      <c r="V13" s="107"/>
      <c r="W13" s="96">
        <f>SUM(W14:W22)</f>
        <v>0</v>
      </c>
      <c r="X13" s="251">
        <f>SUM(X14:X22)</f>
        <v>0</v>
      </c>
      <c r="Y13" s="96">
        <f>SUM(Y14:Y22)</f>
        <v>1</v>
      </c>
      <c r="Z13" s="107">
        <f t="shared" si="5"/>
        <v>1</v>
      </c>
      <c r="AA13" s="107"/>
      <c r="AB13" s="96">
        <f>SUM(AB14:AB22)</f>
        <v>0</v>
      </c>
      <c r="AC13" s="251">
        <f>SUM(AC14:AC22)</f>
        <v>0</v>
      </c>
      <c r="AD13" s="96">
        <f>SUM(AD14:AD22)</f>
        <v>0</v>
      </c>
      <c r="AE13" s="55">
        <f t="shared" si="6"/>
        <v>0</v>
      </c>
      <c r="AF13" s="55"/>
      <c r="AG13" s="96">
        <f>SUM(AG14:AG22)</f>
        <v>0</v>
      </c>
      <c r="AH13" s="251">
        <f>SUM(AH14:AH22)</f>
        <v>0</v>
      </c>
      <c r="AI13" s="96">
        <f>SUM(AI14:AI22)</f>
        <v>0</v>
      </c>
      <c r="AJ13" s="55">
        <f t="shared" si="7"/>
        <v>0</v>
      </c>
      <c r="AK13" s="55"/>
      <c r="AL13" s="96">
        <f>SUM(AL14:AL22)</f>
        <v>0</v>
      </c>
      <c r="AM13" s="251">
        <f>SUM(AM14:AM22)</f>
        <v>0</v>
      </c>
      <c r="AN13" s="96">
        <f>SUM(AN14:AN22)</f>
        <v>1</v>
      </c>
      <c r="AO13" s="55">
        <f t="shared" si="8"/>
        <v>1</v>
      </c>
      <c r="AP13" s="55"/>
      <c r="AQ13" s="96">
        <f>SUM(AQ14:AQ22)</f>
        <v>1</v>
      </c>
      <c r="AR13" s="251">
        <f>SUM(AR14:AR22)</f>
        <v>14</v>
      </c>
      <c r="AS13" s="96">
        <f>SUM(AS14:AS22)</f>
        <v>0</v>
      </c>
      <c r="AT13" s="55">
        <f t="shared" si="9"/>
        <v>1</v>
      </c>
      <c r="AU13" s="55"/>
      <c r="AV13" s="96">
        <f>SUM(AV14:AV22)</f>
        <v>1</v>
      </c>
      <c r="AW13" s="251">
        <f>SUM(AW14:AW22)</f>
        <v>2</v>
      </c>
      <c r="AX13" s="96">
        <f>SUM(AX14:AX22)</f>
        <v>0</v>
      </c>
      <c r="AY13" s="55">
        <f t="shared" si="10"/>
        <v>1</v>
      </c>
      <c r="AZ13" s="55"/>
      <c r="BA13" s="96">
        <f>SUM(BA14:BA22)</f>
        <v>1</v>
      </c>
      <c r="BB13" s="251">
        <f>SUM(BB14:BB22)</f>
        <v>19</v>
      </c>
      <c r="BC13" s="96">
        <f>SUM(BC14:BC22)</f>
        <v>0</v>
      </c>
      <c r="BD13" s="55">
        <f t="shared" si="11"/>
        <v>1</v>
      </c>
      <c r="BE13" s="55"/>
      <c r="BF13" s="96">
        <f>SUM(BF14:BF22)</f>
        <v>1</v>
      </c>
      <c r="BG13" s="251">
        <f>SUM(BG14:BG22)</f>
        <v>16</v>
      </c>
      <c r="BH13" s="96">
        <f>SUM(BH14:BH22)</f>
        <v>0</v>
      </c>
      <c r="BI13" s="55">
        <f t="shared" si="12"/>
        <v>1</v>
      </c>
      <c r="BJ13" s="55"/>
      <c r="BK13" s="15">
        <f t="shared" si="13"/>
        <v>4</v>
      </c>
      <c r="BL13" s="259">
        <f t="shared" si="0"/>
        <v>51</v>
      </c>
      <c r="BM13" s="15">
        <f t="shared" si="14"/>
        <v>3</v>
      </c>
      <c r="BN13" s="55">
        <f t="shared" si="15"/>
        <v>7</v>
      </c>
      <c r="BO13" s="55"/>
      <c r="BQ13" s="15">
        <f t="shared" si="16"/>
        <v>0</v>
      </c>
      <c r="BR13" s="15">
        <f t="shared" si="17"/>
        <v>0</v>
      </c>
      <c r="BS13" s="15">
        <f t="shared" si="18"/>
        <v>1</v>
      </c>
      <c r="BT13" s="55">
        <f t="shared" si="19"/>
        <v>1</v>
      </c>
      <c r="BU13" s="55"/>
      <c r="BW13" s="15">
        <f t="shared" si="20"/>
        <v>0</v>
      </c>
      <c r="BX13" s="15">
        <f t="shared" si="21"/>
        <v>0</v>
      </c>
      <c r="BY13" s="15">
        <f t="shared" si="22"/>
        <v>1</v>
      </c>
      <c r="BZ13" s="55">
        <f t="shared" si="23"/>
        <v>1</v>
      </c>
      <c r="CA13" s="55"/>
    </row>
    <row r="14" spans="1:79" outlineLevel="2" x14ac:dyDescent="0.3">
      <c r="A14" s="3" t="s">
        <v>25</v>
      </c>
      <c r="B14" s="4" t="s">
        <v>36</v>
      </c>
      <c r="C14" s="95"/>
      <c r="D14" s="251"/>
      <c r="E14" s="95"/>
      <c r="F14" s="107">
        <f t="shared" si="1"/>
        <v>0</v>
      </c>
      <c r="G14" s="107"/>
      <c r="H14" s="109"/>
      <c r="I14" s="251"/>
      <c r="J14" s="109"/>
      <c r="K14" s="107">
        <f t="shared" si="2"/>
        <v>0</v>
      </c>
      <c r="L14" s="107"/>
      <c r="M14" s="109"/>
      <c r="N14" s="251"/>
      <c r="O14" s="109">
        <v>1</v>
      </c>
      <c r="P14" s="107">
        <f t="shared" si="3"/>
        <v>1</v>
      </c>
      <c r="Q14" s="107"/>
      <c r="R14" s="109"/>
      <c r="S14" s="251"/>
      <c r="T14" s="109"/>
      <c r="U14" s="107">
        <f t="shared" si="4"/>
        <v>0</v>
      </c>
      <c r="V14" s="107"/>
      <c r="W14" s="109"/>
      <c r="X14" s="251"/>
      <c r="Y14" s="109"/>
      <c r="Z14" s="107">
        <f t="shared" si="5"/>
        <v>0</v>
      </c>
      <c r="AA14" s="107"/>
      <c r="AB14" s="46"/>
      <c r="AC14" s="252"/>
      <c r="AD14" s="46"/>
      <c r="AE14" s="55">
        <f t="shared" si="6"/>
        <v>0</v>
      </c>
      <c r="AF14" s="55"/>
      <c r="AG14" s="46"/>
      <c r="AH14" s="252"/>
      <c r="AI14" s="46"/>
      <c r="AJ14" s="55">
        <f t="shared" si="7"/>
        <v>0</v>
      </c>
      <c r="AK14" s="55"/>
      <c r="AL14" s="46"/>
      <c r="AM14" s="252"/>
      <c r="AN14" s="46"/>
      <c r="AO14" s="55">
        <f t="shared" si="8"/>
        <v>0</v>
      </c>
      <c r="AP14" s="55"/>
      <c r="AQ14" s="46"/>
      <c r="AR14" s="252"/>
      <c r="AS14" s="46"/>
      <c r="AT14" s="55">
        <f t="shared" si="9"/>
        <v>0</v>
      </c>
      <c r="AU14" s="55"/>
      <c r="AV14" s="46"/>
      <c r="AW14" s="252"/>
      <c r="AX14" s="46"/>
      <c r="AY14" s="55">
        <f t="shared" si="10"/>
        <v>0</v>
      </c>
      <c r="AZ14" s="55"/>
      <c r="BA14" s="46"/>
      <c r="BB14" s="16"/>
      <c r="BC14" s="46"/>
      <c r="BD14" s="55">
        <f t="shared" si="11"/>
        <v>0</v>
      </c>
      <c r="BE14" s="55"/>
      <c r="BF14" s="46"/>
      <c r="BG14" s="16"/>
      <c r="BH14" s="46"/>
      <c r="BI14" s="55">
        <f t="shared" si="12"/>
        <v>0</v>
      </c>
      <c r="BJ14" s="55"/>
      <c r="BK14" s="15">
        <f t="shared" si="13"/>
        <v>0</v>
      </c>
      <c r="BL14" s="259">
        <f t="shared" si="0"/>
        <v>0</v>
      </c>
      <c r="BM14" s="15">
        <f t="shared" si="14"/>
        <v>1</v>
      </c>
      <c r="BN14" s="55">
        <f t="shared" si="15"/>
        <v>1</v>
      </c>
      <c r="BO14" s="55"/>
      <c r="BQ14" s="15">
        <f t="shared" si="16"/>
        <v>0</v>
      </c>
      <c r="BR14" s="15">
        <f t="shared" si="17"/>
        <v>0</v>
      </c>
      <c r="BS14" s="15">
        <f t="shared" si="18"/>
        <v>1</v>
      </c>
      <c r="BT14" s="55">
        <f t="shared" si="19"/>
        <v>1</v>
      </c>
      <c r="BU14" s="55"/>
      <c r="BW14" s="15">
        <f t="shared" si="20"/>
        <v>0</v>
      </c>
      <c r="BX14" s="15">
        <f t="shared" si="21"/>
        <v>0</v>
      </c>
      <c r="BY14" s="15">
        <f t="shared" si="22"/>
        <v>0</v>
      </c>
      <c r="BZ14" s="55">
        <f t="shared" si="23"/>
        <v>0</v>
      </c>
      <c r="CA14" s="55"/>
    </row>
    <row r="15" spans="1:79" outlineLevel="2" x14ac:dyDescent="0.3">
      <c r="A15" s="3" t="s">
        <v>25</v>
      </c>
      <c r="B15" s="4" t="s">
        <v>37</v>
      </c>
      <c r="C15" s="95"/>
      <c r="D15" s="251"/>
      <c r="E15" s="95"/>
      <c r="F15" s="107">
        <f t="shared" si="1"/>
        <v>0</v>
      </c>
      <c r="G15" s="107"/>
      <c r="H15" s="109"/>
      <c r="I15" s="251"/>
      <c r="J15" s="109"/>
      <c r="K15" s="107">
        <f t="shared" si="2"/>
        <v>0</v>
      </c>
      <c r="L15" s="107"/>
      <c r="M15" s="109"/>
      <c r="N15" s="251"/>
      <c r="O15" s="109"/>
      <c r="P15" s="107">
        <f t="shared" si="3"/>
        <v>0</v>
      </c>
      <c r="Q15" s="107"/>
      <c r="R15" s="109"/>
      <c r="S15" s="251"/>
      <c r="T15" s="109"/>
      <c r="U15" s="107">
        <f t="shared" si="4"/>
        <v>0</v>
      </c>
      <c r="V15" s="107"/>
      <c r="W15" s="109"/>
      <c r="X15" s="251"/>
      <c r="Y15" s="109"/>
      <c r="Z15" s="107">
        <f t="shared" si="5"/>
        <v>0</v>
      </c>
      <c r="AA15" s="107"/>
      <c r="AB15" s="46"/>
      <c r="AC15" s="252"/>
      <c r="AD15" s="46"/>
      <c r="AE15" s="55">
        <f t="shared" si="6"/>
        <v>0</v>
      </c>
      <c r="AF15" s="55"/>
      <c r="AG15" s="46"/>
      <c r="AH15" s="252"/>
      <c r="AI15" s="46"/>
      <c r="AJ15" s="55">
        <f t="shared" si="7"/>
        <v>0</v>
      </c>
      <c r="AK15" s="55"/>
      <c r="AL15" s="46"/>
      <c r="AM15" s="252"/>
      <c r="AN15" s="46"/>
      <c r="AO15" s="55">
        <f t="shared" si="8"/>
        <v>0</v>
      </c>
      <c r="AP15" s="55"/>
      <c r="AQ15" s="46"/>
      <c r="AR15" s="252"/>
      <c r="AS15" s="46"/>
      <c r="AT15" s="55">
        <f t="shared" si="9"/>
        <v>0</v>
      </c>
      <c r="AU15" s="55"/>
      <c r="AV15" s="46"/>
      <c r="AW15" s="252"/>
      <c r="AX15" s="46"/>
      <c r="AY15" s="55">
        <f t="shared" si="10"/>
        <v>0</v>
      </c>
      <c r="AZ15" s="55"/>
      <c r="BA15" s="46"/>
      <c r="BB15" s="16"/>
      <c r="BC15" s="46"/>
      <c r="BD15" s="55">
        <f t="shared" si="11"/>
        <v>0</v>
      </c>
      <c r="BE15" s="55"/>
      <c r="BF15" s="46"/>
      <c r="BG15" s="16"/>
      <c r="BH15" s="46"/>
      <c r="BI15" s="55">
        <f t="shared" si="12"/>
        <v>0</v>
      </c>
      <c r="BJ15" s="55"/>
      <c r="BK15" s="15">
        <f t="shared" si="13"/>
        <v>0</v>
      </c>
      <c r="BL15" s="259">
        <f t="shared" si="0"/>
        <v>0</v>
      </c>
      <c r="BM15" s="15">
        <f t="shared" si="14"/>
        <v>0</v>
      </c>
      <c r="BN15" s="55">
        <f t="shared" si="15"/>
        <v>0</v>
      </c>
      <c r="BO15" s="55"/>
      <c r="BQ15" s="15">
        <f t="shared" si="16"/>
        <v>0</v>
      </c>
      <c r="BR15" s="15">
        <f t="shared" si="17"/>
        <v>0</v>
      </c>
      <c r="BS15" s="15">
        <f t="shared" si="18"/>
        <v>0</v>
      </c>
      <c r="BT15" s="55">
        <f t="shared" si="19"/>
        <v>0</v>
      </c>
      <c r="BU15" s="55"/>
      <c r="BW15" s="15">
        <f t="shared" si="20"/>
        <v>0</v>
      </c>
      <c r="BX15" s="15">
        <f t="shared" si="21"/>
        <v>0</v>
      </c>
      <c r="BY15" s="15">
        <f t="shared" si="22"/>
        <v>0</v>
      </c>
      <c r="BZ15" s="55">
        <f t="shared" si="23"/>
        <v>0</v>
      </c>
      <c r="CA15" s="55"/>
    </row>
    <row r="16" spans="1:79" outlineLevel="2" x14ac:dyDescent="0.3">
      <c r="A16" s="3" t="s">
        <v>25</v>
      </c>
      <c r="B16" s="8" t="s">
        <v>38</v>
      </c>
      <c r="C16" s="95"/>
      <c r="D16" s="251"/>
      <c r="E16" s="95"/>
      <c r="F16" s="107">
        <f t="shared" si="1"/>
        <v>0</v>
      </c>
      <c r="G16" s="107"/>
      <c r="H16" s="109"/>
      <c r="I16" s="251"/>
      <c r="J16" s="109"/>
      <c r="K16" s="107">
        <f t="shared" si="2"/>
        <v>0</v>
      </c>
      <c r="L16" s="107"/>
      <c r="M16" s="109"/>
      <c r="N16" s="251"/>
      <c r="O16" s="109"/>
      <c r="P16" s="107">
        <f t="shared" si="3"/>
        <v>0</v>
      </c>
      <c r="Q16" s="107"/>
      <c r="R16" s="109"/>
      <c r="S16" s="251"/>
      <c r="T16" s="109"/>
      <c r="U16" s="107">
        <f t="shared" si="4"/>
        <v>0</v>
      </c>
      <c r="V16" s="107"/>
      <c r="W16" s="109"/>
      <c r="X16" s="251"/>
      <c r="Y16" s="109"/>
      <c r="Z16" s="107">
        <f t="shared" si="5"/>
        <v>0</v>
      </c>
      <c r="AA16" s="107"/>
      <c r="AB16" s="46"/>
      <c r="AC16" s="252"/>
      <c r="AD16" s="46"/>
      <c r="AE16" s="55">
        <f t="shared" si="6"/>
        <v>0</v>
      </c>
      <c r="AF16" s="55"/>
      <c r="AG16" s="46"/>
      <c r="AH16" s="252"/>
      <c r="AI16" s="46"/>
      <c r="AJ16" s="55">
        <f t="shared" si="7"/>
        <v>0</v>
      </c>
      <c r="AK16" s="55"/>
      <c r="AL16" s="46"/>
      <c r="AM16" s="252"/>
      <c r="AN16" s="46"/>
      <c r="AO16" s="55">
        <f t="shared" si="8"/>
        <v>0</v>
      </c>
      <c r="AP16" s="55"/>
      <c r="AQ16" s="46"/>
      <c r="AR16" s="252"/>
      <c r="AS16" s="46"/>
      <c r="AT16" s="55">
        <f t="shared" si="9"/>
        <v>0</v>
      </c>
      <c r="AU16" s="55"/>
      <c r="AV16" s="46">
        <v>1</v>
      </c>
      <c r="AW16" s="252">
        <v>2</v>
      </c>
      <c r="AX16" s="46"/>
      <c r="AY16" s="55">
        <f t="shared" si="10"/>
        <v>1</v>
      </c>
      <c r="AZ16" s="55"/>
      <c r="BA16" s="46"/>
      <c r="BB16" s="16"/>
      <c r="BC16" s="46"/>
      <c r="BD16" s="55">
        <f t="shared" si="11"/>
        <v>0</v>
      </c>
      <c r="BE16" s="55"/>
      <c r="BF16" s="46"/>
      <c r="BG16" s="16"/>
      <c r="BH16" s="46"/>
      <c r="BI16" s="55">
        <f t="shared" si="12"/>
        <v>0</v>
      </c>
      <c r="BJ16" s="55"/>
      <c r="BK16" s="15">
        <f t="shared" si="13"/>
        <v>1</v>
      </c>
      <c r="BL16" s="259">
        <f t="shared" si="0"/>
        <v>2</v>
      </c>
      <c r="BM16" s="15">
        <f t="shared" si="14"/>
        <v>0</v>
      </c>
      <c r="BN16" s="55">
        <f t="shared" si="15"/>
        <v>1</v>
      </c>
      <c r="BO16" s="55"/>
      <c r="BQ16" s="15">
        <f t="shared" si="16"/>
        <v>0</v>
      </c>
      <c r="BR16" s="15">
        <f t="shared" si="17"/>
        <v>0</v>
      </c>
      <c r="BS16" s="15">
        <f t="shared" si="18"/>
        <v>0</v>
      </c>
      <c r="BT16" s="55">
        <f t="shared" si="19"/>
        <v>0</v>
      </c>
      <c r="BU16" s="55"/>
      <c r="BW16" s="15">
        <f t="shared" si="20"/>
        <v>0</v>
      </c>
      <c r="BX16" s="15">
        <f t="shared" si="21"/>
        <v>0</v>
      </c>
      <c r="BY16" s="15">
        <f t="shared" si="22"/>
        <v>0</v>
      </c>
      <c r="BZ16" s="55">
        <f t="shared" si="23"/>
        <v>0</v>
      </c>
      <c r="CA16" s="55"/>
    </row>
    <row r="17" spans="1:79" outlineLevel="2" x14ac:dyDescent="0.3">
      <c r="A17" s="3" t="s">
        <v>25</v>
      </c>
      <c r="B17" s="4" t="s">
        <v>39</v>
      </c>
      <c r="C17" s="95"/>
      <c r="D17" s="251"/>
      <c r="E17" s="95"/>
      <c r="F17" s="107">
        <f t="shared" si="1"/>
        <v>0</v>
      </c>
      <c r="G17" s="107"/>
      <c r="H17" s="109"/>
      <c r="I17" s="251"/>
      <c r="J17" s="109"/>
      <c r="K17" s="107">
        <f t="shared" si="2"/>
        <v>0</v>
      </c>
      <c r="L17" s="107"/>
      <c r="M17" s="109"/>
      <c r="N17" s="251"/>
      <c r="O17" s="109"/>
      <c r="P17" s="107">
        <f t="shared" si="3"/>
        <v>0</v>
      </c>
      <c r="Q17" s="107"/>
      <c r="R17" s="109"/>
      <c r="S17" s="251"/>
      <c r="T17" s="109"/>
      <c r="U17" s="107">
        <f t="shared" si="4"/>
        <v>0</v>
      </c>
      <c r="V17" s="107"/>
      <c r="W17" s="109"/>
      <c r="X17" s="251"/>
      <c r="Y17" s="109">
        <v>1</v>
      </c>
      <c r="Z17" s="107">
        <f t="shared" si="5"/>
        <v>1</v>
      </c>
      <c r="AA17" s="107"/>
      <c r="AB17" s="46"/>
      <c r="AC17" s="252"/>
      <c r="AD17" s="46"/>
      <c r="AE17" s="55">
        <f t="shared" si="6"/>
        <v>0</v>
      </c>
      <c r="AF17" s="55"/>
      <c r="AG17" s="46"/>
      <c r="AH17" s="252"/>
      <c r="AI17" s="46"/>
      <c r="AJ17" s="55">
        <f t="shared" si="7"/>
        <v>0</v>
      </c>
      <c r="AK17" s="55"/>
      <c r="AL17" s="46"/>
      <c r="AM17" s="252"/>
      <c r="AN17" s="305">
        <v>1</v>
      </c>
      <c r="AO17" s="55">
        <f t="shared" si="8"/>
        <v>1</v>
      </c>
      <c r="AP17" s="55"/>
      <c r="AQ17" s="46">
        <v>1</v>
      </c>
      <c r="AR17" s="252">
        <v>14</v>
      </c>
      <c r="AS17" s="46"/>
      <c r="AT17" s="55">
        <f t="shared" si="9"/>
        <v>1</v>
      </c>
      <c r="AU17" s="55"/>
      <c r="AV17" s="46"/>
      <c r="AW17" s="252"/>
      <c r="AX17" s="46"/>
      <c r="AY17" s="55">
        <f t="shared" si="10"/>
        <v>0</v>
      </c>
      <c r="AZ17" s="55"/>
      <c r="BA17" s="46">
        <v>1</v>
      </c>
      <c r="BB17" s="16">
        <v>19</v>
      </c>
      <c r="BC17" s="46"/>
      <c r="BD17" s="55">
        <f t="shared" si="11"/>
        <v>1</v>
      </c>
      <c r="BE17" s="55"/>
      <c r="BF17" s="46"/>
      <c r="BG17" s="16"/>
      <c r="BH17" s="46"/>
      <c r="BI17" s="55">
        <f t="shared" si="12"/>
        <v>0</v>
      </c>
      <c r="BJ17" s="55"/>
      <c r="BK17" s="15">
        <f t="shared" si="13"/>
        <v>2</v>
      </c>
      <c r="BL17" s="259">
        <f t="shared" si="0"/>
        <v>33</v>
      </c>
      <c r="BM17" s="15">
        <f t="shared" si="14"/>
        <v>2</v>
      </c>
      <c r="BN17" s="55">
        <f t="shared" si="15"/>
        <v>4</v>
      </c>
      <c r="BO17" s="55"/>
      <c r="BQ17" s="15">
        <f t="shared" si="16"/>
        <v>0</v>
      </c>
      <c r="BR17" s="15">
        <f t="shared" si="17"/>
        <v>0</v>
      </c>
      <c r="BS17" s="15">
        <f t="shared" si="18"/>
        <v>0</v>
      </c>
      <c r="BT17" s="55">
        <f t="shared" si="19"/>
        <v>0</v>
      </c>
      <c r="BU17" s="55"/>
      <c r="BW17" s="15">
        <f t="shared" si="20"/>
        <v>0</v>
      </c>
      <c r="BX17" s="15">
        <f t="shared" si="21"/>
        <v>0</v>
      </c>
      <c r="BY17" s="15">
        <f t="shared" si="22"/>
        <v>1</v>
      </c>
      <c r="BZ17" s="55">
        <f t="shared" si="23"/>
        <v>1</v>
      </c>
      <c r="CA17" s="55"/>
    </row>
    <row r="18" spans="1:79" outlineLevel="2" x14ac:dyDescent="0.3">
      <c r="A18" s="3" t="s">
        <v>25</v>
      </c>
      <c r="B18" s="4" t="s">
        <v>40</v>
      </c>
      <c r="C18" s="95"/>
      <c r="D18" s="251"/>
      <c r="E18" s="95"/>
      <c r="F18" s="107">
        <f t="shared" si="1"/>
        <v>0</v>
      </c>
      <c r="G18" s="107"/>
      <c r="H18" s="109"/>
      <c r="I18" s="251"/>
      <c r="J18" s="109"/>
      <c r="K18" s="107">
        <f t="shared" si="2"/>
        <v>0</v>
      </c>
      <c r="L18" s="107"/>
      <c r="M18" s="109"/>
      <c r="N18" s="251"/>
      <c r="O18" s="109"/>
      <c r="P18" s="107">
        <f t="shared" si="3"/>
        <v>0</v>
      </c>
      <c r="Q18" s="107"/>
      <c r="R18" s="109"/>
      <c r="S18" s="251"/>
      <c r="T18" s="109"/>
      <c r="U18" s="107">
        <f t="shared" si="4"/>
        <v>0</v>
      </c>
      <c r="V18" s="107"/>
      <c r="W18" s="109"/>
      <c r="X18" s="251"/>
      <c r="Y18" s="109"/>
      <c r="Z18" s="107">
        <f t="shared" si="5"/>
        <v>0</v>
      </c>
      <c r="AA18" s="107"/>
      <c r="AB18" s="46"/>
      <c r="AC18" s="252"/>
      <c r="AD18" s="46"/>
      <c r="AE18" s="55">
        <f t="shared" si="6"/>
        <v>0</v>
      </c>
      <c r="AF18" s="55"/>
      <c r="AG18" s="46"/>
      <c r="AH18" s="252"/>
      <c r="AI18" s="46"/>
      <c r="AJ18" s="55">
        <f t="shared" si="7"/>
        <v>0</v>
      </c>
      <c r="AK18" s="55"/>
      <c r="AL18" s="46"/>
      <c r="AM18" s="252"/>
      <c r="AN18" s="46"/>
      <c r="AO18" s="55">
        <f t="shared" si="8"/>
        <v>0</v>
      </c>
      <c r="AP18" s="55"/>
      <c r="AQ18" s="46"/>
      <c r="AR18" s="252"/>
      <c r="AS18" s="46"/>
      <c r="AT18" s="55">
        <f t="shared" si="9"/>
        <v>0</v>
      </c>
      <c r="AU18" s="55"/>
      <c r="AV18" s="46"/>
      <c r="AW18" s="252"/>
      <c r="AX18" s="46"/>
      <c r="AY18" s="55">
        <f t="shared" si="10"/>
        <v>0</v>
      </c>
      <c r="AZ18" s="55"/>
      <c r="BA18" s="46"/>
      <c r="BB18" s="16"/>
      <c r="BC18" s="46"/>
      <c r="BD18" s="55">
        <f t="shared" si="11"/>
        <v>0</v>
      </c>
      <c r="BE18" s="55"/>
      <c r="BF18" s="46">
        <v>1</v>
      </c>
      <c r="BG18" s="16">
        <v>16</v>
      </c>
      <c r="BH18" s="46"/>
      <c r="BI18" s="55">
        <f t="shared" si="12"/>
        <v>1</v>
      </c>
      <c r="BJ18" s="55"/>
      <c r="BK18" s="15">
        <f t="shared" si="13"/>
        <v>1</v>
      </c>
      <c r="BL18" s="259">
        <f t="shared" si="0"/>
        <v>16</v>
      </c>
      <c r="BM18" s="15">
        <f t="shared" si="14"/>
        <v>0</v>
      </c>
      <c r="BN18" s="55">
        <f t="shared" si="15"/>
        <v>1</v>
      </c>
      <c r="BO18" s="55"/>
      <c r="BQ18" s="15">
        <f t="shared" si="16"/>
        <v>0</v>
      </c>
      <c r="BR18" s="15">
        <f t="shared" si="17"/>
        <v>0</v>
      </c>
      <c r="BS18" s="15">
        <f t="shared" si="18"/>
        <v>0</v>
      </c>
      <c r="BT18" s="55">
        <f t="shared" si="19"/>
        <v>0</v>
      </c>
      <c r="BU18" s="55"/>
      <c r="BW18" s="15">
        <f t="shared" si="20"/>
        <v>0</v>
      </c>
      <c r="BX18" s="15">
        <f t="shared" si="21"/>
        <v>0</v>
      </c>
      <c r="BY18" s="15">
        <f t="shared" si="22"/>
        <v>0</v>
      </c>
      <c r="BZ18" s="55">
        <f t="shared" si="23"/>
        <v>0</v>
      </c>
      <c r="CA18" s="55"/>
    </row>
    <row r="19" spans="1:79" outlineLevel="2" x14ac:dyDescent="0.3">
      <c r="A19" s="3" t="s">
        <v>25</v>
      </c>
      <c r="B19" s="5" t="s">
        <v>41</v>
      </c>
      <c r="C19" s="95"/>
      <c r="D19" s="251"/>
      <c r="E19" s="95"/>
      <c r="F19" s="107">
        <f t="shared" si="1"/>
        <v>0</v>
      </c>
      <c r="G19" s="107"/>
      <c r="H19" s="109"/>
      <c r="I19" s="251"/>
      <c r="J19" s="109"/>
      <c r="K19" s="107">
        <f t="shared" si="2"/>
        <v>0</v>
      </c>
      <c r="L19" s="107"/>
      <c r="M19" s="109"/>
      <c r="N19" s="251"/>
      <c r="O19" s="109"/>
      <c r="P19" s="107">
        <f t="shared" si="3"/>
        <v>0</v>
      </c>
      <c r="Q19" s="107"/>
      <c r="R19" s="109"/>
      <c r="S19" s="251"/>
      <c r="T19" s="109"/>
      <c r="U19" s="107">
        <f t="shared" si="4"/>
        <v>0</v>
      </c>
      <c r="V19" s="107"/>
      <c r="W19" s="109"/>
      <c r="X19" s="251"/>
      <c r="Y19" s="109"/>
      <c r="Z19" s="107">
        <f t="shared" si="5"/>
        <v>0</v>
      </c>
      <c r="AA19" s="107"/>
      <c r="AB19" s="46"/>
      <c r="AC19" s="252"/>
      <c r="AD19" s="46"/>
      <c r="AE19" s="55">
        <f t="shared" si="6"/>
        <v>0</v>
      </c>
      <c r="AF19" s="55"/>
      <c r="AG19" s="46"/>
      <c r="AH19" s="252"/>
      <c r="AI19" s="46"/>
      <c r="AJ19" s="55">
        <f t="shared" si="7"/>
        <v>0</v>
      </c>
      <c r="AK19" s="55"/>
      <c r="AL19" s="46"/>
      <c r="AM19" s="252"/>
      <c r="AN19" s="46"/>
      <c r="AO19" s="55">
        <f t="shared" si="8"/>
        <v>0</v>
      </c>
      <c r="AP19" s="55"/>
      <c r="AQ19" s="46"/>
      <c r="AR19" s="252"/>
      <c r="AS19" s="46"/>
      <c r="AT19" s="55">
        <f t="shared" si="9"/>
        <v>0</v>
      </c>
      <c r="AU19" s="55"/>
      <c r="AV19" s="46"/>
      <c r="AW19" s="252"/>
      <c r="AX19" s="46"/>
      <c r="AY19" s="55">
        <f t="shared" si="10"/>
        <v>0</v>
      </c>
      <c r="AZ19" s="55"/>
      <c r="BA19" s="46"/>
      <c r="BB19" s="16"/>
      <c r="BC19" s="46"/>
      <c r="BD19" s="55">
        <f t="shared" si="11"/>
        <v>0</v>
      </c>
      <c r="BE19" s="55"/>
      <c r="BF19" s="46"/>
      <c r="BG19" s="16"/>
      <c r="BH19" s="46"/>
      <c r="BI19" s="55">
        <f t="shared" si="12"/>
        <v>0</v>
      </c>
      <c r="BJ19" s="55"/>
      <c r="BK19" s="15">
        <f t="shared" si="13"/>
        <v>0</v>
      </c>
      <c r="BL19" s="259">
        <f t="shared" si="0"/>
        <v>0</v>
      </c>
      <c r="BM19" s="15">
        <f t="shared" si="14"/>
        <v>0</v>
      </c>
      <c r="BN19" s="55">
        <f t="shared" si="15"/>
        <v>0</v>
      </c>
      <c r="BO19" s="55"/>
      <c r="BQ19" s="15">
        <f t="shared" si="16"/>
        <v>0</v>
      </c>
      <c r="BR19" s="15">
        <f t="shared" si="17"/>
        <v>0</v>
      </c>
      <c r="BS19" s="15">
        <f t="shared" si="18"/>
        <v>0</v>
      </c>
      <c r="BT19" s="55">
        <f t="shared" si="19"/>
        <v>0</v>
      </c>
      <c r="BU19" s="55"/>
      <c r="BW19" s="15">
        <f t="shared" si="20"/>
        <v>0</v>
      </c>
      <c r="BX19" s="15">
        <f t="shared" si="21"/>
        <v>0</v>
      </c>
      <c r="BY19" s="15">
        <f t="shared" si="22"/>
        <v>0</v>
      </c>
      <c r="BZ19" s="55">
        <f t="shared" si="23"/>
        <v>0</v>
      </c>
      <c r="CA19" s="55"/>
    </row>
    <row r="20" spans="1:79" outlineLevel="2" x14ac:dyDescent="0.3">
      <c r="A20" s="3" t="s">
        <v>25</v>
      </c>
      <c r="B20" s="5" t="s">
        <v>42</v>
      </c>
      <c r="C20" s="95"/>
      <c r="D20" s="251"/>
      <c r="E20" s="95"/>
      <c r="F20" s="107">
        <f t="shared" si="1"/>
        <v>0</v>
      </c>
      <c r="G20" s="107"/>
      <c r="H20" s="109"/>
      <c r="I20" s="251"/>
      <c r="J20" s="109"/>
      <c r="K20" s="107">
        <f t="shared" si="2"/>
        <v>0</v>
      </c>
      <c r="L20" s="107"/>
      <c r="M20" s="109"/>
      <c r="N20" s="251"/>
      <c r="O20" s="109"/>
      <c r="P20" s="107">
        <f t="shared" si="3"/>
        <v>0</v>
      </c>
      <c r="Q20" s="107"/>
      <c r="R20" s="109"/>
      <c r="S20" s="251"/>
      <c r="T20" s="109"/>
      <c r="U20" s="107">
        <f t="shared" si="4"/>
        <v>0</v>
      </c>
      <c r="V20" s="107"/>
      <c r="W20" s="109"/>
      <c r="X20" s="251"/>
      <c r="Y20" s="109"/>
      <c r="Z20" s="107">
        <f t="shared" si="5"/>
        <v>0</v>
      </c>
      <c r="AA20" s="107"/>
      <c r="AB20" s="46"/>
      <c r="AC20" s="252"/>
      <c r="AD20" s="46"/>
      <c r="AE20" s="55">
        <f t="shared" si="6"/>
        <v>0</v>
      </c>
      <c r="AF20" s="55"/>
      <c r="AG20" s="46"/>
      <c r="AH20" s="252"/>
      <c r="AI20" s="46"/>
      <c r="AJ20" s="55">
        <f t="shared" si="7"/>
        <v>0</v>
      </c>
      <c r="AK20" s="55"/>
      <c r="AL20" s="46"/>
      <c r="AM20" s="252"/>
      <c r="AN20" s="46"/>
      <c r="AO20" s="55">
        <f t="shared" si="8"/>
        <v>0</v>
      </c>
      <c r="AP20" s="55"/>
      <c r="AQ20" s="46"/>
      <c r="AR20" s="252"/>
      <c r="AS20" s="46"/>
      <c r="AT20" s="55">
        <f t="shared" si="9"/>
        <v>0</v>
      </c>
      <c r="AU20" s="55"/>
      <c r="AV20" s="46"/>
      <c r="AW20" s="252"/>
      <c r="AX20" s="46"/>
      <c r="AY20" s="55">
        <f t="shared" si="10"/>
        <v>0</v>
      </c>
      <c r="AZ20" s="55"/>
      <c r="BA20" s="46"/>
      <c r="BB20" s="16"/>
      <c r="BC20" s="46"/>
      <c r="BD20" s="55">
        <f t="shared" si="11"/>
        <v>0</v>
      </c>
      <c r="BE20" s="55"/>
      <c r="BF20" s="46"/>
      <c r="BG20" s="16"/>
      <c r="BH20" s="46"/>
      <c r="BI20" s="55">
        <f t="shared" si="12"/>
        <v>0</v>
      </c>
      <c r="BJ20" s="55"/>
      <c r="BK20" s="15">
        <f t="shared" si="13"/>
        <v>0</v>
      </c>
      <c r="BL20" s="259">
        <f t="shared" si="0"/>
        <v>0</v>
      </c>
      <c r="BM20" s="15">
        <f t="shared" si="14"/>
        <v>0</v>
      </c>
      <c r="BN20" s="55">
        <f t="shared" si="15"/>
        <v>0</v>
      </c>
      <c r="BO20" s="55"/>
      <c r="BQ20" s="15">
        <f t="shared" si="16"/>
        <v>0</v>
      </c>
      <c r="BR20" s="15">
        <f t="shared" si="17"/>
        <v>0</v>
      </c>
      <c r="BS20" s="15">
        <f t="shared" si="18"/>
        <v>0</v>
      </c>
      <c r="BT20" s="55">
        <f t="shared" si="19"/>
        <v>0</v>
      </c>
      <c r="BU20" s="55"/>
      <c r="BW20" s="15">
        <f t="shared" si="20"/>
        <v>0</v>
      </c>
      <c r="BX20" s="15">
        <f t="shared" si="21"/>
        <v>0</v>
      </c>
      <c r="BY20" s="15">
        <f t="shared" si="22"/>
        <v>0</v>
      </c>
      <c r="BZ20" s="55">
        <f t="shared" si="23"/>
        <v>0</v>
      </c>
      <c r="CA20" s="55"/>
    </row>
    <row r="21" spans="1:79" outlineLevel="2" x14ac:dyDescent="0.3">
      <c r="A21" s="3" t="s">
        <v>25</v>
      </c>
      <c r="B21" s="4" t="s">
        <v>43</v>
      </c>
      <c r="C21" s="95"/>
      <c r="D21" s="251"/>
      <c r="E21" s="95"/>
      <c r="F21" s="107">
        <f t="shared" si="1"/>
        <v>0</v>
      </c>
      <c r="G21" s="107"/>
      <c r="H21" s="109"/>
      <c r="I21" s="251"/>
      <c r="J21" s="109"/>
      <c r="K21" s="107">
        <f t="shared" si="2"/>
        <v>0</v>
      </c>
      <c r="L21" s="107"/>
      <c r="M21" s="109"/>
      <c r="N21" s="251"/>
      <c r="O21" s="109"/>
      <c r="P21" s="107">
        <f t="shared" si="3"/>
        <v>0</v>
      </c>
      <c r="Q21" s="107"/>
      <c r="R21" s="109"/>
      <c r="S21" s="251"/>
      <c r="T21" s="109"/>
      <c r="U21" s="107">
        <f t="shared" si="4"/>
        <v>0</v>
      </c>
      <c r="V21" s="107"/>
      <c r="W21" s="109"/>
      <c r="X21" s="251"/>
      <c r="Y21" s="109"/>
      <c r="Z21" s="107">
        <f t="shared" si="5"/>
        <v>0</v>
      </c>
      <c r="AA21" s="107"/>
      <c r="AB21" s="46"/>
      <c r="AC21" s="252"/>
      <c r="AD21" s="46"/>
      <c r="AE21" s="55">
        <f t="shared" si="6"/>
        <v>0</v>
      </c>
      <c r="AF21" s="55"/>
      <c r="AG21" s="46"/>
      <c r="AH21" s="252"/>
      <c r="AI21" s="46"/>
      <c r="AJ21" s="55">
        <f t="shared" si="7"/>
        <v>0</v>
      </c>
      <c r="AK21" s="55"/>
      <c r="AL21" s="46"/>
      <c r="AM21" s="252"/>
      <c r="AN21" s="46"/>
      <c r="AO21" s="55">
        <f t="shared" si="8"/>
        <v>0</v>
      </c>
      <c r="AP21" s="55"/>
      <c r="AQ21" s="46"/>
      <c r="AR21" s="252"/>
      <c r="AS21" s="46"/>
      <c r="AT21" s="55">
        <f t="shared" si="9"/>
        <v>0</v>
      </c>
      <c r="AU21" s="55"/>
      <c r="AV21" s="46"/>
      <c r="AW21" s="252"/>
      <c r="AX21" s="46"/>
      <c r="AY21" s="55">
        <f t="shared" si="10"/>
        <v>0</v>
      </c>
      <c r="AZ21" s="55"/>
      <c r="BA21" s="46"/>
      <c r="BB21" s="16"/>
      <c r="BC21" s="46"/>
      <c r="BD21" s="55">
        <f t="shared" si="11"/>
        <v>0</v>
      </c>
      <c r="BE21" s="55"/>
      <c r="BF21" s="46"/>
      <c r="BG21" s="16"/>
      <c r="BH21" s="46"/>
      <c r="BI21" s="55">
        <f t="shared" si="12"/>
        <v>0</v>
      </c>
      <c r="BJ21" s="55"/>
      <c r="BK21" s="15">
        <f t="shared" si="13"/>
        <v>0</v>
      </c>
      <c r="BL21" s="259">
        <f t="shared" si="0"/>
        <v>0</v>
      </c>
      <c r="BM21" s="15">
        <f t="shared" si="14"/>
        <v>0</v>
      </c>
      <c r="BN21" s="55">
        <f t="shared" si="15"/>
        <v>0</v>
      </c>
      <c r="BO21" s="55"/>
      <c r="BQ21" s="15">
        <f t="shared" si="16"/>
        <v>0</v>
      </c>
      <c r="BR21" s="15">
        <f t="shared" si="17"/>
        <v>0</v>
      </c>
      <c r="BS21" s="15">
        <f t="shared" si="18"/>
        <v>0</v>
      </c>
      <c r="BT21" s="55">
        <f t="shared" si="19"/>
        <v>0</v>
      </c>
      <c r="BU21" s="55"/>
      <c r="BW21" s="15">
        <f t="shared" si="20"/>
        <v>0</v>
      </c>
      <c r="BX21" s="15">
        <f t="shared" si="21"/>
        <v>0</v>
      </c>
      <c r="BY21" s="15">
        <f t="shared" si="22"/>
        <v>0</v>
      </c>
      <c r="BZ21" s="55">
        <f t="shared" si="23"/>
        <v>0</v>
      </c>
      <c r="CA21" s="55"/>
    </row>
    <row r="22" spans="1:79" outlineLevel="2" x14ac:dyDescent="0.3">
      <c r="A22" s="3" t="s">
        <v>25</v>
      </c>
      <c r="B22" s="4" t="s">
        <v>44</v>
      </c>
      <c r="C22" s="95"/>
      <c r="D22" s="251"/>
      <c r="E22" s="95"/>
      <c r="F22" s="107">
        <f t="shared" ref="F22" si="39">C22+E22</f>
        <v>0</v>
      </c>
      <c r="G22" s="107"/>
      <c r="H22" s="109"/>
      <c r="I22" s="251"/>
      <c r="J22" s="109"/>
      <c r="K22" s="107">
        <f t="shared" ref="K22" si="40">H22+J22</f>
        <v>0</v>
      </c>
      <c r="L22" s="107"/>
      <c r="M22" s="109"/>
      <c r="N22" s="251"/>
      <c r="O22" s="109"/>
      <c r="P22" s="107">
        <f t="shared" ref="P22" si="41">M22+O22</f>
        <v>0</v>
      </c>
      <c r="Q22" s="107"/>
      <c r="R22" s="109"/>
      <c r="S22" s="251"/>
      <c r="T22" s="109"/>
      <c r="U22" s="107">
        <f t="shared" ref="U22" si="42">R22+T22</f>
        <v>0</v>
      </c>
      <c r="V22" s="107"/>
      <c r="W22" s="109"/>
      <c r="X22" s="251"/>
      <c r="Y22" s="109"/>
      <c r="Z22" s="107">
        <f t="shared" ref="Z22" si="43">W22+Y22</f>
        <v>0</v>
      </c>
      <c r="AA22" s="107"/>
      <c r="AB22" s="46"/>
      <c r="AC22" s="252"/>
      <c r="AD22" s="46"/>
      <c r="AE22" s="55">
        <f t="shared" ref="AE22" si="44">AB22+AD22</f>
        <v>0</v>
      </c>
      <c r="AF22" s="55"/>
      <c r="AG22" s="46"/>
      <c r="AH22" s="252"/>
      <c r="AI22" s="46"/>
      <c r="AJ22" s="55">
        <f t="shared" ref="AJ22" si="45">AG22+AI22</f>
        <v>0</v>
      </c>
      <c r="AK22" s="55"/>
      <c r="AL22" s="46"/>
      <c r="AM22" s="252"/>
      <c r="AN22" s="46"/>
      <c r="AO22" s="55">
        <f t="shared" ref="AO22" si="46">AL22+AN22</f>
        <v>0</v>
      </c>
      <c r="AP22" s="55"/>
      <c r="AQ22" s="46"/>
      <c r="AR22" s="252"/>
      <c r="AS22" s="46"/>
      <c r="AT22" s="55">
        <f t="shared" ref="AT22" si="47">AQ22+AS22</f>
        <v>0</v>
      </c>
      <c r="AU22" s="55"/>
      <c r="AV22" s="46"/>
      <c r="AW22" s="252"/>
      <c r="AX22" s="46"/>
      <c r="AY22" s="55">
        <f t="shared" ref="AY22" si="48">AV22+AX22</f>
        <v>0</v>
      </c>
      <c r="AZ22" s="55"/>
      <c r="BA22" s="46"/>
      <c r="BB22" s="16"/>
      <c r="BC22" s="46"/>
      <c r="BD22" s="55">
        <f t="shared" ref="BD22" si="49">BA22+BC22</f>
        <v>0</v>
      </c>
      <c r="BE22" s="55"/>
      <c r="BF22" s="46"/>
      <c r="BG22" s="16"/>
      <c r="BH22" s="46"/>
      <c r="BI22" s="55">
        <f t="shared" ref="BI22" si="50">BF22+BH22</f>
        <v>0</v>
      </c>
      <c r="BJ22" s="55"/>
      <c r="BK22" s="15">
        <f t="shared" ref="BK22" si="51">SUM(BF22,BA22,AV22,AQ22,AL22,AG22,AB22,W22,R22,M22,H22,C22)</f>
        <v>0</v>
      </c>
      <c r="BL22" s="259">
        <f t="shared" ref="BL22" si="52">SUM(BG22,BB22,AW22,AR22,AM22,AH22,AC22,X22,S22,N22,I22,D22)</f>
        <v>0</v>
      </c>
      <c r="BM22" s="15">
        <f t="shared" ref="BM22" si="53">SUM(BH22,BC22,AX22,AS22,AN22,AI22,AD22,Y22,T22,O22,J22,E22)</f>
        <v>0</v>
      </c>
      <c r="BN22" s="55">
        <f t="shared" si="15"/>
        <v>0</v>
      </c>
      <c r="BO22" s="55"/>
      <c r="BQ22" s="15">
        <f t="shared" si="16"/>
        <v>0</v>
      </c>
      <c r="BR22" s="15">
        <f t="shared" si="17"/>
        <v>0</v>
      </c>
      <c r="BS22" s="15">
        <f t="shared" si="18"/>
        <v>0</v>
      </c>
      <c r="BT22" s="55">
        <f t="shared" si="19"/>
        <v>0</v>
      </c>
      <c r="BU22" s="55"/>
      <c r="BW22" s="15">
        <f t="shared" si="20"/>
        <v>0</v>
      </c>
      <c r="BX22" s="15">
        <f t="shared" si="21"/>
        <v>0</v>
      </c>
      <c r="BY22" s="15">
        <f t="shared" si="22"/>
        <v>0</v>
      </c>
      <c r="BZ22" s="55">
        <f t="shared" si="23"/>
        <v>0</v>
      </c>
      <c r="CA22" s="55"/>
    </row>
    <row r="23" spans="1:79" s="19" customFormat="1" outlineLevel="1" x14ac:dyDescent="0.3">
      <c r="A23" s="6" t="s">
        <v>25</v>
      </c>
      <c r="B23" s="7" t="s">
        <v>45</v>
      </c>
      <c r="C23" s="96">
        <f>SUM(C24:C28)</f>
        <v>0</v>
      </c>
      <c r="D23" s="251">
        <f t="shared" ref="D23:E23" si="54">SUM(D24:D28)</f>
        <v>0</v>
      </c>
      <c r="E23" s="96">
        <f t="shared" si="54"/>
        <v>0</v>
      </c>
      <c r="F23" s="107">
        <f t="shared" si="1"/>
        <v>0</v>
      </c>
      <c r="G23" s="107"/>
      <c r="H23" s="96">
        <f>SUM(H24:H28)</f>
        <v>0</v>
      </c>
      <c r="I23" s="251">
        <f t="shared" ref="I23" si="55">SUM(I24:I28)</f>
        <v>0</v>
      </c>
      <c r="J23" s="96">
        <f t="shared" ref="J23" si="56">SUM(J24:J28)</f>
        <v>0</v>
      </c>
      <c r="K23" s="107">
        <f t="shared" si="2"/>
        <v>0</v>
      </c>
      <c r="L23" s="107"/>
      <c r="M23" s="96">
        <f>SUM(M24:M28)</f>
        <v>0</v>
      </c>
      <c r="N23" s="251">
        <f t="shared" ref="N23" si="57">SUM(N24:N28)</f>
        <v>0</v>
      </c>
      <c r="O23" s="96">
        <f t="shared" ref="O23" si="58">SUM(O24:O28)</f>
        <v>0</v>
      </c>
      <c r="P23" s="107">
        <f t="shared" si="3"/>
        <v>0</v>
      </c>
      <c r="Q23" s="107"/>
      <c r="R23" s="96">
        <f>SUM(R24:R28)</f>
        <v>0</v>
      </c>
      <c r="S23" s="251">
        <f t="shared" ref="S23" si="59">SUM(S24:S28)</f>
        <v>0</v>
      </c>
      <c r="T23" s="96">
        <f t="shared" ref="T23" si="60">SUM(T24:T28)</f>
        <v>0</v>
      </c>
      <c r="U23" s="107">
        <f t="shared" si="4"/>
        <v>0</v>
      </c>
      <c r="V23" s="107"/>
      <c r="W23" s="96">
        <f>SUM(W24:W28)</f>
        <v>0</v>
      </c>
      <c r="X23" s="251">
        <f t="shared" ref="X23" si="61">SUM(X24:X28)</f>
        <v>0</v>
      </c>
      <c r="Y23" s="96">
        <f t="shared" ref="Y23" si="62">SUM(Y24:Y28)</f>
        <v>0</v>
      </c>
      <c r="Z23" s="107">
        <f t="shared" si="5"/>
        <v>0</v>
      </c>
      <c r="AA23" s="107"/>
      <c r="AB23" s="96">
        <f>SUM(AB24:AB28)</f>
        <v>0</v>
      </c>
      <c r="AC23" s="251">
        <f t="shared" ref="AC23:AD23" si="63">SUM(AC24:AC28)</f>
        <v>0</v>
      </c>
      <c r="AD23" s="96">
        <f t="shared" si="63"/>
        <v>0</v>
      </c>
      <c r="AE23" s="55">
        <f t="shared" si="6"/>
        <v>0</v>
      </c>
      <c r="AF23" s="55"/>
      <c r="AG23" s="96">
        <f>SUM(AG24:AG28)</f>
        <v>1</v>
      </c>
      <c r="AH23" s="251">
        <f t="shared" ref="AH23:AI23" si="64">SUM(AH24:AH28)</f>
        <v>1</v>
      </c>
      <c r="AI23" s="96">
        <f t="shared" si="64"/>
        <v>2</v>
      </c>
      <c r="AJ23" s="55">
        <f t="shared" si="7"/>
        <v>3</v>
      </c>
      <c r="AK23" s="55"/>
      <c r="AL23" s="96">
        <f>SUM(AL24:AL28)</f>
        <v>0</v>
      </c>
      <c r="AM23" s="251">
        <f t="shared" ref="AM23:AN23" si="65">SUM(AM24:AM28)</f>
        <v>0</v>
      </c>
      <c r="AN23" s="96">
        <f t="shared" si="65"/>
        <v>0</v>
      </c>
      <c r="AO23" s="55">
        <f t="shared" si="8"/>
        <v>0</v>
      </c>
      <c r="AP23" s="55"/>
      <c r="AQ23" s="96">
        <f>SUM(AQ24:AQ28)</f>
        <v>0</v>
      </c>
      <c r="AR23" s="251">
        <f t="shared" ref="AR23:AS23" si="66">SUM(AR24:AR28)</f>
        <v>0</v>
      </c>
      <c r="AS23" s="96">
        <f t="shared" si="66"/>
        <v>0</v>
      </c>
      <c r="AT23" s="55">
        <f t="shared" si="9"/>
        <v>0</v>
      </c>
      <c r="AU23" s="55"/>
      <c r="AV23" s="96">
        <f>SUM(AV24:AV28)</f>
        <v>0</v>
      </c>
      <c r="AW23" s="251">
        <f t="shared" ref="AW23:AX23" si="67">SUM(AW24:AW28)</f>
        <v>0</v>
      </c>
      <c r="AX23" s="96">
        <f t="shared" si="67"/>
        <v>1</v>
      </c>
      <c r="AY23" s="55">
        <f t="shared" si="10"/>
        <v>1</v>
      </c>
      <c r="AZ23" s="55"/>
      <c r="BA23" s="96">
        <f>SUM(BA24:BA28)</f>
        <v>0</v>
      </c>
      <c r="BB23" s="251">
        <f t="shared" ref="BB23:BC23" si="68">SUM(BB24:BB28)</f>
        <v>0</v>
      </c>
      <c r="BC23" s="96">
        <f t="shared" si="68"/>
        <v>0</v>
      </c>
      <c r="BD23" s="55">
        <f t="shared" si="11"/>
        <v>0</v>
      </c>
      <c r="BE23" s="55"/>
      <c r="BF23" s="96">
        <f>SUM(BF24:BF28)</f>
        <v>0</v>
      </c>
      <c r="BG23" s="251">
        <f t="shared" ref="BG23:BH23" si="69">SUM(BG24:BG28)</f>
        <v>0</v>
      </c>
      <c r="BH23" s="96">
        <f t="shared" si="69"/>
        <v>0</v>
      </c>
      <c r="BI23" s="55">
        <f t="shared" si="12"/>
        <v>0</v>
      </c>
      <c r="BJ23" s="55"/>
      <c r="BK23" s="15">
        <f t="shared" si="13"/>
        <v>1</v>
      </c>
      <c r="BL23" s="259">
        <f t="shared" si="0"/>
        <v>1</v>
      </c>
      <c r="BM23" s="15">
        <f t="shared" si="14"/>
        <v>3</v>
      </c>
      <c r="BN23" s="55">
        <f t="shared" si="15"/>
        <v>4</v>
      </c>
      <c r="BO23" s="55"/>
      <c r="BQ23" s="15">
        <f t="shared" si="16"/>
        <v>0</v>
      </c>
      <c r="BR23" s="15">
        <f t="shared" si="17"/>
        <v>0</v>
      </c>
      <c r="BS23" s="15">
        <f t="shared" si="18"/>
        <v>0</v>
      </c>
      <c r="BT23" s="55">
        <f t="shared" si="19"/>
        <v>0</v>
      </c>
      <c r="BU23" s="55"/>
      <c r="BW23" s="15">
        <f t="shared" si="20"/>
        <v>0</v>
      </c>
      <c r="BX23" s="15">
        <f t="shared" si="21"/>
        <v>0</v>
      </c>
      <c r="BY23" s="15">
        <f t="shared" si="22"/>
        <v>0</v>
      </c>
      <c r="BZ23" s="55">
        <f t="shared" si="23"/>
        <v>0</v>
      </c>
      <c r="CA23" s="55"/>
    </row>
    <row r="24" spans="1:79" outlineLevel="2" x14ac:dyDescent="0.3">
      <c r="A24" s="3" t="s">
        <v>25</v>
      </c>
      <c r="B24" s="9" t="s">
        <v>46</v>
      </c>
      <c r="C24" s="95"/>
      <c r="D24" s="251"/>
      <c r="E24" s="95"/>
      <c r="F24" s="107">
        <f t="shared" si="1"/>
        <v>0</v>
      </c>
      <c r="G24" s="107"/>
      <c r="H24" s="109"/>
      <c r="I24" s="251"/>
      <c r="J24" s="109"/>
      <c r="K24" s="107">
        <f t="shared" si="2"/>
        <v>0</v>
      </c>
      <c r="L24" s="107"/>
      <c r="M24" s="109"/>
      <c r="N24" s="251"/>
      <c r="O24" s="109"/>
      <c r="P24" s="107">
        <f t="shared" si="3"/>
        <v>0</v>
      </c>
      <c r="Q24" s="107"/>
      <c r="R24" s="109"/>
      <c r="S24" s="251"/>
      <c r="T24" s="109"/>
      <c r="U24" s="107">
        <f t="shared" si="4"/>
        <v>0</v>
      </c>
      <c r="V24" s="107"/>
      <c r="W24" s="109"/>
      <c r="X24" s="251"/>
      <c r="Y24" s="109"/>
      <c r="Z24" s="107">
        <f t="shared" si="5"/>
        <v>0</v>
      </c>
      <c r="AA24" s="107"/>
      <c r="AB24" s="46"/>
      <c r="AC24" s="252"/>
      <c r="AD24" s="46"/>
      <c r="AE24" s="55">
        <f t="shared" si="6"/>
        <v>0</v>
      </c>
      <c r="AF24" s="55"/>
      <c r="AG24" s="46"/>
      <c r="AH24" s="252"/>
      <c r="AI24" s="46">
        <v>2</v>
      </c>
      <c r="AJ24" s="55">
        <f t="shared" si="7"/>
        <v>2</v>
      </c>
      <c r="AK24" s="55"/>
      <c r="AL24" s="46"/>
      <c r="AM24" s="252"/>
      <c r="AN24" s="46"/>
      <c r="AO24" s="55">
        <f t="shared" si="8"/>
        <v>0</v>
      </c>
      <c r="AP24" s="55"/>
      <c r="AQ24" s="46"/>
      <c r="AR24" s="252"/>
      <c r="AS24" s="46"/>
      <c r="AT24" s="55">
        <f t="shared" si="9"/>
        <v>0</v>
      </c>
      <c r="AU24" s="55"/>
      <c r="AV24" s="46"/>
      <c r="AW24" s="252"/>
      <c r="AX24" s="46"/>
      <c r="AY24" s="55">
        <f t="shared" si="10"/>
        <v>0</v>
      </c>
      <c r="AZ24" s="55"/>
      <c r="BA24" s="46"/>
      <c r="BB24" s="16"/>
      <c r="BC24" s="46"/>
      <c r="BD24" s="55">
        <f t="shared" si="11"/>
        <v>0</v>
      </c>
      <c r="BE24" s="55"/>
      <c r="BF24" s="46"/>
      <c r="BG24" s="16"/>
      <c r="BH24" s="46"/>
      <c r="BI24" s="55">
        <f t="shared" si="12"/>
        <v>0</v>
      </c>
      <c r="BJ24" s="55"/>
      <c r="BK24" s="15">
        <f t="shared" si="13"/>
        <v>0</v>
      </c>
      <c r="BL24" s="259">
        <f t="shared" si="0"/>
        <v>0</v>
      </c>
      <c r="BM24" s="15">
        <f t="shared" si="14"/>
        <v>2</v>
      </c>
      <c r="BN24" s="55">
        <f t="shared" si="15"/>
        <v>2</v>
      </c>
      <c r="BO24" s="55"/>
      <c r="BQ24" s="15">
        <f t="shared" si="16"/>
        <v>0</v>
      </c>
      <c r="BR24" s="15">
        <f t="shared" si="17"/>
        <v>0</v>
      </c>
      <c r="BS24" s="15">
        <f t="shared" si="18"/>
        <v>0</v>
      </c>
      <c r="BT24" s="55">
        <f t="shared" si="19"/>
        <v>0</v>
      </c>
      <c r="BU24" s="55"/>
      <c r="BW24" s="15">
        <f t="shared" si="20"/>
        <v>0</v>
      </c>
      <c r="BX24" s="15">
        <f t="shared" si="21"/>
        <v>0</v>
      </c>
      <c r="BY24" s="15">
        <f t="shared" si="22"/>
        <v>0</v>
      </c>
      <c r="BZ24" s="55">
        <f t="shared" si="23"/>
        <v>0</v>
      </c>
      <c r="CA24" s="55"/>
    </row>
    <row r="25" spans="1:79" outlineLevel="2" x14ac:dyDescent="0.3">
      <c r="A25" s="3" t="s">
        <v>25</v>
      </c>
      <c r="B25" s="9" t="s">
        <v>47</v>
      </c>
      <c r="C25" s="95"/>
      <c r="D25" s="251"/>
      <c r="E25" s="95"/>
      <c r="F25" s="107">
        <f t="shared" si="1"/>
        <v>0</v>
      </c>
      <c r="G25" s="107"/>
      <c r="H25" s="109"/>
      <c r="I25" s="251"/>
      <c r="J25" s="109"/>
      <c r="K25" s="107">
        <f t="shared" si="2"/>
        <v>0</v>
      </c>
      <c r="L25" s="107"/>
      <c r="M25" s="109"/>
      <c r="N25" s="251"/>
      <c r="O25" s="109"/>
      <c r="P25" s="107">
        <f t="shared" si="3"/>
        <v>0</v>
      </c>
      <c r="Q25" s="107"/>
      <c r="R25" s="109"/>
      <c r="S25" s="251"/>
      <c r="T25" s="109"/>
      <c r="U25" s="107">
        <f t="shared" si="4"/>
        <v>0</v>
      </c>
      <c r="V25" s="107"/>
      <c r="W25" s="109"/>
      <c r="X25" s="251"/>
      <c r="Y25" s="109"/>
      <c r="Z25" s="107">
        <f t="shared" si="5"/>
        <v>0</v>
      </c>
      <c r="AA25" s="107"/>
      <c r="AB25" s="46"/>
      <c r="AC25" s="252"/>
      <c r="AD25" s="46"/>
      <c r="AE25" s="55">
        <f t="shared" si="6"/>
        <v>0</v>
      </c>
      <c r="AF25" s="55"/>
      <c r="AG25" s="46"/>
      <c r="AH25" s="252"/>
      <c r="AI25" s="46"/>
      <c r="AJ25" s="55">
        <f t="shared" si="7"/>
        <v>0</v>
      </c>
      <c r="AK25" s="55"/>
      <c r="AL25" s="46"/>
      <c r="AM25" s="252"/>
      <c r="AN25" s="46"/>
      <c r="AO25" s="55">
        <f t="shared" si="8"/>
        <v>0</v>
      </c>
      <c r="AP25" s="55"/>
      <c r="AQ25" s="46"/>
      <c r="AR25" s="252"/>
      <c r="AS25" s="46"/>
      <c r="AT25" s="55">
        <f t="shared" si="9"/>
        <v>0</v>
      </c>
      <c r="AU25" s="55"/>
      <c r="AV25" s="46"/>
      <c r="AW25" s="252"/>
      <c r="AX25" s="46"/>
      <c r="AY25" s="55">
        <f t="shared" si="10"/>
        <v>0</v>
      </c>
      <c r="AZ25" s="55"/>
      <c r="BA25" s="46"/>
      <c r="BB25" s="16"/>
      <c r="BC25" s="46"/>
      <c r="BD25" s="55">
        <f t="shared" si="11"/>
        <v>0</v>
      </c>
      <c r="BE25" s="55"/>
      <c r="BF25" s="46"/>
      <c r="BG25" s="16"/>
      <c r="BH25" s="46"/>
      <c r="BI25" s="55">
        <f t="shared" si="12"/>
        <v>0</v>
      </c>
      <c r="BJ25" s="55"/>
      <c r="BK25" s="15">
        <f t="shared" si="13"/>
        <v>0</v>
      </c>
      <c r="BL25" s="259">
        <f t="shared" si="0"/>
        <v>0</v>
      </c>
      <c r="BM25" s="15">
        <f t="shared" si="14"/>
        <v>0</v>
      </c>
      <c r="BN25" s="55">
        <f t="shared" si="15"/>
        <v>0</v>
      </c>
      <c r="BO25" s="55"/>
      <c r="BQ25" s="15">
        <f t="shared" si="16"/>
        <v>0</v>
      </c>
      <c r="BR25" s="15">
        <f t="shared" si="17"/>
        <v>0</v>
      </c>
      <c r="BS25" s="15">
        <f t="shared" si="18"/>
        <v>0</v>
      </c>
      <c r="BT25" s="55">
        <f t="shared" si="19"/>
        <v>0</v>
      </c>
      <c r="BU25" s="55"/>
      <c r="BW25" s="15">
        <f t="shared" si="20"/>
        <v>0</v>
      </c>
      <c r="BX25" s="15">
        <f t="shared" si="21"/>
        <v>0</v>
      </c>
      <c r="BY25" s="15">
        <f t="shared" si="22"/>
        <v>0</v>
      </c>
      <c r="BZ25" s="55">
        <f t="shared" si="23"/>
        <v>0</v>
      </c>
      <c r="CA25" s="55"/>
    </row>
    <row r="26" spans="1:79" outlineLevel="2" x14ac:dyDescent="0.3">
      <c r="A26" s="3" t="s">
        <v>25</v>
      </c>
      <c r="B26" s="9" t="s">
        <v>48</v>
      </c>
      <c r="C26" s="95"/>
      <c r="D26" s="251"/>
      <c r="E26" s="95"/>
      <c r="F26" s="107">
        <f t="shared" si="1"/>
        <v>0</v>
      </c>
      <c r="G26" s="107"/>
      <c r="H26" s="109"/>
      <c r="I26" s="251"/>
      <c r="J26" s="109"/>
      <c r="K26" s="107">
        <f t="shared" si="2"/>
        <v>0</v>
      </c>
      <c r="L26" s="107"/>
      <c r="M26" s="109"/>
      <c r="N26" s="251"/>
      <c r="O26" s="109"/>
      <c r="P26" s="107">
        <f t="shared" si="3"/>
        <v>0</v>
      </c>
      <c r="Q26" s="107"/>
      <c r="R26" s="109"/>
      <c r="S26" s="251"/>
      <c r="T26" s="109"/>
      <c r="U26" s="107">
        <f t="shared" si="4"/>
        <v>0</v>
      </c>
      <c r="V26" s="107"/>
      <c r="W26" s="109"/>
      <c r="X26" s="251"/>
      <c r="Y26" s="109"/>
      <c r="Z26" s="107">
        <f t="shared" si="5"/>
        <v>0</v>
      </c>
      <c r="AA26" s="107"/>
      <c r="AB26" s="46"/>
      <c r="AC26" s="252"/>
      <c r="AD26" s="46"/>
      <c r="AE26" s="55">
        <f t="shared" si="6"/>
        <v>0</v>
      </c>
      <c r="AF26" s="55"/>
      <c r="AG26" s="46">
        <v>1</v>
      </c>
      <c r="AH26" s="252">
        <v>1</v>
      </c>
      <c r="AI26" s="46"/>
      <c r="AJ26" s="55">
        <f t="shared" si="7"/>
        <v>1</v>
      </c>
      <c r="AK26" s="55"/>
      <c r="AL26" s="46"/>
      <c r="AM26" s="252"/>
      <c r="AN26" s="46"/>
      <c r="AO26" s="55">
        <f t="shared" si="8"/>
        <v>0</v>
      </c>
      <c r="AP26" s="55"/>
      <c r="AQ26" s="46"/>
      <c r="AR26" s="252"/>
      <c r="AS26" s="46"/>
      <c r="AT26" s="55">
        <f t="shared" si="9"/>
        <v>0</v>
      </c>
      <c r="AU26" s="55"/>
      <c r="AV26" s="46"/>
      <c r="AW26" s="252"/>
      <c r="AX26" s="46"/>
      <c r="AY26" s="55">
        <f t="shared" si="10"/>
        <v>0</v>
      </c>
      <c r="AZ26" s="55"/>
      <c r="BA26" s="46"/>
      <c r="BB26" s="16"/>
      <c r="BC26" s="46"/>
      <c r="BD26" s="55">
        <f t="shared" si="11"/>
        <v>0</v>
      </c>
      <c r="BE26" s="55"/>
      <c r="BF26" s="46"/>
      <c r="BG26" s="16"/>
      <c r="BH26" s="46"/>
      <c r="BI26" s="55">
        <f t="shared" si="12"/>
        <v>0</v>
      </c>
      <c r="BJ26" s="55"/>
      <c r="BK26" s="15">
        <f t="shared" si="13"/>
        <v>1</v>
      </c>
      <c r="BL26" s="259">
        <f t="shared" si="0"/>
        <v>1</v>
      </c>
      <c r="BM26" s="15">
        <f t="shared" si="14"/>
        <v>0</v>
      </c>
      <c r="BN26" s="55">
        <f t="shared" si="15"/>
        <v>1</v>
      </c>
      <c r="BO26" s="55"/>
      <c r="BQ26" s="15">
        <f t="shared" si="16"/>
        <v>0</v>
      </c>
      <c r="BR26" s="15">
        <f t="shared" si="17"/>
        <v>0</v>
      </c>
      <c r="BS26" s="15">
        <f t="shared" si="18"/>
        <v>0</v>
      </c>
      <c r="BT26" s="55">
        <f t="shared" si="19"/>
        <v>0</v>
      </c>
      <c r="BU26" s="55"/>
      <c r="BW26" s="15">
        <f t="shared" si="20"/>
        <v>0</v>
      </c>
      <c r="BX26" s="15">
        <f t="shared" si="21"/>
        <v>0</v>
      </c>
      <c r="BY26" s="15">
        <f t="shared" si="22"/>
        <v>0</v>
      </c>
      <c r="BZ26" s="55">
        <f t="shared" si="23"/>
        <v>0</v>
      </c>
      <c r="CA26" s="55"/>
    </row>
    <row r="27" spans="1:79" outlineLevel="2" x14ac:dyDescent="0.3">
      <c r="A27" s="3" t="s">
        <v>25</v>
      </c>
      <c r="B27" s="9" t="s">
        <v>49</v>
      </c>
      <c r="C27" s="95"/>
      <c r="D27" s="251"/>
      <c r="E27" s="95"/>
      <c r="F27" s="107">
        <f t="shared" si="1"/>
        <v>0</v>
      </c>
      <c r="G27" s="107"/>
      <c r="H27" s="109"/>
      <c r="I27" s="251"/>
      <c r="J27" s="109"/>
      <c r="K27" s="107">
        <f t="shared" si="2"/>
        <v>0</v>
      </c>
      <c r="L27" s="107"/>
      <c r="M27" s="109"/>
      <c r="N27" s="251"/>
      <c r="O27" s="109"/>
      <c r="P27" s="107">
        <f t="shared" si="3"/>
        <v>0</v>
      </c>
      <c r="Q27" s="107"/>
      <c r="R27" s="109"/>
      <c r="S27" s="251"/>
      <c r="T27" s="109"/>
      <c r="U27" s="107">
        <f t="shared" si="4"/>
        <v>0</v>
      </c>
      <c r="V27" s="107"/>
      <c r="W27" s="109"/>
      <c r="X27" s="251"/>
      <c r="Y27" s="109"/>
      <c r="Z27" s="107">
        <f t="shared" si="5"/>
        <v>0</v>
      </c>
      <c r="AA27" s="107"/>
      <c r="AB27" s="46"/>
      <c r="AC27" s="252"/>
      <c r="AD27" s="46"/>
      <c r="AE27" s="55">
        <f t="shared" si="6"/>
        <v>0</v>
      </c>
      <c r="AF27" s="55"/>
      <c r="AG27" s="46"/>
      <c r="AH27" s="252"/>
      <c r="AI27" s="46"/>
      <c r="AJ27" s="55">
        <f t="shared" si="7"/>
        <v>0</v>
      </c>
      <c r="AK27" s="55"/>
      <c r="AL27" s="46"/>
      <c r="AM27" s="252"/>
      <c r="AN27" s="46"/>
      <c r="AO27" s="55">
        <f t="shared" si="8"/>
        <v>0</v>
      </c>
      <c r="AP27" s="55"/>
      <c r="AQ27" s="46"/>
      <c r="AR27" s="252"/>
      <c r="AS27" s="46"/>
      <c r="AT27" s="55">
        <f t="shared" si="9"/>
        <v>0</v>
      </c>
      <c r="AU27" s="55"/>
      <c r="AV27" s="46"/>
      <c r="AW27" s="252"/>
      <c r="AX27" s="46"/>
      <c r="AY27" s="55">
        <f t="shared" si="10"/>
        <v>0</v>
      </c>
      <c r="AZ27" s="55"/>
      <c r="BA27" s="46"/>
      <c r="BB27" s="16"/>
      <c r="BC27" s="46"/>
      <c r="BD27" s="55">
        <f t="shared" si="11"/>
        <v>0</v>
      </c>
      <c r="BE27" s="55"/>
      <c r="BF27" s="46"/>
      <c r="BG27" s="16"/>
      <c r="BH27" s="46"/>
      <c r="BI27" s="55">
        <f t="shared" si="12"/>
        <v>0</v>
      </c>
      <c r="BJ27" s="55"/>
      <c r="BK27" s="15">
        <f t="shared" si="13"/>
        <v>0</v>
      </c>
      <c r="BL27" s="259">
        <f t="shared" si="0"/>
        <v>0</v>
      </c>
      <c r="BM27" s="15">
        <f t="shared" si="14"/>
        <v>0</v>
      </c>
      <c r="BN27" s="55">
        <f t="shared" si="15"/>
        <v>0</v>
      </c>
      <c r="BO27" s="55"/>
      <c r="BQ27" s="15">
        <f t="shared" si="16"/>
        <v>0</v>
      </c>
      <c r="BR27" s="15">
        <f t="shared" si="17"/>
        <v>0</v>
      </c>
      <c r="BS27" s="15">
        <f t="shared" si="18"/>
        <v>0</v>
      </c>
      <c r="BT27" s="55">
        <f t="shared" si="19"/>
        <v>0</v>
      </c>
      <c r="BU27" s="55"/>
      <c r="BW27" s="15">
        <f t="shared" si="20"/>
        <v>0</v>
      </c>
      <c r="BX27" s="15">
        <f t="shared" si="21"/>
        <v>0</v>
      </c>
      <c r="BY27" s="15">
        <f t="shared" si="22"/>
        <v>0</v>
      </c>
      <c r="BZ27" s="55">
        <f t="shared" si="23"/>
        <v>0</v>
      </c>
      <c r="CA27" s="55"/>
    </row>
    <row r="28" spans="1:79" outlineLevel="2" x14ac:dyDescent="0.3">
      <c r="A28" s="3" t="s">
        <v>25</v>
      </c>
      <c r="B28" s="9" t="s">
        <v>50</v>
      </c>
      <c r="C28" s="95"/>
      <c r="D28" s="251"/>
      <c r="E28" s="95"/>
      <c r="F28" s="107">
        <f t="shared" si="1"/>
        <v>0</v>
      </c>
      <c r="G28" s="107"/>
      <c r="H28" s="109"/>
      <c r="I28" s="251"/>
      <c r="J28" s="109"/>
      <c r="K28" s="107">
        <f t="shared" si="2"/>
        <v>0</v>
      </c>
      <c r="L28" s="107"/>
      <c r="M28" s="109"/>
      <c r="N28" s="251"/>
      <c r="O28" s="109"/>
      <c r="P28" s="107">
        <f t="shared" si="3"/>
        <v>0</v>
      </c>
      <c r="Q28" s="107"/>
      <c r="R28" s="109"/>
      <c r="S28" s="251"/>
      <c r="T28" s="109"/>
      <c r="U28" s="107">
        <f t="shared" si="4"/>
        <v>0</v>
      </c>
      <c r="V28" s="107"/>
      <c r="W28" s="109"/>
      <c r="X28" s="251"/>
      <c r="Y28" s="109"/>
      <c r="Z28" s="107">
        <f t="shared" si="5"/>
        <v>0</v>
      </c>
      <c r="AA28" s="107"/>
      <c r="AB28" s="46"/>
      <c r="AC28" s="252"/>
      <c r="AD28" s="46"/>
      <c r="AE28" s="55">
        <f t="shared" si="6"/>
        <v>0</v>
      </c>
      <c r="AF28" s="55"/>
      <c r="AG28" s="46"/>
      <c r="AH28" s="252"/>
      <c r="AI28" s="46"/>
      <c r="AJ28" s="55">
        <f t="shared" si="7"/>
        <v>0</v>
      </c>
      <c r="AK28" s="55"/>
      <c r="AL28" s="46"/>
      <c r="AM28" s="252"/>
      <c r="AN28" s="46"/>
      <c r="AO28" s="55">
        <f t="shared" si="8"/>
        <v>0</v>
      </c>
      <c r="AP28" s="55"/>
      <c r="AQ28" s="46"/>
      <c r="AR28" s="252"/>
      <c r="AS28" s="46"/>
      <c r="AT28" s="55">
        <f t="shared" si="9"/>
        <v>0</v>
      </c>
      <c r="AU28" s="55"/>
      <c r="AV28" s="46"/>
      <c r="AW28" s="252"/>
      <c r="AX28" s="46">
        <v>1</v>
      </c>
      <c r="AY28" s="55">
        <f t="shared" si="10"/>
        <v>1</v>
      </c>
      <c r="AZ28" s="55"/>
      <c r="BA28" s="46"/>
      <c r="BB28" s="16"/>
      <c r="BC28" s="46"/>
      <c r="BD28" s="55">
        <f t="shared" si="11"/>
        <v>0</v>
      </c>
      <c r="BE28" s="55"/>
      <c r="BF28" s="46"/>
      <c r="BG28" s="16"/>
      <c r="BH28" s="46"/>
      <c r="BI28" s="55">
        <f t="shared" si="12"/>
        <v>0</v>
      </c>
      <c r="BJ28" s="55"/>
      <c r="BK28" s="15">
        <f t="shared" si="13"/>
        <v>0</v>
      </c>
      <c r="BL28" s="259">
        <f t="shared" si="0"/>
        <v>0</v>
      </c>
      <c r="BM28" s="15">
        <f t="shared" si="14"/>
        <v>1</v>
      </c>
      <c r="BN28" s="55">
        <f t="shared" si="15"/>
        <v>1</v>
      </c>
      <c r="BO28" s="55"/>
      <c r="BQ28" s="15">
        <f t="shared" si="16"/>
        <v>0</v>
      </c>
      <c r="BR28" s="15">
        <f t="shared" si="17"/>
        <v>0</v>
      </c>
      <c r="BS28" s="15">
        <f t="shared" si="18"/>
        <v>0</v>
      </c>
      <c r="BT28" s="55">
        <f t="shared" si="19"/>
        <v>0</v>
      </c>
      <c r="BU28" s="55"/>
      <c r="BW28" s="15">
        <f t="shared" si="20"/>
        <v>0</v>
      </c>
      <c r="BX28" s="15">
        <f t="shared" si="21"/>
        <v>0</v>
      </c>
      <c r="BY28" s="15">
        <f t="shared" si="22"/>
        <v>0</v>
      </c>
      <c r="BZ28" s="55">
        <f t="shared" si="23"/>
        <v>0</v>
      </c>
      <c r="CA28" s="55"/>
    </row>
    <row r="29" spans="1:79" outlineLevel="2" x14ac:dyDescent="0.3">
      <c r="A29" s="3" t="s">
        <v>25</v>
      </c>
      <c r="B29" s="52" t="s">
        <v>80</v>
      </c>
      <c r="C29" s="95">
        <v>1</v>
      </c>
      <c r="D29" s="251">
        <v>15</v>
      </c>
      <c r="E29" s="95"/>
      <c r="F29" s="107">
        <f t="shared" si="1"/>
        <v>1</v>
      </c>
      <c r="G29" s="107"/>
      <c r="H29" s="109">
        <v>1</v>
      </c>
      <c r="I29" s="251">
        <v>6</v>
      </c>
      <c r="J29" s="109">
        <v>2</v>
      </c>
      <c r="K29" s="107">
        <f t="shared" si="2"/>
        <v>3</v>
      </c>
      <c r="L29" s="107"/>
      <c r="M29" s="109"/>
      <c r="N29" s="251"/>
      <c r="O29" s="109"/>
      <c r="P29" s="107">
        <f t="shared" si="3"/>
        <v>0</v>
      </c>
      <c r="Q29" s="107"/>
      <c r="R29" s="109"/>
      <c r="S29" s="251"/>
      <c r="T29" s="109"/>
      <c r="U29" s="107">
        <f t="shared" si="4"/>
        <v>0</v>
      </c>
      <c r="V29" s="107"/>
      <c r="W29" s="109"/>
      <c r="X29" s="251"/>
      <c r="Y29" s="109"/>
      <c r="Z29" s="107">
        <f t="shared" si="5"/>
        <v>0</v>
      </c>
      <c r="AA29" s="107"/>
      <c r="AB29" s="46">
        <v>1</v>
      </c>
      <c r="AC29" s="252">
        <v>4</v>
      </c>
      <c r="AD29" s="46">
        <v>0</v>
      </c>
      <c r="AE29" s="55">
        <f t="shared" si="6"/>
        <v>1</v>
      </c>
      <c r="AF29" s="55"/>
      <c r="AG29" s="46">
        <v>1</v>
      </c>
      <c r="AH29" s="252">
        <v>1</v>
      </c>
      <c r="AI29" s="46"/>
      <c r="AJ29" s="55">
        <f t="shared" si="7"/>
        <v>1</v>
      </c>
      <c r="AK29" s="55"/>
      <c r="AL29" s="46">
        <v>1</v>
      </c>
      <c r="AM29" s="252">
        <v>7</v>
      </c>
      <c r="AN29" s="46">
        <v>2</v>
      </c>
      <c r="AO29" s="55">
        <f t="shared" si="8"/>
        <v>3</v>
      </c>
      <c r="AP29" s="55"/>
      <c r="AQ29" s="46">
        <v>2</v>
      </c>
      <c r="AR29" s="252">
        <v>26</v>
      </c>
      <c r="AS29" s="305">
        <v>1</v>
      </c>
      <c r="AT29" s="55">
        <f t="shared" si="9"/>
        <v>3</v>
      </c>
      <c r="AU29" s="55"/>
      <c r="AV29" s="46"/>
      <c r="AW29" s="252"/>
      <c r="AX29" s="46"/>
      <c r="AY29" s="55">
        <f t="shared" si="10"/>
        <v>0</v>
      </c>
      <c r="AZ29" s="55"/>
      <c r="BA29" s="46"/>
      <c r="BB29" s="16"/>
      <c r="BC29" s="46"/>
      <c r="BD29" s="55">
        <f t="shared" si="11"/>
        <v>0</v>
      </c>
      <c r="BE29" s="55"/>
      <c r="BF29" s="46">
        <v>1</v>
      </c>
      <c r="BG29" s="16">
        <v>6</v>
      </c>
      <c r="BH29" s="46"/>
      <c r="BI29" s="55">
        <f t="shared" si="12"/>
        <v>1</v>
      </c>
      <c r="BJ29" s="55"/>
      <c r="BK29" s="15">
        <f t="shared" si="13"/>
        <v>8</v>
      </c>
      <c r="BL29" s="259">
        <f t="shared" si="0"/>
        <v>65</v>
      </c>
      <c r="BM29" s="15">
        <f t="shared" si="14"/>
        <v>5</v>
      </c>
      <c r="BN29" s="55">
        <f t="shared" si="15"/>
        <v>13</v>
      </c>
      <c r="BO29" s="55"/>
      <c r="BQ29" s="15">
        <f t="shared" si="16"/>
        <v>2</v>
      </c>
      <c r="BR29" s="15">
        <f t="shared" si="17"/>
        <v>21</v>
      </c>
      <c r="BS29" s="15">
        <f t="shared" si="18"/>
        <v>2</v>
      </c>
      <c r="BT29" s="55">
        <f t="shared" si="19"/>
        <v>4</v>
      </c>
      <c r="BU29" s="55"/>
      <c r="BW29" s="15">
        <f t="shared" si="20"/>
        <v>1</v>
      </c>
      <c r="BX29" s="15">
        <f t="shared" si="21"/>
        <v>4</v>
      </c>
      <c r="BY29" s="15">
        <f t="shared" si="22"/>
        <v>0</v>
      </c>
      <c r="BZ29" s="55">
        <f t="shared" si="23"/>
        <v>1</v>
      </c>
      <c r="CA29" s="55"/>
    </row>
    <row r="30" spans="1:79" outlineLevel="2" x14ac:dyDescent="0.3">
      <c r="A30" s="3" t="s">
        <v>25</v>
      </c>
      <c r="B30" s="52" t="s">
        <v>81</v>
      </c>
      <c r="C30" s="95"/>
      <c r="D30" s="251"/>
      <c r="E30" s="95"/>
      <c r="F30" s="107">
        <f t="shared" si="1"/>
        <v>0</v>
      </c>
      <c r="G30" s="107"/>
      <c r="H30" s="109"/>
      <c r="I30" s="251"/>
      <c r="J30" s="109">
        <v>1</v>
      </c>
      <c r="K30" s="107">
        <f t="shared" si="2"/>
        <v>1</v>
      </c>
      <c r="L30" s="107"/>
      <c r="M30" s="109"/>
      <c r="N30" s="251"/>
      <c r="O30" s="109"/>
      <c r="P30" s="107">
        <f t="shared" si="3"/>
        <v>0</v>
      </c>
      <c r="Q30" s="107"/>
      <c r="R30" s="109">
        <v>1</v>
      </c>
      <c r="S30" s="251">
        <v>19</v>
      </c>
      <c r="T30" s="109"/>
      <c r="U30" s="107">
        <f t="shared" si="4"/>
        <v>1</v>
      </c>
      <c r="V30" s="107"/>
      <c r="W30" s="109"/>
      <c r="X30" s="251"/>
      <c r="Y30" s="109"/>
      <c r="Z30" s="107">
        <f t="shared" si="5"/>
        <v>0</v>
      </c>
      <c r="AA30" s="107"/>
      <c r="AB30" s="46"/>
      <c r="AC30" s="252"/>
      <c r="AD30" s="46"/>
      <c r="AE30" s="55">
        <f t="shared" si="6"/>
        <v>0</v>
      </c>
      <c r="AF30" s="55"/>
      <c r="AG30" s="46"/>
      <c r="AH30" s="252"/>
      <c r="AI30" s="46"/>
      <c r="AJ30" s="55">
        <f t="shared" si="7"/>
        <v>0</v>
      </c>
      <c r="AK30" s="55"/>
      <c r="AL30" s="46">
        <v>1</v>
      </c>
      <c r="AM30" s="252">
        <v>13</v>
      </c>
      <c r="AN30" s="46"/>
      <c r="AO30" s="55">
        <f t="shared" si="8"/>
        <v>1</v>
      </c>
      <c r="AP30" s="55"/>
      <c r="AQ30" s="46"/>
      <c r="AR30" s="252"/>
      <c r="AS30" s="46"/>
      <c r="AT30" s="55">
        <f t="shared" si="9"/>
        <v>0</v>
      </c>
      <c r="AU30" s="55"/>
      <c r="AV30" s="46"/>
      <c r="AW30" s="252"/>
      <c r="AX30" s="46"/>
      <c r="AY30" s="55">
        <f t="shared" si="10"/>
        <v>0</v>
      </c>
      <c r="AZ30" s="55"/>
      <c r="BA30" s="46"/>
      <c r="BB30" s="16"/>
      <c r="BC30" s="46"/>
      <c r="BD30" s="55">
        <f t="shared" si="11"/>
        <v>0</v>
      </c>
      <c r="BE30" s="55"/>
      <c r="BF30" s="46"/>
      <c r="BG30" s="16"/>
      <c r="BH30" s="46"/>
      <c r="BI30" s="55">
        <f t="shared" si="12"/>
        <v>0</v>
      </c>
      <c r="BJ30" s="55"/>
      <c r="BK30" s="15">
        <f t="shared" si="13"/>
        <v>2</v>
      </c>
      <c r="BL30" s="259">
        <f t="shared" si="0"/>
        <v>32</v>
      </c>
      <c r="BM30" s="15">
        <f t="shared" si="14"/>
        <v>1</v>
      </c>
      <c r="BN30" s="55">
        <f t="shared" si="15"/>
        <v>3</v>
      </c>
      <c r="BO30" s="55"/>
      <c r="BQ30" s="15">
        <f t="shared" si="16"/>
        <v>0</v>
      </c>
      <c r="BR30" s="15">
        <f t="shared" si="17"/>
        <v>0</v>
      </c>
      <c r="BS30" s="15">
        <f t="shared" si="18"/>
        <v>1</v>
      </c>
      <c r="BT30" s="55">
        <f t="shared" si="19"/>
        <v>1</v>
      </c>
      <c r="BU30" s="55"/>
      <c r="BW30" s="15">
        <f t="shared" si="20"/>
        <v>1</v>
      </c>
      <c r="BX30" s="15">
        <f t="shared" si="21"/>
        <v>19</v>
      </c>
      <c r="BY30" s="15">
        <f t="shared" si="22"/>
        <v>0</v>
      </c>
      <c r="BZ30" s="55">
        <f t="shared" si="23"/>
        <v>1</v>
      </c>
      <c r="CA30" s="55"/>
    </row>
    <row r="31" spans="1:79" outlineLevel="2" x14ac:dyDescent="0.3">
      <c r="A31" s="3" t="s">
        <v>25</v>
      </c>
      <c r="B31" s="52" t="s">
        <v>53</v>
      </c>
      <c r="C31" s="95">
        <v>0</v>
      </c>
      <c r="D31" s="251">
        <v>0</v>
      </c>
      <c r="E31" s="95">
        <v>0</v>
      </c>
      <c r="F31" s="107">
        <f t="shared" si="1"/>
        <v>0</v>
      </c>
      <c r="G31" s="107">
        <v>0</v>
      </c>
      <c r="H31" s="109">
        <v>0</v>
      </c>
      <c r="I31" s="251">
        <v>0</v>
      </c>
      <c r="J31" s="109">
        <v>0</v>
      </c>
      <c r="K31" s="107">
        <f t="shared" si="2"/>
        <v>0</v>
      </c>
      <c r="L31" s="107">
        <v>0</v>
      </c>
      <c r="M31" s="109">
        <v>0</v>
      </c>
      <c r="N31" s="251">
        <v>0</v>
      </c>
      <c r="O31" s="109">
        <v>0</v>
      </c>
      <c r="P31" s="107">
        <f t="shared" si="3"/>
        <v>0</v>
      </c>
      <c r="Q31" s="107">
        <v>0</v>
      </c>
      <c r="R31" s="109">
        <v>0</v>
      </c>
      <c r="S31" s="251">
        <v>0</v>
      </c>
      <c r="T31" s="109">
        <v>0</v>
      </c>
      <c r="U31" s="107">
        <f t="shared" si="4"/>
        <v>0</v>
      </c>
      <c r="V31" s="107">
        <v>0</v>
      </c>
      <c r="W31" s="109">
        <v>0</v>
      </c>
      <c r="X31" s="251">
        <v>0</v>
      </c>
      <c r="Y31" s="109">
        <v>0</v>
      </c>
      <c r="Z31" s="107">
        <f t="shared" si="5"/>
        <v>0</v>
      </c>
      <c r="AA31" s="107">
        <v>0</v>
      </c>
      <c r="AB31" s="46">
        <v>0</v>
      </c>
      <c r="AC31" s="252">
        <v>0</v>
      </c>
      <c r="AD31" s="46">
        <v>0</v>
      </c>
      <c r="AE31" s="55">
        <f t="shared" si="6"/>
        <v>0</v>
      </c>
      <c r="AF31" s="55"/>
      <c r="AG31" s="46"/>
      <c r="AH31" s="252"/>
      <c r="AI31" s="46"/>
      <c r="AJ31" s="55">
        <f t="shared" si="7"/>
        <v>0</v>
      </c>
      <c r="AK31" s="55"/>
      <c r="AL31" s="46">
        <v>1</v>
      </c>
      <c r="AM31" s="252">
        <v>9</v>
      </c>
      <c r="AN31" s="46">
        <v>0</v>
      </c>
      <c r="AO31" s="55">
        <f t="shared" si="8"/>
        <v>1</v>
      </c>
      <c r="AP31" s="55"/>
      <c r="AQ31" s="46">
        <v>0</v>
      </c>
      <c r="AR31" s="252">
        <v>0</v>
      </c>
      <c r="AS31" s="46">
        <v>0</v>
      </c>
      <c r="AT31" s="55">
        <f t="shared" si="9"/>
        <v>0</v>
      </c>
      <c r="AU31" s="55"/>
      <c r="AV31" s="46">
        <v>1</v>
      </c>
      <c r="AW31" s="252">
        <v>2</v>
      </c>
      <c r="AX31" s="46"/>
      <c r="AY31" s="55">
        <f t="shared" si="10"/>
        <v>1</v>
      </c>
      <c r="AZ31" s="55"/>
      <c r="BA31" s="46"/>
      <c r="BB31" s="16"/>
      <c r="BC31" s="46"/>
      <c r="BD31" s="55">
        <f t="shared" si="11"/>
        <v>0</v>
      </c>
      <c r="BE31" s="55"/>
      <c r="BF31" s="46"/>
      <c r="BG31" s="16"/>
      <c r="BH31" s="46"/>
      <c r="BI31" s="55">
        <f t="shared" si="12"/>
        <v>0</v>
      </c>
      <c r="BJ31" s="55"/>
      <c r="BK31" s="15">
        <f t="shared" si="13"/>
        <v>2</v>
      </c>
      <c r="BL31" s="259">
        <f t="shared" si="0"/>
        <v>11</v>
      </c>
      <c r="BM31" s="15">
        <f t="shared" si="14"/>
        <v>0</v>
      </c>
      <c r="BN31" s="55">
        <f t="shared" si="15"/>
        <v>2</v>
      </c>
      <c r="BO31" s="55"/>
      <c r="BQ31" s="15">
        <f t="shared" si="16"/>
        <v>0</v>
      </c>
      <c r="BR31" s="15">
        <f t="shared" si="17"/>
        <v>0</v>
      </c>
      <c r="BS31" s="15">
        <f t="shared" si="18"/>
        <v>0</v>
      </c>
      <c r="BT31" s="55">
        <f t="shared" si="19"/>
        <v>0</v>
      </c>
      <c r="BU31" s="55"/>
      <c r="BW31" s="15">
        <f t="shared" si="20"/>
        <v>0</v>
      </c>
      <c r="BX31" s="15">
        <f t="shared" si="21"/>
        <v>0</v>
      </c>
      <c r="BY31" s="15">
        <f t="shared" si="22"/>
        <v>0</v>
      </c>
      <c r="BZ31" s="55">
        <f t="shared" si="23"/>
        <v>0</v>
      </c>
      <c r="CA31" s="55"/>
    </row>
    <row r="32" spans="1:79" s="19" customFormat="1" outlineLevel="1" x14ac:dyDescent="0.3">
      <c r="A32" s="6" t="s">
        <v>25</v>
      </c>
      <c r="B32" s="7" t="s">
        <v>54</v>
      </c>
      <c r="C32" s="96">
        <f>SUM(C33:C39)</f>
        <v>0</v>
      </c>
      <c r="D32" s="251">
        <f t="shared" ref="D32:E32" si="70">SUM(D33:D39)</f>
        <v>0</v>
      </c>
      <c r="E32" s="96">
        <f t="shared" si="70"/>
        <v>0</v>
      </c>
      <c r="F32" s="107">
        <f t="shared" si="1"/>
        <v>0</v>
      </c>
      <c r="G32" s="107"/>
      <c r="H32" s="96">
        <f>SUM(H33:H39)</f>
        <v>0</v>
      </c>
      <c r="I32" s="251">
        <f t="shared" ref="I32" si="71">SUM(I33:I39)</f>
        <v>0</v>
      </c>
      <c r="J32" s="96">
        <f t="shared" ref="J32" si="72">SUM(J33:J39)</f>
        <v>0</v>
      </c>
      <c r="K32" s="107">
        <f t="shared" si="2"/>
        <v>0</v>
      </c>
      <c r="L32" s="107"/>
      <c r="M32" s="96">
        <f>SUM(M33:M39)</f>
        <v>0</v>
      </c>
      <c r="N32" s="251">
        <f t="shared" ref="N32" si="73">SUM(N33:N39)</f>
        <v>0</v>
      </c>
      <c r="O32" s="96">
        <f t="shared" ref="O32" si="74">SUM(O33:O39)</f>
        <v>0</v>
      </c>
      <c r="P32" s="107">
        <f t="shared" si="3"/>
        <v>0</v>
      </c>
      <c r="Q32" s="107"/>
      <c r="R32" s="96">
        <f>SUM(R33:R39)</f>
        <v>0</v>
      </c>
      <c r="S32" s="251">
        <f t="shared" ref="S32" si="75">SUM(S33:S39)</f>
        <v>0</v>
      </c>
      <c r="T32" s="96">
        <f t="shared" ref="T32" si="76">SUM(T33:T39)</f>
        <v>0</v>
      </c>
      <c r="U32" s="107">
        <f t="shared" si="4"/>
        <v>0</v>
      </c>
      <c r="V32" s="107"/>
      <c r="W32" s="96">
        <f>SUM(W33:W39)</f>
        <v>0</v>
      </c>
      <c r="X32" s="251">
        <f t="shared" ref="X32" si="77">SUM(X33:X39)</f>
        <v>0</v>
      </c>
      <c r="Y32" s="96">
        <f t="shared" ref="Y32" si="78">SUM(Y33:Y39)</f>
        <v>0</v>
      </c>
      <c r="Z32" s="107">
        <f t="shared" si="5"/>
        <v>0</v>
      </c>
      <c r="AA32" s="107"/>
      <c r="AB32" s="96">
        <f>SUM(AB33:AB39)</f>
        <v>1</v>
      </c>
      <c r="AC32" s="251">
        <f t="shared" ref="AC32:AD32" si="79">SUM(AC33:AC39)</f>
        <v>149</v>
      </c>
      <c r="AD32" s="96">
        <f t="shared" si="79"/>
        <v>0</v>
      </c>
      <c r="AE32" s="55">
        <f t="shared" si="6"/>
        <v>1</v>
      </c>
      <c r="AF32" s="55"/>
      <c r="AG32" s="96">
        <f>SUM(AG33:AG39)</f>
        <v>0</v>
      </c>
      <c r="AH32" s="251">
        <f t="shared" ref="AH32:AI32" si="80">SUM(AH33:AH39)</f>
        <v>0</v>
      </c>
      <c r="AI32" s="96">
        <f t="shared" si="80"/>
        <v>0</v>
      </c>
      <c r="AJ32" s="55">
        <f t="shared" si="7"/>
        <v>0</v>
      </c>
      <c r="AK32" s="55"/>
      <c r="AL32" s="96">
        <f>SUM(AL33:AL39)</f>
        <v>0</v>
      </c>
      <c r="AM32" s="251">
        <f t="shared" ref="AM32:AN32" si="81">SUM(AM33:AM39)</f>
        <v>0</v>
      </c>
      <c r="AN32" s="96">
        <f t="shared" si="81"/>
        <v>0</v>
      </c>
      <c r="AO32" s="55">
        <f t="shared" si="8"/>
        <v>0</v>
      </c>
      <c r="AP32" s="55"/>
      <c r="AQ32" s="96">
        <f>SUM(AQ33:AQ39)</f>
        <v>0</v>
      </c>
      <c r="AR32" s="251">
        <f t="shared" ref="AR32:AS32" si="82">SUM(AR33:AR39)</f>
        <v>0</v>
      </c>
      <c r="AS32" s="96">
        <f t="shared" si="82"/>
        <v>0</v>
      </c>
      <c r="AT32" s="55">
        <f t="shared" si="9"/>
        <v>0</v>
      </c>
      <c r="AU32" s="55"/>
      <c r="AV32" s="96">
        <f>SUM(AV33:AV39)</f>
        <v>0</v>
      </c>
      <c r="AW32" s="251">
        <f t="shared" ref="AW32:AX32" si="83">SUM(AW33:AW39)</f>
        <v>0</v>
      </c>
      <c r="AX32" s="96">
        <f t="shared" si="83"/>
        <v>0</v>
      </c>
      <c r="AY32" s="55">
        <f t="shared" si="10"/>
        <v>0</v>
      </c>
      <c r="AZ32" s="55"/>
      <c r="BA32" s="96">
        <f>SUM(BA33:BA39)</f>
        <v>0</v>
      </c>
      <c r="BB32" s="251">
        <f t="shared" ref="BB32:BC32" si="84">SUM(BB33:BB39)</f>
        <v>0</v>
      </c>
      <c r="BC32" s="96">
        <f t="shared" si="84"/>
        <v>0</v>
      </c>
      <c r="BD32" s="55">
        <f t="shared" si="11"/>
        <v>0</v>
      </c>
      <c r="BE32" s="55"/>
      <c r="BF32" s="96">
        <f>SUM(BF33:BF39)</f>
        <v>0</v>
      </c>
      <c r="BG32" s="251">
        <f t="shared" ref="BG32:BH32" si="85">SUM(BG33:BG39)</f>
        <v>0</v>
      </c>
      <c r="BH32" s="96">
        <f t="shared" si="85"/>
        <v>0</v>
      </c>
      <c r="BI32" s="55">
        <f t="shared" si="12"/>
        <v>0</v>
      </c>
      <c r="BJ32" s="55"/>
      <c r="BK32" s="15">
        <f t="shared" si="13"/>
        <v>1</v>
      </c>
      <c r="BL32" s="259">
        <f t="shared" si="0"/>
        <v>149</v>
      </c>
      <c r="BM32" s="15">
        <f t="shared" si="14"/>
        <v>0</v>
      </c>
      <c r="BN32" s="55">
        <f t="shared" si="15"/>
        <v>1</v>
      </c>
      <c r="BO32" s="55"/>
      <c r="BQ32" s="15">
        <f t="shared" si="16"/>
        <v>0</v>
      </c>
      <c r="BR32" s="15">
        <f t="shared" si="17"/>
        <v>0</v>
      </c>
      <c r="BS32" s="15">
        <f t="shared" si="18"/>
        <v>0</v>
      </c>
      <c r="BT32" s="55">
        <f t="shared" si="19"/>
        <v>0</v>
      </c>
      <c r="BU32" s="55"/>
      <c r="BW32" s="15">
        <f t="shared" si="20"/>
        <v>1</v>
      </c>
      <c r="BX32" s="15">
        <f t="shared" si="21"/>
        <v>149</v>
      </c>
      <c r="BY32" s="15">
        <f t="shared" si="22"/>
        <v>0</v>
      </c>
      <c r="BZ32" s="55">
        <f t="shared" si="23"/>
        <v>1</v>
      </c>
      <c r="CA32" s="55"/>
    </row>
    <row r="33" spans="1:79" outlineLevel="2" x14ac:dyDescent="0.3">
      <c r="A33" s="3" t="s">
        <v>25</v>
      </c>
      <c r="B33" s="4" t="s">
        <v>55</v>
      </c>
      <c r="C33" s="95">
        <v>0</v>
      </c>
      <c r="D33" s="251">
        <v>0</v>
      </c>
      <c r="E33" s="95">
        <v>0</v>
      </c>
      <c r="F33" s="107">
        <f t="shared" si="1"/>
        <v>0</v>
      </c>
      <c r="G33" s="107">
        <v>0</v>
      </c>
      <c r="H33" s="109">
        <v>0</v>
      </c>
      <c r="I33" s="251">
        <v>0</v>
      </c>
      <c r="J33" s="109">
        <v>0</v>
      </c>
      <c r="K33" s="107">
        <f t="shared" si="2"/>
        <v>0</v>
      </c>
      <c r="L33" s="107">
        <v>0</v>
      </c>
      <c r="M33" s="109">
        <v>0</v>
      </c>
      <c r="N33" s="251">
        <v>0</v>
      </c>
      <c r="O33" s="109">
        <v>0</v>
      </c>
      <c r="P33" s="107">
        <f t="shared" si="3"/>
        <v>0</v>
      </c>
      <c r="Q33" s="107">
        <v>0</v>
      </c>
      <c r="R33" s="109">
        <v>0</v>
      </c>
      <c r="S33" s="251">
        <v>0</v>
      </c>
      <c r="T33" s="109">
        <v>0</v>
      </c>
      <c r="U33" s="107">
        <f t="shared" si="4"/>
        <v>0</v>
      </c>
      <c r="V33" s="107">
        <v>0</v>
      </c>
      <c r="W33" s="109">
        <v>0</v>
      </c>
      <c r="X33" s="251">
        <v>0</v>
      </c>
      <c r="Y33" s="109">
        <v>0</v>
      </c>
      <c r="Z33" s="107">
        <f t="shared" si="5"/>
        <v>0</v>
      </c>
      <c r="AA33" s="107">
        <v>1</v>
      </c>
      <c r="AB33" s="46">
        <v>1</v>
      </c>
      <c r="AC33" s="252">
        <v>149</v>
      </c>
      <c r="AD33" s="46"/>
      <c r="AE33" s="55">
        <f t="shared" si="6"/>
        <v>1</v>
      </c>
      <c r="AF33" s="55"/>
      <c r="AG33" s="46"/>
      <c r="AH33" s="252"/>
      <c r="AI33" s="46"/>
      <c r="AJ33" s="55">
        <f t="shared" si="7"/>
        <v>0</v>
      </c>
      <c r="AK33" s="55"/>
      <c r="AL33" s="46"/>
      <c r="AM33" s="252"/>
      <c r="AN33" s="46"/>
      <c r="AO33" s="55">
        <f t="shared" si="8"/>
        <v>0</v>
      </c>
      <c r="AP33" s="55"/>
      <c r="AQ33" s="46"/>
      <c r="AR33" s="252"/>
      <c r="AS33" s="46"/>
      <c r="AT33" s="55">
        <f t="shared" si="9"/>
        <v>0</v>
      </c>
      <c r="AU33" s="55"/>
      <c r="AV33" s="46"/>
      <c r="AW33" s="252"/>
      <c r="AX33" s="46"/>
      <c r="AY33" s="55">
        <f t="shared" si="10"/>
        <v>0</v>
      </c>
      <c r="AZ33" s="55"/>
      <c r="BA33" s="46"/>
      <c r="BB33" s="16"/>
      <c r="BC33" s="46"/>
      <c r="BD33" s="55">
        <f t="shared" si="11"/>
        <v>0</v>
      </c>
      <c r="BE33" s="55"/>
      <c r="BF33" s="46"/>
      <c r="BG33" s="16"/>
      <c r="BH33" s="46"/>
      <c r="BI33" s="55">
        <f t="shared" si="12"/>
        <v>0</v>
      </c>
      <c r="BJ33" s="55"/>
      <c r="BK33" s="15">
        <f t="shared" si="13"/>
        <v>1</v>
      </c>
      <c r="BL33" s="259">
        <f t="shared" si="0"/>
        <v>149</v>
      </c>
      <c r="BM33" s="15">
        <f t="shared" si="14"/>
        <v>0</v>
      </c>
      <c r="BN33" s="55">
        <f t="shared" si="15"/>
        <v>1</v>
      </c>
      <c r="BO33" s="55"/>
      <c r="BQ33" s="15">
        <f t="shared" si="16"/>
        <v>0</v>
      </c>
      <c r="BR33" s="15">
        <f t="shared" si="17"/>
        <v>0</v>
      </c>
      <c r="BS33" s="15">
        <f t="shared" si="18"/>
        <v>0</v>
      </c>
      <c r="BT33" s="55">
        <f t="shared" si="19"/>
        <v>0</v>
      </c>
      <c r="BU33" s="55"/>
      <c r="BW33" s="15">
        <f t="shared" si="20"/>
        <v>1</v>
      </c>
      <c r="BX33" s="15">
        <f t="shared" si="21"/>
        <v>149</v>
      </c>
      <c r="BY33" s="15">
        <f t="shared" si="22"/>
        <v>0</v>
      </c>
      <c r="BZ33" s="55">
        <f t="shared" si="23"/>
        <v>1</v>
      </c>
      <c r="CA33" s="55"/>
    </row>
    <row r="34" spans="1:79" outlineLevel="2" x14ac:dyDescent="0.3">
      <c r="A34" s="3" t="s">
        <v>25</v>
      </c>
      <c r="B34" s="4" t="s">
        <v>56</v>
      </c>
      <c r="C34" s="95"/>
      <c r="D34" s="251"/>
      <c r="E34" s="95"/>
      <c r="F34" s="107">
        <f t="shared" si="1"/>
        <v>0</v>
      </c>
      <c r="G34" s="107"/>
      <c r="H34" s="109"/>
      <c r="I34" s="251"/>
      <c r="J34" s="109"/>
      <c r="K34" s="107">
        <f t="shared" si="2"/>
        <v>0</v>
      </c>
      <c r="L34" s="107"/>
      <c r="M34" s="109"/>
      <c r="N34" s="251"/>
      <c r="O34" s="109"/>
      <c r="P34" s="107">
        <f t="shared" si="3"/>
        <v>0</v>
      </c>
      <c r="Q34" s="107"/>
      <c r="R34" s="109"/>
      <c r="S34" s="251"/>
      <c r="T34" s="109"/>
      <c r="U34" s="107">
        <f t="shared" si="4"/>
        <v>0</v>
      </c>
      <c r="V34" s="107"/>
      <c r="W34" s="109"/>
      <c r="X34" s="251"/>
      <c r="Y34" s="109"/>
      <c r="Z34" s="107">
        <f t="shared" si="5"/>
        <v>0</v>
      </c>
      <c r="AA34" s="107"/>
      <c r="AB34" s="46"/>
      <c r="AC34" s="252"/>
      <c r="AD34" s="46"/>
      <c r="AE34" s="55">
        <f t="shared" si="6"/>
        <v>0</v>
      </c>
      <c r="AF34" s="55"/>
      <c r="AG34" s="46"/>
      <c r="AH34" s="252"/>
      <c r="AI34" s="46"/>
      <c r="AJ34" s="55">
        <f t="shared" si="7"/>
        <v>0</v>
      </c>
      <c r="AK34" s="55"/>
      <c r="AL34" s="46"/>
      <c r="AM34" s="252"/>
      <c r="AN34" s="46"/>
      <c r="AO34" s="55">
        <f t="shared" si="8"/>
        <v>0</v>
      </c>
      <c r="AP34" s="55"/>
      <c r="AQ34" s="46"/>
      <c r="AR34" s="252"/>
      <c r="AS34" s="46"/>
      <c r="AT34" s="55">
        <f t="shared" si="9"/>
        <v>0</v>
      </c>
      <c r="AU34" s="55"/>
      <c r="AV34" s="46"/>
      <c r="AW34" s="252"/>
      <c r="AX34" s="46"/>
      <c r="AY34" s="55">
        <f t="shared" si="10"/>
        <v>0</v>
      </c>
      <c r="AZ34" s="55"/>
      <c r="BA34" s="46"/>
      <c r="BB34" s="16"/>
      <c r="BC34" s="46"/>
      <c r="BD34" s="55">
        <f t="shared" si="11"/>
        <v>0</v>
      </c>
      <c r="BE34" s="55"/>
      <c r="BF34" s="46"/>
      <c r="BG34" s="16"/>
      <c r="BH34" s="46"/>
      <c r="BI34" s="55">
        <f t="shared" si="12"/>
        <v>0</v>
      </c>
      <c r="BJ34" s="55"/>
      <c r="BK34" s="15">
        <f t="shared" si="13"/>
        <v>0</v>
      </c>
      <c r="BL34" s="259">
        <f t="shared" si="0"/>
        <v>0</v>
      </c>
      <c r="BM34" s="15">
        <f t="shared" si="14"/>
        <v>0</v>
      </c>
      <c r="BN34" s="55">
        <f t="shared" si="15"/>
        <v>0</v>
      </c>
      <c r="BO34" s="55"/>
      <c r="BQ34" s="15">
        <f t="shared" si="16"/>
        <v>0</v>
      </c>
      <c r="BR34" s="15">
        <f t="shared" si="17"/>
        <v>0</v>
      </c>
      <c r="BS34" s="15">
        <f t="shared" si="18"/>
        <v>0</v>
      </c>
      <c r="BT34" s="55">
        <f t="shared" si="19"/>
        <v>0</v>
      </c>
      <c r="BU34" s="55"/>
      <c r="BW34" s="15">
        <f t="shared" si="20"/>
        <v>0</v>
      </c>
      <c r="BX34" s="15">
        <f t="shared" si="21"/>
        <v>0</v>
      </c>
      <c r="BY34" s="15">
        <f t="shared" si="22"/>
        <v>0</v>
      </c>
      <c r="BZ34" s="55">
        <f t="shared" si="23"/>
        <v>0</v>
      </c>
      <c r="CA34" s="55"/>
    </row>
    <row r="35" spans="1:79" outlineLevel="2" x14ac:dyDescent="0.3">
      <c r="A35" s="3" t="s">
        <v>25</v>
      </c>
      <c r="B35" s="4" t="s">
        <v>57</v>
      </c>
      <c r="C35" s="95"/>
      <c r="D35" s="251"/>
      <c r="E35" s="95"/>
      <c r="F35" s="107">
        <f t="shared" si="1"/>
        <v>0</v>
      </c>
      <c r="G35" s="107"/>
      <c r="H35" s="109"/>
      <c r="I35" s="251"/>
      <c r="J35" s="109"/>
      <c r="K35" s="107">
        <f t="shared" si="2"/>
        <v>0</v>
      </c>
      <c r="L35" s="107"/>
      <c r="M35" s="109"/>
      <c r="N35" s="251"/>
      <c r="O35" s="109"/>
      <c r="P35" s="107">
        <f t="shared" si="3"/>
        <v>0</v>
      </c>
      <c r="Q35" s="107"/>
      <c r="R35" s="109"/>
      <c r="S35" s="251"/>
      <c r="T35" s="109"/>
      <c r="U35" s="107">
        <f t="shared" si="4"/>
        <v>0</v>
      </c>
      <c r="V35" s="107"/>
      <c r="W35" s="109"/>
      <c r="X35" s="251"/>
      <c r="Y35" s="109"/>
      <c r="Z35" s="107">
        <f t="shared" si="5"/>
        <v>0</v>
      </c>
      <c r="AA35" s="107"/>
      <c r="AB35" s="46"/>
      <c r="AC35" s="252"/>
      <c r="AD35" s="46"/>
      <c r="AE35" s="55">
        <f t="shared" si="6"/>
        <v>0</v>
      </c>
      <c r="AF35" s="55"/>
      <c r="AG35" s="46"/>
      <c r="AH35" s="252"/>
      <c r="AI35" s="46"/>
      <c r="AJ35" s="55">
        <f t="shared" si="7"/>
        <v>0</v>
      </c>
      <c r="AK35" s="55"/>
      <c r="AL35" s="46"/>
      <c r="AM35" s="252"/>
      <c r="AN35" s="46"/>
      <c r="AO35" s="55">
        <f t="shared" si="8"/>
        <v>0</v>
      </c>
      <c r="AP35" s="55"/>
      <c r="AQ35" s="46"/>
      <c r="AR35" s="252"/>
      <c r="AS35" s="46"/>
      <c r="AT35" s="55">
        <f t="shared" si="9"/>
        <v>0</v>
      </c>
      <c r="AU35" s="55"/>
      <c r="AV35" s="46"/>
      <c r="AW35" s="252"/>
      <c r="AX35" s="46"/>
      <c r="AY35" s="55">
        <f t="shared" si="10"/>
        <v>0</v>
      </c>
      <c r="AZ35" s="55"/>
      <c r="BA35" s="46"/>
      <c r="BB35" s="16"/>
      <c r="BC35" s="46"/>
      <c r="BD35" s="55">
        <f t="shared" si="11"/>
        <v>0</v>
      </c>
      <c r="BE35" s="55"/>
      <c r="BF35" s="46"/>
      <c r="BG35" s="16"/>
      <c r="BH35" s="46"/>
      <c r="BI35" s="55">
        <f t="shared" si="12"/>
        <v>0</v>
      </c>
      <c r="BJ35" s="55"/>
      <c r="BK35" s="15">
        <f t="shared" si="13"/>
        <v>0</v>
      </c>
      <c r="BL35" s="259">
        <f t="shared" si="0"/>
        <v>0</v>
      </c>
      <c r="BM35" s="15">
        <f t="shared" si="14"/>
        <v>0</v>
      </c>
      <c r="BN35" s="55">
        <f t="shared" si="15"/>
        <v>0</v>
      </c>
      <c r="BO35" s="55"/>
      <c r="BQ35" s="15">
        <f t="shared" si="16"/>
        <v>0</v>
      </c>
      <c r="BR35" s="15">
        <f t="shared" si="17"/>
        <v>0</v>
      </c>
      <c r="BS35" s="15">
        <f t="shared" si="18"/>
        <v>0</v>
      </c>
      <c r="BT35" s="55">
        <f t="shared" si="19"/>
        <v>0</v>
      </c>
      <c r="BU35" s="55"/>
      <c r="BW35" s="15">
        <f t="shared" si="20"/>
        <v>0</v>
      </c>
      <c r="BX35" s="15">
        <f t="shared" si="21"/>
        <v>0</v>
      </c>
      <c r="BY35" s="15">
        <f t="shared" si="22"/>
        <v>0</v>
      </c>
      <c r="BZ35" s="55">
        <f t="shared" si="23"/>
        <v>0</v>
      </c>
      <c r="CA35" s="55"/>
    </row>
    <row r="36" spans="1:79" outlineLevel="2" x14ac:dyDescent="0.3">
      <c r="A36" s="3" t="s">
        <v>25</v>
      </c>
      <c r="B36" s="4" t="s">
        <v>58</v>
      </c>
      <c r="C36" s="95"/>
      <c r="D36" s="251"/>
      <c r="E36" s="95"/>
      <c r="F36" s="107">
        <f t="shared" si="1"/>
        <v>0</v>
      </c>
      <c r="G36" s="107"/>
      <c r="H36" s="109"/>
      <c r="I36" s="251"/>
      <c r="J36" s="109"/>
      <c r="K36" s="107">
        <f t="shared" si="2"/>
        <v>0</v>
      </c>
      <c r="L36" s="107"/>
      <c r="M36" s="109"/>
      <c r="N36" s="251"/>
      <c r="O36" s="109"/>
      <c r="P36" s="107">
        <f t="shared" si="3"/>
        <v>0</v>
      </c>
      <c r="Q36" s="107"/>
      <c r="R36" s="109"/>
      <c r="S36" s="251"/>
      <c r="T36" s="109"/>
      <c r="U36" s="107">
        <f t="shared" si="4"/>
        <v>0</v>
      </c>
      <c r="V36" s="107"/>
      <c r="W36" s="109"/>
      <c r="X36" s="251"/>
      <c r="Y36" s="109"/>
      <c r="Z36" s="107">
        <f t="shared" si="5"/>
        <v>0</v>
      </c>
      <c r="AA36" s="107"/>
      <c r="AB36" s="46"/>
      <c r="AC36" s="252"/>
      <c r="AD36" s="46"/>
      <c r="AE36" s="55">
        <f t="shared" si="6"/>
        <v>0</v>
      </c>
      <c r="AF36" s="55"/>
      <c r="AG36" s="46"/>
      <c r="AH36" s="252"/>
      <c r="AI36" s="46"/>
      <c r="AJ36" s="55">
        <f t="shared" si="7"/>
        <v>0</v>
      </c>
      <c r="AK36" s="55"/>
      <c r="AL36" s="46"/>
      <c r="AM36" s="252"/>
      <c r="AN36" s="46"/>
      <c r="AO36" s="55">
        <f t="shared" si="8"/>
        <v>0</v>
      </c>
      <c r="AP36" s="55"/>
      <c r="AQ36" s="46"/>
      <c r="AR36" s="252"/>
      <c r="AS36" s="46"/>
      <c r="AT36" s="55">
        <f t="shared" si="9"/>
        <v>0</v>
      </c>
      <c r="AU36" s="55"/>
      <c r="AV36" s="46"/>
      <c r="AW36" s="252"/>
      <c r="AX36" s="46"/>
      <c r="AY36" s="55">
        <f t="shared" si="10"/>
        <v>0</v>
      </c>
      <c r="AZ36" s="55"/>
      <c r="BA36" s="46"/>
      <c r="BB36" s="16"/>
      <c r="BC36" s="46"/>
      <c r="BD36" s="55">
        <f t="shared" si="11"/>
        <v>0</v>
      </c>
      <c r="BE36" s="55"/>
      <c r="BF36" s="46"/>
      <c r="BG36" s="16"/>
      <c r="BH36" s="46"/>
      <c r="BI36" s="55">
        <f t="shared" si="12"/>
        <v>0</v>
      </c>
      <c r="BJ36" s="55"/>
      <c r="BK36" s="15">
        <f t="shared" si="13"/>
        <v>0</v>
      </c>
      <c r="BL36" s="259">
        <f t="shared" si="0"/>
        <v>0</v>
      </c>
      <c r="BM36" s="15">
        <f t="shared" si="14"/>
        <v>0</v>
      </c>
      <c r="BN36" s="55">
        <f t="shared" si="15"/>
        <v>0</v>
      </c>
      <c r="BO36" s="55"/>
      <c r="BQ36" s="15">
        <f t="shared" si="16"/>
        <v>0</v>
      </c>
      <c r="BR36" s="15">
        <f t="shared" si="17"/>
        <v>0</v>
      </c>
      <c r="BS36" s="15">
        <f t="shared" si="18"/>
        <v>0</v>
      </c>
      <c r="BT36" s="55">
        <f t="shared" si="19"/>
        <v>0</v>
      </c>
      <c r="BU36" s="55"/>
      <c r="BW36" s="15">
        <f t="shared" si="20"/>
        <v>0</v>
      </c>
      <c r="BX36" s="15">
        <f t="shared" si="21"/>
        <v>0</v>
      </c>
      <c r="BY36" s="15">
        <f t="shared" si="22"/>
        <v>0</v>
      </c>
      <c r="BZ36" s="55">
        <f t="shared" si="23"/>
        <v>0</v>
      </c>
      <c r="CA36" s="55"/>
    </row>
    <row r="37" spans="1:79" outlineLevel="2" x14ac:dyDescent="0.3">
      <c r="A37" s="3" t="s">
        <v>25</v>
      </c>
      <c r="B37" s="4" t="s">
        <v>59</v>
      </c>
      <c r="C37" s="95"/>
      <c r="D37" s="251"/>
      <c r="E37" s="95"/>
      <c r="F37" s="107">
        <f t="shared" si="1"/>
        <v>0</v>
      </c>
      <c r="G37" s="107"/>
      <c r="H37" s="109"/>
      <c r="I37" s="251"/>
      <c r="J37" s="109"/>
      <c r="K37" s="107">
        <f t="shared" si="2"/>
        <v>0</v>
      </c>
      <c r="L37" s="107"/>
      <c r="M37" s="109"/>
      <c r="N37" s="251"/>
      <c r="O37" s="109"/>
      <c r="P37" s="107">
        <f t="shared" si="3"/>
        <v>0</v>
      </c>
      <c r="Q37" s="107"/>
      <c r="R37" s="109"/>
      <c r="S37" s="251"/>
      <c r="T37" s="109"/>
      <c r="U37" s="107">
        <f t="shared" si="4"/>
        <v>0</v>
      </c>
      <c r="V37" s="107"/>
      <c r="W37" s="109"/>
      <c r="X37" s="251"/>
      <c r="Y37" s="109"/>
      <c r="Z37" s="107">
        <f t="shared" si="5"/>
        <v>0</v>
      </c>
      <c r="AA37" s="107"/>
      <c r="AB37" s="46"/>
      <c r="AC37" s="252"/>
      <c r="AD37" s="46"/>
      <c r="AE37" s="55">
        <f t="shared" si="6"/>
        <v>0</v>
      </c>
      <c r="AF37" s="55"/>
      <c r="AG37" s="46"/>
      <c r="AH37" s="252"/>
      <c r="AI37" s="46"/>
      <c r="AJ37" s="55">
        <f t="shared" si="7"/>
        <v>0</v>
      </c>
      <c r="AK37" s="55"/>
      <c r="AL37" s="46"/>
      <c r="AM37" s="252"/>
      <c r="AN37" s="46"/>
      <c r="AO37" s="55">
        <f t="shared" si="8"/>
        <v>0</v>
      </c>
      <c r="AP37" s="55"/>
      <c r="AQ37" s="46"/>
      <c r="AR37" s="252"/>
      <c r="AS37" s="46"/>
      <c r="AT37" s="55">
        <f t="shared" si="9"/>
        <v>0</v>
      </c>
      <c r="AU37" s="55"/>
      <c r="AV37" s="46"/>
      <c r="AW37" s="252"/>
      <c r="AX37" s="46"/>
      <c r="AY37" s="55">
        <f t="shared" si="10"/>
        <v>0</v>
      </c>
      <c r="AZ37" s="55"/>
      <c r="BA37" s="46"/>
      <c r="BB37" s="16"/>
      <c r="BC37" s="46"/>
      <c r="BD37" s="55">
        <f t="shared" si="11"/>
        <v>0</v>
      </c>
      <c r="BE37" s="55"/>
      <c r="BF37" s="46"/>
      <c r="BG37" s="16"/>
      <c r="BH37" s="46"/>
      <c r="BI37" s="55">
        <f t="shared" si="12"/>
        <v>0</v>
      </c>
      <c r="BJ37" s="55"/>
      <c r="BK37" s="15">
        <f t="shared" si="13"/>
        <v>0</v>
      </c>
      <c r="BL37" s="259">
        <f t="shared" si="0"/>
        <v>0</v>
      </c>
      <c r="BM37" s="15">
        <f t="shared" si="14"/>
        <v>0</v>
      </c>
      <c r="BN37" s="55">
        <f t="shared" si="15"/>
        <v>0</v>
      </c>
      <c r="BO37" s="55"/>
      <c r="BQ37" s="15">
        <f t="shared" si="16"/>
        <v>0</v>
      </c>
      <c r="BR37" s="15">
        <f t="shared" si="17"/>
        <v>0</v>
      </c>
      <c r="BS37" s="15">
        <f t="shared" si="18"/>
        <v>0</v>
      </c>
      <c r="BT37" s="55">
        <f t="shared" si="19"/>
        <v>0</v>
      </c>
      <c r="BU37" s="55"/>
      <c r="BW37" s="15">
        <f t="shared" si="20"/>
        <v>0</v>
      </c>
      <c r="BX37" s="15">
        <f t="shared" si="21"/>
        <v>0</v>
      </c>
      <c r="BY37" s="15">
        <f t="shared" si="22"/>
        <v>0</v>
      </c>
      <c r="BZ37" s="55">
        <f t="shared" si="23"/>
        <v>0</v>
      </c>
      <c r="CA37" s="55"/>
    </row>
    <row r="38" spans="1:79" outlineLevel="2" x14ac:dyDescent="0.3">
      <c r="A38" s="3" t="s">
        <v>25</v>
      </c>
      <c r="B38" s="4" t="s">
        <v>60</v>
      </c>
      <c r="C38" s="95">
        <v>0</v>
      </c>
      <c r="D38" s="251">
        <v>0</v>
      </c>
      <c r="E38" s="95">
        <v>0</v>
      </c>
      <c r="F38" s="107">
        <f t="shared" si="1"/>
        <v>0</v>
      </c>
      <c r="G38" s="107">
        <v>0</v>
      </c>
      <c r="H38" s="109">
        <v>0</v>
      </c>
      <c r="I38" s="251">
        <v>0</v>
      </c>
      <c r="J38" s="109">
        <v>0</v>
      </c>
      <c r="K38" s="107">
        <f t="shared" si="2"/>
        <v>0</v>
      </c>
      <c r="L38" s="107">
        <v>0</v>
      </c>
      <c r="M38" s="109">
        <v>0</v>
      </c>
      <c r="N38" s="251">
        <v>0</v>
      </c>
      <c r="O38" s="109">
        <v>0</v>
      </c>
      <c r="P38" s="107">
        <f t="shared" si="3"/>
        <v>0</v>
      </c>
      <c r="Q38" s="107">
        <v>0</v>
      </c>
      <c r="R38" s="109">
        <v>0</v>
      </c>
      <c r="S38" s="251">
        <v>0</v>
      </c>
      <c r="T38" s="109">
        <v>0</v>
      </c>
      <c r="U38" s="107">
        <f t="shared" si="4"/>
        <v>0</v>
      </c>
      <c r="V38" s="107">
        <v>0</v>
      </c>
      <c r="W38" s="109">
        <v>0</v>
      </c>
      <c r="X38" s="251">
        <v>0</v>
      </c>
      <c r="Y38" s="109">
        <v>0</v>
      </c>
      <c r="Z38" s="107">
        <f t="shared" si="5"/>
        <v>0</v>
      </c>
      <c r="AA38" s="107">
        <v>0</v>
      </c>
      <c r="AB38" s="46"/>
      <c r="AC38" s="252"/>
      <c r="AD38" s="46"/>
      <c r="AE38" s="55">
        <f t="shared" si="6"/>
        <v>0</v>
      </c>
      <c r="AF38" s="55"/>
      <c r="AG38" s="46"/>
      <c r="AH38" s="252"/>
      <c r="AI38" s="46"/>
      <c r="AJ38" s="55">
        <f t="shared" si="7"/>
        <v>0</v>
      </c>
      <c r="AK38" s="55"/>
      <c r="AL38" s="46"/>
      <c r="AM38" s="252"/>
      <c r="AN38" s="46"/>
      <c r="AO38" s="55">
        <f t="shared" si="8"/>
        <v>0</v>
      </c>
      <c r="AP38" s="55"/>
      <c r="AQ38" s="46"/>
      <c r="AR38" s="252"/>
      <c r="AS38" s="46"/>
      <c r="AT38" s="55">
        <f t="shared" si="9"/>
        <v>0</v>
      </c>
      <c r="AU38" s="55"/>
      <c r="AV38" s="46"/>
      <c r="AW38" s="252"/>
      <c r="AX38" s="46"/>
      <c r="AY38" s="55">
        <f t="shared" si="10"/>
        <v>0</v>
      </c>
      <c r="AZ38" s="55"/>
      <c r="BA38" s="46"/>
      <c r="BB38" s="16"/>
      <c r="BC38" s="46"/>
      <c r="BD38" s="55">
        <f t="shared" si="11"/>
        <v>0</v>
      </c>
      <c r="BE38" s="55"/>
      <c r="BF38" s="46"/>
      <c r="BG38" s="16"/>
      <c r="BH38" s="46"/>
      <c r="BI38" s="55">
        <f t="shared" si="12"/>
        <v>0</v>
      </c>
      <c r="BJ38" s="55"/>
      <c r="BK38" s="15">
        <f t="shared" ref="BK38:BL69" si="86">SUM(BF38,BA38,AV38,AQ38,AL38,AG38,AB38,W38,R38,M38,H38,C38)</f>
        <v>0</v>
      </c>
      <c r="BL38" s="259">
        <f t="shared" ref="BL38:BL69" si="87">SUM(BG38,BB38,AW38,AR38,AM38,AH38,AC38,X38,S38,N38,I38,D38)</f>
        <v>0</v>
      </c>
      <c r="BM38" s="15">
        <f t="shared" si="14"/>
        <v>0</v>
      </c>
      <c r="BN38" s="55">
        <f t="shared" ref="BN38:BN69" si="88">SUM(BI38,BD38,AY38,AT38,AO38,AJ38,AE38,Z38,U38,P38,K38,F38)</f>
        <v>0</v>
      </c>
      <c r="BO38" s="55"/>
      <c r="BQ38" s="15">
        <f t="shared" si="16"/>
        <v>0</v>
      </c>
      <c r="BR38" s="15">
        <f t="shared" si="17"/>
        <v>0</v>
      </c>
      <c r="BS38" s="15">
        <f t="shared" si="18"/>
        <v>0</v>
      </c>
      <c r="BT38" s="55">
        <f t="shared" si="19"/>
        <v>0</v>
      </c>
      <c r="BU38" s="55"/>
      <c r="BW38" s="15">
        <f t="shared" si="20"/>
        <v>0</v>
      </c>
      <c r="BX38" s="15">
        <f t="shared" si="21"/>
        <v>0</v>
      </c>
      <c r="BY38" s="15">
        <f t="shared" si="22"/>
        <v>0</v>
      </c>
      <c r="BZ38" s="55">
        <f t="shared" si="23"/>
        <v>0</v>
      </c>
      <c r="CA38" s="55"/>
    </row>
    <row r="39" spans="1:79" outlineLevel="2" x14ac:dyDescent="0.3">
      <c r="A39" s="3" t="s">
        <v>25</v>
      </c>
      <c r="B39" s="4" t="s">
        <v>61</v>
      </c>
      <c r="C39" s="95"/>
      <c r="D39" s="251"/>
      <c r="E39" s="95"/>
      <c r="F39" s="107">
        <f t="shared" si="1"/>
        <v>0</v>
      </c>
      <c r="G39" s="107"/>
      <c r="H39" s="109"/>
      <c r="I39" s="251"/>
      <c r="J39" s="109"/>
      <c r="K39" s="107">
        <f t="shared" si="2"/>
        <v>0</v>
      </c>
      <c r="L39" s="107"/>
      <c r="M39" s="109"/>
      <c r="N39" s="251"/>
      <c r="O39" s="109"/>
      <c r="P39" s="107">
        <f t="shared" si="3"/>
        <v>0</v>
      </c>
      <c r="Q39" s="107"/>
      <c r="R39" s="109"/>
      <c r="S39" s="251"/>
      <c r="T39" s="109"/>
      <c r="U39" s="107">
        <f t="shared" si="4"/>
        <v>0</v>
      </c>
      <c r="V39" s="107"/>
      <c r="W39" s="109"/>
      <c r="X39" s="251"/>
      <c r="Y39" s="109"/>
      <c r="Z39" s="107">
        <f t="shared" si="5"/>
        <v>0</v>
      </c>
      <c r="AA39" s="107"/>
      <c r="AB39" s="46"/>
      <c r="AC39" s="252"/>
      <c r="AD39" s="46"/>
      <c r="AE39" s="55">
        <f t="shared" si="6"/>
        <v>0</v>
      </c>
      <c r="AF39" s="55"/>
      <c r="AG39" s="46"/>
      <c r="AH39" s="252"/>
      <c r="AI39" s="46"/>
      <c r="AJ39" s="55">
        <f t="shared" si="7"/>
        <v>0</v>
      </c>
      <c r="AK39" s="55"/>
      <c r="AL39" s="46"/>
      <c r="AM39" s="252"/>
      <c r="AN39" s="46"/>
      <c r="AO39" s="55">
        <f t="shared" si="8"/>
        <v>0</v>
      </c>
      <c r="AP39" s="55"/>
      <c r="AQ39" s="46"/>
      <c r="AR39" s="252"/>
      <c r="AS39" s="46"/>
      <c r="AT39" s="55">
        <f t="shared" si="9"/>
        <v>0</v>
      </c>
      <c r="AU39" s="55"/>
      <c r="AV39" s="46"/>
      <c r="AW39" s="252"/>
      <c r="AX39" s="46"/>
      <c r="AY39" s="55">
        <f t="shared" si="10"/>
        <v>0</v>
      </c>
      <c r="AZ39" s="55"/>
      <c r="BA39" s="46"/>
      <c r="BB39" s="16"/>
      <c r="BC39" s="46"/>
      <c r="BD39" s="55">
        <f t="shared" si="11"/>
        <v>0</v>
      </c>
      <c r="BE39" s="55"/>
      <c r="BF39" s="46"/>
      <c r="BG39" s="16"/>
      <c r="BH39" s="46"/>
      <c r="BI39" s="55">
        <f t="shared" si="12"/>
        <v>0</v>
      </c>
      <c r="BJ39" s="55"/>
      <c r="BK39" s="15">
        <f t="shared" si="86"/>
        <v>0</v>
      </c>
      <c r="BL39" s="259">
        <f t="shared" si="87"/>
        <v>0</v>
      </c>
      <c r="BM39" s="15">
        <f t="shared" si="14"/>
        <v>0</v>
      </c>
      <c r="BN39" s="55">
        <f t="shared" si="88"/>
        <v>0</v>
      </c>
      <c r="BO39" s="55"/>
      <c r="BQ39" s="15">
        <f t="shared" si="16"/>
        <v>0</v>
      </c>
      <c r="BR39" s="15">
        <f t="shared" si="17"/>
        <v>0</v>
      </c>
      <c r="BS39" s="15">
        <f t="shared" si="18"/>
        <v>0</v>
      </c>
      <c r="BT39" s="55">
        <f t="shared" si="19"/>
        <v>0</v>
      </c>
      <c r="BU39" s="55"/>
      <c r="BW39" s="15">
        <f t="shared" si="20"/>
        <v>0</v>
      </c>
      <c r="BX39" s="15">
        <f t="shared" si="21"/>
        <v>0</v>
      </c>
      <c r="BY39" s="15">
        <f t="shared" si="22"/>
        <v>0</v>
      </c>
      <c r="BZ39" s="55">
        <f t="shared" si="23"/>
        <v>0</v>
      </c>
      <c r="CA39" s="55"/>
    </row>
    <row r="40" spans="1:79" s="24" customFormat="1" x14ac:dyDescent="0.3">
      <c r="A40" s="319" t="s">
        <v>118</v>
      </c>
      <c r="B40" s="320"/>
      <c r="C40" s="97">
        <f>C12+C13+C23+C29+C30+C31+C32</f>
        <v>3</v>
      </c>
      <c r="D40" s="251">
        <f t="shared" ref="D40:E40" si="89">D12+D13+D23+D29+D30+D31+D32</f>
        <v>375</v>
      </c>
      <c r="E40" s="97">
        <f t="shared" si="89"/>
        <v>3</v>
      </c>
      <c r="F40" s="107">
        <f t="shared" si="1"/>
        <v>6</v>
      </c>
      <c r="G40" s="107"/>
      <c r="H40" s="97">
        <f>H12+H13+H23+H29+H30+H31+H32</f>
        <v>3</v>
      </c>
      <c r="I40" s="251">
        <f t="shared" ref="I40:J40" si="90">I12+I13+I23+I29+I30+I31+I32</f>
        <v>38</v>
      </c>
      <c r="J40" s="97">
        <f t="shared" si="90"/>
        <v>3</v>
      </c>
      <c r="K40" s="107">
        <f t="shared" si="2"/>
        <v>6</v>
      </c>
      <c r="L40" s="107"/>
      <c r="M40" s="97">
        <f>M12+M13+M23+M29+M30+M31+M32</f>
        <v>2</v>
      </c>
      <c r="N40" s="251">
        <f t="shared" ref="N40:O40" si="91">N12+N13+N23+N29+N30+N31+N32</f>
        <v>14</v>
      </c>
      <c r="O40" s="97">
        <f t="shared" si="91"/>
        <v>6</v>
      </c>
      <c r="P40" s="107">
        <f t="shared" si="3"/>
        <v>8</v>
      </c>
      <c r="Q40" s="107"/>
      <c r="R40" s="97">
        <f>R12+R13+R23+R29+R30+R31+R32</f>
        <v>2</v>
      </c>
      <c r="S40" s="251">
        <f t="shared" ref="S40:T40" si="92">S12+S13+S23+S29+S30+S31+S32</f>
        <v>138</v>
      </c>
      <c r="T40" s="97">
        <f t="shared" si="92"/>
        <v>5</v>
      </c>
      <c r="U40" s="107">
        <f t="shared" si="4"/>
        <v>7</v>
      </c>
      <c r="V40" s="107"/>
      <c r="W40" s="97">
        <f>W12+W13+W23+W29+W30+W31+W32</f>
        <v>3</v>
      </c>
      <c r="X40" s="251">
        <f t="shared" ref="X40:Y40" si="93">X12+X13+X23+X29+X30+X31+X32</f>
        <v>15</v>
      </c>
      <c r="Y40" s="97">
        <f t="shared" si="93"/>
        <v>2</v>
      </c>
      <c r="Z40" s="107">
        <f t="shared" si="5"/>
        <v>5</v>
      </c>
      <c r="AA40" s="107"/>
      <c r="AB40" s="97">
        <f>AB12+AB13+AB23+AB29+AB30+AB31+AB32</f>
        <v>3</v>
      </c>
      <c r="AC40" s="251">
        <f t="shared" ref="AC40:AD40" si="94">AC12+AC13+AC23+AC29+AC30+AC31+AC32</f>
        <v>179</v>
      </c>
      <c r="AD40" s="97">
        <f t="shared" si="94"/>
        <v>2</v>
      </c>
      <c r="AE40" s="55">
        <f t="shared" si="6"/>
        <v>5</v>
      </c>
      <c r="AF40" s="55"/>
      <c r="AG40" s="97">
        <f>AG12+AG13+AG23+AG29+AG30+AG31+AG32</f>
        <v>2</v>
      </c>
      <c r="AH40" s="251">
        <f t="shared" ref="AH40:AI40" si="95">AH12+AH13+AH23+AH29+AH30+AH31+AH32</f>
        <v>2</v>
      </c>
      <c r="AI40" s="97">
        <f t="shared" si="95"/>
        <v>7</v>
      </c>
      <c r="AJ40" s="55">
        <f t="shared" si="7"/>
        <v>9</v>
      </c>
      <c r="AK40" s="55"/>
      <c r="AL40" s="97">
        <f>AL12+AL13+AL23+AL29+AL30+AL31+AL32</f>
        <v>5</v>
      </c>
      <c r="AM40" s="251">
        <f t="shared" ref="AM40:AN40" si="96">AM12+AM13+AM23+AM29+AM30+AM31+AM32</f>
        <v>259</v>
      </c>
      <c r="AN40" s="97">
        <f t="shared" si="96"/>
        <v>7</v>
      </c>
      <c r="AO40" s="55">
        <f t="shared" si="8"/>
        <v>12</v>
      </c>
      <c r="AP40" s="55"/>
      <c r="AQ40" s="97">
        <f>AQ12+AQ13+AQ23+AQ29+AQ30+AQ31+AQ32</f>
        <v>9</v>
      </c>
      <c r="AR40" s="251">
        <f t="shared" ref="AR40:AS40" si="97">AR12+AR13+AR23+AR29+AR30+AR31+AR32</f>
        <v>80</v>
      </c>
      <c r="AS40" s="97">
        <f t="shared" si="97"/>
        <v>6</v>
      </c>
      <c r="AT40" s="55">
        <f t="shared" si="9"/>
        <v>15</v>
      </c>
      <c r="AU40" s="55"/>
      <c r="AV40" s="97">
        <f>AV12+AV13+AV23+AV29+AV30+AV31+AV32</f>
        <v>6</v>
      </c>
      <c r="AW40" s="251">
        <f t="shared" ref="AW40:AX40" si="98">AW12+AW13+AW23+AW29+AW30+AW31+AW32</f>
        <v>44</v>
      </c>
      <c r="AX40" s="97">
        <f t="shared" si="98"/>
        <v>5</v>
      </c>
      <c r="AY40" s="55">
        <f t="shared" si="10"/>
        <v>11</v>
      </c>
      <c r="AZ40" s="55"/>
      <c r="BA40" s="97">
        <f>BA12+BA13+BA23+BA29+BA30+BA31+BA32</f>
        <v>2</v>
      </c>
      <c r="BB40" s="251">
        <f t="shared" ref="BB40:BC40" si="99">BB12+BB13+BB23+BB29+BB30+BB31+BB32</f>
        <v>21</v>
      </c>
      <c r="BC40" s="97">
        <f t="shared" si="99"/>
        <v>5</v>
      </c>
      <c r="BD40" s="55">
        <f t="shared" si="11"/>
        <v>7</v>
      </c>
      <c r="BE40" s="55"/>
      <c r="BF40" s="97">
        <f>BF12+BF13+BF23+BF29+BF30+BF31+BF32</f>
        <v>3</v>
      </c>
      <c r="BG40" s="251">
        <f t="shared" ref="BG40:BH40" si="100">BG12+BG13+BG23+BG29+BG30+BG31+BG32</f>
        <v>23</v>
      </c>
      <c r="BH40" s="97">
        <f t="shared" si="100"/>
        <v>2</v>
      </c>
      <c r="BI40" s="55">
        <f t="shared" si="12"/>
        <v>5</v>
      </c>
      <c r="BJ40" s="55"/>
      <c r="BK40" s="15">
        <f>SUM(BF40,BA40,AV40,AQ40,AL40,AG40,AB40,W40,R40,M40,H40,C40)</f>
        <v>43</v>
      </c>
      <c r="BL40" s="259">
        <f t="shared" si="87"/>
        <v>1188</v>
      </c>
      <c r="BM40" s="15">
        <f t="shared" si="14"/>
        <v>53</v>
      </c>
      <c r="BN40" s="55">
        <f t="shared" si="88"/>
        <v>96</v>
      </c>
      <c r="BO40" s="55"/>
      <c r="BQ40" s="15">
        <f t="shared" si="16"/>
        <v>8</v>
      </c>
      <c r="BR40" s="15">
        <f t="shared" si="17"/>
        <v>427</v>
      </c>
      <c r="BS40" s="15">
        <f t="shared" si="18"/>
        <v>12</v>
      </c>
      <c r="BT40" s="55">
        <f t="shared" si="19"/>
        <v>20</v>
      </c>
      <c r="BU40" s="55"/>
      <c r="BW40" s="15">
        <f t="shared" si="20"/>
        <v>8</v>
      </c>
      <c r="BX40" s="15">
        <f t="shared" si="21"/>
        <v>332</v>
      </c>
      <c r="BY40" s="15">
        <f t="shared" si="22"/>
        <v>9</v>
      </c>
      <c r="BZ40" s="55">
        <f t="shared" si="23"/>
        <v>17</v>
      </c>
      <c r="CA40" s="55"/>
    </row>
    <row r="41" spans="1:79" outlineLevel="2" x14ac:dyDescent="0.3">
      <c r="A41" s="10" t="s">
        <v>63</v>
      </c>
      <c r="B41" s="4" t="s">
        <v>64</v>
      </c>
      <c r="C41" s="95">
        <v>0</v>
      </c>
      <c r="D41" s="251">
        <v>0</v>
      </c>
      <c r="E41" s="95">
        <v>0</v>
      </c>
      <c r="F41" s="107">
        <f t="shared" si="1"/>
        <v>0</v>
      </c>
      <c r="G41" s="107">
        <v>0</v>
      </c>
      <c r="H41" s="109">
        <v>0</v>
      </c>
      <c r="I41" s="251">
        <v>0</v>
      </c>
      <c r="J41" s="109">
        <v>0</v>
      </c>
      <c r="K41" s="107">
        <f t="shared" si="2"/>
        <v>0</v>
      </c>
      <c r="L41" s="107">
        <v>0</v>
      </c>
      <c r="M41" s="109">
        <v>0</v>
      </c>
      <c r="N41" s="251">
        <v>0</v>
      </c>
      <c r="O41" s="109">
        <v>0</v>
      </c>
      <c r="P41" s="107">
        <f t="shared" si="3"/>
        <v>0</v>
      </c>
      <c r="Q41" s="107">
        <v>0</v>
      </c>
      <c r="R41" s="109">
        <v>0</v>
      </c>
      <c r="S41" s="251">
        <v>0</v>
      </c>
      <c r="T41" s="109">
        <v>1</v>
      </c>
      <c r="U41" s="107">
        <f t="shared" si="4"/>
        <v>1</v>
      </c>
      <c r="V41" s="107">
        <v>0</v>
      </c>
      <c r="W41" s="109">
        <v>0</v>
      </c>
      <c r="X41" s="251">
        <v>0</v>
      </c>
      <c r="Y41" s="109">
        <v>0</v>
      </c>
      <c r="Z41" s="107">
        <f t="shared" si="5"/>
        <v>0</v>
      </c>
      <c r="AA41" s="107">
        <v>0</v>
      </c>
      <c r="AB41" s="46">
        <v>0</v>
      </c>
      <c r="AC41" s="252">
        <v>0</v>
      </c>
      <c r="AD41" s="46">
        <v>1</v>
      </c>
      <c r="AE41" s="55">
        <f t="shared" si="6"/>
        <v>1</v>
      </c>
      <c r="AF41" s="55">
        <v>0</v>
      </c>
      <c r="AG41" s="46">
        <v>0</v>
      </c>
      <c r="AH41" s="252">
        <v>0</v>
      </c>
      <c r="AI41" s="46">
        <v>0</v>
      </c>
      <c r="AJ41" s="55">
        <f t="shared" si="7"/>
        <v>0</v>
      </c>
      <c r="AK41" s="55">
        <v>0</v>
      </c>
      <c r="AL41" s="46">
        <v>0</v>
      </c>
      <c r="AM41" s="252">
        <v>0</v>
      </c>
      <c r="AN41" s="46">
        <v>2</v>
      </c>
      <c r="AO41" s="55">
        <f t="shared" si="8"/>
        <v>2</v>
      </c>
      <c r="AP41" s="55"/>
      <c r="AQ41" s="46">
        <v>1</v>
      </c>
      <c r="AR41" s="252">
        <v>57</v>
      </c>
      <c r="AS41" s="46">
        <v>0</v>
      </c>
      <c r="AT41" s="55">
        <f t="shared" si="9"/>
        <v>1</v>
      </c>
      <c r="AU41" s="55">
        <v>0</v>
      </c>
      <c r="AV41" s="46">
        <v>1</v>
      </c>
      <c r="AW41" s="252">
        <v>8</v>
      </c>
      <c r="AX41" s="46">
        <v>0</v>
      </c>
      <c r="AY41" s="55">
        <f t="shared" si="10"/>
        <v>1</v>
      </c>
      <c r="AZ41" s="55">
        <v>0</v>
      </c>
      <c r="BA41" s="46"/>
      <c r="BB41" s="16"/>
      <c r="BC41" s="46"/>
      <c r="BD41" s="55">
        <f t="shared" si="11"/>
        <v>0</v>
      </c>
      <c r="BE41" s="55"/>
      <c r="BF41" s="46"/>
      <c r="BG41" s="16"/>
      <c r="BH41" s="46"/>
      <c r="BI41" s="55">
        <f t="shared" si="12"/>
        <v>0</v>
      </c>
      <c r="BJ41" s="55"/>
      <c r="BK41" s="15">
        <f t="shared" si="86"/>
        <v>2</v>
      </c>
      <c r="BL41" s="259">
        <f t="shared" si="87"/>
        <v>65</v>
      </c>
      <c r="BM41" s="15">
        <f t="shared" si="14"/>
        <v>4</v>
      </c>
      <c r="BN41" s="55">
        <f t="shared" si="88"/>
        <v>6</v>
      </c>
      <c r="BO41" s="55"/>
      <c r="BQ41" s="15">
        <f t="shared" si="16"/>
        <v>0</v>
      </c>
      <c r="BR41" s="15">
        <f t="shared" si="17"/>
        <v>0</v>
      </c>
      <c r="BS41" s="15">
        <f t="shared" si="18"/>
        <v>0</v>
      </c>
      <c r="BT41" s="55">
        <f t="shared" si="19"/>
        <v>0</v>
      </c>
      <c r="BU41" s="55">
        <v>0</v>
      </c>
      <c r="BW41" s="15">
        <f t="shared" si="20"/>
        <v>0</v>
      </c>
      <c r="BX41" s="15">
        <f t="shared" si="21"/>
        <v>0</v>
      </c>
      <c r="BY41" s="15">
        <f t="shared" si="22"/>
        <v>2</v>
      </c>
      <c r="BZ41" s="55">
        <f t="shared" si="23"/>
        <v>2</v>
      </c>
      <c r="CA41" s="55">
        <v>0</v>
      </c>
    </row>
    <row r="42" spans="1:79" outlineLevel="2" x14ac:dyDescent="0.3">
      <c r="A42" s="10" t="s">
        <v>63</v>
      </c>
      <c r="B42" s="4" t="s">
        <v>65</v>
      </c>
      <c r="C42" s="95">
        <v>0</v>
      </c>
      <c r="D42" s="251">
        <v>0</v>
      </c>
      <c r="E42" s="95">
        <v>0</v>
      </c>
      <c r="F42" s="107">
        <f t="shared" si="1"/>
        <v>0</v>
      </c>
      <c r="G42" s="107">
        <v>0</v>
      </c>
      <c r="H42" s="109">
        <v>0</v>
      </c>
      <c r="I42" s="251">
        <v>0</v>
      </c>
      <c r="J42" s="109">
        <v>0</v>
      </c>
      <c r="K42" s="107">
        <f t="shared" si="2"/>
        <v>0</v>
      </c>
      <c r="L42" s="107">
        <v>0</v>
      </c>
      <c r="M42" s="109">
        <v>0</v>
      </c>
      <c r="N42" s="251">
        <v>0</v>
      </c>
      <c r="O42" s="109">
        <v>0</v>
      </c>
      <c r="P42" s="107">
        <f t="shared" si="3"/>
        <v>0</v>
      </c>
      <c r="Q42" s="107">
        <v>0</v>
      </c>
      <c r="R42" s="109">
        <v>0</v>
      </c>
      <c r="S42" s="251">
        <v>0</v>
      </c>
      <c r="T42" s="109">
        <v>0</v>
      </c>
      <c r="U42" s="107">
        <f t="shared" si="4"/>
        <v>0</v>
      </c>
      <c r="V42" s="107">
        <v>0</v>
      </c>
      <c r="W42" s="109">
        <v>0</v>
      </c>
      <c r="X42" s="251">
        <v>0</v>
      </c>
      <c r="Y42" s="109">
        <v>0</v>
      </c>
      <c r="Z42" s="107">
        <f t="shared" si="5"/>
        <v>0</v>
      </c>
      <c r="AA42" s="107">
        <v>0</v>
      </c>
      <c r="AB42" s="46">
        <v>0</v>
      </c>
      <c r="AC42" s="252">
        <v>0</v>
      </c>
      <c r="AD42" s="46">
        <v>0</v>
      </c>
      <c r="AE42" s="55">
        <f t="shared" si="6"/>
        <v>0</v>
      </c>
      <c r="AF42" s="55">
        <v>0</v>
      </c>
      <c r="AG42" s="46">
        <v>0</v>
      </c>
      <c r="AH42" s="252">
        <v>0</v>
      </c>
      <c r="AI42" s="46">
        <v>0</v>
      </c>
      <c r="AJ42" s="55">
        <f t="shared" si="7"/>
        <v>0</v>
      </c>
      <c r="AK42" s="55">
        <v>0</v>
      </c>
      <c r="AL42" s="46">
        <v>0</v>
      </c>
      <c r="AM42" s="252">
        <v>0</v>
      </c>
      <c r="AN42" s="46">
        <v>0</v>
      </c>
      <c r="AO42" s="55">
        <f t="shared" si="8"/>
        <v>0</v>
      </c>
      <c r="AP42" s="55"/>
      <c r="AQ42" s="46">
        <v>0</v>
      </c>
      <c r="AR42" s="252">
        <v>0</v>
      </c>
      <c r="AS42" s="46">
        <v>0</v>
      </c>
      <c r="AT42" s="55">
        <f t="shared" si="9"/>
        <v>0</v>
      </c>
      <c r="AU42" s="55">
        <v>0</v>
      </c>
      <c r="AV42" s="46">
        <v>0</v>
      </c>
      <c r="AW42" s="252">
        <v>0</v>
      </c>
      <c r="AX42" s="46">
        <v>0</v>
      </c>
      <c r="AY42" s="55">
        <f t="shared" si="10"/>
        <v>0</v>
      </c>
      <c r="AZ42" s="55">
        <v>1</v>
      </c>
      <c r="BA42" s="46"/>
      <c r="BB42" s="16"/>
      <c r="BC42" s="46"/>
      <c r="BD42" s="55">
        <f t="shared" si="11"/>
        <v>0</v>
      </c>
      <c r="BE42" s="55"/>
      <c r="BF42" s="46"/>
      <c r="BG42" s="16"/>
      <c r="BH42" s="46"/>
      <c r="BI42" s="55">
        <f t="shared" si="12"/>
        <v>0</v>
      </c>
      <c r="BJ42" s="55"/>
      <c r="BK42" s="15">
        <f t="shared" si="86"/>
        <v>0</v>
      </c>
      <c r="BL42" s="259">
        <f t="shared" si="87"/>
        <v>0</v>
      </c>
      <c r="BM42" s="15">
        <f t="shared" si="14"/>
        <v>0</v>
      </c>
      <c r="BN42" s="55">
        <f t="shared" si="88"/>
        <v>0</v>
      </c>
      <c r="BO42" s="55"/>
      <c r="BQ42" s="15">
        <f t="shared" si="16"/>
        <v>0</v>
      </c>
      <c r="BR42" s="15">
        <f t="shared" si="17"/>
        <v>0</v>
      </c>
      <c r="BS42" s="15">
        <f t="shared" si="18"/>
        <v>0</v>
      </c>
      <c r="BT42" s="55">
        <f t="shared" si="19"/>
        <v>0</v>
      </c>
      <c r="BU42" s="55">
        <v>0</v>
      </c>
      <c r="BW42" s="15">
        <f t="shared" si="20"/>
        <v>0</v>
      </c>
      <c r="BX42" s="15">
        <f t="shared" si="21"/>
        <v>0</v>
      </c>
      <c r="BY42" s="15">
        <f t="shared" si="22"/>
        <v>0</v>
      </c>
      <c r="BZ42" s="55">
        <f t="shared" si="23"/>
        <v>0</v>
      </c>
      <c r="CA42" s="55">
        <v>0</v>
      </c>
    </row>
    <row r="43" spans="1:79" outlineLevel="2" x14ac:dyDescent="0.3">
      <c r="A43" s="10" t="s">
        <v>63</v>
      </c>
      <c r="B43" s="4" t="s">
        <v>66</v>
      </c>
      <c r="C43" s="95">
        <v>0</v>
      </c>
      <c r="D43" s="251">
        <v>0</v>
      </c>
      <c r="E43" s="95">
        <v>0</v>
      </c>
      <c r="F43" s="107">
        <f t="shared" si="1"/>
        <v>0</v>
      </c>
      <c r="G43" s="107">
        <v>0</v>
      </c>
      <c r="H43" s="109">
        <v>0</v>
      </c>
      <c r="I43" s="251">
        <v>0</v>
      </c>
      <c r="J43" s="109">
        <v>0</v>
      </c>
      <c r="K43" s="107">
        <f t="shared" si="2"/>
        <v>0</v>
      </c>
      <c r="L43" s="107">
        <v>0</v>
      </c>
      <c r="M43" s="109">
        <v>0</v>
      </c>
      <c r="N43" s="251">
        <v>0</v>
      </c>
      <c r="O43" s="109">
        <v>0</v>
      </c>
      <c r="P43" s="107">
        <f t="shared" si="3"/>
        <v>0</v>
      </c>
      <c r="Q43" s="107">
        <v>0</v>
      </c>
      <c r="R43" s="109">
        <v>0</v>
      </c>
      <c r="S43" s="251">
        <v>0</v>
      </c>
      <c r="T43" s="109">
        <v>0</v>
      </c>
      <c r="U43" s="107">
        <f t="shared" si="4"/>
        <v>0</v>
      </c>
      <c r="V43" s="107">
        <v>0</v>
      </c>
      <c r="W43" s="109">
        <v>0</v>
      </c>
      <c r="X43" s="251">
        <v>0</v>
      </c>
      <c r="Y43" s="109">
        <v>0</v>
      </c>
      <c r="Z43" s="107">
        <f t="shared" si="5"/>
        <v>0</v>
      </c>
      <c r="AA43" s="107">
        <v>0</v>
      </c>
      <c r="AB43" s="46">
        <v>0</v>
      </c>
      <c r="AC43" s="252">
        <v>0</v>
      </c>
      <c r="AD43" s="46">
        <v>0</v>
      </c>
      <c r="AE43" s="55">
        <f t="shared" si="6"/>
        <v>0</v>
      </c>
      <c r="AF43" s="55">
        <v>0</v>
      </c>
      <c r="AG43" s="46">
        <v>0</v>
      </c>
      <c r="AH43" s="252">
        <v>0</v>
      </c>
      <c r="AI43" s="46">
        <v>0</v>
      </c>
      <c r="AJ43" s="55">
        <f t="shared" si="7"/>
        <v>0</v>
      </c>
      <c r="AK43" s="55">
        <v>0</v>
      </c>
      <c r="AL43" s="46">
        <v>0</v>
      </c>
      <c r="AM43" s="252">
        <v>0</v>
      </c>
      <c r="AN43" s="46">
        <v>0</v>
      </c>
      <c r="AO43" s="55">
        <f t="shared" si="8"/>
        <v>0</v>
      </c>
      <c r="AP43" s="55"/>
      <c r="AQ43" s="46">
        <v>0</v>
      </c>
      <c r="AR43" s="252">
        <v>0</v>
      </c>
      <c r="AS43" s="46">
        <v>0</v>
      </c>
      <c r="AT43" s="55">
        <f t="shared" si="9"/>
        <v>0</v>
      </c>
      <c r="AU43" s="55">
        <v>0</v>
      </c>
      <c r="AV43" s="46">
        <v>0</v>
      </c>
      <c r="AW43" s="252">
        <v>0</v>
      </c>
      <c r="AX43" s="46">
        <v>0</v>
      </c>
      <c r="AY43" s="55">
        <f t="shared" si="10"/>
        <v>0</v>
      </c>
      <c r="AZ43" s="55">
        <v>0</v>
      </c>
      <c r="BA43" s="46"/>
      <c r="BB43" s="16"/>
      <c r="BC43" s="46"/>
      <c r="BD43" s="55">
        <f t="shared" si="11"/>
        <v>0</v>
      </c>
      <c r="BE43" s="55"/>
      <c r="BF43" s="46"/>
      <c r="BG43" s="16"/>
      <c r="BH43" s="46"/>
      <c r="BI43" s="55">
        <f t="shared" si="12"/>
        <v>0</v>
      </c>
      <c r="BJ43" s="55"/>
      <c r="BK43" s="15">
        <f t="shared" si="86"/>
        <v>0</v>
      </c>
      <c r="BL43" s="259">
        <f t="shared" si="87"/>
        <v>0</v>
      </c>
      <c r="BM43" s="15">
        <f t="shared" si="14"/>
        <v>0</v>
      </c>
      <c r="BN43" s="55">
        <f t="shared" si="88"/>
        <v>0</v>
      </c>
      <c r="BO43" s="55"/>
      <c r="BQ43" s="15">
        <f t="shared" si="16"/>
        <v>0</v>
      </c>
      <c r="BR43" s="15">
        <f t="shared" si="17"/>
        <v>0</v>
      </c>
      <c r="BS43" s="15">
        <f t="shared" si="18"/>
        <v>0</v>
      </c>
      <c r="BT43" s="55">
        <f t="shared" si="19"/>
        <v>0</v>
      </c>
      <c r="BU43" s="55">
        <v>0</v>
      </c>
      <c r="BW43" s="15">
        <f t="shared" si="20"/>
        <v>0</v>
      </c>
      <c r="BX43" s="15">
        <f t="shared" si="21"/>
        <v>0</v>
      </c>
      <c r="BY43" s="15">
        <f t="shared" si="22"/>
        <v>0</v>
      </c>
      <c r="BZ43" s="55">
        <f t="shared" si="23"/>
        <v>0</v>
      </c>
      <c r="CA43" s="55">
        <v>0</v>
      </c>
    </row>
    <row r="44" spans="1:79" outlineLevel="2" x14ac:dyDescent="0.3">
      <c r="A44" s="10" t="s">
        <v>63</v>
      </c>
      <c r="B44" s="5" t="s">
        <v>67</v>
      </c>
      <c r="C44" s="95">
        <v>0</v>
      </c>
      <c r="D44" s="251">
        <v>0</v>
      </c>
      <c r="E44" s="95">
        <v>0</v>
      </c>
      <c r="F44" s="107">
        <f t="shared" si="1"/>
        <v>0</v>
      </c>
      <c r="G44" s="107">
        <v>0</v>
      </c>
      <c r="H44" s="109">
        <v>1</v>
      </c>
      <c r="I44" s="251">
        <v>7</v>
      </c>
      <c r="J44" s="109">
        <v>1</v>
      </c>
      <c r="K44" s="107">
        <f t="shared" si="2"/>
        <v>2</v>
      </c>
      <c r="L44" s="107">
        <v>0</v>
      </c>
      <c r="M44" s="109">
        <v>0</v>
      </c>
      <c r="N44" s="251">
        <v>0</v>
      </c>
      <c r="O44" s="109">
        <v>0</v>
      </c>
      <c r="P44" s="107">
        <f t="shared" si="3"/>
        <v>0</v>
      </c>
      <c r="Q44" s="107">
        <v>0</v>
      </c>
      <c r="R44" s="109">
        <v>0</v>
      </c>
      <c r="S44" s="251">
        <v>0</v>
      </c>
      <c r="T44" s="109">
        <v>2</v>
      </c>
      <c r="U44" s="107">
        <f t="shared" si="4"/>
        <v>2</v>
      </c>
      <c r="V44" s="107">
        <v>0</v>
      </c>
      <c r="W44" s="109">
        <v>0</v>
      </c>
      <c r="X44" s="251">
        <v>0</v>
      </c>
      <c r="Y44" s="109">
        <v>0</v>
      </c>
      <c r="Z44" s="107">
        <f t="shared" si="5"/>
        <v>0</v>
      </c>
      <c r="AA44" s="107">
        <v>0</v>
      </c>
      <c r="AB44" s="46">
        <v>0</v>
      </c>
      <c r="AC44" s="251">
        <v>0</v>
      </c>
      <c r="AD44" s="46">
        <v>0</v>
      </c>
      <c r="AE44" s="55">
        <f t="shared" si="6"/>
        <v>0</v>
      </c>
      <c r="AF44" s="55">
        <v>0</v>
      </c>
      <c r="AG44" s="46">
        <v>0</v>
      </c>
      <c r="AH44" s="251">
        <v>0</v>
      </c>
      <c r="AI44" s="46">
        <v>0</v>
      </c>
      <c r="AJ44" s="55">
        <f t="shared" si="7"/>
        <v>0</v>
      </c>
      <c r="AK44" s="55"/>
      <c r="AL44" s="46">
        <v>0</v>
      </c>
      <c r="AM44" s="251">
        <v>0</v>
      </c>
      <c r="AN44" s="46">
        <v>0</v>
      </c>
      <c r="AO44" s="55">
        <f t="shared" si="8"/>
        <v>0</v>
      </c>
      <c r="AP44" s="55"/>
      <c r="AQ44" s="46">
        <v>0</v>
      </c>
      <c r="AR44" s="251">
        <v>0</v>
      </c>
      <c r="AS44" s="46">
        <v>0</v>
      </c>
      <c r="AT44" s="55">
        <f>AQ44+AS44</f>
        <v>0</v>
      </c>
      <c r="AU44" s="55"/>
      <c r="AV44" s="46">
        <v>0</v>
      </c>
      <c r="AW44" s="251">
        <v>0</v>
      </c>
      <c r="AX44" s="46">
        <v>0</v>
      </c>
      <c r="AY44" s="55">
        <f t="shared" si="10"/>
        <v>0</v>
      </c>
      <c r="AZ44" s="55"/>
      <c r="BA44" s="46">
        <v>1</v>
      </c>
      <c r="BB44" s="16">
        <v>7</v>
      </c>
      <c r="BC44" s="46">
        <v>0</v>
      </c>
      <c r="BD44" s="55">
        <f t="shared" si="11"/>
        <v>1</v>
      </c>
      <c r="BE44" s="55">
        <v>0</v>
      </c>
      <c r="BF44" s="46">
        <v>0</v>
      </c>
      <c r="BG44" s="16">
        <v>0</v>
      </c>
      <c r="BH44" s="46">
        <v>0</v>
      </c>
      <c r="BI44" s="55">
        <f t="shared" si="12"/>
        <v>0</v>
      </c>
      <c r="BJ44" s="55">
        <v>0</v>
      </c>
      <c r="BK44" s="15">
        <f t="shared" si="86"/>
        <v>2</v>
      </c>
      <c r="BL44" s="259">
        <f t="shared" si="87"/>
        <v>14</v>
      </c>
      <c r="BM44" s="15">
        <f t="shared" si="14"/>
        <v>3</v>
      </c>
      <c r="BN44" s="55">
        <f t="shared" si="88"/>
        <v>5</v>
      </c>
      <c r="BO44" s="55"/>
      <c r="BQ44" s="15">
        <f t="shared" si="16"/>
        <v>1</v>
      </c>
      <c r="BR44" s="15">
        <f t="shared" si="17"/>
        <v>7</v>
      </c>
      <c r="BS44" s="15">
        <f t="shared" si="18"/>
        <v>1</v>
      </c>
      <c r="BT44" s="55">
        <f t="shared" si="19"/>
        <v>2</v>
      </c>
      <c r="BU44" s="55"/>
      <c r="BW44" s="15">
        <f t="shared" si="20"/>
        <v>0</v>
      </c>
      <c r="BX44" s="15">
        <f t="shared" si="21"/>
        <v>0</v>
      </c>
      <c r="BY44" s="15">
        <f t="shared" si="22"/>
        <v>2</v>
      </c>
      <c r="BZ44" s="55">
        <f t="shared" si="23"/>
        <v>2</v>
      </c>
      <c r="CA44" s="55"/>
    </row>
    <row r="45" spans="1:79" outlineLevel="2" x14ac:dyDescent="0.3">
      <c r="A45" s="10" t="s">
        <v>63</v>
      </c>
      <c r="B45" s="5" t="s">
        <v>68</v>
      </c>
      <c r="C45" s="95">
        <v>0</v>
      </c>
      <c r="D45" s="251">
        <v>0</v>
      </c>
      <c r="E45" s="95">
        <v>0</v>
      </c>
      <c r="F45" s="107">
        <f t="shared" si="1"/>
        <v>0</v>
      </c>
      <c r="G45" s="107">
        <v>0</v>
      </c>
      <c r="H45" s="109">
        <v>0</v>
      </c>
      <c r="I45" s="251">
        <v>0</v>
      </c>
      <c r="J45" s="109">
        <v>0</v>
      </c>
      <c r="K45" s="107">
        <f t="shared" si="2"/>
        <v>0</v>
      </c>
      <c r="L45" s="107">
        <v>0</v>
      </c>
      <c r="M45" s="109">
        <v>0</v>
      </c>
      <c r="N45" s="251">
        <v>0</v>
      </c>
      <c r="O45" s="109">
        <v>0</v>
      </c>
      <c r="P45" s="107">
        <f t="shared" si="3"/>
        <v>0</v>
      </c>
      <c r="Q45" s="107">
        <v>0</v>
      </c>
      <c r="R45" s="109">
        <v>0</v>
      </c>
      <c r="S45" s="251">
        <v>0</v>
      </c>
      <c r="T45" s="109">
        <v>0</v>
      </c>
      <c r="U45" s="107">
        <f t="shared" si="4"/>
        <v>0</v>
      </c>
      <c r="V45" s="107">
        <v>0</v>
      </c>
      <c r="W45" s="109">
        <v>0</v>
      </c>
      <c r="X45" s="251">
        <v>0</v>
      </c>
      <c r="Y45" s="109">
        <v>0</v>
      </c>
      <c r="Z45" s="107">
        <f t="shared" si="5"/>
        <v>0</v>
      </c>
      <c r="AA45" s="107">
        <v>0</v>
      </c>
      <c r="AB45" s="46">
        <v>0</v>
      </c>
      <c r="AC45" s="251">
        <v>0</v>
      </c>
      <c r="AD45" s="46">
        <v>0</v>
      </c>
      <c r="AE45" s="55">
        <f t="shared" si="6"/>
        <v>0</v>
      </c>
      <c r="AF45" s="55">
        <v>0</v>
      </c>
      <c r="AG45" s="46">
        <v>0</v>
      </c>
      <c r="AH45" s="251">
        <v>0</v>
      </c>
      <c r="AI45" s="46">
        <v>0</v>
      </c>
      <c r="AJ45" s="55">
        <f t="shared" si="7"/>
        <v>0</v>
      </c>
      <c r="AK45" s="55"/>
      <c r="AL45" s="46">
        <v>0</v>
      </c>
      <c r="AM45" s="251">
        <v>0</v>
      </c>
      <c r="AN45" s="46">
        <v>0</v>
      </c>
      <c r="AO45" s="55">
        <f t="shared" si="8"/>
        <v>0</v>
      </c>
      <c r="AP45" s="55"/>
      <c r="AQ45" s="46">
        <v>0</v>
      </c>
      <c r="AR45" s="251">
        <v>0</v>
      </c>
      <c r="AS45" s="46">
        <v>0</v>
      </c>
      <c r="AT45" s="55">
        <f>AQ45+AS45</f>
        <v>0</v>
      </c>
      <c r="AU45" s="55"/>
      <c r="AV45" s="46">
        <v>0</v>
      </c>
      <c r="AW45" s="251">
        <v>0</v>
      </c>
      <c r="AX45" s="46">
        <v>0</v>
      </c>
      <c r="AY45" s="55">
        <f t="shared" si="10"/>
        <v>0</v>
      </c>
      <c r="AZ45" s="55"/>
      <c r="BA45" s="46">
        <v>0</v>
      </c>
      <c r="BB45" s="16">
        <v>0</v>
      </c>
      <c r="BC45" s="46">
        <v>0</v>
      </c>
      <c r="BD45" s="55">
        <f t="shared" si="11"/>
        <v>0</v>
      </c>
      <c r="BE45" s="55">
        <v>0</v>
      </c>
      <c r="BF45" s="46">
        <v>0</v>
      </c>
      <c r="BG45" s="16">
        <v>0</v>
      </c>
      <c r="BH45" s="46">
        <v>0</v>
      </c>
      <c r="BI45" s="55">
        <v>0</v>
      </c>
      <c r="BJ45" s="55">
        <v>0</v>
      </c>
      <c r="BK45" s="15">
        <f t="shared" si="86"/>
        <v>0</v>
      </c>
      <c r="BL45" s="259">
        <f t="shared" si="87"/>
        <v>0</v>
      </c>
      <c r="BM45" s="15">
        <f t="shared" si="14"/>
        <v>0</v>
      </c>
      <c r="BN45" s="55">
        <f t="shared" si="88"/>
        <v>0</v>
      </c>
      <c r="BO45" s="55"/>
      <c r="BQ45" s="15">
        <f t="shared" si="16"/>
        <v>0</v>
      </c>
      <c r="BR45" s="15">
        <f t="shared" si="17"/>
        <v>0</v>
      </c>
      <c r="BS45" s="15">
        <f t="shared" si="18"/>
        <v>0</v>
      </c>
      <c r="BT45" s="55">
        <f t="shared" si="19"/>
        <v>0</v>
      </c>
      <c r="BU45" s="55"/>
      <c r="BW45" s="15">
        <f t="shared" si="20"/>
        <v>0</v>
      </c>
      <c r="BX45" s="15">
        <f t="shared" si="21"/>
        <v>0</v>
      </c>
      <c r="BY45" s="15">
        <f t="shared" si="22"/>
        <v>0</v>
      </c>
      <c r="BZ45" s="55">
        <f t="shared" si="23"/>
        <v>0</v>
      </c>
      <c r="CA45" s="55"/>
    </row>
    <row r="46" spans="1:79" outlineLevel="2" x14ac:dyDescent="0.3">
      <c r="A46" s="10" t="s">
        <v>63</v>
      </c>
      <c r="B46" s="5" t="s">
        <v>69</v>
      </c>
      <c r="C46" s="95">
        <v>0</v>
      </c>
      <c r="D46" s="251">
        <v>0</v>
      </c>
      <c r="E46" s="95">
        <v>0</v>
      </c>
      <c r="F46" s="107">
        <f t="shared" si="1"/>
        <v>0</v>
      </c>
      <c r="G46" s="107">
        <v>0</v>
      </c>
      <c r="H46" s="109">
        <v>0</v>
      </c>
      <c r="I46" s="251">
        <v>0</v>
      </c>
      <c r="J46" s="109">
        <v>0</v>
      </c>
      <c r="K46" s="107">
        <f t="shared" si="2"/>
        <v>0</v>
      </c>
      <c r="L46" s="107">
        <v>0</v>
      </c>
      <c r="M46" s="109">
        <v>0</v>
      </c>
      <c r="N46" s="251">
        <v>0</v>
      </c>
      <c r="O46" s="109">
        <v>0</v>
      </c>
      <c r="P46" s="107">
        <f t="shared" si="3"/>
        <v>0</v>
      </c>
      <c r="Q46" s="107">
        <v>0</v>
      </c>
      <c r="R46" s="109">
        <v>0</v>
      </c>
      <c r="S46" s="251">
        <v>0</v>
      </c>
      <c r="T46" s="109">
        <v>0</v>
      </c>
      <c r="U46" s="107">
        <f t="shared" si="4"/>
        <v>0</v>
      </c>
      <c r="V46" s="107">
        <v>0</v>
      </c>
      <c r="W46" s="109">
        <v>0</v>
      </c>
      <c r="X46" s="251">
        <v>0</v>
      </c>
      <c r="Y46" s="109">
        <v>0</v>
      </c>
      <c r="Z46" s="107">
        <f t="shared" si="5"/>
        <v>0</v>
      </c>
      <c r="AA46" s="107">
        <v>0</v>
      </c>
      <c r="AB46" s="46">
        <v>0</v>
      </c>
      <c r="AC46" s="251">
        <v>0</v>
      </c>
      <c r="AD46" s="46">
        <v>0</v>
      </c>
      <c r="AE46" s="55">
        <f t="shared" si="6"/>
        <v>0</v>
      </c>
      <c r="AF46" s="55">
        <v>0</v>
      </c>
      <c r="AG46" s="46">
        <v>0</v>
      </c>
      <c r="AH46" s="251">
        <v>0</v>
      </c>
      <c r="AI46" s="46">
        <v>0</v>
      </c>
      <c r="AJ46" s="55">
        <f t="shared" si="7"/>
        <v>0</v>
      </c>
      <c r="AK46" s="55"/>
      <c r="AL46" s="46">
        <v>0</v>
      </c>
      <c r="AM46" s="251">
        <v>0</v>
      </c>
      <c r="AN46" s="46">
        <v>0</v>
      </c>
      <c r="AO46" s="55">
        <f t="shared" si="8"/>
        <v>0</v>
      </c>
      <c r="AP46" s="55"/>
      <c r="AQ46" s="46">
        <v>0</v>
      </c>
      <c r="AR46" s="251">
        <v>0</v>
      </c>
      <c r="AS46" s="46">
        <v>0</v>
      </c>
      <c r="AT46" s="55">
        <f>AQ46+AS46</f>
        <v>0</v>
      </c>
      <c r="AU46" s="55"/>
      <c r="AV46" s="46">
        <v>0</v>
      </c>
      <c r="AW46" s="251">
        <v>0</v>
      </c>
      <c r="AX46" s="46">
        <v>0</v>
      </c>
      <c r="AY46" s="55">
        <f t="shared" si="10"/>
        <v>0</v>
      </c>
      <c r="AZ46" s="55"/>
      <c r="BA46" s="46"/>
      <c r="BB46" s="16"/>
      <c r="BC46" s="46"/>
      <c r="BD46" s="55">
        <f t="shared" si="11"/>
        <v>0</v>
      </c>
      <c r="BE46" s="55"/>
      <c r="BF46" s="46"/>
      <c r="BG46" s="16"/>
      <c r="BH46" s="46"/>
      <c r="BI46" s="55">
        <f t="shared" si="12"/>
        <v>0</v>
      </c>
      <c r="BJ46" s="55"/>
      <c r="BK46" s="15">
        <f t="shared" si="86"/>
        <v>0</v>
      </c>
      <c r="BL46" s="259">
        <f t="shared" si="87"/>
        <v>0</v>
      </c>
      <c r="BM46" s="15">
        <f t="shared" si="14"/>
        <v>0</v>
      </c>
      <c r="BN46" s="55">
        <f t="shared" si="88"/>
        <v>0</v>
      </c>
      <c r="BO46" s="55"/>
      <c r="BQ46" s="15">
        <f t="shared" si="16"/>
        <v>0</v>
      </c>
      <c r="BR46" s="15">
        <f t="shared" si="17"/>
        <v>0</v>
      </c>
      <c r="BS46" s="15">
        <f t="shared" si="18"/>
        <v>0</v>
      </c>
      <c r="BT46" s="55">
        <f t="shared" si="19"/>
        <v>0</v>
      </c>
      <c r="BU46" s="55"/>
      <c r="BW46" s="15">
        <f t="shared" si="20"/>
        <v>0</v>
      </c>
      <c r="BX46" s="15">
        <f t="shared" si="21"/>
        <v>0</v>
      </c>
      <c r="BY46" s="15">
        <f t="shared" si="22"/>
        <v>0</v>
      </c>
      <c r="BZ46" s="55">
        <f t="shared" si="23"/>
        <v>0</v>
      </c>
      <c r="CA46" s="55"/>
    </row>
    <row r="47" spans="1:79" outlineLevel="2" x14ac:dyDescent="0.3">
      <c r="A47" s="10" t="s">
        <v>63</v>
      </c>
      <c r="B47" s="4" t="s">
        <v>70</v>
      </c>
      <c r="C47" s="95"/>
      <c r="D47" s="251"/>
      <c r="E47" s="95"/>
      <c r="F47" s="107">
        <f t="shared" si="1"/>
        <v>0</v>
      </c>
      <c r="G47" s="107"/>
      <c r="H47" s="109"/>
      <c r="I47" s="251"/>
      <c r="J47" s="109"/>
      <c r="K47" s="107">
        <f t="shared" si="2"/>
        <v>0</v>
      </c>
      <c r="L47" s="107"/>
      <c r="M47" s="109"/>
      <c r="N47" s="251"/>
      <c r="O47" s="109"/>
      <c r="P47" s="107">
        <f t="shared" si="3"/>
        <v>0</v>
      </c>
      <c r="Q47" s="107"/>
      <c r="R47" s="109"/>
      <c r="S47" s="251"/>
      <c r="T47" s="109"/>
      <c r="U47" s="107">
        <f t="shared" si="4"/>
        <v>0</v>
      </c>
      <c r="V47" s="107"/>
      <c r="W47" s="109"/>
      <c r="X47" s="251"/>
      <c r="Y47" s="109"/>
      <c r="Z47" s="107">
        <f t="shared" si="5"/>
        <v>0</v>
      </c>
      <c r="AA47" s="107"/>
      <c r="AB47" s="46"/>
      <c r="AC47" s="252"/>
      <c r="AD47" s="46"/>
      <c r="AE47" s="55">
        <f t="shared" si="6"/>
        <v>0</v>
      </c>
      <c r="AF47" s="55"/>
      <c r="AG47" s="46"/>
      <c r="AH47" s="252"/>
      <c r="AI47" s="46"/>
      <c r="AJ47" s="55">
        <f t="shared" si="7"/>
        <v>0</v>
      </c>
      <c r="AK47" s="55"/>
      <c r="AL47" s="46"/>
      <c r="AM47" s="252"/>
      <c r="AN47" s="46"/>
      <c r="AO47" s="55">
        <f t="shared" si="8"/>
        <v>0</v>
      </c>
      <c r="AP47" s="55"/>
      <c r="AQ47" s="46"/>
      <c r="AR47" s="252"/>
      <c r="AS47" s="46"/>
      <c r="AT47" s="55">
        <f t="shared" si="9"/>
        <v>0</v>
      </c>
      <c r="AU47" s="55"/>
      <c r="AV47" s="46"/>
      <c r="AW47" s="252"/>
      <c r="AX47" s="46"/>
      <c r="AY47" s="55">
        <f t="shared" si="10"/>
        <v>0</v>
      </c>
      <c r="AZ47" s="55"/>
      <c r="BA47" s="46"/>
      <c r="BB47" s="16"/>
      <c r="BC47" s="46"/>
      <c r="BD47" s="55">
        <f t="shared" si="11"/>
        <v>0</v>
      </c>
      <c r="BE47" s="55"/>
      <c r="BF47" s="46"/>
      <c r="BG47" s="16"/>
      <c r="BH47" s="46"/>
      <c r="BI47" s="55">
        <f t="shared" si="12"/>
        <v>0</v>
      </c>
      <c r="BJ47" s="55"/>
      <c r="BK47" s="15">
        <f t="shared" si="86"/>
        <v>0</v>
      </c>
      <c r="BL47" s="259">
        <f t="shared" si="87"/>
        <v>0</v>
      </c>
      <c r="BM47" s="15">
        <f t="shared" si="14"/>
        <v>0</v>
      </c>
      <c r="BN47" s="55">
        <f t="shared" si="88"/>
        <v>0</v>
      </c>
      <c r="BO47" s="55"/>
      <c r="BQ47" s="15">
        <f t="shared" si="16"/>
        <v>0</v>
      </c>
      <c r="BR47" s="15">
        <f t="shared" si="17"/>
        <v>0</v>
      </c>
      <c r="BS47" s="15">
        <f t="shared" si="18"/>
        <v>0</v>
      </c>
      <c r="BT47" s="55">
        <f t="shared" si="19"/>
        <v>0</v>
      </c>
      <c r="BU47" s="55"/>
      <c r="BW47" s="15">
        <f t="shared" si="20"/>
        <v>0</v>
      </c>
      <c r="BX47" s="15">
        <f t="shared" si="21"/>
        <v>0</v>
      </c>
      <c r="BY47" s="15">
        <f t="shared" si="22"/>
        <v>0</v>
      </c>
      <c r="BZ47" s="55">
        <f t="shared" si="23"/>
        <v>0</v>
      </c>
      <c r="CA47" s="55"/>
    </row>
    <row r="48" spans="1:79" outlineLevel="2" x14ac:dyDescent="0.3">
      <c r="A48" s="10" t="s">
        <v>63</v>
      </c>
      <c r="B48" s="4" t="s">
        <v>71</v>
      </c>
      <c r="C48" s="95"/>
      <c r="D48" s="251"/>
      <c r="E48" s="95"/>
      <c r="F48" s="107">
        <f t="shared" si="1"/>
        <v>0</v>
      </c>
      <c r="G48" s="107"/>
      <c r="H48" s="109"/>
      <c r="I48" s="251"/>
      <c r="J48" s="109"/>
      <c r="K48" s="107">
        <f t="shared" si="2"/>
        <v>0</v>
      </c>
      <c r="L48" s="107"/>
      <c r="M48" s="109"/>
      <c r="N48" s="251"/>
      <c r="O48" s="109"/>
      <c r="P48" s="107">
        <f t="shared" si="3"/>
        <v>0</v>
      </c>
      <c r="Q48" s="107"/>
      <c r="R48" s="109"/>
      <c r="S48" s="251"/>
      <c r="T48" s="109"/>
      <c r="U48" s="107">
        <f t="shared" si="4"/>
        <v>0</v>
      </c>
      <c r="V48" s="107"/>
      <c r="W48" s="109"/>
      <c r="X48" s="251"/>
      <c r="Y48" s="109"/>
      <c r="Z48" s="107">
        <f t="shared" si="5"/>
        <v>0</v>
      </c>
      <c r="AA48" s="107"/>
      <c r="AB48" s="46"/>
      <c r="AC48" s="252"/>
      <c r="AD48" s="46"/>
      <c r="AE48" s="55">
        <f t="shared" si="6"/>
        <v>0</v>
      </c>
      <c r="AF48" s="55"/>
      <c r="AG48" s="46"/>
      <c r="AH48" s="252"/>
      <c r="AI48" s="46"/>
      <c r="AJ48" s="55">
        <f t="shared" si="7"/>
        <v>0</v>
      </c>
      <c r="AK48" s="55"/>
      <c r="AL48" s="46"/>
      <c r="AM48" s="252"/>
      <c r="AN48" s="46"/>
      <c r="AO48" s="55">
        <f t="shared" si="8"/>
        <v>0</v>
      </c>
      <c r="AP48" s="55"/>
      <c r="AQ48" s="46"/>
      <c r="AR48" s="252"/>
      <c r="AS48" s="46"/>
      <c r="AT48" s="55">
        <f t="shared" si="9"/>
        <v>0</v>
      </c>
      <c r="AU48" s="55"/>
      <c r="AV48" s="46"/>
      <c r="AW48" s="252"/>
      <c r="AX48" s="46"/>
      <c r="AY48" s="55">
        <f t="shared" si="10"/>
        <v>0</v>
      </c>
      <c r="AZ48" s="55"/>
      <c r="BA48" s="46"/>
      <c r="BB48" s="16"/>
      <c r="BC48" s="46"/>
      <c r="BD48" s="55">
        <f t="shared" si="11"/>
        <v>0</v>
      </c>
      <c r="BE48" s="55"/>
      <c r="BF48" s="46"/>
      <c r="BG48" s="16"/>
      <c r="BH48" s="46"/>
      <c r="BI48" s="55">
        <f t="shared" si="12"/>
        <v>0</v>
      </c>
      <c r="BJ48" s="55"/>
      <c r="BK48" s="15">
        <f t="shared" si="86"/>
        <v>0</v>
      </c>
      <c r="BL48" s="259">
        <f t="shared" si="87"/>
        <v>0</v>
      </c>
      <c r="BM48" s="15">
        <f t="shared" si="14"/>
        <v>0</v>
      </c>
      <c r="BN48" s="55">
        <f t="shared" si="88"/>
        <v>0</v>
      </c>
      <c r="BO48" s="55"/>
      <c r="BQ48" s="15">
        <f t="shared" si="16"/>
        <v>0</v>
      </c>
      <c r="BR48" s="15">
        <f t="shared" si="17"/>
        <v>0</v>
      </c>
      <c r="BS48" s="15">
        <f t="shared" si="18"/>
        <v>0</v>
      </c>
      <c r="BT48" s="55">
        <f t="shared" si="19"/>
        <v>0</v>
      </c>
      <c r="BU48" s="55"/>
      <c r="BW48" s="15">
        <f t="shared" si="20"/>
        <v>0</v>
      </c>
      <c r="BX48" s="15">
        <f t="shared" si="21"/>
        <v>0</v>
      </c>
      <c r="BY48" s="15">
        <f t="shared" si="22"/>
        <v>0</v>
      </c>
      <c r="BZ48" s="55">
        <f t="shared" si="23"/>
        <v>0</v>
      </c>
      <c r="CA48" s="55"/>
    </row>
    <row r="49" spans="1:79" s="27" customFormat="1" outlineLevel="1" x14ac:dyDescent="0.3">
      <c r="A49" s="321" t="s">
        <v>63</v>
      </c>
      <c r="B49" s="322"/>
      <c r="C49" s="98">
        <f>SUM(C41:C48)</f>
        <v>0</v>
      </c>
      <c r="D49" s="251">
        <f t="shared" ref="D49:E49" si="101">SUM(D41:D48)</f>
        <v>0</v>
      </c>
      <c r="E49" s="98">
        <f t="shared" si="101"/>
        <v>0</v>
      </c>
      <c r="F49" s="107">
        <f t="shared" si="1"/>
        <v>0</v>
      </c>
      <c r="G49" s="107"/>
      <c r="H49" s="98">
        <f>SUM(H41:H48)</f>
        <v>1</v>
      </c>
      <c r="I49" s="251">
        <f t="shared" ref="I49" si="102">SUM(I41:I48)</f>
        <v>7</v>
      </c>
      <c r="J49" s="98">
        <f t="shared" ref="J49" si="103">SUM(J41:J48)</f>
        <v>1</v>
      </c>
      <c r="K49" s="107">
        <f t="shared" si="2"/>
        <v>2</v>
      </c>
      <c r="L49" s="107"/>
      <c r="M49" s="98">
        <f>SUM(M41:M48)</f>
        <v>0</v>
      </c>
      <c r="N49" s="251">
        <f t="shared" ref="N49" si="104">SUM(N41:N48)</f>
        <v>0</v>
      </c>
      <c r="O49" s="98">
        <f t="shared" ref="O49" si="105">SUM(O41:O48)</f>
        <v>0</v>
      </c>
      <c r="P49" s="107">
        <f t="shared" si="3"/>
        <v>0</v>
      </c>
      <c r="Q49" s="107"/>
      <c r="R49" s="98">
        <f>SUM(R41:R48)</f>
        <v>0</v>
      </c>
      <c r="S49" s="251">
        <f t="shared" ref="S49" si="106">SUM(S41:S48)</f>
        <v>0</v>
      </c>
      <c r="T49" s="98">
        <f t="shared" ref="T49" si="107">SUM(T41:T48)</f>
        <v>3</v>
      </c>
      <c r="U49" s="107">
        <f t="shared" si="4"/>
        <v>3</v>
      </c>
      <c r="V49" s="107"/>
      <c r="W49" s="98">
        <f>SUM(W41:W48)</f>
        <v>0</v>
      </c>
      <c r="X49" s="251">
        <f t="shared" ref="X49" si="108">SUM(X41:X48)</f>
        <v>0</v>
      </c>
      <c r="Y49" s="98">
        <f>SUM(Y41:Y48)</f>
        <v>0</v>
      </c>
      <c r="Z49" s="107">
        <f t="shared" si="5"/>
        <v>0</v>
      </c>
      <c r="AA49" s="107"/>
      <c r="AB49" s="57">
        <f>SUM(AB41:AB48)</f>
        <v>0</v>
      </c>
      <c r="AC49" s="252">
        <f>SUM(AC41:AC48)</f>
        <v>0</v>
      </c>
      <c r="AD49" s="98">
        <f>SUM(AD41:AD48)</f>
        <v>1</v>
      </c>
      <c r="AE49" s="55">
        <f>AB49+AD49</f>
        <v>1</v>
      </c>
      <c r="AF49" s="55"/>
      <c r="AG49" s="57">
        <f>SUM(AG41:AG48)</f>
        <v>0</v>
      </c>
      <c r="AH49" s="252">
        <f>SUM(AH41:AH48)</f>
        <v>0</v>
      </c>
      <c r="AI49" s="98">
        <f>SUM(AI41:AI48)</f>
        <v>0</v>
      </c>
      <c r="AJ49" s="55">
        <f t="shared" si="7"/>
        <v>0</v>
      </c>
      <c r="AK49" s="55"/>
      <c r="AL49" s="57">
        <f>SUM(AL41:AL48)</f>
        <v>0</v>
      </c>
      <c r="AM49" s="252">
        <f>SUM(AM41:AM48)</f>
        <v>0</v>
      </c>
      <c r="AN49" s="98">
        <f>SUM(AN41:AN48)</f>
        <v>2</v>
      </c>
      <c r="AO49" s="55">
        <f t="shared" si="8"/>
        <v>2</v>
      </c>
      <c r="AP49" s="55"/>
      <c r="AQ49" s="57">
        <f>SUM(AQ41:AQ48)</f>
        <v>1</v>
      </c>
      <c r="AR49" s="252">
        <f>SUM(AR41:AR48)</f>
        <v>57</v>
      </c>
      <c r="AS49" s="98">
        <f>SUM(AS41:AS48)</f>
        <v>0</v>
      </c>
      <c r="AT49" s="55">
        <f t="shared" si="9"/>
        <v>1</v>
      </c>
      <c r="AU49" s="55"/>
      <c r="AV49" s="57">
        <f>SUM(AV41:AV48)</f>
        <v>1</v>
      </c>
      <c r="AW49" s="252">
        <f>SUM(AW41:AW48)</f>
        <v>8</v>
      </c>
      <c r="AX49" s="98">
        <f>SUM(AX41:AX48)</f>
        <v>0</v>
      </c>
      <c r="AY49" s="55">
        <f t="shared" si="10"/>
        <v>1</v>
      </c>
      <c r="AZ49" s="55"/>
      <c r="BA49" s="57">
        <f>SUM(BA41:BA48)</f>
        <v>1</v>
      </c>
      <c r="BB49" s="252">
        <f>SUM(BB41:BB48)</f>
        <v>7</v>
      </c>
      <c r="BC49" s="98">
        <f>SUM(BC41:BC48)</f>
        <v>0</v>
      </c>
      <c r="BD49" s="55">
        <f t="shared" si="11"/>
        <v>1</v>
      </c>
      <c r="BE49" s="55"/>
      <c r="BF49" s="57">
        <f>SUM(BF41:BF48)</f>
        <v>0</v>
      </c>
      <c r="BG49" s="252">
        <f>SUM(BG41:BG48)</f>
        <v>0</v>
      </c>
      <c r="BH49" s="98">
        <f>SUM(BH41:BH48)</f>
        <v>0</v>
      </c>
      <c r="BI49" s="55">
        <f t="shared" si="12"/>
        <v>0</v>
      </c>
      <c r="BJ49" s="55"/>
      <c r="BK49" s="15">
        <f t="shared" si="86"/>
        <v>4</v>
      </c>
      <c r="BL49" s="259">
        <f t="shared" si="87"/>
        <v>79</v>
      </c>
      <c r="BM49" s="15">
        <f t="shared" si="14"/>
        <v>7</v>
      </c>
      <c r="BN49" s="55">
        <f t="shared" si="88"/>
        <v>11</v>
      </c>
      <c r="BO49" s="55"/>
      <c r="BQ49" s="15">
        <f t="shared" si="16"/>
        <v>1</v>
      </c>
      <c r="BR49" s="15">
        <f t="shared" si="17"/>
        <v>7</v>
      </c>
      <c r="BS49" s="15">
        <f t="shared" si="18"/>
        <v>1</v>
      </c>
      <c r="BT49" s="55">
        <f t="shared" si="19"/>
        <v>2</v>
      </c>
      <c r="BU49" s="55"/>
      <c r="BW49" s="15">
        <f t="shared" si="20"/>
        <v>0</v>
      </c>
      <c r="BX49" s="15">
        <f t="shared" si="21"/>
        <v>0</v>
      </c>
      <c r="BY49" s="15">
        <f t="shared" si="22"/>
        <v>4</v>
      </c>
      <c r="BZ49" s="55">
        <f t="shared" si="23"/>
        <v>4</v>
      </c>
      <c r="CA49" s="55"/>
    </row>
    <row r="50" spans="1:79" outlineLevel="2" x14ac:dyDescent="0.3">
      <c r="A50" s="10" t="s">
        <v>72</v>
      </c>
      <c r="B50" s="5" t="s">
        <v>73</v>
      </c>
      <c r="C50" s="95">
        <v>0</v>
      </c>
      <c r="D50" s="251">
        <v>0</v>
      </c>
      <c r="E50" s="95">
        <v>2</v>
      </c>
      <c r="F50" s="107">
        <f t="shared" si="1"/>
        <v>2</v>
      </c>
      <c r="G50" s="107"/>
      <c r="H50" s="109">
        <v>0</v>
      </c>
      <c r="I50" s="251">
        <v>0</v>
      </c>
      <c r="J50" s="109">
        <v>0</v>
      </c>
      <c r="K50" s="107">
        <f t="shared" si="2"/>
        <v>0</v>
      </c>
      <c r="L50" s="107"/>
      <c r="M50" s="109">
        <v>1</v>
      </c>
      <c r="N50" s="251">
        <v>179</v>
      </c>
      <c r="O50" s="109">
        <v>0</v>
      </c>
      <c r="P50" s="107">
        <f t="shared" si="3"/>
        <v>1</v>
      </c>
      <c r="Q50" s="107"/>
      <c r="R50" s="109">
        <v>1</v>
      </c>
      <c r="S50" s="251">
        <v>4</v>
      </c>
      <c r="T50" s="109">
        <v>2</v>
      </c>
      <c r="U50" s="107">
        <f t="shared" si="4"/>
        <v>3</v>
      </c>
      <c r="V50" s="107"/>
      <c r="W50" s="109">
        <v>1</v>
      </c>
      <c r="X50" s="251">
        <v>20</v>
      </c>
      <c r="Y50" s="109">
        <v>0</v>
      </c>
      <c r="Z50" s="107">
        <f t="shared" si="5"/>
        <v>1</v>
      </c>
      <c r="AA50" s="107"/>
      <c r="AB50" s="87">
        <v>1</v>
      </c>
      <c r="AC50" s="251">
        <v>16</v>
      </c>
      <c r="AD50" s="46">
        <v>0</v>
      </c>
      <c r="AE50" s="55">
        <f>AB58+AD50</f>
        <v>0</v>
      </c>
      <c r="AF50" s="55"/>
      <c r="AG50" s="46">
        <v>2</v>
      </c>
      <c r="AH50" s="251">
        <v>40</v>
      </c>
      <c r="AI50" s="46">
        <v>1</v>
      </c>
      <c r="AJ50" s="55">
        <f t="shared" si="7"/>
        <v>3</v>
      </c>
      <c r="AK50" s="55"/>
      <c r="AL50" s="46">
        <v>0</v>
      </c>
      <c r="AM50" s="251">
        <v>0</v>
      </c>
      <c r="AN50" s="46">
        <v>1</v>
      </c>
      <c r="AO50" s="55">
        <f t="shared" si="8"/>
        <v>1</v>
      </c>
      <c r="AP50" s="55"/>
      <c r="AQ50" s="46">
        <v>0</v>
      </c>
      <c r="AR50" s="251">
        <v>0</v>
      </c>
      <c r="AS50" s="46">
        <v>4</v>
      </c>
      <c r="AT50" s="55">
        <f t="shared" si="9"/>
        <v>4</v>
      </c>
      <c r="AU50" s="55">
        <v>0</v>
      </c>
      <c r="AV50" s="46">
        <v>0</v>
      </c>
      <c r="AW50" s="251">
        <v>0</v>
      </c>
      <c r="AX50" s="46">
        <v>3</v>
      </c>
      <c r="AY50" s="55">
        <f t="shared" si="10"/>
        <v>3</v>
      </c>
      <c r="AZ50" s="55">
        <v>0</v>
      </c>
      <c r="BA50" s="46">
        <v>0</v>
      </c>
      <c r="BB50" s="251">
        <v>0</v>
      </c>
      <c r="BC50" s="46">
        <v>4</v>
      </c>
      <c r="BD50" s="55">
        <f t="shared" si="11"/>
        <v>4</v>
      </c>
      <c r="BE50" s="55"/>
      <c r="BF50" s="46">
        <v>0</v>
      </c>
      <c r="BG50" s="251">
        <v>0</v>
      </c>
      <c r="BH50" s="46">
        <v>2</v>
      </c>
      <c r="BI50" s="55">
        <f t="shared" si="12"/>
        <v>2</v>
      </c>
      <c r="BJ50" s="55"/>
      <c r="BK50" s="15">
        <f>SUM(BF50,BA50,AV50,AQ50,AL50,AG50,AB50,W50,R50,M50,H50,C50)</f>
        <v>6</v>
      </c>
      <c r="BL50" s="259">
        <f>SUM(BG50,BB50,AW50,AR50,AM50,AH50,AC50,X50,S50,N50,I50,D50)</f>
        <v>259</v>
      </c>
      <c r="BM50" s="15">
        <f t="shared" si="14"/>
        <v>19</v>
      </c>
      <c r="BN50" s="55">
        <f t="shared" si="88"/>
        <v>24</v>
      </c>
      <c r="BO50" s="55"/>
      <c r="BQ50" s="15">
        <f t="shared" si="16"/>
        <v>1</v>
      </c>
      <c r="BR50" s="15">
        <f t="shared" si="17"/>
        <v>179</v>
      </c>
      <c r="BS50" s="15">
        <f t="shared" si="18"/>
        <v>2</v>
      </c>
      <c r="BT50" s="55">
        <f t="shared" si="19"/>
        <v>3</v>
      </c>
      <c r="BU50" s="55"/>
      <c r="BW50" s="15">
        <f>R50+W50+AB58</f>
        <v>2</v>
      </c>
      <c r="BX50" s="15">
        <f>S50+X50+AC58</f>
        <v>24</v>
      </c>
      <c r="BY50" s="15">
        <f t="shared" si="22"/>
        <v>2</v>
      </c>
      <c r="BZ50" s="55">
        <f t="shared" si="23"/>
        <v>4</v>
      </c>
      <c r="CA50" s="55"/>
    </row>
    <row r="51" spans="1:79" outlineLevel="2" x14ac:dyDescent="0.3">
      <c r="A51" s="10" t="s">
        <v>72</v>
      </c>
      <c r="B51" s="5" t="s">
        <v>74</v>
      </c>
      <c r="C51" s="95">
        <v>0</v>
      </c>
      <c r="D51" s="251">
        <v>0</v>
      </c>
      <c r="E51" s="95">
        <v>1</v>
      </c>
      <c r="F51" s="107">
        <f t="shared" si="1"/>
        <v>1</v>
      </c>
      <c r="G51" s="107"/>
      <c r="H51" s="109">
        <v>0</v>
      </c>
      <c r="I51" s="251">
        <v>0</v>
      </c>
      <c r="J51" s="109">
        <v>0</v>
      </c>
      <c r="K51" s="107">
        <f t="shared" si="2"/>
        <v>0</v>
      </c>
      <c r="L51" s="107"/>
      <c r="M51" s="109">
        <v>0</v>
      </c>
      <c r="N51" s="251">
        <v>0</v>
      </c>
      <c r="O51" s="109">
        <v>0</v>
      </c>
      <c r="P51" s="107">
        <f t="shared" si="3"/>
        <v>0</v>
      </c>
      <c r="Q51" s="107"/>
      <c r="R51" s="109">
        <v>0</v>
      </c>
      <c r="S51" s="251">
        <v>0</v>
      </c>
      <c r="T51" s="109">
        <v>0</v>
      </c>
      <c r="U51" s="107">
        <f t="shared" si="4"/>
        <v>0</v>
      </c>
      <c r="V51" s="107"/>
      <c r="W51" s="109">
        <v>0</v>
      </c>
      <c r="X51" s="251">
        <v>0</v>
      </c>
      <c r="Y51" s="109">
        <v>0</v>
      </c>
      <c r="Z51" s="107">
        <f t="shared" si="5"/>
        <v>0</v>
      </c>
      <c r="AA51" s="107"/>
      <c r="AB51" s="46">
        <v>0</v>
      </c>
      <c r="AC51" s="251">
        <v>0</v>
      </c>
      <c r="AD51" s="46">
        <v>0</v>
      </c>
      <c r="AE51" s="55">
        <f t="shared" si="6"/>
        <v>0</v>
      </c>
      <c r="AF51" s="55"/>
      <c r="AG51" s="46">
        <v>0</v>
      </c>
      <c r="AH51" s="251">
        <v>0</v>
      </c>
      <c r="AI51" s="46">
        <v>1</v>
      </c>
      <c r="AJ51" s="55">
        <f t="shared" si="7"/>
        <v>1</v>
      </c>
      <c r="AK51" s="55"/>
      <c r="AL51" s="46">
        <v>0</v>
      </c>
      <c r="AM51" s="251">
        <v>0</v>
      </c>
      <c r="AN51" s="46">
        <v>0</v>
      </c>
      <c r="AO51" s="55">
        <f t="shared" si="8"/>
        <v>0</v>
      </c>
      <c r="AP51" s="55"/>
      <c r="AQ51" s="46">
        <v>0</v>
      </c>
      <c r="AR51" s="251">
        <v>0</v>
      </c>
      <c r="AS51" s="46">
        <v>0</v>
      </c>
      <c r="AT51" s="55">
        <f t="shared" si="9"/>
        <v>0</v>
      </c>
      <c r="AU51" s="55">
        <v>1</v>
      </c>
      <c r="AV51" s="46">
        <v>0</v>
      </c>
      <c r="AW51" s="251">
        <v>0</v>
      </c>
      <c r="AX51" s="46">
        <v>0</v>
      </c>
      <c r="AY51" s="55">
        <f t="shared" si="10"/>
        <v>0</v>
      </c>
      <c r="AZ51" s="55">
        <v>0</v>
      </c>
      <c r="BA51" s="46">
        <v>0</v>
      </c>
      <c r="BB51" s="251">
        <v>0</v>
      </c>
      <c r="BC51" s="46">
        <v>0</v>
      </c>
      <c r="BD51" s="55">
        <f t="shared" si="11"/>
        <v>0</v>
      </c>
      <c r="BE51" s="55"/>
      <c r="BF51" s="46">
        <v>0</v>
      </c>
      <c r="BG51" s="251">
        <v>0</v>
      </c>
      <c r="BH51" s="46">
        <v>0</v>
      </c>
      <c r="BI51" s="55">
        <f t="shared" si="12"/>
        <v>0</v>
      </c>
      <c r="BJ51" s="55"/>
      <c r="BK51" s="15">
        <f t="shared" ref="BK51:BK58" si="109">SUM(BF51,BA51,AV51,AQ51,AL51,AG51,AB51,W51,R51,M51,H51,C51)</f>
        <v>0</v>
      </c>
      <c r="BL51" s="259">
        <f t="shared" ref="BL51:BL58" si="110">SUM(BG51,BB51,AW51,AR51,AM51,AH51,AC51,X51,S51,N51,I51,D51)</f>
        <v>0</v>
      </c>
      <c r="BM51" s="15">
        <f t="shared" si="14"/>
        <v>2</v>
      </c>
      <c r="BN51" s="55">
        <f t="shared" si="88"/>
        <v>2</v>
      </c>
      <c r="BO51" s="55"/>
      <c r="BQ51" s="15">
        <f t="shared" si="16"/>
        <v>0</v>
      </c>
      <c r="BR51" s="15">
        <f t="shared" si="17"/>
        <v>0</v>
      </c>
      <c r="BS51" s="15">
        <f t="shared" si="18"/>
        <v>1</v>
      </c>
      <c r="BT51" s="55">
        <f t="shared" si="19"/>
        <v>1</v>
      </c>
      <c r="BU51" s="55"/>
      <c r="BW51" s="15">
        <f t="shared" si="20"/>
        <v>0</v>
      </c>
      <c r="BX51" s="15">
        <f t="shared" si="21"/>
        <v>0</v>
      </c>
      <c r="BY51" s="15">
        <f t="shared" si="22"/>
        <v>0</v>
      </c>
      <c r="BZ51" s="55">
        <f t="shared" si="23"/>
        <v>0</v>
      </c>
      <c r="CA51" s="55"/>
    </row>
    <row r="52" spans="1:79" outlineLevel="2" x14ac:dyDescent="0.3">
      <c r="A52" s="10" t="s">
        <v>72</v>
      </c>
      <c r="B52" s="5" t="s">
        <v>75</v>
      </c>
      <c r="C52" s="95">
        <v>1</v>
      </c>
      <c r="D52" s="251">
        <v>8</v>
      </c>
      <c r="E52" s="95">
        <v>1</v>
      </c>
      <c r="F52" s="107">
        <f t="shared" si="1"/>
        <v>2</v>
      </c>
      <c r="G52" s="107"/>
      <c r="H52" s="109">
        <v>0</v>
      </c>
      <c r="I52" s="251">
        <v>0</v>
      </c>
      <c r="J52" s="109">
        <v>2</v>
      </c>
      <c r="K52" s="107">
        <f t="shared" si="2"/>
        <v>2</v>
      </c>
      <c r="L52" s="107"/>
      <c r="M52" s="109">
        <v>0</v>
      </c>
      <c r="N52" s="251">
        <v>0</v>
      </c>
      <c r="O52" s="109">
        <v>1</v>
      </c>
      <c r="P52" s="107">
        <f t="shared" si="3"/>
        <v>1</v>
      </c>
      <c r="Q52" s="107"/>
      <c r="R52" s="109">
        <v>1</v>
      </c>
      <c r="S52" s="251">
        <v>10</v>
      </c>
      <c r="T52" s="109">
        <v>3</v>
      </c>
      <c r="U52" s="107">
        <f>R52+T52</f>
        <v>4</v>
      </c>
      <c r="V52" s="107"/>
      <c r="W52" s="109">
        <v>0</v>
      </c>
      <c r="X52" s="251">
        <v>0</v>
      </c>
      <c r="Y52" s="109">
        <v>2</v>
      </c>
      <c r="Z52" s="107">
        <f t="shared" si="5"/>
        <v>2</v>
      </c>
      <c r="AA52" s="107"/>
      <c r="AB52" s="46">
        <v>0</v>
      </c>
      <c r="AC52" s="251">
        <v>0</v>
      </c>
      <c r="AD52" s="46">
        <v>4</v>
      </c>
      <c r="AE52" s="55">
        <f t="shared" si="6"/>
        <v>4</v>
      </c>
      <c r="AF52" s="55"/>
      <c r="AG52" s="46">
        <v>2</v>
      </c>
      <c r="AH52" s="251">
        <v>160</v>
      </c>
      <c r="AI52" s="46">
        <v>1</v>
      </c>
      <c r="AJ52" s="55">
        <f t="shared" si="7"/>
        <v>3</v>
      </c>
      <c r="AK52" s="55"/>
      <c r="AL52" s="46">
        <v>0</v>
      </c>
      <c r="AM52" s="251">
        <v>0</v>
      </c>
      <c r="AN52" s="46">
        <v>3</v>
      </c>
      <c r="AO52" s="55">
        <f t="shared" si="8"/>
        <v>3</v>
      </c>
      <c r="AP52" s="55"/>
      <c r="AQ52" s="46">
        <v>0</v>
      </c>
      <c r="AR52" s="251">
        <v>0</v>
      </c>
      <c r="AS52" s="46">
        <v>1</v>
      </c>
      <c r="AT52" s="55">
        <f t="shared" si="9"/>
        <v>1</v>
      </c>
      <c r="AU52" s="55">
        <v>0</v>
      </c>
      <c r="AV52" s="46">
        <v>0</v>
      </c>
      <c r="AW52" s="251">
        <v>0</v>
      </c>
      <c r="AX52" s="46">
        <v>3</v>
      </c>
      <c r="AY52" s="55">
        <f t="shared" si="10"/>
        <v>3</v>
      </c>
      <c r="AZ52" s="55">
        <v>0</v>
      </c>
      <c r="BA52" s="46">
        <v>2</v>
      </c>
      <c r="BB52" s="251">
        <v>12</v>
      </c>
      <c r="BC52" s="46">
        <v>2</v>
      </c>
      <c r="BD52" s="55">
        <f t="shared" si="11"/>
        <v>4</v>
      </c>
      <c r="BE52" s="55"/>
      <c r="BF52" s="46">
        <v>1</v>
      </c>
      <c r="BG52" s="251">
        <v>4</v>
      </c>
      <c r="BH52" s="46">
        <v>2</v>
      </c>
      <c r="BI52" s="55">
        <f t="shared" si="12"/>
        <v>3</v>
      </c>
      <c r="BJ52" s="55"/>
      <c r="BK52" s="15">
        <f t="shared" si="109"/>
        <v>7</v>
      </c>
      <c r="BL52" s="259">
        <f t="shared" si="110"/>
        <v>194</v>
      </c>
      <c r="BM52" s="15">
        <f t="shared" si="14"/>
        <v>25</v>
      </c>
      <c r="BN52" s="55">
        <f t="shared" si="88"/>
        <v>32</v>
      </c>
      <c r="BO52" s="55"/>
      <c r="BQ52" s="15">
        <f t="shared" si="16"/>
        <v>1</v>
      </c>
      <c r="BR52" s="15">
        <f t="shared" si="17"/>
        <v>8</v>
      </c>
      <c r="BS52" s="15">
        <f t="shared" si="18"/>
        <v>4</v>
      </c>
      <c r="BT52" s="55">
        <f t="shared" si="19"/>
        <v>5</v>
      </c>
      <c r="BU52" s="55"/>
      <c r="BW52" s="15">
        <f t="shared" si="20"/>
        <v>1</v>
      </c>
      <c r="BX52" s="15">
        <f t="shared" si="21"/>
        <v>10</v>
      </c>
      <c r="BY52" s="15">
        <f t="shared" si="22"/>
        <v>9</v>
      </c>
      <c r="BZ52" s="55">
        <f t="shared" si="23"/>
        <v>10</v>
      </c>
      <c r="CA52" s="55"/>
    </row>
    <row r="53" spans="1:79" outlineLevel="2" x14ac:dyDescent="0.3">
      <c r="A53" s="10" t="s">
        <v>72</v>
      </c>
      <c r="B53" s="5" t="s">
        <v>76</v>
      </c>
      <c r="C53" s="95">
        <v>0</v>
      </c>
      <c r="D53" s="251">
        <v>0</v>
      </c>
      <c r="E53" s="95">
        <v>4</v>
      </c>
      <c r="F53" s="107">
        <f t="shared" si="1"/>
        <v>4</v>
      </c>
      <c r="G53" s="107"/>
      <c r="H53" s="109">
        <v>1</v>
      </c>
      <c r="I53" s="251">
        <v>30</v>
      </c>
      <c r="J53" s="109">
        <v>7</v>
      </c>
      <c r="K53" s="107">
        <f t="shared" si="2"/>
        <v>8</v>
      </c>
      <c r="L53" s="107"/>
      <c r="M53" s="109">
        <v>1</v>
      </c>
      <c r="N53" s="251">
        <v>18</v>
      </c>
      <c r="O53" s="109">
        <v>6</v>
      </c>
      <c r="P53" s="107">
        <f t="shared" si="3"/>
        <v>7</v>
      </c>
      <c r="Q53" s="107"/>
      <c r="R53" s="109">
        <v>1</v>
      </c>
      <c r="S53" s="251">
        <v>10</v>
      </c>
      <c r="T53" s="109">
        <v>8</v>
      </c>
      <c r="U53" s="107">
        <f>R53+T53</f>
        <v>9</v>
      </c>
      <c r="V53" s="107"/>
      <c r="W53" s="109">
        <v>0</v>
      </c>
      <c r="X53" s="251">
        <v>0</v>
      </c>
      <c r="Y53" s="109">
        <v>11</v>
      </c>
      <c r="Z53" s="107">
        <f t="shared" si="5"/>
        <v>11</v>
      </c>
      <c r="AA53" s="107"/>
      <c r="AB53" s="46">
        <v>1</v>
      </c>
      <c r="AC53" s="251">
        <v>68</v>
      </c>
      <c r="AD53" s="46">
        <v>7</v>
      </c>
      <c r="AE53" s="55">
        <f>AB53+AD53</f>
        <v>8</v>
      </c>
      <c r="AF53" s="55"/>
      <c r="AG53" s="46">
        <v>0</v>
      </c>
      <c r="AH53" s="251">
        <v>0</v>
      </c>
      <c r="AI53" s="46">
        <v>8</v>
      </c>
      <c r="AJ53" s="55">
        <f t="shared" si="7"/>
        <v>8</v>
      </c>
      <c r="AK53" s="55"/>
      <c r="AL53" s="46">
        <v>0</v>
      </c>
      <c r="AM53" s="251">
        <v>0</v>
      </c>
      <c r="AN53" s="46">
        <v>9</v>
      </c>
      <c r="AO53" s="55">
        <f t="shared" si="8"/>
        <v>9</v>
      </c>
      <c r="AP53" s="55"/>
      <c r="AQ53" s="46">
        <v>2</v>
      </c>
      <c r="AR53" s="251">
        <v>23</v>
      </c>
      <c r="AS53" s="46">
        <v>6</v>
      </c>
      <c r="AT53" s="55">
        <f t="shared" si="9"/>
        <v>8</v>
      </c>
      <c r="AU53" s="55">
        <v>0</v>
      </c>
      <c r="AV53" s="46">
        <v>0</v>
      </c>
      <c r="AW53" s="251">
        <v>0</v>
      </c>
      <c r="AX53" s="46">
        <v>4</v>
      </c>
      <c r="AY53" s="55">
        <f t="shared" si="10"/>
        <v>4</v>
      </c>
      <c r="AZ53" s="55">
        <v>0</v>
      </c>
      <c r="BA53" s="46">
        <v>0</v>
      </c>
      <c r="BB53" s="251">
        <v>0</v>
      </c>
      <c r="BC53" s="46">
        <v>4</v>
      </c>
      <c r="BD53" s="55">
        <f t="shared" si="11"/>
        <v>4</v>
      </c>
      <c r="BE53" s="55"/>
      <c r="BF53" s="46">
        <v>0</v>
      </c>
      <c r="BG53" s="251">
        <v>0</v>
      </c>
      <c r="BH53" s="46">
        <v>6</v>
      </c>
      <c r="BI53" s="55">
        <f t="shared" si="12"/>
        <v>6</v>
      </c>
      <c r="BJ53" s="55"/>
      <c r="BK53" s="15">
        <f t="shared" si="109"/>
        <v>6</v>
      </c>
      <c r="BL53" s="259">
        <f t="shared" si="110"/>
        <v>149</v>
      </c>
      <c r="BM53" s="15">
        <f t="shared" si="14"/>
        <v>80</v>
      </c>
      <c r="BN53" s="55">
        <f t="shared" si="88"/>
        <v>86</v>
      </c>
      <c r="BO53" s="55"/>
      <c r="BQ53" s="15">
        <f t="shared" si="16"/>
        <v>2</v>
      </c>
      <c r="BR53" s="15">
        <f t="shared" si="17"/>
        <v>48</v>
      </c>
      <c r="BS53" s="15">
        <f t="shared" si="18"/>
        <v>17</v>
      </c>
      <c r="BT53" s="55">
        <f t="shared" si="19"/>
        <v>19</v>
      </c>
      <c r="BU53" s="55"/>
      <c r="BW53" s="15">
        <f t="shared" si="20"/>
        <v>2</v>
      </c>
      <c r="BX53" s="15">
        <f t="shared" si="21"/>
        <v>78</v>
      </c>
      <c r="BY53" s="15">
        <f t="shared" si="22"/>
        <v>26</v>
      </c>
      <c r="BZ53" s="55">
        <f t="shared" si="23"/>
        <v>28</v>
      </c>
      <c r="CA53" s="55"/>
    </row>
    <row r="54" spans="1:79" outlineLevel="2" x14ac:dyDescent="0.3">
      <c r="A54" s="10" t="s">
        <v>72</v>
      </c>
      <c r="B54" s="5" t="s">
        <v>77</v>
      </c>
      <c r="C54" s="95">
        <v>0</v>
      </c>
      <c r="D54" s="251">
        <v>0</v>
      </c>
      <c r="E54" s="95">
        <v>0</v>
      </c>
      <c r="F54" s="107">
        <f t="shared" si="1"/>
        <v>0</v>
      </c>
      <c r="G54" s="107"/>
      <c r="H54" s="109">
        <v>0</v>
      </c>
      <c r="I54" s="251">
        <v>0</v>
      </c>
      <c r="J54" s="109">
        <v>0</v>
      </c>
      <c r="K54" s="107">
        <f t="shared" si="2"/>
        <v>0</v>
      </c>
      <c r="L54" s="107"/>
      <c r="M54" s="109">
        <v>0</v>
      </c>
      <c r="N54" s="251">
        <v>0</v>
      </c>
      <c r="O54" s="109">
        <v>0</v>
      </c>
      <c r="P54" s="107">
        <f t="shared" si="3"/>
        <v>0</v>
      </c>
      <c r="Q54" s="107"/>
      <c r="R54" s="109">
        <v>0</v>
      </c>
      <c r="S54" s="251">
        <v>0</v>
      </c>
      <c r="T54" s="109">
        <v>0</v>
      </c>
      <c r="U54" s="107">
        <f t="shared" si="4"/>
        <v>0</v>
      </c>
      <c r="V54" s="107"/>
      <c r="W54" s="109">
        <v>0</v>
      </c>
      <c r="X54" s="251">
        <v>0</v>
      </c>
      <c r="Y54" s="109">
        <v>0</v>
      </c>
      <c r="Z54" s="107">
        <f t="shared" si="5"/>
        <v>0</v>
      </c>
      <c r="AA54" s="107"/>
      <c r="AB54" s="46">
        <v>0</v>
      </c>
      <c r="AC54" s="251">
        <v>0</v>
      </c>
      <c r="AD54" s="46">
        <v>0</v>
      </c>
      <c r="AE54" s="55">
        <f t="shared" si="6"/>
        <v>0</v>
      </c>
      <c r="AF54" s="55"/>
      <c r="AG54" s="46">
        <v>0</v>
      </c>
      <c r="AH54" s="251">
        <v>0</v>
      </c>
      <c r="AI54" s="46">
        <v>0</v>
      </c>
      <c r="AJ54" s="55">
        <f t="shared" si="7"/>
        <v>0</v>
      </c>
      <c r="AK54" s="55"/>
      <c r="AL54" s="46">
        <v>1</v>
      </c>
      <c r="AM54" s="251">
        <v>15</v>
      </c>
      <c r="AN54" s="46">
        <v>0</v>
      </c>
      <c r="AO54" s="55">
        <f t="shared" si="8"/>
        <v>1</v>
      </c>
      <c r="AP54" s="55"/>
      <c r="AQ54" s="46">
        <v>0</v>
      </c>
      <c r="AR54" s="251">
        <v>0</v>
      </c>
      <c r="AS54" s="46">
        <v>2</v>
      </c>
      <c r="AT54" s="55">
        <f t="shared" si="9"/>
        <v>2</v>
      </c>
      <c r="AU54" s="55">
        <v>0</v>
      </c>
      <c r="AV54" s="46">
        <v>0</v>
      </c>
      <c r="AW54" s="251">
        <v>0</v>
      </c>
      <c r="AX54" s="46">
        <v>1</v>
      </c>
      <c r="AY54" s="55">
        <f t="shared" si="10"/>
        <v>1</v>
      </c>
      <c r="AZ54" s="55">
        <v>0</v>
      </c>
      <c r="BA54" s="46">
        <v>1</v>
      </c>
      <c r="BB54" s="251">
        <v>10</v>
      </c>
      <c r="BC54" s="46">
        <v>1</v>
      </c>
      <c r="BD54" s="55">
        <f t="shared" si="11"/>
        <v>2</v>
      </c>
      <c r="BE54" s="55"/>
      <c r="BF54" s="46">
        <v>0</v>
      </c>
      <c r="BG54" s="251">
        <v>0</v>
      </c>
      <c r="BH54" s="46">
        <v>0</v>
      </c>
      <c r="BI54" s="55">
        <f t="shared" si="12"/>
        <v>0</v>
      </c>
      <c r="BJ54" s="55"/>
      <c r="BK54" s="15">
        <f t="shared" si="109"/>
        <v>2</v>
      </c>
      <c r="BL54" s="259">
        <f t="shared" si="110"/>
        <v>25</v>
      </c>
      <c r="BM54" s="15">
        <f t="shared" si="14"/>
        <v>4</v>
      </c>
      <c r="BN54" s="55">
        <f t="shared" si="88"/>
        <v>6</v>
      </c>
      <c r="BO54" s="55"/>
      <c r="BQ54" s="15">
        <f t="shared" si="16"/>
        <v>0</v>
      </c>
      <c r="BR54" s="15">
        <f t="shared" si="17"/>
        <v>0</v>
      </c>
      <c r="BS54" s="15">
        <f t="shared" si="18"/>
        <v>0</v>
      </c>
      <c r="BT54" s="55">
        <f t="shared" si="19"/>
        <v>0</v>
      </c>
      <c r="BU54" s="55"/>
      <c r="BW54" s="15">
        <f t="shared" si="20"/>
        <v>0</v>
      </c>
      <c r="BX54" s="15">
        <f t="shared" si="21"/>
        <v>0</v>
      </c>
      <c r="BY54" s="15">
        <f t="shared" si="22"/>
        <v>0</v>
      </c>
      <c r="BZ54" s="55">
        <f t="shared" si="23"/>
        <v>0</v>
      </c>
      <c r="CA54" s="55"/>
    </row>
    <row r="55" spans="1:79" outlineLevel="2" x14ac:dyDescent="0.3">
      <c r="A55" s="10" t="s">
        <v>72</v>
      </c>
      <c r="B55" s="5" t="s">
        <v>78</v>
      </c>
      <c r="C55" s="95">
        <v>0</v>
      </c>
      <c r="D55" s="251">
        <v>0</v>
      </c>
      <c r="E55" s="95">
        <v>0</v>
      </c>
      <c r="F55" s="107">
        <f t="shared" si="1"/>
        <v>0</v>
      </c>
      <c r="G55" s="107"/>
      <c r="H55" s="109">
        <v>0</v>
      </c>
      <c r="I55" s="251">
        <v>0</v>
      </c>
      <c r="J55" s="109">
        <v>0</v>
      </c>
      <c r="K55" s="107">
        <f t="shared" si="2"/>
        <v>0</v>
      </c>
      <c r="L55" s="107"/>
      <c r="M55" s="109">
        <v>0</v>
      </c>
      <c r="N55" s="251">
        <v>0</v>
      </c>
      <c r="O55" s="109">
        <v>0</v>
      </c>
      <c r="P55" s="107">
        <f t="shared" si="3"/>
        <v>0</v>
      </c>
      <c r="Q55" s="107"/>
      <c r="R55" s="109">
        <v>0</v>
      </c>
      <c r="S55" s="251">
        <v>0</v>
      </c>
      <c r="T55" s="109">
        <v>0</v>
      </c>
      <c r="U55" s="107">
        <f t="shared" si="4"/>
        <v>0</v>
      </c>
      <c r="V55" s="107"/>
      <c r="W55" s="109">
        <v>0</v>
      </c>
      <c r="X55" s="251">
        <v>0</v>
      </c>
      <c r="Y55" s="109">
        <v>0</v>
      </c>
      <c r="Z55" s="107">
        <f t="shared" si="5"/>
        <v>0</v>
      </c>
      <c r="AA55" s="107"/>
      <c r="AB55" s="46">
        <v>0</v>
      </c>
      <c r="AC55" s="251">
        <v>0</v>
      </c>
      <c r="AD55" s="46">
        <v>0</v>
      </c>
      <c r="AE55" s="55">
        <f t="shared" si="6"/>
        <v>0</v>
      </c>
      <c r="AF55" s="55"/>
      <c r="AG55" s="46">
        <v>0</v>
      </c>
      <c r="AH55" s="251">
        <v>0</v>
      </c>
      <c r="AI55" s="46">
        <v>0</v>
      </c>
      <c r="AJ55" s="55">
        <f t="shared" si="7"/>
        <v>0</v>
      </c>
      <c r="AK55" s="55"/>
      <c r="AL55" s="46">
        <v>0</v>
      </c>
      <c r="AM55" s="251">
        <v>0</v>
      </c>
      <c r="AN55" s="46">
        <v>0</v>
      </c>
      <c r="AO55" s="55">
        <f t="shared" si="8"/>
        <v>0</v>
      </c>
      <c r="AP55" s="55"/>
      <c r="AQ55" s="46">
        <v>0</v>
      </c>
      <c r="AR55" s="251">
        <v>0</v>
      </c>
      <c r="AS55" s="46">
        <v>0</v>
      </c>
      <c r="AT55" s="55">
        <f t="shared" si="9"/>
        <v>0</v>
      </c>
      <c r="AU55" s="55">
        <v>0</v>
      </c>
      <c r="AV55" s="46">
        <v>0</v>
      </c>
      <c r="AW55" s="251">
        <v>0</v>
      </c>
      <c r="AX55" s="46">
        <v>0</v>
      </c>
      <c r="AY55" s="55">
        <f t="shared" si="10"/>
        <v>0</v>
      </c>
      <c r="AZ55" s="55">
        <v>0</v>
      </c>
      <c r="BA55" s="46">
        <v>0</v>
      </c>
      <c r="BB55" s="251">
        <v>0</v>
      </c>
      <c r="BC55" s="46">
        <v>0</v>
      </c>
      <c r="BD55" s="55">
        <f t="shared" si="11"/>
        <v>0</v>
      </c>
      <c r="BE55" s="55"/>
      <c r="BF55" s="46">
        <v>0</v>
      </c>
      <c r="BG55" s="251">
        <v>0</v>
      </c>
      <c r="BH55" s="46">
        <v>0</v>
      </c>
      <c r="BI55" s="55">
        <f t="shared" si="12"/>
        <v>0</v>
      </c>
      <c r="BJ55" s="55"/>
      <c r="BK55" s="15">
        <f t="shared" si="109"/>
        <v>0</v>
      </c>
      <c r="BL55" s="259">
        <f t="shared" si="110"/>
        <v>0</v>
      </c>
      <c r="BM55" s="15">
        <f t="shared" si="14"/>
        <v>0</v>
      </c>
      <c r="BN55" s="55">
        <f t="shared" si="88"/>
        <v>0</v>
      </c>
      <c r="BO55" s="55"/>
      <c r="BQ55" s="15">
        <f t="shared" si="16"/>
        <v>0</v>
      </c>
      <c r="BR55" s="15">
        <f t="shared" si="17"/>
        <v>0</v>
      </c>
      <c r="BS55" s="15">
        <f t="shared" si="18"/>
        <v>0</v>
      </c>
      <c r="BT55" s="55">
        <f t="shared" si="19"/>
        <v>0</v>
      </c>
      <c r="BU55" s="55"/>
      <c r="BW55" s="15">
        <f t="shared" si="20"/>
        <v>0</v>
      </c>
      <c r="BX55" s="15">
        <f t="shared" si="21"/>
        <v>0</v>
      </c>
      <c r="BY55" s="15">
        <f t="shared" si="22"/>
        <v>0</v>
      </c>
      <c r="BZ55" s="55">
        <f t="shared" si="23"/>
        <v>0</v>
      </c>
      <c r="CA55" s="55"/>
    </row>
    <row r="56" spans="1:79" outlineLevel="2" x14ac:dyDescent="0.3">
      <c r="A56" s="10" t="s">
        <v>72</v>
      </c>
      <c r="B56" s="5" t="s">
        <v>79</v>
      </c>
      <c r="C56" s="95">
        <v>0</v>
      </c>
      <c r="D56" s="251">
        <v>0</v>
      </c>
      <c r="E56" s="95">
        <v>1</v>
      </c>
      <c r="F56" s="107">
        <f t="shared" si="1"/>
        <v>1</v>
      </c>
      <c r="G56" s="107"/>
      <c r="H56" s="109">
        <v>0</v>
      </c>
      <c r="I56" s="251">
        <v>0</v>
      </c>
      <c r="J56" s="109">
        <v>0</v>
      </c>
      <c r="K56" s="107">
        <f t="shared" si="2"/>
        <v>0</v>
      </c>
      <c r="L56" s="107"/>
      <c r="M56" s="109">
        <v>0</v>
      </c>
      <c r="N56" s="251">
        <v>0</v>
      </c>
      <c r="O56" s="109">
        <v>0</v>
      </c>
      <c r="P56" s="107">
        <f t="shared" si="3"/>
        <v>0</v>
      </c>
      <c r="Q56" s="107"/>
      <c r="R56" s="109">
        <v>0</v>
      </c>
      <c r="S56" s="251">
        <v>0</v>
      </c>
      <c r="T56" s="109">
        <v>0</v>
      </c>
      <c r="U56" s="107">
        <f t="shared" si="4"/>
        <v>0</v>
      </c>
      <c r="V56" s="107"/>
      <c r="W56" s="109">
        <v>0</v>
      </c>
      <c r="X56" s="251">
        <v>0</v>
      </c>
      <c r="Y56" s="109">
        <v>0</v>
      </c>
      <c r="Z56" s="107">
        <f t="shared" si="5"/>
        <v>0</v>
      </c>
      <c r="AA56" s="107"/>
      <c r="AB56" s="46">
        <v>0</v>
      </c>
      <c r="AC56" s="251">
        <v>0</v>
      </c>
      <c r="AD56" s="46">
        <v>1</v>
      </c>
      <c r="AE56" s="55">
        <f t="shared" si="6"/>
        <v>1</v>
      </c>
      <c r="AF56" s="55"/>
      <c r="AG56" s="46">
        <v>0</v>
      </c>
      <c r="AH56" s="251">
        <v>0</v>
      </c>
      <c r="AI56" s="46">
        <v>0</v>
      </c>
      <c r="AJ56" s="55">
        <f t="shared" si="7"/>
        <v>0</v>
      </c>
      <c r="AK56" s="55"/>
      <c r="AL56" s="46">
        <v>0</v>
      </c>
      <c r="AM56" s="251">
        <v>0</v>
      </c>
      <c r="AN56" s="46">
        <v>0</v>
      </c>
      <c r="AO56" s="55">
        <f t="shared" si="8"/>
        <v>0</v>
      </c>
      <c r="AP56" s="55"/>
      <c r="AQ56" s="46">
        <v>1</v>
      </c>
      <c r="AR56" s="251">
        <v>11</v>
      </c>
      <c r="AS56" s="46">
        <v>0</v>
      </c>
      <c r="AT56" s="55">
        <f t="shared" si="9"/>
        <v>1</v>
      </c>
      <c r="AU56" s="55">
        <v>0</v>
      </c>
      <c r="AV56" s="46">
        <v>0</v>
      </c>
      <c r="AW56" s="251">
        <v>0</v>
      </c>
      <c r="AX56" s="46">
        <v>0</v>
      </c>
      <c r="AY56" s="55">
        <f t="shared" si="10"/>
        <v>0</v>
      </c>
      <c r="AZ56" s="55">
        <v>0</v>
      </c>
      <c r="BA56" s="46">
        <v>0</v>
      </c>
      <c r="BB56" s="251">
        <v>0</v>
      </c>
      <c r="BC56" s="46">
        <v>0</v>
      </c>
      <c r="BD56" s="55">
        <f t="shared" si="11"/>
        <v>0</v>
      </c>
      <c r="BE56" s="55"/>
      <c r="BF56" s="46">
        <v>0</v>
      </c>
      <c r="BG56" s="251">
        <v>0</v>
      </c>
      <c r="BH56" s="46">
        <v>0</v>
      </c>
      <c r="BI56" s="55">
        <f t="shared" si="12"/>
        <v>0</v>
      </c>
      <c r="BJ56" s="55"/>
      <c r="BK56" s="15">
        <f t="shared" si="109"/>
        <v>1</v>
      </c>
      <c r="BL56" s="259">
        <f t="shared" si="110"/>
        <v>11</v>
      </c>
      <c r="BM56" s="15">
        <f t="shared" si="14"/>
        <v>2</v>
      </c>
      <c r="BN56" s="55">
        <f t="shared" si="88"/>
        <v>3</v>
      </c>
      <c r="BO56" s="55"/>
      <c r="BQ56" s="15">
        <f t="shared" si="16"/>
        <v>0</v>
      </c>
      <c r="BR56" s="15">
        <f t="shared" si="17"/>
        <v>0</v>
      </c>
      <c r="BS56" s="15">
        <f t="shared" si="18"/>
        <v>1</v>
      </c>
      <c r="BT56" s="55">
        <f t="shared" si="19"/>
        <v>1</v>
      </c>
      <c r="BU56" s="55"/>
      <c r="BW56" s="15">
        <f t="shared" si="20"/>
        <v>0</v>
      </c>
      <c r="BX56" s="15">
        <f t="shared" si="21"/>
        <v>0</v>
      </c>
      <c r="BY56" s="15">
        <f t="shared" si="22"/>
        <v>1</v>
      </c>
      <c r="BZ56" s="55">
        <f t="shared" si="23"/>
        <v>1</v>
      </c>
      <c r="CA56" s="55"/>
    </row>
    <row r="57" spans="1:79" outlineLevel="2" x14ac:dyDescent="0.3">
      <c r="A57" s="10" t="s">
        <v>72</v>
      </c>
      <c r="B57" s="5" t="s">
        <v>80</v>
      </c>
      <c r="C57" s="95">
        <v>0</v>
      </c>
      <c r="D57" s="251">
        <v>0</v>
      </c>
      <c r="E57" s="95">
        <v>0</v>
      </c>
      <c r="F57" s="107">
        <f t="shared" si="1"/>
        <v>0</v>
      </c>
      <c r="G57" s="107"/>
      <c r="H57" s="109">
        <v>0</v>
      </c>
      <c r="I57" s="251">
        <v>0</v>
      </c>
      <c r="J57" s="109">
        <v>2</v>
      </c>
      <c r="K57" s="107">
        <f t="shared" si="2"/>
        <v>2</v>
      </c>
      <c r="L57" s="107"/>
      <c r="M57" s="109">
        <v>0</v>
      </c>
      <c r="N57" s="251">
        <v>0</v>
      </c>
      <c r="O57" s="109">
        <v>0</v>
      </c>
      <c r="P57" s="107">
        <f t="shared" si="3"/>
        <v>0</v>
      </c>
      <c r="Q57" s="107"/>
      <c r="R57" s="109">
        <v>0</v>
      </c>
      <c r="S57" s="251">
        <v>0</v>
      </c>
      <c r="T57" s="109">
        <v>0</v>
      </c>
      <c r="U57" s="107">
        <f t="shared" si="4"/>
        <v>0</v>
      </c>
      <c r="V57" s="107"/>
      <c r="W57" s="109">
        <v>0</v>
      </c>
      <c r="X57" s="251">
        <v>0</v>
      </c>
      <c r="Y57" s="109">
        <v>0</v>
      </c>
      <c r="Z57" s="107">
        <f t="shared" si="5"/>
        <v>0</v>
      </c>
      <c r="AA57" s="107"/>
      <c r="AB57" s="46">
        <v>0</v>
      </c>
      <c r="AC57" s="251">
        <v>0</v>
      </c>
      <c r="AD57" s="46">
        <v>0</v>
      </c>
      <c r="AE57" s="55">
        <f t="shared" si="6"/>
        <v>0</v>
      </c>
      <c r="AF57" s="55"/>
      <c r="AG57" s="46">
        <v>0</v>
      </c>
      <c r="AH57" s="251">
        <v>0</v>
      </c>
      <c r="AI57" s="46">
        <v>0</v>
      </c>
      <c r="AJ57" s="55">
        <f t="shared" si="7"/>
        <v>0</v>
      </c>
      <c r="AK57" s="55"/>
      <c r="AL57" s="46">
        <v>0</v>
      </c>
      <c r="AM57" s="251">
        <v>0</v>
      </c>
      <c r="AN57" s="46">
        <v>0</v>
      </c>
      <c r="AO57" s="55">
        <f t="shared" si="8"/>
        <v>0</v>
      </c>
      <c r="AP57" s="55"/>
      <c r="AQ57" s="46">
        <v>0</v>
      </c>
      <c r="AR57" s="251">
        <v>0</v>
      </c>
      <c r="AS57" s="46">
        <v>0</v>
      </c>
      <c r="AT57" s="55">
        <f t="shared" si="9"/>
        <v>0</v>
      </c>
      <c r="AU57" s="55">
        <v>0</v>
      </c>
      <c r="AV57" s="46">
        <v>0</v>
      </c>
      <c r="AW57" s="251">
        <v>0</v>
      </c>
      <c r="AX57" s="46">
        <v>0</v>
      </c>
      <c r="AY57" s="55">
        <f t="shared" si="10"/>
        <v>0</v>
      </c>
      <c r="AZ57" s="55">
        <v>0</v>
      </c>
      <c r="BA57" s="46">
        <v>0</v>
      </c>
      <c r="BB57" s="251">
        <v>0</v>
      </c>
      <c r="BC57" s="46">
        <v>0</v>
      </c>
      <c r="BD57" s="55">
        <f t="shared" si="11"/>
        <v>0</v>
      </c>
      <c r="BE57" s="55"/>
      <c r="BF57" s="46">
        <v>0</v>
      </c>
      <c r="BG57" s="251">
        <v>0</v>
      </c>
      <c r="BH57" s="46">
        <v>0</v>
      </c>
      <c r="BI57" s="55">
        <f t="shared" si="12"/>
        <v>0</v>
      </c>
      <c r="BJ57" s="55"/>
      <c r="BK57" s="15">
        <f t="shared" si="109"/>
        <v>0</v>
      </c>
      <c r="BL57" s="259">
        <f t="shared" si="110"/>
        <v>0</v>
      </c>
      <c r="BM57" s="15">
        <f t="shared" si="14"/>
        <v>2</v>
      </c>
      <c r="BN57" s="55">
        <f t="shared" si="88"/>
        <v>2</v>
      </c>
      <c r="BO57" s="55"/>
      <c r="BQ57" s="15">
        <f t="shared" si="16"/>
        <v>0</v>
      </c>
      <c r="BR57" s="15">
        <f t="shared" si="17"/>
        <v>0</v>
      </c>
      <c r="BS57" s="15">
        <f t="shared" si="18"/>
        <v>2</v>
      </c>
      <c r="BT57" s="55">
        <f t="shared" si="19"/>
        <v>2</v>
      </c>
      <c r="BU57" s="55"/>
      <c r="BW57" s="15">
        <f t="shared" si="20"/>
        <v>0</v>
      </c>
      <c r="BX57" s="15">
        <f t="shared" si="21"/>
        <v>0</v>
      </c>
      <c r="BY57" s="15">
        <f t="shared" si="22"/>
        <v>0</v>
      </c>
      <c r="BZ57" s="55">
        <f t="shared" si="23"/>
        <v>0</v>
      </c>
      <c r="CA57" s="55"/>
    </row>
    <row r="58" spans="1:79" outlineLevel="2" x14ac:dyDescent="0.3">
      <c r="A58" s="10" t="s">
        <v>72</v>
      </c>
      <c r="B58" s="5" t="s">
        <v>81</v>
      </c>
      <c r="C58" s="95">
        <v>0</v>
      </c>
      <c r="D58" s="251">
        <v>0</v>
      </c>
      <c r="E58" s="95">
        <v>0</v>
      </c>
      <c r="F58" s="107">
        <f t="shared" si="1"/>
        <v>0</v>
      </c>
      <c r="G58" s="107"/>
      <c r="H58" s="109">
        <v>0</v>
      </c>
      <c r="I58" s="251">
        <v>0</v>
      </c>
      <c r="J58" s="109">
        <v>0</v>
      </c>
      <c r="K58" s="107">
        <f t="shared" si="2"/>
        <v>0</v>
      </c>
      <c r="L58" s="107"/>
      <c r="M58" s="109">
        <v>0</v>
      </c>
      <c r="N58" s="251">
        <v>0</v>
      </c>
      <c r="O58" s="109">
        <v>0</v>
      </c>
      <c r="P58" s="107">
        <f t="shared" si="3"/>
        <v>0</v>
      </c>
      <c r="Q58" s="107"/>
      <c r="R58" s="109">
        <v>0</v>
      </c>
      <c r="S58" s="251">
        <v>0</v>
      </c>
      <c r="T58" s="109">
        <v>0</v>
      </c>
      <c r="U58" s="107">
        <f t="shared" si="4"/>
        <v>0</v>
      </c>
      <c r="V58" s="107"/>
      <c r="W58" s="109">
        <v>0</v>
      </c>
      <c r="X58" s="251">
        <v>0</v>
      </c>
      <c r="Y58" s="109">
        <v>0</v>
      </c>
      <c r="Z58" s="107">
        <f t="shared" si="5"/>
        <v>0</v>
      </c>
      <c r="AA58" s="107"/>
      <c r="AB58" s="46">
        <v>0</v>
      </c>
      <c r="AC58" s="251">
        <v>0</v>
      </c>
      <c r="AD58" s="46">
        <v>0</v>
      </c>
      <c r="AE58" s="55">
        <f t="shared" si="6"/>
        <v>0</v>
      </c>
      <c r="AF58" s="55"/>
      <c r="AG58" s="46">
        <v>0</v>
      </c>
      <c r="AH58" s="251">
        <v>0</v>
      </c>
      <c r="AI58" s="46">
        <v>0</v>
      </c>
      <c r="AJ58" s="55">
        <f t="shared" si="7"/>
        <v>0</v>
      </c>
      <c r="AK58" s="55"/>
      <c r="AL58" s="46">
        <v>0</v>
      </c>
      <c r="AM58" s="251">
        <v>0</v>
      </c>
      <c r="AN58" s="46">
        <v>0</v>
      </c>
      <c r="AO58" s="55">
        <f t="shared" si="8"/>
        <v>0</v>
      </c>
      <c r="AP58" s="55"/>
      <c r="AQ58" s="46">
        <v>0</v>
      </c>
      <c r="AR58" s="251">
        <v>0</v>
      </c>
      <c r="AS58" s="46">
        <v>0</v>
      </c>
      <c r="AT58" s="55">
        <f t="shared" si="9"/>
        <v>0</v>
      </c>
      <c r="AU58" s="55">
        <v>0</v>
      </c>
      <c r="AV58" s="46">
        <v>0</v>
      </c>
      <c r="AW58" s="251">
        <v>0</v>
      </c>
      <c r="AX58" s="46">
        <v>0</v>
      </c>
      <c r="AY58" s="55">
        <f t="shared" si="10"/>
        <v>0</v>
      </c>
      <c r="AZ58" s="55">
        <v>0</v>
      </c>
      <c r="BA58" s="46">
        <v>0</v>
      </c>
      <c r="BB58" s="251">
        <v>0</v>
      </c>
      <c r="BC58" s="46">
        <v>0</v>
      </c>
      <c r="BD58" s="55">
        <f t="shared" si="11"/>
        <v>0</v>
      </c>
      <c r="BE58" s="55"/>
      <c r="BF58" s="46">
        <v>0</v>
      </c>
      <c r="BG58" s="251">
        <v>0</v>
      </c>
      <c r="BH58" s="46">
        <v>0</v>
      </c>
      <c r="BI58" s="55">
        <f t="shared" si="12"/>
        <v>0</v>
      </c>
      <c r="BJ58" s="55"/>
      <c r="BK58" s="15">
        <f t="shared" si="109"/>
        <v>0</v>
      </c>
      <c r="BL58" s="259">
        <f t="shared" si="110"/>
        <v>0</v>
      </c>
      <c r="BM58" s="15">
        <f t="shared" si="14"/>
        <v>0</v>
      </c>
      <c r="BN58" s="55">
        <f t="shared" si="88"/>
        <v>0</v>
      </c>
      <c r="BO58" s="55"/>
      <c r="BQ58" s="15">
        <f t="shared" si="16"/>
        <v>0</v>
      </c>
      <c r="BR58" s="15">
        <f t="shared" si="17"/>
        <v>0</v>
      </c>
      <c r="BS58" s="15">
        <f t="shared" si="18"/>
        <v>0</v>
      </c>
      <c r="BT58" s="55">
        <f t="shared" si="19"/>
        <v>0</v>
      </c>
      <c r="BU58" s="55"/>
      <c r="BW58" s="15" t="e">
        <f>R58+W58+#REF!</f>
        <v>#REF!</v>
      </c>
      <c r="BX58" s="15" t="e">
        <f>S58+X58+#REF!</f>
        <v>#REF!</v>
      </c>
      <c r="BY58" s="15">
        <f t="shared" si="22"/>
        <v>0</v>
      </c>
      <c r="BZ58" s="55" t="e">
        <f t="shared" si="23"/>
        <v>#REF!</v>
      </c>
      <c r="CA58" s="55"/>
    </row>
    <row r="59" spans="1:79" s="27" customFormat="1" outlineLevel="1" x14ac:dyDescent="0.3">
      <c r="A59" s="323" t="s">
        <v>82</v>
      </c>
      <c r="B59" s="324"/>
      <c r="C59" s="98">
        <f>SUM(C50:C58)</f>
        <v>1</v>
      </c>
      <c r="D59" s="251">
        <f t="shared" ref="D59:E59" si="111">SUM(D50:D58)</f>
        <v>8</v>
      </c>
      <c r="E59" s="98">
        <f t="shared" si="111"/>
        <v>9</v>
      </c>
      <c r="F59" s="107">
        <f t="shared" si="1"/>
        <v>10</v>
      </c>
      <c r="G59" s="107"/>
      <c r="H59" s="98">
        <f>SUM(H50:H58)</f>
        <v>1</v>
      </c>
      <c r="I59" s="251">
        <f t="shared" ref="I59" si="112">SUM(I50:I58)</f>
        <v>30</v>
      </c>
      <c r="J59" s="98">
        <f t="shared" ref="J59" si="113">SUM(J50:J58)</f>
        <v>11</v>
      </c>
      <c r="K59" s="107">
        <f t="shared" si="2"/>
        <v>12</v>
      </c>
      <c r="L59" s="107"/>
      <c r="M59" s="98">
        <f>SUM(M50:M58)</f>
        <v>2</v>
      </c>
      <c r="N59" s="251">
        <f t="shared" ref="N59" si="114">SUM(N50:N58)</f>
        <v>197</v>
      </c>
      <c r="O59" s="98">
        <f t="shared" ref="O59" si="115">SUM(O50:O58)</f>
        <v>7</v>
      </c>
      <c r="P59" s="107">
        <f t="shared" si="3"/>
        <v>9</v>
      </c>
      <c r="Q59" s="107"/>
      <c r="R59" s="98">
        <f>SUM(R50:R58)</f>
        <v>3</v>
      </c>
      <c r="S59" s="251">
        <f t="shared" ref="S59" si="116">SUM(S50:S58)</f>
        <v>24</v>
      </c>
      <c r="T59" s="98">
        <f t="shared" ref="T59" si="117">SUM(T50:T58)</f>
        <v>13</v>
      </c>
      <c r="U59" s="107">
        <f t="shared" si="4"/>
        <v>16</v>
      </c>
      <c r="V59" s="107"/>
      <c r="W59" s="98">
        <f>SUM(W50:W58)</f>
        <v>1</v>
      </c>
      <c r="X59" s="251">
        <f t="shared" ref="X59" si="118">SUM(X50:X58)</f>
        <v>20</v>
      </c>
      <c r="Y59" s="98">
        <f t="shared" ref="Y59" si="119">SUM(Y50:Y58)</f>
        <v>13</v>
      </c>
      <c r="Z59" s="107">
        <f t="shared" si="5"/>
        <v>14</v>
      </c>
      <c r="AA59" s="107"/>
      <c r="AB59" s="57">
        <f>SUM(AB50:AB58)</f>
        <v>2</v>
      </c>
      <c r="AC59" s="252">
        <f>SUM(AC50:AC58)</f>
        <v>84</v>
      </c>
      <c r="AD59" s="57">
        <f>SUM(AD50:AD58)</f>
        <v>12</v>
      </c>
      <c r="AE59" s="55">
        <f t="shared" si="6"/>
        <v>14</v>
      </c>
      <c r="AF59" s="55"/>
      <c r="AG59" s="57">
        <f>SUM(AG50:AG58)</f>
        <v>4</v>
      </c>
      <c r="AH59" s="252">
        <f>SUM(AH50:AH58)</f>
        <v>200</v>
      </c>
      <c r="AI59" s="57">
        <f>SUM(AI50:AI58)</f>
        <v>11</v>
      </c>
      <c r="AJ59" s="55">
        <f t="shared" si="7"/>
        <v>15</v>
      </c>
      <c r="AK59" s="55"/>
      <c r="AL59" s="57">
        <f>SUM(AL50:AL58)</f>
        <v>1</v>
      </c>
      <c r="AM59" s="252">
        <f>SUM(AM50:AM58)</f>
        <v>15</v>
      </c>
      <c r="AN59" s="57">
        <f>SUM(AN50:AN58)</f>
        <v>13</v>
      </c>
      <c r="AO59" s="55">
        <f t="shared" si="8"/>
        <v>14</v>
      </c>
      <c r="AP59" s="55"/>
      <c r="AQ59" s="57">
        <f>SUM(AQ50:AQ58)</f>
        <v>3</v>
      </c>
      <c r="AR59" s="252">
        <f>SUM(AR50:AR58)</f>
        <v>34</v>
      </c>
      <c r="AS59" s="57">
        <f>SUM(AS50:AS58)</f>
        <v>13</v>
      </c>
      <c r="AT59" s="55">
        <f t="shared" si="9"/>
        <v>16</v>
      </c>
      <c r="AU59" s="55">
        <f>AR59+AT59</f>
        <v>50</v>
      </c>
      <c r="AV59" s="57">
        <f>SUM(AV50:AV58)</f>
        <v>0</v>
      </c>
      <c r="AW59" s="252">
        <f>SUM(AW50:AW58)</f>
        <v>0</v>
      </c>
      <c r="AX59" s="57">
        <f>SUM(AX50:AX58)</f>
        <v>11</v>
      </c>
      <c r="AY59" s="55">
        <f t="shared" si="10"/>
        <v>11</v>
      </c>
      <c r="AZ59" s="55"/>
      <c r="BA59" s="57">
        <f>SUM(BA50:BA58)</f>
        <v>3</v>
      </c>
      <c r="BB59" s="252">
        <f>SUM(BB50:BB58)</f>
        <v>22</v>
      </c>
      <c r="BC59" s="57">
        <f>SUM(BC50:BC58)</f>
        <v>11</v>
      </c>
      <c r="BD59" s="55">
        <f t="shared" si="11"/>
        <v>14</v>
      </c>
      <c r="BE59" s="55"/>
      <c r="BF59" s="57">
        <f>SUM(BF50:BF58)</f>
        <v>1</v>
      </c>
      <c r="BG59" s="252">
        <f>SUM(BG50:BG58)</f>
        <v>4</v>
      </c>
      <c r="BH59" s="57">
        <f>SUM(BH50:BH58)</f>
        <v>10</v>
      </c>
      <c r="BI59" s="55">
        <f t="shared" si="12"/>
        <v>11</v>
      </c>
      <c r="BJ59" s="55"/>
      <c r="BK59" s="15">
        <f t="shared" si="86"/>
        <v>22</v>
      </c>
      <c r="BL59" s="259">
        <f t="shared" si="86"/>
        <v>638</v>
      </c>
      <c r="BM59" s="15">
        <f t="shared" si="14"/>
        <v>134</v>
      </c>
      <c r="BN59" s="55">
        <f t="shared" si="88"/>
        <v>156</v>
      </c>
      <c r="BO59" s="55"/>
      <c r="BP59" s="259"/>
      <c r="BQ59" s="15">
        <f t="shared" si="16"/>
        <v>4</v>
      </c>
      <c r="BR59" s="15">
        <f t="shared" si="17"/>
        <v>235</v>
      </c>
      <c r="BS59" s="15">
        <f t="shared" si="18"/>
        <v>27</v>
      </c>
      <c r="BT59" s="55">
        <f t="shared" si="19"/>
        <v>31</v>
      </c>
      <c r="BU59" s="55"/>
      <c r="BW59" s="15">
        <f t="shared" si="20"/>
        <v>6</v>
      </c>
      <c r="BX59" s="15">
        <f t="shared" si="21"/>
        <v>128</v>
      </c>
      <c r="BY59" s="15">
        <f t="shared" si="22"/>
        <v>38</v>
      </c>
      <c r="BZ59" s="55">
        <f t="shared" si="23"/>
        <v>44</v>
      </c>
      <c r="CA59" s="55"/>
    </row>
    <row r="60" spans="1:79" s="30" customFormat="1" x14ac:dyDescent="0.3">
      <c r="A60" s="335" t="s">
        <v>83</v>
      </c>
      <c r="B60" s="336"/>
      <c r="C60" s="99">
        <f>C59+C49+C40</f>
        <v>4</v>
      </c>
      <c r="D60" s="251">
        <f t="shared" ref="D60:E60" si="120">D59+D49+D40</f>
        <v>383</v>
      </c>
      <c r="E60" s="99">
        <f t="shared" si="120"/>
        <v>12</v>
      </c>
      <c r="F60" s="107">
        <f t="shared" si="1"/>
        <v>16</v>
      </c>
      <c r="G60" s="107"/>
      <c r="H60" s="99">
        <f>H59+H49+H40</f>
        <v>5</v>
      </c>
      <c r="I60" s="251">
        <f t="shared" ref="I60" si="121">I59+I49+I40</f>
        <v>75</v>
      </c>
      <c r="J60" s="99">
        <f t="shared" ref="J60" si="122">J59+J49+J40</f>
        <v>15</v>
      </c>
      <c r="K60" s="107">
        <f t="shared" si="2"/>
        <v>20</v>
      </c>
      <c r="L60" s="107"/>
      <c r="M60" s="99">
        <f>M59+M49+M40</f>
        <v>4</v>
      </c>
      <c r="N60" s="251">
        <f t="shared" ref="N60" si="123">N59+N49+N40</f>
        <v>211</v>
      </c>
      <c r="O60" s="99">
        <f t="shared" ref="O60" si="124">O59+O49+O40</f>
        <v>13</v>
      </c>
      <c r="P60" s="107">
        <f t="shared" si="3"/>
        <v>17</v>
      </c>
      <c r="Q60" s="107"/>
      <c r="R60" s="99">
        <f>R59+R49+R40</f>
        <v>5</v>
      </c>
      <c r="S60" s="251">
        <f t="shared" ref="S60" si="125">S59+S49+S40</f>
        <v>162</v>
      </c>
      <c r="T60" s="99">
        <f t="shared" ref="T60" si="126">T59+T49+T40</f>
        <v>21</v>
      </c>
      <c r="U60" s="107">
        <f t="shared" si="4"/>
        <v>26</v>
      </c>
      <c r="V60" s="107"/>
      <c r="W60" s="99">
        <f>W59+W49+W40</f>
        <v>4</v>
      </c>
      <c r="X60" s="251">
        <f t="shared" ref="X60" si="127">X59+X49+X40</f>
        <v>35</v>
      </c>
      <c r="Y60" s="99">
        <f t="shared" ref="Y60" si="128">Y59+Y49+Y40</f>
        <v>15</v>
      </c>
      <c r="Z60" s="107">
        <f t="shared" si="5"/>
        <v>19</v>
      </c>
      <c r="AA60" s="107"/>
      <c r="AB60" s="99">
        <f>AB59+AB49+AB40</f>
        <v>5</v>
      </c>
      <c r="AC60" s="251">
        <f>AC59+AC49+AC40</f>
        <v>263</v>
      </c>
      <c r="AD60" s="99">
        <f>AD59+AD49+AD40</f>
        <v>15</v>
      </c>
      <c r="AE60" s="55">
        <f t="shared" si="6"/>
        <v>20</v>
      </c>
      <c r="AF60" s="55"/>
      <c r="AG60" s="99">
        <f>AG59+AG49+AG40</f>
        <v>6</v>
      </c>
      <c r="AH60" s="251">
        <f>AH59+AH49+AH40</f>
        <v>202</v>
      </c>
      <c r="AI60" s="99">
        <f>AI59+AI49+AI40</f>
        <v>18</v>
      </c>
      <c r="AJ60" s="55">
        <f t="shared" si="7"/>
        <v>24</v>
      </c>
      <c r="AK60" s="55"/>
      <c r="AL60" s="99">
        <f>AL59+AL49+AL40</f>
        <v>6</v>
      </c>
      <c r="AM60" s="251">
        <f>AM59+AM49+AM40</f>
        <v>274</v>
      </c>
      <c r="AN60" s="99">
        <f>AN59+AN49+AN40</f>
        <v>22</v>
      </c>
      <c r="AO60" s="55">
        <f t="shared" si="8"/>
        <v>28</v>
      </c>
      <c r="AP60" s="55"/>
      <c r="AQ60" s="99">
        <f>AQ59+AQ49+AQ40</f>
        <v>13</v>
      </c>
      <c r="AR60" s="251">
        <f>AR59+AR49+AR40</f>
        <v>171</v>
      </c>
      <c r="AS60" s="99">
        <f>AS59+AS49+AS40</f>
        <v>19</v>
      </c>
      <c r="AT60" s="55">
        <f t="shared" si="9"/>
        <v>32</v>
      </c>
      <c r="AU60" s="55">
        <f>AR60+AT60</f>
        <v>203</v>
      </c>
      <c r="AV60" s="99">
        <f>AV59+AV49+AV40</f>
        <v>7</v>
      </c>
      <c r="AW60" s="251">
        <f>AW59+AW49+AW40</f>
        <v>52</v>
      </c>
      <c r="AX60" s="99">
        <f>AX59+AX49+AX40</f>
        <v>16</v>
      </c>
      <c r="AY60" s="55">
        <f t="shared" si="10"/>
        <v>23</v>
      </c>
      <c r="AZ60" s="55"/>
      <c r="BA60" s="99">
        <f>BA59+BA49+BA40</f>
        <v>6</v>
      </c>
      <c r="BB60" s="251">
        <f>BB59+BB49+BB40</f>
        <v>50</v>
      </c>
      <c r="BC60" s="99">
        <f>BC59+BC49+BC40</f>
        <v>16</v>
      </c>
      <c r="BD60" s="55">
        <f t="shared" si="11"/>
        <v>22</v>
      </c>
      <c r="BE60" s="55"/>
      <c r="BF60" s="99">
        <f>BF59+BF49+BF40</f>
        <v>4</v>
      </c>
      <c r="BG60" s="251">
        <f>BG59+BG49+BG40</f>
        <v>27</v>
      </c>
      <c r="BH60" s="99">
        <f>BH59+BH49+BH40</f>
        <v>12</v>
      </c>
      <c r="BI60" s="55">
        <f t="shared" si="12"/>
        <v>16</v>
      </c>
      <c r="BJ60" s="55"/>
      <c r="BK60" s="15">
        <f t="shared" si="86"/>
        <v>69</v>
      </c>
      <c r="BL60" s="259">
        <f t="shared" si="87"/>
        <v>1905</v>
      </c>
      <c r="BM60" s="15">
        <f t="shared" si="14"/>
        <v>194</v>
      </c>
      <c r="BN60" s="55">
        <f t="shared" si="88"/>
        <v>263</v>
      </c>
      <c r="BO60" s="55"/>
      <c r="BQ60" s="15">
        <f t="shared" si="16"/>
        <v>13</v>
      </c>
      <c r="BR60" s="15">
        <f t="shared" si="17"/>
        <v>669</v>
      </c>
      <c r="BS60" s="15">
        <f t="shared" si="18"/>
        <v>40</v>
      </c>
      <c r="BT60" s="55">
        <f t="shared" si="19"/>
        <v>53</v>
      </c>
      <c r="BU60" s="55"/>
      <c r="BW60" s="15">
        <f t="shared" si="20"/>
        <v>14</v>
      </c>
      <c r="BX60" s="15">
        <f t="shared" si="21"/>
        <v>460</v>
      </c>
      <c r="BY60" s="15">
        <f t="shared" si="22"/>
        <v>51</v>
      </c>
      <c r="BZ60" s="55">
        <f t="shared" si="23"/>
        <v>65</v>
      </c>
      <c r="CA60" s="55"/>
    </row>
    <row r="61" spans="1:79" outlineLevel="1" x14ac:dyDescent="0.3">
      <c r="A61" s="10" t="s">
        <v>84</v>
      </c>
      <c r="B61" s="11" t="s">
        <v>85</v>
      </c>
      <c r="C61" s="95">
        <v>1</v>
      </c>
      <c r="D61" s="251">
        <v>23</v>
      </c>
      <c r="E61" s="95">
        <v>1</v>
      </c>
      <c r="F61" s="107">
        <f t="shared" si="1"/>
        <v>2</v>
      </c>
      <c r="G61" s="107"/>
      <c r="H61" s="109"/>
      <c r="I61" s="251"/>
      <c r="J61" s="109">
        <v>1</v>
      </c>
      <c r="K61" s="107">
        <f t="shared" si="2"/>
        <v>1</v>
      </c>
      <c r="L61" s="107"/>
      <c r="M61" s="109"/>
      <c r="N61" s="251"/>
      <c r="O61" s="109"/>
      <c r="P61" s="107">
        <f t="shared" si="3"/>
        <v>0</v>
      </c>
      <c r="Q61" s="107"/>
      <c r="R61" s="109"/>
      <c r="S61" s="251"/>
      <c r="T61" s="109">
        <v>2</v>
      </c>
      <c r="U61" s="107">
        <f t="shared" si="4"/>
        <v>2</v>
      </c>
      <c r="V61" s="107"/>
      <c r="W61" s="109"/>
      <c r="X61" s="251"/>
      <c r="Y61" s="109">
        <v>1</v>
      </c>
      <c r="Z61" s="107">
        <f t="shared" si="5"/>
        <v>1</v>
      </c>
      <c r="AA61" s="107"/>
      <c r="AB61" s="46"/>
      <c r="AC61" s="252"/>
      <c r="AD61" s="46"/>
      <c r="AE61" s="55">
        <f t="shared" si="6"/>
        <v>0</v>
      </c>
      <c r="AF61" s="55"/>
      <c r="AG61" s="46"/>
      <c r="AH61" s="252"/>
      <c r="AI61" s="46"/>
      <c r="AJ61" s="55">
        <f t="shared" si="7"/>
        <v>0</v>
      </c>
      <c r="AK61" s="55"/>
      <c r="AL61" s="46"/>
      <c r="AM61" s="252"/>
      <c r="AN61" s="46">
        <v>1</v>
      </c>
      <c r="AO61" s="55">
        <f t="shared" si="8"/>
        <v>1</v>
      </c>
      <c r="AP61" s="55"/>
      <c r="AQ61" s="46"/>
      <c r="AR61" s="252"/>
      <c r="AS61" s="46"/>
      <c r="AT61" s="55">
        <f t="shared" si="9"/>
        <v>0</v>
      </c>
      <c r="AU61" s="55"/>
      <c r="AV61" s="46">
        <v>1</v>
      </c>
      <c r="AW61" s="252">
        <v>5</v>
      </c>
      <c r="AX61" s="46"/>
      <c r="AY61" s="55">
        <f t="shared" si="10"/>
        <v>1</v>
      </c>
      <c r="AZ61" s="55"/>
      <c r="BA61" s="54"/>
      <c r="BB61" s="12"/>
      <c r="BC61" s="54"/>
      <c r="BD61" s="55">
        <f t="shared" si="11"/>
        <v>0</v>
      </c>
      <c r="BE61" s="55"/>
      <c r="BF61" s="54"/>
      <c r="BG61" s="12"/>
      <c r="BH61" s="54"/>
      <c r="BI61" s="55">
        <f t="shared" si="12"/>
        <v>0</v>
      </c>
      <c r="BJ61" s="55"/>
      <c r="BK61" s="15">
        <f t="shared" si="86"/>
        <v>2</v>
      </c>
      <c r="BL61" s="259">
        <f t="shared" si="87"/>
        <v>28</v>
      </c>
      <c r="BM61" s="15">
        <f t="shared" si="14"/>
        <v>6</v>
      </c>
      <c r="BN61" s="55">
        <f t="shared" si="88"/>
        <v>8</v>
      </c>
      <c r="BO61" s="55"/>
      <c r="BQ61" s="15">
        <f t="shared" si="16"/>
        <v>1</v>
      </c>
      <c r="BR61" s="15">
        <f t="shared" si="17"/>
        <v>23</v>
      </c>
      <c r="BS61" s="15">
        <f t="shared" si="18"/>
        <v>2</v>
      </c>
      <c r="BT61" s="55">
        <f t="shared" si="19"/>
        <v>3</v>
      </c>
      <c r="BU61" s="55"/>
      <c r="BW61" s="15">
        <f t="shared" si="20"/>
        <v>0</v>
      </c>
      <c r="BX61" s="15">
        <f t="shared" si="21"/>
        <v>0</v>
      </c>
      <c r="BY61" s="15">
        <f t="shared" si="22"/>
        <v>3</v>
      </c>
      <c r="BZ61" s="55">
        <f t="shared" si="23"/>
        <v>3</v>
      </c>
      <c r="CA61" s="55"/>
    </row>
    <row r="62" spans="1:79" outlineLevel="1" x14ac:dyDescent="0.3">
      <c r="A62" s="10" t="s">
        <v>84</v>
      </c>
      <c r="B62" s="11" t="s">
        <v>86</v>
      </c>
      <c r="C62" s="95"/>
      <c r="D62" s="251"/>
      <c r="E62" s="95">
        <v>1</v>
      </c>
      <c r="F62" s="107">
        <f t="shared" si="1"/>
        <v>1</v>
      </c>
      <c r="G62" s="107"/>
      <c r="H62" s="109"/>
      <c r="I62" s="251"/>
      <c r="J62" s="109">
        <v>1</v>
      </c>
      <c r="K62" s="107">
        <f t="shared" si="2"/>
        <v>1</v>
      </c>
      <c r="L62" s="107"/>
      <c r="M62" s="109"/>
      <c r="N62" s="251"/>
      <c r="O62" s="109">
        <v>2</v>
      </c>
      <c r="P62" s="107">
        <f t="shared" si="3"/>
        <v>2</v>
      </c>
      <c r="Q62" s="107"/>
      <c r="R62" s="109"/>
      <c r="S62" s="251"/>
      <c r="T62" s="109"/>
      <c r="U62" s="107">
        <f t="shared" si="4"/>
        <v>0</v>
      </c>
      <c r="V62" s="107"/>
      <c r="W62" s="109"/>
      <c r="X62" s="251"/>
      <c r="Y62" s="109"/>
      <c r="Z62" s="107">
        <f t="shared" si="5"/>
        <v>0</v>
      </c>
      <c r="AA62" s="107"/>
      <c r="AB62" s="46"/>
      <c r="AC62" s="252"/>
      <c r="AD62" s="46"/>
      <c r="AE62" s="55">
        <f t="shared" si="6"/>
        <v>0</v>
      </c>
      <c r="AF62" s="55"/>
      <c r="AG62" s="46">
        <v>1</v>
      </c>
      <c r="AH62" s="252">
        <v>29</v>
      </c>
      <c r="AI62" s="46">
        <v>1</v>
      </c>
      <c r="AJ62" s="55">
        <f t="shared" si="7"/>
        <v>2</v>
      </c>
      <c r="AK62" s="55"/>
      <c r="AL62" s="46"/>
      <c r="AM62" s="252"/>
      <c r="AN62" s="46">
        <v>2</v>
      </c>
      <c r="AO62" s="55">
        <f t="shared" si="8"/>
        <v>2</v>
      </c>
      <c r="AP62" s="55"/>
      <c r="AQ62" s="46"/>
      <c r="AR62" s="252"/>
      <c r="AS62" s="46">
        <v>1</v>
      </c>
      <c r="AT62" s="55">
        <f t="shared" si="9"/>
        <v>1</v>
      </c>
      <c r="AU62" s="55"/>
      <c r="AV62" s="46"/>
      <c r="AW62" s="252"/>
      <c r="AX62" s="46">
        <v>1</v>
      </c>
      <c r="AY62" s="55">
        <f t="shared" si="10"/>
        <v>1</v>
      </c>
      <c r="AZ62" s="55"/>
      <c r="BA62" s="46">
        <v>0</v>
      </c>
      <c r="BB62" s="16">
        <v>0</v>
      </c>
      <c r="BC62" s="46">
        <v>0</v>
      </c>
      <c r="BD62" s="55">
        <f t="shared" si="11"/>
        <v>0</v>
      </c>
      <c r="BE62" s="55"/>
      <c r="BF62" s="46">
        <v>0</v>
      </c>
      <c r="BG62" s="16">
        <v>0</v>
      </c>
      <c r="BH62" s="46">
        <v>0</v>
      </c>
      <c r="BI62" s="55">
        <f t="shared" si="12"/>
        <v>0</v>
      </c>
      <c r="BJ62" s="55"/>
      <c r="BK62" s="15">
        <f t="shared" si="86"/>
        <v>1</v>
      </c>
      <c r="BL62" s="259">
        <f t="shared" si="87"/>
        <v>29</v>
      </c>
      <c r="BM62" s="15">
        <f t="shared" si="14"/>
        <v>9</v>
      </c>
      <c r="BN62" s="55">
        <f t="shared" si="88"/>
        <v>10</v>
      </c>
      <c r="BO62" s="55"/>
      <c r="BQ62" s="15">
        <f t="shared" si="16"/>
        <v>0</v>
      </c>
      <c r="BR62" s="15">
        <f t="shared" si="17"/>
        <v>0</v>
      </c>
      <c r="BS62" s="15">
        <f t="shared" si="18"/>
        <v>4</v>
      </c>
      <c r="BT62" s="55">
        <f t="shared" si="19"/>
        <v>4</v>
      </c>
      <c r="BU62" s="55"/>
      <c r="BW62" s="15">
        <f t="shared" si="20"/>
        <v>0</v>
      </c>
      <c r="BX62" s="15">
        <f t="shared" si="21"/>
        <v>0</v>
      </c>
      <c r="BY62" s="15">
        <f t="shared" si="22"/>
        <v>0</v>
      </c>
      <c r="BZ62" s="55">
        <f t="shared" si="23"/>
        <v>0</v>
      </c>
      <c r="CA62" s="55"/>
    </row>
    <row r="63" spans="1:79" outlineLevel="1" x14ac:dyDescent="0.3">
      <c r="A63" s="10" t="s">
        <v>84</v>
      </c>
      <c r="B63" s="11" t="s">
        <v>87</v>
      </c>
      <c r="C63" s="95"/>
      <c r="D63" s="251"/>
      <c r="E63" s="95">
        <v>1</v>
      </c>
      <c r="F63" s="107">
        <f t="shared" si="1"/>
        <v>1</v>
      </c>
      <c r="G63" s="107"/>
      <c r="H63" s="109"/>
      <c r="I63" s="251"/>
      <c r="J63" s="109"/>
      <c r="K63" s="107">
        <f t="shared" si="2"/>
        <v>0</v>
      </c>
      <c r="L63" s="107"/>
      <c r="M63" s="109"/>
      <c r="N63" s="251"/>
      <c r="O63" s="109"/>
      <c r="P63" s="107">
        <f t="shared" si="3"/>
        <v>0</v>
      </c>
      <c r="Q63" s="107"/>
      <c r="R63" s="109">
        <v>1</v>
      </c>
      <c r="S63" s="251">
        <v>14</v>
      </c>
      <c r="T63" s="109"/>
      <c r="U63" s="107">
        <f t="shared" si="4"/>
        <v>1</v>
      </c>
      <c r="V63" s="107"/>
      <c r="W63" s="109"/>
      <c r="X63" s="251"/>
      <c r="Y63" s="109">
        <v>1</v>
      </c>
      <c r="Z63" s="107">
        <f t="shared" si="5"/>
        <v>1</v>
      </c>
      <c r="AA63" s="107"/>
      <c r="AB63" s="46"/>
      <c r="AC63" s="252"/>
      <c r="AD63" s="46"/>
      <c r="AE63" s="55">
        <f t="shared" si="6"/>
        <v>0</v>
      </c>
      <c r="AF63" s="55"/>
      <c r="AG63" s="46"/>
      <c r="AH63" s="252"/>
      <c r="AI63" s="46"/>
      <c r="AJ63" s="55">
        <f t="shared" si="7"/>
        <v>0</v>
      </c>
      <c r="AK63" s="55"/>
      <c r="AL63" s="46"/>
      <c r="AM63" s="252"/>
      <c r="AN63" s="46"/>
      <c r="AO63" s="55">
        <f t="shared" si="8"/>
        <v>0</v>
      </c>
      <c r="AP63" s="55"/>
      <c r="AQ63" s="46"/>
      <c r="AR63" s="252"/>
      <c r="AS63" s="46">
        <v>1</v>
      </c>
      <c r="AT63" s="55">
        <f t="shared" si="9"/>
        <v>1</v>
      </c>
      <c r="AU63" s="55"/>
      <c r="AV63" s="46"/>
      <c r="AW63" s="252"/>
      <c r="AX63" s="46"/>
      <c r="AY63" s="55">
        <f t="shared" si="10"/>
        <v>0</v>
      </c>
      <c r="AZ63" s="55"/>
      <c r="BA63" s="54"/>
      <c r="BB63" s="12"/>
      <c r="BC63" s="54"/>
      <c r="BD63" s="55">
        <f t="shared" si="11"/>
        <v>0</v>
      </c>
      <c r="BE63" s="55"/>
      <c r="BF63" s="54"/>
      <c r="BG63" s="12"/>
      <c r="BH63" s="54"/>
      <c r="BI63" s="55">
        <f t="shared" si="12"/>
        <v>0</v>
      </c>
      <c r="BJ63" s="55"/>
      <c r="BK63" s="15">
        <f t="shared" si="86"/>
        <v>1</v>
      </c>
      <c r="BL63" s="259">
        <f t="shared" si="87"/>
        <v>14</v>
      </c>
      <c r="BM63" s="15">
        <f t="shared" si="14"/>
        <v>3</v>
      </c>
      <c r="BN63" s="55">
        <f t="shared" si="88"/>
        <v>4</v>
      </c>
      <c r="BO63" s="55"/>
      <c r="BQ63" s="15">
        <f t="shared" si="16"/>
        <v>0</v>
      </c>
      <c r="BR63" s="15">
        <f t="shared" si="17"/>
        <v>0</v>
      </c>
      <c r="BS63" s="15">
        <f t="shared" si="18"/>
        <v>1</v>
      </c>
      <c r="BT63" s="55">
        <f t="shared" si="19"/>
        <v>1</v>
      </c>
      <c r="BU63" s="55"/>
      <c r="BW63" s="15">
        <f t="shared" si="20"/>
        <v>1</v>
      </c>
      <c r="BX63" s="15">
        <f t="shared" si="21"/>
        <v>14</v>
      </c>
      <c r="BY63" s="15">
        <f t="shared" si="22"/>
        <v>1</v>
      </c>
      <c r="BZ63" s="55">
        <f t="shared" si="23"/>
        <v>2</v>
      </c>
      <c r="CA63" s="55"/>
    </row>
    <row r="64" spans="1:79" outlineLevel="1" x14ac:dyDescent="0.3">
      <c r="A64" s="10" t="s">
        <v>84</v>
      </c>
      <c r="B64" s="11" t="s">
        <v>88</v>
      </c>
      <c r="C64" s="95"/>
      <c r="D64" s="251"/>
      <c r="E64" s="95"/>
      <c r="F64" s="107">
        <f t="shared" si="1"/>
        <v>0</v>
      </c>
      <c r="G64" s="107"/>
      <c r="H64" s="109"/>
      <c r="I64" s="251"/>
      <c r="J64" s="109"/>
      <c r="K64" s="107">
        <f t="shared" si="2"/>
        <v>0</v>
      </c>
      <c r="L64" s="107"/>
      <c r="M64" s="109"/>
      <c r="N64" s="251"/>
      <c r="O64" s="109"/>
      <c r="P64" s="107">
        <f t="shared" si="3"/>
        <v>0</v>
      </c>
      <c r="Q64" s="107"/>
      <c r="R64" s="109"/>
      <c r="S64" s="251"/>
      <c r="T64" s="109">
        <v>1</v>
      </c>
      <c r="U64" s="107">
        <f t="shared" si="4"/>
        <v>1</v>
      </c>
      <c r="V64" s="107"/>
      <c r="W64" s="109"/>
      <c r="X64" s="251"/>
      <c r="Y64" s="109"/>
      <c r="Z64" s="107">
        <f t="shared" si="5"/>
        <v>0</v>
      </c>
      <c r="AA64" s="107"/>
      <c r="AB64" s="46"/>
      <c r="AC64" s="252"/>
      <c r="AD64" s="46"/>
      <c r="AE64" s="55">
        <f t="shared" si="6"/>
        <v>0</v>
      </c>
      <c r="AF64" s="55"/>
      <c r="AG64" s="46"/>
      <c r="AH64" s="252"/>
      <c r="AI64" s="46"/>
      <c r="AJ64" s="55">
        <f t="shared" si="7"/>
        <v>0</v>
      </c>
      <c r="AK64" s="55"/>
      <c r="AL64" s="46"/>
      <c r="AM64" s="252"/>
      <c r="AN64" s="46"/>
      <c r="AO64" s="55">
        <f t="shared" si="8"/>
        <v>0</v>
      </c>
      <c r="AP64" s="55"/>
      <c r="AQ64" s="46"/>
      <c r="AR64" s="252"/>
      <c r="AS64" s="46"/>
      <c r="AT64" s="55">
        <f t="shared" si="9"/>
        <v>0</v>
      </c>
      <c r="AU64" s="55"/>
      <c r="AV64" s="46"/>
      <c r="AW64" s="252"/>
      <c r="AX64" s="46"/>
      <c r="AY64" s="55">
        <f t="shared" si="10"/>
        <v>0</v>
      </c>
      <c r="AZ64" s="55"/>
      <c r="BA64" s="54"/>
      <c r="BB64" s="12"/>
      <c r="BC64" s="54"/>
      <c r="BD64" s="55">
        <f t="shared" si="11"/>
        <v>0</v>
      </c>
      <c r="BE64" s="55"/>
      <c r="BF64" s="54"/>
      <c r="BG64" s="12"/>
      <c r="BH64" s="54"/>
      <c r="BI64" s="55">
        <f t="shared" si="12"/>
        <v>0</v>
      </c>
      <c r="BJ64" s="55"/>
      <c r="BK64" s="15">
        <f t="shared" si="86"/>
        <v>0</v>
      </c>
      <c r="BL64" s="259">
        <f t="shared" si="87"/>
        <v>0</v>
      </c>
      <c r="BM64" s="15">
        <f t="shared" si="14"/>
        <v>1</v>
      </c>
      <c r="BN64" s="55">
        <f t="shared" si="88"/>
        <v>1</v>
      </c>
      <c r="BO64" s="55"/>
      <c r="BQ64" s="15">
        <f t="shared" si="16"/>
        <v>0</v>
      </c>
      <c r="BR64" s="15">
        <f t="shared" si="17"/>
        <v>0</v>
      </c>
      <c r="BS64" s="15">
        <f t="shared" si="18"/>
        <v>0</v>
      </c>
      <c r="BT64" s="55">
        <f t="shared" si="19"/>
        <v>0</v>
      </c>
      <c r="BU64" s="55"/>
      <c r="BW64" s="15">
        <f t="shared" si="20"/>
        <v>0</v>
      </c>
      <c r="BX64" s="15">
        <f t="shared" si="21"/>
        <v>0</v>
      </c>
      <c r="BY64" s="15">
        <f t="shared" si="22"/>
        <v>1</v>
      </c>
      <c r="BZ64" s="55">
        <f t="shared" si="23"/>
        <v>1</v>
      </c>
      <c r="CA64" s="55"/>
    </row>
    <row r="65" spans="1:82" outlineLevel="1" x14ac:dyDescent="0.3">
      <c r="A65" s="10" t="s">
        <v>84</v>
      </c>
      <c r="B65" s="11" t="s">
        <v>89</v>
      </c>
      <c r="C65" s="109"/>
      <c r="D65" s="253"/>
      <c r="E65" s="109"/>
      <c r="F65" s="107">
        <f t="shared" si="1"/>
        <v>0</v>
      </c>
      <c r="G65" s="107"/>
      <c r="H65" s="109"/>
      <c r="I65" s="253"/>
      <c r="J65" s="109"/>
      <c r="K65" s="107">
        <f t="shared" si="2"/>
        <v>0</v>
      </c>
      <c r="L65" s="107"/>
      <c r="M65" s="109"/>
      <c r="N65" s="253"/>
      <c r="O65" s="109"/>
      <c r="P65" s="107">
        <f t="shared" si="3"/>
        <v>0</v>
      </c>
      <c r="Q65" s="107"/>
      <c r="R65" s="109"/>
      <c r="S65" s="253"/>
      <c r="T65" s="109"/>
      <c r="U65" s="107">
        <f t="shared" si="4"/>
        <v>0</v>
      </c>
      <c r="V65" s="107"/>
      <c r="W65" s="109"/>
      <c r="X65" s="253"/>
      <c r="Y65" s="109"/>
      <c r="Z65" s="107">
        <f t="shared" si="5"/>
        <v>0</v>
      </c>
      <c r="AA65" s="107"/>
      <c r="AB65" s="46">
        <v>1</v>
      </c>
      <c r="AC65" s="260">
        <v>1</v>
      </c>
      <c r="AD65" s="46">
        <v>0</v>
      </c>
      <c r="AE65" s="55">
        <f t="shared" si="6"/>
        <v>1</v>
      </c>
      <c r="AF65" s="55"/>
      <c r="AG65" s="46"/>
      <c r="AH65" s="252"/>
      <c r="AI65" s="46"/>
      <c r="AJ65" s="55">
        <f t="shared" si="7"/>
        <v>0</v>
      </c>
      <c r="AK65" s="55"/>
      <c r="AL65" s="46"/>
      <c r="AM65" s="260"/>
      <c r="AN65" s="46"/>
      <c r="AO65" s="55">
        <f t="shared" si="8"/>
        <v>0</v>
      </c>
      <c r="AP65" s="55"/>
      <c r="AQ65" s="46">
        <v>1</v>
      </c>
      <c r="AR65" s="260">
        <v>2</v>
      </c>
      <c r="AS65" s="46"/>
      <c r="AT65" s="55">
        <f t="shared" si="9"/>
        <v>1</v>
      </c>
      <c r="AU65" s="55"/>
      <c r="AV65" s="46"/>
      <c r="AW65" s="260"/>
      <c r="AX65" s="46"/>
      <c r="AY65" s="55">
        <f t="shared" si="10"/>
        <v>0</v>
      </c>
      <c r="AZ65" s="55"/>
      <c r="BA65" s="46">
        <v>0</v>
      </c>
      <c r="BB65" s="46">
        <v>0</v>
      </c>
      <c r="BC65" s="46">
        <v>0</v>
      </c>
      <c r="BD65" s="55">
        <f t="shared" si="11"/>
        <v>0</v>
      </c>
      <c r="BE65" s="55"/>
      <c r="BF65" s="46">
        <v>0</v>
      </c>
      <c r="BG65" s="46">
        <v>0</v>
      </c>
      <c r="BH65" s="46">
        <v>0</v>
      </c>
      <c r="BI65" s="55">
        <f t="shared" si="12"/>
        <v>0</v>
      </c>
      <c r="BJ65" s="55"/>
      <c r="BK65" s="15">
        <f t="shared" si="86"/>
        <v>2</v>
      </c>
      <c r="BL65" s="259">
        <f t="shared" si="87"/>
        <v>3</v>
      </c>
      <c r="BM65" s="15">
        <f t="shared" si="14"/>
        <v>0</v>
      </c>
      <c r="BN65" s="55">
        <f t="shared" si="88"/>
        <v>2</v>
      </c>
      <c r="BO65" s="55"/>
      <c r="BQ65" s="15">
        <f t="shared" si="16"/>
        <v>0</v>
      </c>
      <c r="BR65" s="15">
        <f t="shared" si="17"/>
        <v>0</v>
      </c>
      <c r="BS65" s="15">
        <f t="shared" si="18"/>
        <v>0</v>
      </c>
      <c r="BT65" s="55">
        <f t="shared" si="19"/>
        <v>0</v>
      </c>
      <c r="BU65" s="55"/>
      <c r="BW65" s="15">
        <f t="shared" si="20"/>
        <v>1</v>
      </c>
      <c r="BX65" s="15">
        <f t="shared" si="21"/>
        <v>1</v>
      </c>
      <c r="BY65" s="15">
        <f t="shared" si="22"/>
        <v>0</v>
      </c>
      <c r="BZ65" s="55">
        <f t="shared" si="23"/>
        <v>1</v>
      </c>
      <c r="CA65" s="55"/>
    </row>
    <row r="66" spans="1:82" outlineLevel="1" x14ac:dyDescent="0.3">
      <c r="A66" s="10" t="s">
        <v>84</v>
      </c>
      <c r="B66" s="11" t="s">
        <v>119</v>
      </c>
      <c r="C66" s="109"/>
      <c r="D66" s="253"/>
      <c r="E66" s="109"/>
      <c r="F66" s="107">
        <f t="shared" si="1"/>
        <v>0</v>
      </c>
      <c r="G66" s="107"/>
      <c r="H66" s="109"/>
      <c r="I66" s="253"/>
      <c r="J66" s="109"/>
      <c r="K66" s="107">
        <f t="shared" si="2"/>
        <v>0</v>
      </c>
      <c r="L66" s="107"/>
      <c r="M66" s="109"/>
      <c r="N66" s="253"/>
      <c r="O66" s="109"/>
      <c r="P66" s="107">
        <f t="shared" si="3"/>
        <v>0</v>
      </c>
      <c r="Q66" s="107"/>
      <c r="R66" s="109"/>
      <c r="S66" s="253"/>
      <c r="T66" s="109"/>
      <c r="U66" s="107">
        <f t="shared" si="4"/>
        <v>0</v>
      </c>
      <c r="V66" s="107"/>
      <c r="W66" s="109"/>
      <c r="X66" s="253"/>
      <c r="Y66" s="109"/>
      <c r="Z66" s="107">
        <f t="shared" si="5"/>
        <v>0</v>
      </c>
      <c r="AA66" s="107"/>
      <c r="AB66" s="46"/>
      <c r="AC66" s="260"/>
      <c r="AD66" s="46"/>
      <c r="AE66" s="55">
        <f t="shared" si="6"/>
        <v>0</v>
      </c>
      <c r="AF66" s="55"/>
      <c r="AG66" s="46"/>
      <c r="AH66" s="260"/>
      <c r="AI66" s="46"/>
      <c r="AJ66" s="55">
        <f t="shared" si="7"/>
        <v>0</v>
      </c>
      <c r="AK66" s="55"/>
      <c r="AL66" s="46"/>
      <c r="AM66" s="260"/>
      <c r="AN66" s="46"/>
      <c r="AO66" s="55">
        <f t="shared" si="8"/>
        <v>0</v>
      </c>
      <c r="AP66" s="55"/>
      <c r="AQ66" s="46"/>
      <c r="AR66" s="260"/>
      <c r="AS66" s="46"/>
      <c r="AT66" s="55">
        <f t="shared" si="9"/>
        <v>0</v>
      </c>
      <c r="AU66" s="55"/>
      <c r="AV66" s="46"/>
      <c r="AW66" s="260"/>
      <c r="AX66" s="46"/>
      <c r="AY66" s="55">
        <f t="shared" si="10"/>
        <v>0</v>
      </c>
      <c r="AZ66" s="55"/>
      <c r="BA66" s="46">
        <v>0</v>
      </c>
      <c r="BB66" s="46">
        <v>0</v>
      </c>
      <c r="BC66" s="46">
        <v>0</v>
      </c>
      <c r="BD66" s="55">
        <f t="shared" si="11"/>
        <v>0</v>
      </c>
      <c r="BE66" s="55"/>
      <c r="BF66" s="46">
        <v>0</v>
      </c>
      <c r="BG66" s="46">
        <v>0</v>
      </c>
      <c r="BH66" s="46">
        <v>0</v>
      </c>
      <c r="BI66" s="55">
        <f t="shared" si="12"/>
        <v>0</v>
      </c>
      <c r="BJ66" s="55"/>
      <c r="BK66" s="15">
        <f t="shared" si="86"/>
        <v>0</v>
      </c>
      <c r="BL66" s="259">
        <f t="shared" si="87"/>
        <v>0</v>
      </c>
      <c r="BM66" s="15">
        <f t="shared" si="14"/>
        <v>0</v>
      </c>
      <c r="BN66" s="55">
        <f t="shared" si="88"/>
        <v>0</v>
      </c>
      <c r="BO66" s="55"/>
      <c r="BQ66" s="15">
        <f t="shared" si="16"/>
        <v>0</v>
      </c>
      <c r="BR66" s="15">
        <f t="shared" si="17"/>
        <v>0</v>
      </c>
      <c r="BS66" s="15">
        <f t="shared" si="18"/>
        <v>0</v>
      </c>
      <c r="BT66" s="55">
        <f t="shared" si="19"/>
        <v>0</v>
      </c>
      <c r="BU66" s="55"/>
      <c r="BW66" s="15">
        <f t="shared" si="20"/>
        <v>0</v>
      </c>
      <c r="BX66" s="15">
        <f t="shared" si="21"/>
        <v>0</v>
      </c>
      <c r="BY66" s="15">
        <f t="shared" si="22"/>
        <v>0</v>
      </c>
      <c r="BZ66" s="55">
        <f t="shared" si="23"/>
        <v>0</v>
      </c>
      <c r="CA66" s="55"/>
    </row>
    <row r="67" spans="1:82" outlineLevel="1" x14ac:dyDescent="0.3">
      <c r="A67" s="10" t="s">
        <v>84</v>
      </c>
      <c r="B67" s="11" t="s">
        <v>120</v>
      </c>
      <c r="C67" s="109"/>
      <c r="D67" s="253"/>
      <c r="E67" s="109"/>
      <c r="F67" s="107">
        <f t="shared" si="1"/>
        <v>0</v>
      </c>
      <c r="G67" s="107"/>
      <c r="H67" s="109"/>
      <c r="I67" s="253"/>
      <c r="J67" s="109"/>
      <c r="K67" s="107">
        <f t="shared" si="2"/>
        <v>0</v>
      </c>
      <c r="L67" s="107"/>
      <c r="M67" s="109"/>
      <c r="N67" s="253"/>
      <c r="O67" s="109"/>
      <c r="P67" s="107">
        <f t="shared" si="3"/>
        <v>0</v>
      </c>
      <c r="Q67" s="107"/>
      <c r="R67" s="109"/>
      <c r="S67" s="253"/>
      <c r="T67" s="109"/>
      <c r="U67" s="107">
        <f t="shared" si="4"/>
        <v>0</v>
      </c>
      <c r="V67" s="107"/>
      <c r="W67" s="109"/>
      <c r="X67" s="253"/>
      <c r="Y67" s="109"/>
      <c r="Z67" s="107">
        <f t="shared" si="5"/>
        <v>0</v>
      </c>
      <c r="AA67" s="107"/>
      <c r="AB67" s="46"/>
      <c r="AC67" s="260"/>
      <c r="AD67" s="46"/>
      <c r="AE67" s="55">
        <f t="shared" si="6"/>
        <v>0</v>
      </c>
      <c r="AF67" s="55"/>
      <c r="AG67" s="46"/>
      <c r="AH67" s="260"/>
      <c r="AI67" s="46"/>
      <c r="AJ67" s="55">
        <f t="shared" si="7"/>
        <v>0</v>
      </c>
      <c r="AK67" s="55"/>
      <c r="AL67" s="46"/>
      <c r="AM67" s="260"/>
      <c r="AN67" s="46"/>
      <c r="AO67" s="55">
        <f t="shared" si="8"/>
        <v>0</v>
      </c>
      <c r="AP67" s="55"/>
      <c r="AQ67" s="46"/>
      <c r="AR67" s="260"/>
      <c r="AS67" s="46"/>
      <c r="AT67" s="55">
        <f t="shared" si="9"/>
        <v>0</v>
      </c>
      <c r="AU67" s="55"/>
      <c r="AV67" s="46"/>
      <c r="AW67" s="260"/>
      <c r="AX67" s="46"/>
      <c r="AY67" s="55">
        <f t="shared" si="10"/>
        <v>0</v>
      </c>
      <c r="AZ67" s="55"/>
      <c r="BA67" s="46">
        <v>0</v>
      </c>
      <c r="BB67" s="46">
        <v>0</v>
      </c>
      <c r="BC67" s="46">
        <v>0</v>
      </c>
      <c r="BD67" s="55">
        <f t="shared" si="11"/>
        <v>0</v>
      </c>
      <c r="BE67" s="55"/>
      <c r="BF67" s="46">
        <v>0</v>
      </c>
      <c r="BG67" s="46">
        <v>0</v>
      </c>
      <c r="BH67" s="46">
        <v>0</v>
      </c>
      <c r="BI67" s="55">
        <f t="shared" si="12"/>
        <v>0</v>
      </c>
      <c r="BJ67" s="55"/>
      <c r="BK67" s="15">
        <f t="shared" si="86"/>
        <v>0</v>
      </c>
      <c r="BL67" s="259">
        <f t="shared" si="87"/>
        <v>0</v>
      </c>
      <c r="BM67" s="15">
        <f t="shared" si="14"/>
        <v>0</v>
      </c>
      <c r="BN67" s="55">
        <f t="shared" si="88"/>
        <v>0</v>
      </c>
      <c r="BO67" s="55"/>
      <c r="BQ67" s="15">
        <f t="shared" si="16"/>
        <v>0</v>
      </c>
      <c r="BR67" s="15">
        <f t="shared" si="17"/>
        <v>0</v>
      </c>
      <c r="BS67" s="15">
        <f t="shared" si="18"/>
        <v>0</v>
      </c>
      <c r="BT67" s="55">
        <f t="shared" si="19"/>
        <v>0</v>
      </c>
      <c r="BU67" s="55"/>
      <c r="BW67" s="15">
        <f t="shared" si="20"/>
        <v>0</v>
      </c>
      <c r="BX67" s="15">
        <f t="shared" si="21"/>
        <v>0</v>
      </c>
      <c r="BY67" s="15">
        <f t="shared" si="22"/>
        <v>0</v>
      </c>
      <c r="BZ67" s="55">
        <f t="shared" si="23"/>
        <v>0</v>
      </c>
      <c r="CA67" s="55"/>
    </row>
    <row r="68" spans="1:82" outlineLevel="1" x14ac:dyDescent="0.3">
      <c r="A68" s="10" t="s">
        <v>84</v>
      </c>
      <c r="B68" s="11" t="s">
        <v>92</v>
      </c>
      <c r="C68" s="109"/>
      <c r="D68" s="253"/>
      <c r="E68" s="109"/>
      <c r="F68" s="107">
        <f t="shared" si="1"/>
        <v>0</v>
      </c>
      <c r="G68" s="107"/>
      <c r="H68" s="109"/>
      <c r="I68" s="253"/>
      <c r="J68" s="109"/>
      <c r="K68" s="107">
        <f t="shared" si="2"/>
        <v>0</v>
      </c>
      <c r="L68" s="107"/>
      <c r="M68" s="109"/>
      <c r="N68" s="253"/>
      <c r="O68" s="109"/>
      <c r="P68" s="107">
        <f t="shared" si="3"/>
        <v>0</v>
      </c>
      <c r="Q68" s="107"/>
      <c r="R68" s="109"/>
      <c r="S68" s="253"/>
      <c r="T68" s="109"/>
      <c r="U68" s="107">
        <f t="shared" si="4"/>
        <v>0</v>
      </c>
      <c r="V68" s="107"/>
      <c r="W68" s="109"/>
      <c r="X68" s="253"/>
      <c r="Y68" s="109"/>
      <c r="Z68" s="107">
        <f t="shared" si="5"/>
        <v>0</v>
      </c>
      <c r="AA68" s="107"/>
      <c r="AB68" s="46"/>
      <c r="AC68" s="260"/>
      <c r="AD68" s="46"/>
      <c r="AE68" s="55">
        <f t="shared" si="6"/>
        <v>0</v>
      </c>
      <c r="AF68" s="55"/>
      <c r="AG68" s="46"/>
      <c r="AH68" s="260"/>
      <c r="AI68" s="46"/>
      <c r="AJ68" s="55">
        <f t="shared" si="7"/>
        <v>0</v>
      </c>
      <c r="AK68" s="55"/>
      <c r="AL68" s="46"/>
      <c r="AM68" s="260"/>
      <c r="AN68" s="46"/>
      <c r="AO68" s="55">
        <f t="shared" si="8"/>
        <v>0</v>
      </c>
      <c r="AP68" s="55"/>
      <c r="AQ68" s="46"/>
      <c r="AR68" s="260"/>
      <c r="AS68" s="46"/>
      <c r="AT68" s="55">
        <f t="shared" si="9"/>
        <v>0</v>
      </c>
      <c r="AU68" s="55"/>
      <c r="AV68" s="46"/>
      <c r="AW68" s="260"/>
      <c r="AX68" s="46"/>
      <c r="AY68" s="55">
        <f t="shared" si="10"/>
        <v>0</v>
      </c>
      <c r="AZ68" s="55"/>
      <c r="BA68" s="46">
        <v>0</v>
      </c>
      <c r="BB68" s="46">
        <v>0</v>
      </c>
      <c r="BC68" s="46">
        <v>0</v>
      </c>
      <c r="BD68" s="55">
        <f t="shared" si="11"/>
        <v>0</v>
      </c>
      <c r="BE68" s="55"/>
      <c r="BF68" s="46">
        <v>0</v>
      </c>
      <c r="BG68" s="46">
        <v>0</v>
      </c>
      <c r="BH68" s="46">
        <v>0</v>
      </c>
      <c r="BI68" s="55">
        <f t="shared" si="12"/>
        <v>0</v>
      </c>
      <c r="BJ68" s="55"/>
      <c r="BK68" s="15">
        <f t="shared" si="86"/>
        <v>0</v>
      </c>
      <c r="BL68" s="259">
        <f t="shared" si="87"/>
        <v>0</v>
      </c>
      <c r="BM68" s="15">
        <f t="shared" si="14"/>
        <v>0</v>
      </c>
      <c r="BN68" s="55">
        <f t="shared" si="88"/>
        <v>0</v>
      </c>
      <c r="BO68" s="55"/>
      <c r="BQ68" s="15">
        <f t="shared" si="16"/>
        <v>0</v>
      </c>
      <c r="BR68" s="15">
        <f t="shared" si="17"/>
        <v>0</v>
      </c>
      <c r="BS68" s="15">
        <f t="shared" si="18"/>
        <v>0</v>
      </c>
      <c r="BT68" s="55">
        <f t="shared" si="19"/>
        <v>0</v>
      </c>
      <c r="BU68" s="55"/>
      <c r="BW68" s="15">
        <f t="shared" si="20"/>
        <v>0</v>
      </c>
      <c r="BX68" s="15">
        <f t="shared" si="21"/>
        <v>0</v>
      </c>
      <c r="BY68" s="15">
        <f t="shared" si="22"/>
        <v>0</v>
      </c>
      <c r="BZ68" s="55">
        <f t="shared" si="23"/>
        <v>0</v>
      </c>
      <c r="CA68" s="55"/>
    </row>
    <row r="69" spans="1:82" s="19" customFormat="1" x14ac:dyDescent="0.3">
      <c r="A69" s="333" t="s">
        <v>93</v>
      </c>
      <c r="B69" s="334"/>
      <c r="C69" s="110">
        <f>SUM(C61:C68)</f>
        <v>1</v>
      </c>
      <c r="D69" s="254">
        <f t="shared" ref="D69:E69" si="129">SUM(D61:D68)</f>
        <v>23</v>
      </c>
      <c r="E69" s="110">
        <f t="shared" si="129"/>
        <v>3</v>
      </c>
      <c r="F69" s="107">
        <f t="shared" si="1"/>
        <v>4</v>
      </c>
      <c r="G69" s="107"/>
      <c r="H69" s="110">
        <f>SUM(H61:H68)</f>
        <v>0</v>
      </c>
      <c r="I69" s="254">
        <f t="shared" ref="I69" si="130">SUM(I61:I68)</f>
        <v>0</v>
      </c>
      <c r="J69" s="110">
        <f t="shared" ref="J69" si="131">SUM(J61:J68)</f>
        <v>2</v>
      </c>
      <c r="K69" s="107">
        <f t="shared" si="2"/>
        <v>2</v>
      </c>
      <c r="L69" s="107"/>
      <c r="M69" s="110">
        <f>SUM(M61:M68)</f>
        <v>0</v>
      </c>
      <c r="N69" s="254">
        <f t="shared" ref="N69" si="132">SUM(N61:N68)</f>
        <v>0</v>
      </c>
      <c r="O69" s="110">
        <f t="shared" ref="O69" si="133">SUM(O61:O68)</f>
        <v>2</v>
      </c>
      <c r="P69" s="107">
        <f t="shared" si="3"/>
        <v>2</v>
      </c>
      <c r="Q69" s="107"/>
      <c r="R69" s="110">
        <f>SUM(R61:R68)</f>
        <v>1</v>
      </c>
      <c r="S69" s="254">
        <f t="shared" ref="S69" si="134">SUM(S61:S68)</f>
        <v>14</v>
      </c>
      <c r="T69" s="110">
        <f t="shared" ref="T69" si="135">SUM(T61:T68)</f>
        <v>3</v>
      </c>
      <c r="U69" s="107">
        <f t="shared" si="4"/>
        <v>4</v>
      </c>
      <c r="V69" s="107"/>
      <c r="W69" s="110">
        <f>SUM(W61:W68)</f>
        <v>0</v>
      </c>
      <c r="X69" s="254">
        <f t="shared" ref="X69" si="136">SUM(X61:X68)</f>
        <v>0</v>
      </c>
      <c r="Y69" s="110">
        <f t="shared" ref="Y69" si="137">SUM(Y61:Y68)</f>
        <v>2</v>
      </c>
      <c r="Z69" s="107">
        <f t="shared" si="5"/>
        <v>2</v>
      </c>
      <c r="AA69" s="107"/>
      <c r="AB69" s="49">
        <f>SUM(AB61:AB68)</f>
        <v>1</v>
      </c>
      <c r="AC69" s="258">
        <f>SUM(AC61:AC68)</f>
        <v>1</v>
      </c>
      <c r="AD69" s="49">
        <f>SUM(AD61:AD68)</f>
        <v>0</v>
      </c>
      <c r="AE69" s="55">
        <f t="shared" si="6"/>
        <v>1</v>
      </c>
      <c r="AF69" s="55"/>
      <c r="AG69" s="49">
        <f>SUM(AG61:AG68)</f>
        <v>1</v>
      </c>
      <c r="AH69" s="258">
        <f>SUM(AH61:AH68)</f>
        <v>29</v>
      </c>
      <c r="AI69" s="49">
        <f>SUM(AI61:AI68)</f>
        <v>1</v>
      </c>
      <c r="AJ69" s="55">
        <f t="shared" si="7"/>
        <v>2</v>
      </c>
      <c r="AK69" s="55"/>
      <c r="AL69" s="49">
        <f>SUM(AL61:AL68)</f>
        <v>0</v>
      </c>
      <c r="AM69" s="258">
        <f>SUM(AM61:AM68)</f>
        <v>0</v>
      </c>
      <c r="AN69" s="49">
        <f>SUM(AN61:AN68)</f>
        <v>3</v>
      </c>
      <c r="AO69" s="55">
        <f t="shared" si="8"/>
        <v>3</v>
      </c>
      <c r="AP69" s="55"/>
      <c r="AQ69" s="49">
        <f>SUM(AQ61:AQ68)</f>
        <v>1</v>
      </c>
      <c r="AR69" s="258">
        <f>SUM(AR61:AR68)</f>
        <v>2</v>
      </c>
      <c r="AS69" s="49">
        <f>SUM(AS61:AS68)</f>
        <v>2</v>
      </c>
      <c r="AT69" s="55">
        <f t="shared" si="9"/>
        <v>3</v>
      </c>
      <c r="AU69" s="55"/>
      <c r="AV69" s="49">
        <f>SUM(AV61:AV68)</f>
        <v>1</v>
      </c>
      <c r="AW69" s="258">
        <f>SUM(AW61:AW68)</f>
        <v>5</v>
      </c>
      <c r="AX69" s="49">
        <f>SUM(AX61:AX68)</f>
        <v>1</v>
      </c>
      <c r="AY69" s="55">
        <f t="shared" si="10"/>
        <v>2</v>
      </c>
      <c r="AZ69" s="55"/>
      <c r="BA69" s="49">
        <f>SUM(BA61:BA68)</f>
        <v>0</v>
      </c>
      <c r="BB69" s="258">
        <f>SUM(BB61:BB68)</f>
        <v>0</v>
      </c>
      <c r="BC69" s="49">
        <f>SUM(BC61:BC68)</f>
        <v>0</v>
      </c>
      <c r="BD69" s="55">
        <f t="shared" si="11"/>
        <v>0</v>
      </c>
      <c r="BE69" s="55"/>
      <c r="BF69" s="49">
        <f>SUM(BF61:BF68)</f>
        <v>0</v>
      </c>
      <c r="BG69" s="258">
        <f>SUM(BG61:BG68)</f>
        <v>0</v>
      </c>
      <c r="BH69" s="49">
        <f>SUM(BH61:BH68)</f>
        <v>0</v>
      </c>
      <c r="BI69" s="55">
        <f t="shared" si="12"/>
        <v>0</v>
      </c>
      <c r="BJ69" s="55"/>
      <c r="BK69" s="15">
        <f t="shared" si="86"/>
        <v>6</v>
      </c>
      <c r="BL69" s="259">
        <f t="shared" si="87"/>
        <v>74</v>
      </c>
      <c r="BM69" s="15">
        <f t="shared" si="14"/>
        <v>19</v>
      </c>
      <c r="BN69" s="55">
        <f t="shared" si="88"/>
        <v>25</v>
      </c>
      <c r="BO69" s="55"/>
      <c r="BQ69" s="15">
        <f t="shared" si="16"/>
        <v>1</v>
      </c>
      <c r="BR69" s="15">
        <f t="shared" si="17"/>
        <v>23</v>
      </c>
      <c r="BS69" s="15">
        <f t="shared" si="18"/>
        <v>7</v>
      </c>
      <c r="BT69" s="55">
        <f t="shared" si="19"/>
        <v>8</v>
      </c>
      <c r="BU69" s="55"/>
      <c r="BW69" s="15">
        <f t="shared" si="20"/>
        <v>2</v>
      </c>
      <c r="BX69" s="15">
        <f t="shared" si="21"/>
        <v>15</v>
      </c>
      <c r="BY69" s="15">
        <f t="shared" si="22"/>
        <v>5</v>
      </c>
      <c r="BZ69" s="55">
        <f t="shared" si="23"/>
        <v>7</v>
      </c>
      <c r="CA69" s="55"/>
    </row>
    <row r="70" spans="1:82" s="24" customFormat="1" x14ac:dyDescent="0.3">
      <c r="A70" s="345" t="s">
        <v>94</v>
      </c>
      <c r="B70" s="346"/>
      <c r="C70" s="206">
        <f>C69+C60</f>
        <v>5</v>
      </c>
      <c r="D70" s="254">
        <f t="shared" ref="D70:E70" si="138">D69+D60</f>
        <v>406</v>
      </c>
      <c r="E70" s="206">
        <f t="shared" si="138"/>
        <v>15</v>
      </c>
      <c r="F70" s="207">
        <f t="shared" si="1"/>
        <v>20</v>
      </c>
      <c r="G70" s="207"/>
      <c r="H70" s="206">
        <f>H69+H60</f>
        <v>5</v>
      </c>
      <c r="I70" s="254">
        <f t="shared" ref="I70" si="139">I69+I60</f>
        <v>75</v>
      </c>
      <c r="J70" s="206">
        <f t="shared" ref="J70" si="140">J69+J60</f>
        <v>17</v>
      </c>
      <c r="K70" s="207">
        <f t="shared" si="2"/>
        <v>22</v>
      </c>
      <c r="L70" s="207"/>
      <c r="M70" s="206">
        <f>M69+M60</f>
        <v>4</v>
      </c>
      <c r="N70" s="254">
        <f t="shared" ref="N70" si="141">N69+N60</f>
        <v>211</v>
      </c>
      <c r="O70" s="206">
        <f t="shared" ref="O70" si="142">O69+O60</f>
        <v>15</v>
      </c>
      <c r="P70" s="207">
        <f t="shared" si="3"/>
        <v>19</v>
      </c>
      <c r="Q70" s="207"/>
      <c r="R70" s="206">
        <f>R69+R60</f>
        <v>6</v>
      </c>
      <c r="S70" s="254">
        <f t="shared" ref="S70" si="143">S69+S60</f>
        <v>176</v>
      </c>
      <c r="T70" s="206">
        <f t="shared" ref="T70" si="144">T69+T60</f>
        <v>24</v>
      </c>
      <c r="U70" s="207">
        <f t="shared" si="4"/>
        <v>30</v>
      </c>
      <c r="V70" s="207"/>
      <c r="W70" s="206">
        <f>W69+W60</f>
        <v>4</v>
      </c>
      <c r="X70" s="254">
        <f t="shared" ref="X70" si="145">X69+X60</f>
        <v>35</v>
      </c>
      <c r="Y70" s="206">
        <f t="shared" ref="Y70" si="146">Y69+Y60</f>
        <v>17</v>
      </c>
      <c r="Z70" s="207">
        <f t="shared" si="5"/>
        <v>21</v>
      </c>
      <c r="AA70" s="207"/>
      <c r="AB70" s="208">
        <f>AB69+AB60</f>
        <v>6</v>
      </c>
      <c r="AC70" s="258">
        <f>AC69+AC60</f>
        <v>264</v>
      </c>
      <c r="AD70" s="208">
        <f>AD69+AD60</f>
        <v>15</v>
      </c>
      <c r="AE70" s="209">
        <f t="shared" si="6"/>
        <v>21</v>
      </c>
      <c r="AF70" s="209"/>
      <c r="AG70" s="208">
        <f>AG69+AG60</f>
        <v>7</v>
      </c>
      <c r="AH70" s="258">
        <f>AH69+AH60</f>
        <v>231</v>
      </c>
      <c r="AI70" s="208">
        <f>AI69+AI60</f>
        <v>19</v>
      </c>
      <c r="AJ70" s="209">
        <f t="shared" si="7"/>
        <v>26</v>
      </c>
      <c r="AK70" s="209"/>
      <c r="AL70" s="208">
        <f>AL69+AL60</f>
        <v>6</v>
      </c>
      <c r="AM70" s="258">
        <f>AM69+AM60</f>
        <v>274</v>
      </c>
      <c r="AN70" s="208">
        <f>AN69+AN60</f>
        <v>25</v>
      </c>
      <c r="AO70" s="209">
        <f t="shared" si="8"/>
        <v>31</v>
      </c>
      <c r="AP70" s="209"/>
      <c r="AQ70" s="208">
        <f>AQ69+AQ60</f>
        <v>14</v>
      </c>
      <c r="AR70" s="258">
        <f>AR69+AR60</f>
        <v>173</v>
      </c>
      <c r="AS70" s="208">
        <f>AS69+AS60</f>
        <v>21</v>
      </c>
      <c r="AT70" s="209">
        <f t="shared" si="9"/>
        <v>35</v>
      </c>
      <c r="AU70" s="209"/>
      <c r="AV70" s="208">
        <f>AV69+AV60</f>
        <v>8</v>
      </c>
      <c r="AW70" s="258">
        <f>AW69+AW60</f>
        <v>57</v>
      </c>
      <c r="AX70" s="208">
        <f>AX69+AX60</f>
        <v>17</v>
      </c>
      <c r="AY70" s="209">
        <f t="shared" si="10"/>
        <v>25</v>
      </c>
      <c r="AZ70" s="209"/>
      <c r="BA70" s="208">
        <f>BA69+BA60</f>
        <v>6</v>
      </c>
      <c r="BB70" s="258">
        <f>BB69+BB60</f>
        <v>50</v>
      </c>
      <c r="BC70" s="208">
        <f>BC69+BC60</f>
        <v>16</v>
      </c>
      <c r="BD70" s="209">
        <f t="shared" si="11"/>
        <v>22</v>
      </c>
      <c r="BE70" s="209"/>
      <c r="BF70" s="208">
        <f>BF69+BF60</f>
        <v>4</v>
      </c>
      <c r="BG70" s="258">
        <f>BG69+BG60</f>
        <v>27</v>
      </c>
      <c r="BH70" s="208">
        <f>BH69+BH60</f>
        <v>12</v>
      </c>
      <c r="BI70" s="209">
        <f t="shared" si="12"/>
        <v>16</v>
      </c>
      <c r="BJ70" s="209"/>
      <c r="BK70" s="210">
        <f>SUM(BF70,BA70,AV70,AQ70,AL70,AG70,AB70,W70,R70,M70,H70,C70)</f>
        <v>75</v>
      </c>
      <c r="BL70" s="259">
        <f>SUM(BG70,BB70,AW70,AR70,AM70,AH70,AC70,X70,S70,N70,I70,D70)</f>
        <v>1979</v>
      </c>
      <c r="BM70" s="210">
        <f t="shared" si="14"/>
        <v>213</v>
      </c>
      <c r="BN70" s="209">
        <f t="shared" ref="BN70:BN79" si="147">SUM(BI70,BD70,AY70,AT70,AO70,AJ70,AE70,Z70,U70,P70,K70,F70)</f>
        <v>288</v>
      </c>
      <c r="BO70" s="209"/>
      <c r="BP70" s="297">
        <f>+BL70-73</f>
        <v>1906</v>
      </c>
      <c r="BQ70" s="210">
        <f t="shared" ref="BQ70:BQ79" si="148">C70+H70+M70</f>
        <v>14</v>
      </c>
      <c r="BR70" s="210">
        <f t="shared" ref="BR70:BR79" si="149">D70+I70+N70</f>
        <v>692</v>
      </c>
      <c r="BS70" s="210">
        <f t="shared" ref="BS70:BS79" si="150">E70+J70+O70</f>
        <v>47</v>
      </c>
      <c r="BT70" s="209">
        <f t="shared" ref="BT70:BT79" si="151">BQ70+BS70</f>
        <v>61</v>
      </c>
      <c r="BU70" s="209"/>
      <c r="BW70" s="210">
        <f t="shared" ref="BW70:BW79" si="152">R70+W70+AB70</f>
        <v>16</v>
      </c>
      <c r="BX70" s="210">
        <f t="shared" ref="BX70:BX79" si="153">S70+X70+AC70</f>
        <v>475</v>
      </c>
      <c r="BY70" s="210">
        <f t="shared" ref="BY70:BY79" si="154">T70+Y70+AD70</f>
        <v>56</v>
      </c>
      <c r="BZ70" s="209">
        <f t="shared" ref="BZ70:BZ79" si="155">BW70+BY70</f>
        <v>72</v>
      </c>
      <c r="CA70" s="209"/>
      <c r="CC70" s="24" t="s">
        <v>130</v>
      </c>
      <c r="CD70" s="310">
        <f>AVERAGE(BF70,BA70,AV70,AQ70,AL70,AG70,AB70,W70,R70,M70,H70,C70)</f>
        <v>6.25</v>
      </c>
    </row>
    <row r="71" spans="1:82" outlineLevel="1" x14ac:dyDescent="0.3">
      <c r="A71" s="10" t="s">
        <v>95</v>
      </c>
      <c r="B71" s="4" t="s">
        <v>96</v>
      </c>
      <c r="C71" s="109"/>
      <c r="D71" s="253"/>
      <c r="E71" s="109"/>
      <c r="F71" s="107">
        <f t="shared" ref="F71:F79" si="156">C71+E71</f>
        <v>0</v>
      </c>
      <c r="G71" s="107"/>
      <c r="H71" s="109"/>
      <c r="I71" s="253"/>
      <c r="J71" s="109"/>
      <c r="K71" s="107">
        <f t="shared" ref="K71:K79" si="157">H71+J71</f>
        <v>0</v>
      </c>
      <c r="L71" s="107"/>
      <c r="M71" s="109"/>
      <c r="N71" s="253"/>
      <c r="O71" s="109"/>
      <c r="P71" s="107">
        <f t="shared" ref="P71:P79" si="158">M71+O71</f>
        <v>0</v>
      </c>
      <c r="Q71" s="107"/>
      <c r="R71" s="109">
        <v>1</v>
      </c>
      <c r="S71" s="253">
        <v>60</v>
      </c>
      <c r="T71" s="109"/>
      <c r="U71" s="107">
        <f t="shared" ref="U71:U79" si="159">R71+T71</f>
        <v>1</v>
      </c>
      <c r="V71" s="107"/>
      <c r="W71" s="109">
        <v>0</v>
      </c>
      <c r="X71" s="253">
        <v>0</v>
      </c>
      <c r="Y71" s="109">
        <v>0</v>
      </c>
      <c r="Z71" s="107">
        <f t="shared" ref="Z71:Z79" si="160">W71+Y71</f>
        <v>0</v>
      </c>
      <c r="AA71" s="107"/>
      <c r="AB71" s="46">
        <v>0</v>
      </c>
      <c r="AC71" s="260">
        <v>0</v>
      </c>
      <c r="AD71" s="46">
        <v>0</v>
      </c>
      <c r="AE71" s="55">
        <f t="shared" ref="AE71:AE79" si="161">AB71+AD71</f>
        <v>0</v>
      </c>
      <c r="AF71" s="55"/>
      <c r="AG71" s="46"/>
      <c r="AH71" s="260"/>
      <c r="AI71" s="46"/>
      <c r="AJ71" s="55">
        <f t="shared" ref="AJ71:AJ79" si="162">AG71+AI71</f>
        <v>0</v>
      </c>
      <c r="AK71" s="55"/>
      <c r="AL71" s="46"/>
      <c r="AM71" s="260"/>
      <c r="AN71" s="46"/>
      <c r="AO71" s="55">
        <f t="shared" ref="AO71:AO79" si="163">AL71+AN71</f>
        <v>0</v>
      </c>
      <c r="AP71" s="55"/>
      <c r="AQ71" s="46"/>
      <c r="AR71" s="260"/>
      <c r="AS71" s="46"/>
      <c r="AT71" s="55">
        <f t="shared" ref="AT71:AT79" si="164">AQ71+AS71</f>
        <v>0</v>
      </c>
      <c r="AU71" s="55"/>
      <c r="AV71" s="46"/>
      <c r="AW71" s="260"/>
      <c r="AX71" s="46"/>
      <c r="AY71" s="55">
        <f t="shared" ref="AY71:AY79" si="165">AV71+AX71</f>
        <v>0</v>
      </c>
      <c r="AZ71" s="55"/>
      <c r="BA71" s="46"/>
      <c r="BB71" s="46"/>
      <c r="BC71" s="46"/>
      <c r="BD71" s="55">
        <f t="shared" ref="BD71:BD79" si="166">BA71+BC71</f>
        <v>0</v>
      </c>
      <c r="BE71" s="55"/>
      <c r="BF71" s="46"/>
      <c r="BG71" s="46"/>
      <c r="BH71" s="46"/>
      <c r="BI71" s="55">
        <f t="shared" ref="BI71:BI79" si="167">BF71+BH71</f>
        <v>0</v>
      </c>
      <c r="BJ71" s="55"/>
      <c r="BK71" s="15">
        <f t="shared" ref="BK71:BK79" si="168">SUM(BF71,BA71,AV71,AQ71,AL71,AG71,AB71,W71,R71,M71,H71,C71)</f>
        <v>1</v>
      </c>
      <c r="BL71" s="259">
        <f t="shared" ref="BL71:BL77" si="169">SUM(BG71,BB71,AW71,AR71,AM71,AH71,AC71,X71,S71,N71,I71,D71)</f>
        <v>60</v>
      </c>
      <c r="BM71" s="15">
        <f t="shared" ref="BM71:BM79" si="170">SUM(BH71,BC71,AX71,AS71,AN71,AI71,AD71,Y71,T71,O71,J71,E71)</f>
        <v>0</v>
      </c>
      <c r="BN71" s="55">
        <f t="shared" si="147"/>
        <v>1</v>
      </c>
      <c r="BO71" s="55"/>
      <c r="BP71">
        <f>+BP70*1000000</f>
        <v>1906000000</v>
      </c>
      <c r="BQ71" s="15">
        <f t="shared" si="148"/>
        <v>0</v>
      </c>
      <c r="BR71" s="15">
        <f t="shared" si="149"/>
        <v>0</v>
      </c>
      <c r="BS71" s="15">
        <f t="shared" si="150"/>
        <v>0</v>
      </c>
      <c r="BT71" s="55">
        <f t="shared" si="151"/>
        <v>0</v>
      </c>
      <c r="BU71" s="55"/>
      <c r="BW71" s="15">
        <f t="shared" si="152"/>
        <v>1</v>
      </c>
      <c r="BX71" s="15">
        <f t="shared" si="153"/>
        <v>60</v>
      </c>
      <c r="BY71" s="15">
        <f t="shared" si="154"/>
        <v>0</v>
      </c>
      <c r="BZ71" s="55">
        <f t="shared" si="155"/>
        <v>1</v>
      </c>
      <c r="CA71" s="55"/>
      <c r="CC71" t="s">
        <v>131</v>
      </c>
    </row>
    <row r="72" spans="1:82" outlineLevel="1" x14ac:dyDescent="0.3">
      <c r="A72" s="10" t="s">
        <v>95</v>
      </c>
      <c r="B72" s="13" t="s">
        <v>97</v>
      </c>
      <c r="C72" s="109"/>
      <c r="D72" s="253"/>
      <c r="E72" s="109"/>
      <c r="F72" s="107">
        <f t="shared" si="156"/>
        <v>0</v>
      </c>
      <c r="G72" s="107"/>
      <c r="H72" s="109"/>
      <c r="I72" s="253"/>
      <c r="J72" s="109"/>
      <c r="K72" s="107">
        <f t="shared" si="157"/>
        <v>0</v>
      </c>
      <c r="L72" s="107"/>
      <c r="M72" s="109"/>
      <c r="N72" s="253"/>
      <c r="O72" s="109"/>
      <c r="P72" s="107">
        <f t="shared" si="158"/>
        <v>0</v>
      </c>
      <c r="Q72" s="107"/>
      <c r="R72" s="109"/>
      <c r="S72" s="253"/>
      <c r="T72" s="109"/>
      <c r="U72" s="107">
        <f t="shared" si="159"/>
        <v>0</v>
      </c>
      <c r="V72" s="107"/>
      <c r="W72" s="109">
        <v>0</v>
      </c>
      <c r="X72" s="253">
        <v>0</v>
      </c>
      <c r="Y72" s="109">
        <v>0</v>
      </c>
      <c r="Z72" s="107">
        <f t="shared" si="160"/>
        <v>0</v>
      </c>
      <c r="AA72" s="107"/>
      <c r="AB72" s="46">
        <v>0</v>
      </c>
      <c r="AC72" s="260">
        <v>0</v>
      </c>
      <c r="AD72" s="46">
        <v>0</v>
      </c>
      <c r="AE72" s="55">
        <f t="shared" si="161"/>
        <v>0</v>
      </c>
      <c r="AF72" s="55"/>
      <c r="AG72" s="46"/>
      <c r="AH72" s="260"/>
      <c r="AI72" s="46"/>
      <c r="AJ72" s="55">
        <f t="shared" si="162"/>
        <v>0</v>
      </c>
      <c r="AK72" s="55"/>
      <c r="AL72" s="46"/>
      <c r="AM72" s="260"/>
      <c r="AN72" s="46"/>
      <c r="AO72" s="55">
        <f t="shared" si="163"/>
        <v>0</v>
      </c>
      <c r="AP72" s="55"/>
      <c r="AQ72" s="46"/>
      <c r="AR72" s="260"/>
      <c r="AS72" s="46"/>
      <c r="AT72" s="55">
        <f t="shared" si="164"/>
        <v>0</v>
      </c>
      <c r="AU72" s="55"/>
      <c r="AV72" s="46"/>
      <c r="AW72" s="260"/>
      <c r="AX72" s="46"/>
      <c r="AY72" s="55">
        <f t="shared" si="165"/>
        <v>0</v>
      </c>
      <c r="AZ72" s="55"/>
      <c r="BA72" s="46"/>
      <c r="BB72" s="46"/>
      <c r="BC72" s="46"/>
      <c r="BD72" s="55">
        <f t="shared" si="166"/>
        <v>0</v>
      </c>
      <c r="BE72" s="55"/>
      <c r="BF72" s="46"/>
      <c r="BG72" s="46"/>
      <c r="BH72" s="46"/>
      <c r="BI72" s="55">
        <f t="shared" si="167"/>
        <v>0</v>
      </c>
      <c r="BJ72" s="55"/>
      <c r="BK72" s="15">
        <f t="shared" si="168"/>
        <v>0</v>
      </c>
      <c r="BL72" s="259">
        <f t="shared" si="169"/>
        <v>0</v>
      </c>
      <c r="BM72" s="15">
        <f t="shared" si="170"/>
        <v>0</v>
      </c>
      <c r="BN72" s="55">
        <f t="shared" si="147"/>
        <v>0</v>
      </c>
      <c r="BO72" s="55"/>
      <c r="BP72">
        <v>27265047.109665625</v>
      </c>
      <c r="BQ72" s="15">
        <f t="shared" si="148"/>
        <v>0</v>
      </c>
      <c r="BR72" s="15">
        <f t="shared" si="149"/>
        <v>0</v>
      </c>
      <c r="BS72" s="15">
        <f t="shared" si="150"/>
        <v>0</v>
      </c>
      <c r="BT72" s="55">
        <f t="shared" si="151"/>
        <v>0</v>
      </c>
      <c r="BU72" s="55"/>
      <c r="BW72" s="15">
        <f t="shared" si="152"/>
        <v>0</v>
      </c>
      <c r="BX72" s="15">
        <f t="shared" si="153"/>
        <v>0</v>
      </c>
      <c r="BY72" s="15">
        <f t="shared" si="154"/>
        <v>0</v>
      </c>
      <c r="BZ72" s="55">
        <f t="shared" si="155"/>
        <v>0</v>
      </c>
      <c r="CA72" s="55"/>
    </row>
    <row r="73" spans="1:82" outlineLevel="1" x14ac:dyDescent="0.3">
      <c r="A73" s="10" t="s">
        <v>95</v>
      </c>
      <c r="B73" s="4" t="s">
        <v>98</v>
      </c>
      <c r="C73" s="109">
        <v>1</v>
      </c>
      <c r="D73" s="253">
        <v>9</v>
      </c>
      <c r="E73" s="109"/>
      <c r="F73" s="107">
        <f t="shared" si="156"/>
        <v>1</v>
      </c>
      <c r="G73" s="107"/>
      <c r="H73" s="109"/>
      <c r="I73" s="253"/>
      <c r="J73" s="109"/>
      <c r="K73" s="107">
        <f t="shared" si="157"/>
        <v>0</v>
      </c>
      <c r="L73" s="107"/>
      <c r="M73" s="109"/>
      <c r="N73" s="253"/>
      <c r="O73" s="109"/>
      <c r="P73" s="107">
        <f t="shared" si="158"/>
        <v>0</v>
      </c>
      <c r="Q73" s="107"/>
      <c r="R73" s="109"/>
      <c r="S73" s="253"/>
      <c r="T73" s="109"/>
      <c r="U73" s="107">
        <f t="shared" si="159"/>
        <v>0</v>
      </c>
      <c r="V73" s="107"/>
      <c r="W73" s="109">
        <v>0</v>
      </c>
      <c r="X73" s="253">
        <v>0</v>
      </c>
      <c r="Y73" s="109">
        <v>0</v>
      </c>
      <c r="Z73" s="107">
        <f t="shared" si="160"/>
        <v>0</v>
      </c>
      <c r="AA73" s="107"/>
      <c r="AB73" s="46">
        <v>0</v>
      </c>
      <c r="AC73" s="260">
        <v>0</v>
      </c>
      <c r="AD73" s="46">
        <v>0</v>
      </c>
      <c r="AE73" s="55">
        <f t="shared" si="161"/>
        <v>0</v>
      </c>
      <c r="AF73" s="55"/>
      <c r="AG73" s="46"/>
      <c r="AH73" s="260"/>
      <c r="AI73" s="46"/>
      <c r="AJ73" s="55">
        <f t="shared" si="162"/>
        <v>0</v>
      </c>
      <c r="AK73" s="55"/>
      <c r="AL73" s="46"/>
      <c r="AM73" s="260"/>
      <c r="AN73" s="46"/>
      <c r="AO73" s="55">
        <f t="shared" si="163"/>
        <v>0</v>
      </c>
      <c r="AP73" s="55"/>
      <c r="AQ73" s="46"/>
      <c r="AR73" s="260"/>
      <c r="AS73" s="46"/>
      <c r="AT73" s="55">
        <f t="shared" si="164"/>
        <v>0</v>
      </c>
      <c r="AU73" s="55"/>
      <c r="AV73" s="46"/>
      <c r="AW73" s="260"/>
      <c r="AX73" s="46"/>
      <c r="AY73" s="55">
        <f t="shared" si="165"/>
        <v>0</v>
      </c>
      <c r="AZ73" s="55"/>
      <c r="BA73" s="46"/>
      <c r="BB73" s="46"/>
      <c r="BC73" s="46"/>
      <c r="BD73" s="55">
        <f t="shared" si="166"/>
        <v>0</v>
      </c>
      <c r="BE73" s="55"/>
      <c r="BF73" s="46"/>
      <c r="BG73" s="46"/>
      <c r="BH73" s="46"/>
      <c r="BI73" s="55">
        <f t="shared" si="167"/>
        <v>0</v>
      </c>
      <c r="BJ73" s="55"/>
      <c r="BK73" s="15">
        <f t="shared" si="168"/>
        <v>1</v>
      </c>
      <c r="BL73" s="259">
        <f t="shared" si="169"/>
        <v>9</v>
      </c>
      <c r="BM73" s="15">
        <f t="shared" si="170"/>
        <v>0</v>
      </c>
      <c r="BN73" s="55">
        <f t="shared" si="147"/>
        <v>1</v>
      </c>
      <c r="BO73" s="55"/>
      <c r="BP73" s="298">
        <f>+BP71/BP72</f>
        <v>69.906352713555791</v>
      </c>
      <c r="BQ73" s="15">
        <f t="shared" si="148"/>
        <v>1</v>
      </c>
      <c r="BR73" s="15">
        <f t="shared" si="149"/>
        <v>9</v>
      </c>
      <c r="BS73" s="15">
        <f t="shared" si="150"/>
        <v>0</v>
      </c>
      <c r="BT73" s="55">
        <f t="shared" si="151"/>
        <v>1</v>
      </c>
      <c r="BU73" s="55"/>
      <c r="BW73" s="15">
        <f t="shared" si="152"/>
        <v>0</v>
      </c>
      <c r="BX73" s="15">
        <f t="shared" si="153"/>
        <v>0</v>
      </c>
      <c r="BY73" s="15">
        <f t="shared" si="154"/>
        <v>0</v>
      </c>
      <c r="BZ73" s="55">
        <f t="shared" si="155"/>
        <v>0</v>
      </c>
      <c r="CA73" s="55"/>
    </row>
    <row r="74" spans="1:82" outlineLevel="1" x14ac:dyDescent="0.3">
      <c r="A74" s="10" t="s">
        <v>95</v>
      </c>
      <c r="B74" s="13" t="s">
        <v>99</v>
      </c>
      <c r="C74" s="109"/>
      <c r="D74" s="253"/>
      <c r="E74" s="109"/>
      <c r="F74" s="107">
        <f t="shared" si="156"/>
        <v>0</v>
      </c>
      <c r="G74" s="107"/>
      <c r="H74" s="109"/>
      <c r="I74" s="253"/>
      <c r="J74" s="109"/>
      <c r="K74" s="107">
        <f t="shared" si="157"/>
        <v>0</v>
      </c>
      <c r="L74" s="107"/>
      <c r="M74" s="109"/>
      <c r="N74" s="253"/>
      <c r="O74" s="109"/>
      <c r="P74" s="107">
        <f t="shared" si="158"/>
        <v>0</v>
      </c>
      <c r="Q74" s="107"/>
      <c r="R74" s="109"/>
      <c r="S74" s="253"/>
      <c r="T74" s="109"/>
      <c r="U74" s="107">
        <f t="shared" si="159"/>
        <v>0</v>
      </c>
      <c r="V74" s="107"/>
      <c r="W74" s="109">
        <v>0</v>
      </c>
      <c r="X74" s="253">
        <v>0</v>
      </c>
      <c r="Y74" s="109">
        <v>0</v>
      </c>
      <c r="Z74" s="107">
        <f t="shared" si="160"/>
        <v>0</v>
      </c>
      <c r="AA74" s="107"/>
      <c r="AB74" s="46">
        <v>0</v>
      </c>
      <c r="AC74" s="260">
        <v>0</v>
      </c>
      <c r="AD74" s="46">
        <v>0</v>
      </c>
      <c r="AE74" s="55">
        <f t="shared" si="161"/>
        <v>0</v>
      </c>
      <c r="AF74" s="55"/>
      <c r="AG74" s="46"/>
      <c r="AH74" s="260"/>
      <c r="AI74" s="46"/>
      <c r="AJ74" s="55">
        <f t="shared" si="162"/>
        <v>0</v>
      </c>
      <c r="AK74" s="55"/>
      <c r="AL74" s="46"/>
      <c r="AM74" s="260"/>
      <c r="AN74" s="46"/>
      <c r="AO74" s="55">
        <f t="shared" si="163"/>
        <v>0</v>
      </c>
      <c r="AP74" s="55"/>
      <c r="AQ74" s="46"/>
      <c r="AR74" s="260"/>
      <c r="AS74" s="46"/>
      <c r="AT74" s="55">
        <f t="shared" si="164"/>
        <v>0</v>
      </c>
      <c r="AU74" s="55"/>
      <c r="AV74" s="46"/>
      <c r="AW74" s="260"/>
      <c r="AX74" s="46"/>
      <c r="AY74" s="55">
        <f t="shared" si="165"/>
        <v>0</v>
      </c>
      <c r="AZ74" s="55"/>
      <c r="BA74" s="46"/>
      <c r="BB74" s="46"/>
      <c r="BC74" s="46"/>
      <c r="BD74" s="55">
        <f t="shared" si="166"/>
        <v>0</v>
      </c>
      <c r="BE74" s="55"/>
      <c r="BF74" s="46"/>
      <c r="BG74" s="46"/>
      <c r="BH74" s="46"/>
      <c r="BI74" s="55">
        <f t="shared" si="167"/>
        <v>0</v>
      </c>
      <c r="BJ74" s="55"/>
      <c r="BK74" s="15">
        <f t="shared" si="168"/>
        <v>0</v>
      </c>
      <c r="BL74" s="259">
        <f t="shared" si="169"/>
        <v>0</v>
      </c>
      <c r="BM74" s="15">
        <f t="shared" si="170"/>
        <v>0</v>
      </c>
      <c r="BN74" s="55">
        <f t="shared" si="147"/>
        <v>0</v>
      </c>
      <c r="BO74" s="55"/>
      <c r="BQ74" s="15">
        <f t="shared" si="148"/>
        <v>0</v>
      </c>
      <c r="BR74" s="15">
        <f t="shared" si="149"/>
        <v>0</v>
      </c>
      <c r="BS74" s="15">
        <f t="shared" si="150"/>
        <v>0</v>
      </c>
      <c r="BT74" s="55">
        <f t="shared" si="151"/>
        <v>0</v>
      </c>
      <c r="BU74" s="55"/>
      <c r="BW74" s="15">
        <f t="shared" si="152"/>
        <v>0</v>
      </c>
      <c r="BX74" s="15">
        <f t="shared" si="153"/>
        <v>0</v>
      </c>
      <c r="BY74" s="15">
        <f t="shared" si="154"/>
        <v>0</v>
      </c>
      <c r="BZ74" s="55">
        <f t="shared" si="155"/>
        <v>0</v>
      </c>
      <c r="CA74" s="55"/>
    </row>
    <row r="75" spans="1:82" outlineLevel="1" x14ac:dyDescent="0.3">
      <c r="A75" s="10" t="s">
        <v>95</v>
      </c>
      <c r="B75" s="13" t="s">
        <v>100</v>
      </c>
      <c r="C75" s="109">
        <v>1</v>
      </c>
      <c r="D75" s="253">
        <v>3</v>
      </c>
      <c r="E75" s="109"/>
      <c r="F75" s="107">
        <f t="shared" si="156"/>
        <v>1</v>
      </c>
      <c r="G75" s="107"/>
      <c r="H75" s="109">
        <v>1</v>
      </c>
      <c r="I75" s="253">
        <v>30</v>
      </c>
      <c r="J75" s="109"/>
      <c r="K75" s="107">
        <f t="shared" si="157"/>
        <v>1</v>
      </c>
      <c r="L75" s="107"/>
      <c r="M75" s="109"/>
      <c r="N75" s="253"/>
      <c r="O75" s="109"/>
      <c r="P75" s="107">
        <f t="shared" si="158"/>
        <v>0</v>
      </c>
      <c r="Q75" s="107"/>
      <c r="R75" s="109"/>
      <c r="S75" s="253"/>
      <c r="T75" s="109"/>
      <c r="U75" s="107">
        <f t="shared" si="159"/>
        <v>0</v>
      </c>
      <c r="V75" s="107"/>
      <c r="W75" s="109">
        <v>0</v>
      </c>
      <c r="X75" s="253">
        <v>0</v>
      </c>
      <c r="Y75" s="109">
        <v>0</v>
      </c>
      <c r="Z75" s="107">
        <f t="shared" si="160"/>
        <v>0</v>
      </c>
      <c r="AA75" s="107"/>
      <c r="AB75" s="46">
        <v>0</v>
      </c>
      <c r="AC75" s="260">
        <v>0</v>
      </c>
      <c r="AD75" s="46">
        <v>0</v>
      </c>
      <c r="AE75" s="55">
        <f t="shared" si="161"/>
        <v>0</v>
      </c>
      <c r="AF75" s="55"/>
      <c r="AG75" s="46"/>
      <c r="AH75" s="260"/>
      <c r="AI75" s="46"/>
      <c r="AJ75" s="55">
        <f t="shared" si="162"/>
        <v>0</v>
      </c>
      <c r="AK75" s="55"/>
      <c r="AL75" s="46"/>
      <c r="AM75" s="260"/>
      <c r="AN75" s="46"/>
      <c r="AO75" s="55">
        <f t="shared" si="163"/>
        <v>0</v>
      </c>
      <c r="AP75" s="55"/>
      <c r="AQ75" s="46"/>
      <c r="AR75" s="260"/>
      <c r="AS75" s="46"/>
      <c r="AT75" s="55">
        <f t="shared" si="164"/>
        <v>0</v>
      </c>
      <c r="AU75" s="55"/>
      <c r="AV75" s="46"/>
      <c r="AW75" s="260"/>
      <c r="AX75" s="46"/>
      <c r="AY75" s="55">
        <f t="shared" si="165"/>
        <v>0</v>
      </c>
      <c r="AZ75" s="55"/>
      <c r="BA75" s="46"/>
      <c r="BB75" s="46"/>
      <c r="BC75" s="46"/>
      <c r="BD75" s="55">
        <f t="shared" si="166"/>
        <v>0</v>
      </c>
      <c r="BE75" s="55"/>
      <c r="BF75" s="46"/>
      <c r="BG75" s="46"/>
      <c r="BH75" s="46"/>
      <c r="BI75" s="55">
        <f t="shared" si="167"/>
        <v>0</v>
      </c>
      <c r="BJ75" s="55"/>
      <c r="BK75" s="15">
        <f t="shared" si="168"/>
        <v>2</v>
      </c>
      <c r="BL75" s="259">
        <f t="shared" si="169"/>
        <v>33</v>
      </c>
      <c r="BM75" s="15">
        <f t="shared" si="170"/>
        <v>0</v>
      </c>
      <c r="BN75" s="55">
        <f t="shared" si="147"/>
        <v>2</v>
      </c>
      <c r="BO75" s="55"/>
      <c r="BQ75" s="15">
        <f t="shared" si="148"/>
        <v>2</v>
      </c>
      <c r="BR75" s="15">
        <f t="shared" si="149"/>
        <v>33</v>
      </c>
      <c r="BS75" s="15">
        <f t="shared" si="150"/>
        <v>0</v>
      </c>
      <c r="BT75" s="55">
        <f t="shared" si="151"/>
        <v>2</v>
      </c>
      <c r="BU75" s="55"/>
      <c r="BW75" s="15">
        <f t="shared" si="152"/>
        <v>0</v>
      </c>
      <c r="BX75" s="15">
        <f t="shared" si="153"/>
        <v>0</v>
      </c>
      <c r="BY75" s="15">
        <f t="shared" si="154"/>
        <v>0</v>
      </c>
      <c r="BZ75" s="55">
        <f t="shared" si="155"/>
        <v>0</v>
      </c>
      <c r="CA75" s="55"/>
    </row>
    <row r="76" spans="1:82" outlineLevel="1" x14ac:dyDescent="0.3">
      <c r="A76" s="10" t="s">
        <v>95</v>
      </c>
      <c r="B76" s="14" t="s">
        <v>101</v>
      </c>
      <c r="C76" s="109">
        <f>SUM(C74:C75)</f>
        <v>1</v>
      </c>
      <c r="D76" s="253">
        <f t="shared" ref="D76:E76" si="171">SUM(D74:D75)</f>
        <v>3</v>
      </c>
      <c r="E76" s="109">
        <f t="shared" si="171"/>
        <v>0</v>
      </c>
      <c r="F76" s="107">
        <f t="shared" si="156"/>
        <v>1</v>
      </c>
      <c r="G76" s="107"/>
      <c r="H76" s="109">
        <f>SUM(H74:H75)</f>
        <v>1</v>
      </c>
      <c r="I76" s="253">
        <f t="shared" ref="I76" si="172">SUM(I74:I75)</f>
        <v>30</v>
      </c>
      <c r="J76" s="109">
        <f t="shared" ref="J76" si="173">SUM(J74:J75)</f>
        <v>0</v>
      </c>
      <c r="K76" s="107">
        <f t="shared" si="157"/>
        <v>1</v>
      </c>
      <c r="L76" s="107"/>
      <c r="M76" s="109">
        <f>SUM(M74:M75)</f>
        <v>0</v>
      </c>
      <c r="N76" s="253">
        <f t="shared" ref="N76" si="174">SUM(N74:N75)</f>
        <v>0</v>
      </c>
      <c r="O76" s="109">
        <f t="shared" ref="O76" si="175">SUM(O74:O75)</f>
        <v>0</v>
      </c>
      <c r="P76" s="107">
        <f t="shared" si="158"/>
        <v>0</v>
      </c>
      <c r="Q76" s="107"/>
      <c r="R76" s="109">
        <f>SUM(R74:R75)</f>
        <v>0</v>
      </c>
      <c r="S76" s="253">
        <f t="shared" ref="S76" si="176">SUM(S74:S75)</f>
        <v>0</v>
      </c>
      <c r="T76" s="109">
        <f t="shared" ref="T76" si="177">SUM(T74:T75)</f>
        <v>0</v>
      </c>
      <c r="U76" s="107">
        <f t="shared" si="159"/>
        <v>0</v>
      </c>
      <c r="V76" s="107"/>
      <c r="W76" s="109">
        <f>SUM(W74:W75)</f>
        <v>0</v>
      </c>
      <c r="X76" s="253">
        <f t="shared" ref="X76" si="178">SUM(X74:X75)</f>
        <v>0</v>
      </c>
      <c r="Y76" s="109">
        <f t="shared" ref="Y76" si="179">SUM(Y74:Y75)</f>
        <v>0</v>
      </c>
      <c r="Z76" s="107">
        <f t="shared" si="160"/>
        <v>0</v>
      </c>
      <c r="AA76" s="107"/>
      <c r="AB76" s="46">
        <v>0</v>
      </c>
      <c r="AC76" s="260">
        <v>0</v>
      </c>
      <c r="AD76" s="46">
        <v>0</v>
      </c>
      <c r="AE76" s="55">
        <f t="shared" si="161"/>
        <v>0</v>
      </c>
      <c r="AF76" s="55"/>
      <c r="AG76" s="46">
        <v>0</v>
      </c>
      <c r="AH76" s="260">
        <v>0</v>
      </c>
      <c r="AI76" s="46">
        <v>0</v>
      </c>
      <c r="AJ76" s="55">
        <f t="shared" si="162"/>
        <v>0</v>
      </c>
      <c r="AK76" s="55"/>
      <c r="AL76" s="46"/>
      <c r="AM76" s="260"/>
      <c r="AN76" s="46"/>
      <c r="AO76" s="55">
        <f t="shared" si="163"/>
        <v>0</v>
      </c>
      <c r="AP76" s="55"/>
      <c r="AQ76" s="46"/>
      <c r="AR76" s="260"/>
      <c r="AS76" s="46"/>
      <c r="AT76" s="55">
        <f t="shared" si="164"/>
        <v>0</v>
      </c>
      <c r="AU76" s="55"/>
      <c r="AV76" s="46"/>
      <c r="AW76" s="260"/>
      <c r="AX76" s="46"/>
      <c r="AY76" s="55">
        <f t="shared" si="165"/>
        <v>0</v>
      </c>
      <c r="AZ76" s="55"/>
      <c r="BA76" s="46"/>
      <c r="BB76" s="46"/>
      <c r="BC76" s="46"/>
      <c r="BD76" s="55">
        <f t="shared" si="166"/>
        <v>0</v>
      </c>
      <c r="BE76" s="55"/>
      <c r="BF76" s="46"/>
      <c r="BG76" s="46"/>
      <c r="BH76" s="46"/>
      <c r="BI76" s="55">
        <f t="shared" si="167"/>
        <v>0</v>
      </c>
      <c r="BJ76" s="55"/>
      <c r="BK76" s="15">
        <f t="shared" si="168"/>
        <v>2</v>
      </c>
      <c r="BL76" s="259">
        <f t="shared" si="169"/>
        <v>33</v>
      </c>
      <c r="BM76" s="15">
        <f t="shared" si="170"/>
        <v>0</v>
      </c>
      <c r="BN76" s="55">
        <f t="shared" si="147"/>
        <v>2</v>
      </c>
      <c r="BO76" s="55"/>
      <c r="BQ76" s="15">
        <f t="shared" si="148"/>
        <v>2</v>
      </c>
      <c r="BR76" s="15">
        <f t="shared" si="149"/>
        <v>33</v>
      </c>
      <c r="BS76" s="15">
        <f t="shared" si="150"/>
        <v>0</v>
      </c>
      <c r="BT76" s="55">
        <f t="shared" si="151"/>
        <v>2</v>
      </c>
      <c r="BU76" s="55"/>
      <c r="BW76" s="15">
        <f t="shared" si="152"/>
        <v>0</v>
      </c>
      <c r="BX76" s="15">
        <f t="shared" si="153"/>
        <v>0</v>
      </c>
      <c r="BY76" s="15">
        <f t="shared" si="154"/>
        <v>0</v>
      </c>
      <c r="BZ76" s="55">
        <f t="shared" si="155"/>
        <v>0</v>
      </c>
      <c r="CA76" s="55"/>
    </row>
    <row r="77" spans="1:82" s="19" customFormat="1" x14ac:dyDescent="0.3">
      <c r="A77" s="329" t="s">
        <v>102</v>
      </c>
      <c r="B77" s="330"/>
      <c r="C77" s="111">
        <f>C71+C72+C73+C76</f>
        <v>2</v>
      </c>
      <c r="D77" s="253">
        <f t="shared" ref="D77:E77" si="180">D71+D72+D73+D76</f>
        <v>12</v>
      </c>
      <c r="E77" s="111">
        <f t="shared" si="180"/>
        <v>0</v>
      </c>
      <c r="F77" s="107">
        <f t="shared" si="156"/>
        <v>2</v>
      </c>
      <c r="G77" s="107"/>
      <c r="H77" s="111">
        <f>H71+H72+H73+H76</f>
        <v>1</v>
      </c>
      <c r="I77" s="253">
        <f t="shared" ref="I77" si="181">I71+I72+I73+I76</f>
        <v>30</v>
      </c>
      <c r="J77" s="111">
        <f t="shared" ref="J77" si="182">J71+J72+J73+J76</f>
        <v>0</v>
      </c>
      <c r="K77" s="107">
        <f t="shared" si="157"/>
        <v>1</v>
      </c>
      <c r="L77" s="107"/>
      <c r="M77" s="111">
        <f>M71+M72+M73+M76</f>
        <v>0</v>
      </c>
      <c r="N77" s="253">
        <f t="shared" ref="N77" si="183">N71+N72+N73+N76</f>
        <v>0</v>
      </c>
      <c r="O77" s="111">
        <f t="shared" ref="O77" si="184">O71+O72+O73+O76</f>
        <v>0</v>
      </c>
      <c r="P77" s="107">
        <f t="shared" si="158"/>
        <v>0</v>
      </c>
      <c r="Q77" s="107"/>
      <c r="R77" s="111">
        <f>R71+R72+R73+R76</f>
        <v>1</v>
      </c>
      <c r="S77" s="253">
        <f t="shared" ref="S77" si="185">S71+S72+S73+S76</f>
        <v>60</v>
      </c>
      <c r="T77" s="111">
        <f t="shared" ref="T77" si="186">T71+T72+T73+T76</f>
        <v>0</v>
      </c>
      <c r="U77" s="107">
        <f t="shared" si="159"/>
        <v>1</v>
      </c>
      <c r="V77" s="107"/>
      <c r="W77" s="111">
        <f>W71+W72+W73+W76</f>
        <v>0</v>
      </c>
      <c r="X77" s="253">
        <f t="shared" ref="X77" si="187">X71+X72+X73+X76</f>
        <v>0</v>
      </c>
      <c r="Y77" s="111">
        <f t="shared" ref="Y77" si="188">Y71+Y72+Y73+Y76</f>
        <v>0</v>
      </c>
      <c r="Z77" s="107">
        <f t="shared" si="160"/>
        <v>0</v>
      </c>
      <c r="AA77" s="107"/>
      <c r="AB77" s="54">
        <f>AB71+AB72+AB73+AB76</f>
        <v>0</v>
      </c>
      <c r="AC77" s="260">
        <f>AC71+AC72+AC73+AC76</f>
        <v>0</v>
      </c>
      <c r="AD77" s="54">
        <f>AD71+AD72+AD73+AD76</f>
        <v>0</v>
      </c>
      <c r="AE77" s="55">
        <f t="shared" si="161"/>
        <v>0</v>
      </c>
      <c r="AF77" s="55"/>
      <c r="AG77" s="54">
        <f>AG71+AG72+AG73+AG76</f>
        <v>0</v>
      </c>
      <c r="AH77" s="260">
        <f>AH71+AH72+AH73+AH76</f>
        <v>0</v>
      </c>
      <c r="AI77" s="54">
        <f>AI71+AI72+AI73+AI76</f>
        <v>0</v>
      </c>
      <c r="AJ77" s="55">
        <f t="shared" si="162"/>
        <v>0</v>
      </c>
      <c r="AK77" s="55"/>
      <c r="AL77" s="54"/>
      <c r="AM77" s="260"/>
      <c r="AN77" s="54"/>
      <c r="AO77" s="55">
        <f t="shared" si="163"/>
        <v>0</v>
      </c>
      <c r="AP77" s="55"/>
      <c r="AQ77" s="54"/>
      <c r="AR77" s="260"/>
      <c r="AS77" s="54"/>
      <c r="AT77" s="55">
        <f t="shared" si="164"/>
        <v>0</v>
      </c>
      <c r="AU77" s="55"/>
      <c r="AV77" s="54"/>
      <c r="AW77" s="260"/>
      <c r="AX77" s="54"/>
      <c r="AY77" s="55">
        <f t="shared" si="165"/>
        <v>0</v>
      </c>
      <c r="AZ77" s="55"/>
      <c r="BA77" s="54"/>
      <c r="BB77" s="54"/>
      <c r="BC77" s="54"/>
      <c r="BD77" s="55">
        <f t="shared" si="166"/>
        <v>0</v>
      </c>
      <c r="BE77" s="55"/>
      <c r="BF77" s="54"/>
      <c r="BG77" s="54"/>
      <c r="BH77" s="54"/>
      <c r="BI77" s="55">
        <f t="shared" si="167"/>
        <v>0</v>
      </c>
      <c r="BJ77" s="55"/>
      <c r="BK77" s="15">
        <f t="shared" si="168"/>
        <v>4</v>
      </c>
      <c r="BL77" s="259">
        <f t="shared" si="169"/>
        <v>102</v>
      </c>
      <c r="BM77" s="15">
        <f t="shared" si="170"/>
        <v>0</v>
      </c>
      <c r="BN77" s="55">
        <f t="shared" si="147"/>
        <v>4</v>
      </c>
      <c r="BO77" s="55"/>
      <c r="BQ77" s="15">
        <f t="shared" si="148"/>
        <v>3</v>
      </c>
      <c r="BR77" s="15">
        <f t="shared" si="149"/>
        <v>42</v>
      </c>
      <c r="BS77" s="15">
        <f t="shared" si="150"/>
        <v>0</v>
      </c>
      <c r="BT77" s="55">
        <f t="shared" si="151"/>
        <v>3</v>
      </c>
      <c r="BU77" s="55"/>
      <c r="BW77" s="15">
        <f t="shared" si="152"/>
        <v>1</v>
      </c>
      <c r="BX77" s="15">
        <f t="shared" si="153"/>
        <v>60</v>
      </c>
      <c r="BY77" s="15">
        <f t="shared" si="154"/>
        <v>0</v>
      </c>
      <c r="BZ77" s="55">
        <f t="shared" si="155"/>
        <v>1</v>
      </c>
      <c r="CA77" s="55"/>
    </row>
    <row r="78" spans="1:82" s="19" customFormat="1" x14ac:dyDescent="0.3">
      <c r="A78" s="240"/>
      <c r="B78" s="241" t="s">
        <v>103</v>
      </c>
      <c r="C78" s="95"/>
      <c r="D78" s="251"/>
      <c r="E78" s="95"/>
      <c r="F78" s="107"/>
      <c r="G78" s="107"/>
      <c r="H78" s="109"/>
      <c r="I78" s="251"/>
      <c r="J78" s="109"/>
      <c r="K78" s="107"/>
      <c r="L78" s="107"/>
      <c r="M78" s="109"/>
      <c r="N78" s="251"/>
      <c r="O78" s="109"/>
      <c r="P78" s="107"/>
      <c r="Q78" s="107"/>
      <c r="R78" s="109"/>
      <c r="S78" s="251"/>
      <c r="T78" s="109"/>
      <c r="U78" s="107"/>
      <c r="V78" s="107"/>
      <c r="W78" s="109"/>
      <c r="X78" s="251"/>
      <c r="Y78" s="109"/>
      <c r="Z78" s="107"/>
      <c r="AA78" s="107"/>
      <c r="AB78" s="46"/>
      <c r="AC78" s="252"/>
      <c r="AD78" s="46"/>
      <c r="AE78" s="55"/>
      <c r="AF78" s="55"/>
      <c r="AG78" s="46"/>
      <c r="AH78" s="252"/>
      <c r="AI78" s="46"/>
      <c r="AJ78" s="55"/>
      <c r="AK78" s="55"/>
      <c r="AL78" s="46"/>
      <c r="AM78" s="252"/>
      <c r="AN78" s="46"/>
      <c r="AO78" s="55"/>
      <c r="AP78" s="55"/>
      <c r="AQ78" s="46"/>
      <c r="AR78" s="252"/>
      <c r="AS78" s="46"/>
      <c r="AT78" s="55"/>
      <c r="AU78" s="55"/>
      <c r="AV78" s="46">
        <v>1</v>
      </c>
      <c r="AW78" s="252">
        <v>18</v>
      </c>
      <c r="AX78" s="46"/>
      <c r="AY78" s="55">
        <f t="shared" si="165"/>
        <v>1</v>
      </c>
      <c r="AZ78" s="55"/>
      <c r="BA78" s="46">
        <v>1</v>
      </c>
      <c r="BB78" s="16">
        <v>4</v>
      </c>
      <c r="BC78" s="46"/>
      <c r="BD78" s="55"/>
      <c r="BE78" s="55"/>
      <c r="BF78" s="46"/>
      <c r="BG78" s="16"/>
      <c r="BH78" s="46"/>
      <c r="BI78" s="55"/>
      <c r="BJ78" s="55"/>
      <c r="BK78" s="15">
        <f t="shared" si="168"/>
        <v>2</v>
      </c>
      <c r="BL78" s="259">
        <f>SUM(BG78,BB78,AW78,AR78,AM78,AH78,AC78,X78,S78,N78,I78,D78)</f>
        <v>22</v>
      </c>
      <c r="BM78" s="15"/>
      <c r="BN78" s="55"/>
      <c r="BO78" s="55"/>
      <c r="BP78"/>
      <c r="BQ78" s="15"/>
      <c r="BR78" s="15"/>
      <c r="BS78" s="15"/>
      <c r="BT78" s="55"/>
      <c r="BU78" s="55"/>
      <c r="BV78"/>
      <c r="BW78" s="15"/>
      <c r="BX78" s="15"/>
      <c r="BY78" s="15"/>
      <c r="BZ78" s="55"/>
      <c r="CA78" s="55"/>
      <c r="CB78"/>
      <c r="CC78"/>
      <c r="CD78"/>
    </row>
    <row r="79" spans="1:82" s="32" customFormat="1" x14ac:dyDescent="0.3">
      <c r="A79" s="331" t="s">
        <v>116</v>
      </c>
      <c r="B79" s="332"/>
      <c r="C79" s="112">
        <f>C70+C77</f>
        <v>7</v>
      </c>
      <c r="D79" s="255">
        <f t="shared" ref="D79:E79" si="189">D70+D77</f>
        <v>418</v>
      </c>
      <c r="E79" s="112">
        <f t="shared" si="189"/>
        <v>15</v>
      </c>
      <c r="F79" s="107">
        <f t="shared" si="156"/>
        <v>22</v>
      </c>
      <c r="G79" s="107"/>
      <c r="H79" s="112">
        <f>H70+H77</f>
        <v>6</v>
      </c>
      <c r="I79" s="255">
        <f t="shared" ref="I79" si="190">I70+I77</f>
        <v>105</v>
      </c>
      <c r="J79" s="112">
        <f t="shared" ref="J79" si="191">J70+J77</f>
        <v>17</v>
      </c>
      <c r="K79" s="107">
        <f t="shared" si="157"/>
        <v>23</v>
      </c>
      <c r="L79" s="107"/>
      <c r="M79" s="112">
        <f>M70+M77</f>
        <v>4</v>
      </c>
      <c r="N79" s="255">
        <f t="shared" ref="N79" si="192">N70+N77</f>
        <v>211</v>
      </c>
      <c r="O79" s="112">
        <f t="shared" ref="O79" si="193">O70+O77</f>
        <v>15</v>
      </c>
      <c r="P79" s="107">
        <f t="shared" si="158"/>
        <v>19</v>
      </c>
      <c r="Q79" s="107"/>
      <c r="R79" s="112">
        <f>R70+R77</f>
        <v>7</v>
      </c>
      <c r="S79" s="255">
        <f t="shared" ref="S79" si="194">S70+S77</f>
        <v>236</v>
      </c>
      <c r="T79" s="112">
        <f t="shared" ref="T79" si="195">T70+T77</f>
        <v>24</v>
      </c>
      <c r="U79" s="107">
        <f t="shared" si="159"/>
        <v>31</v>
      </c>
      <c r="V79" s="107"/>
      <c r="W79" s="112">
        <f>W70+W77</f>
        <v>4</v>
      </c>
      <c r="X79" s="255">
        <f t="shared" ref="X79" si="196">X70+X77</f>
        <v>35</v>
      </c>
      <c r="Y79" s="112">
        <f t="shared" ref="Y79" si="197">Y70+Y77</f>
        <v>17</v>
      </c>
      <c r="Z79" s="107">
        <f t="shared" si="160"/>
        <v>21</v>
      </c>
      <c r="AA79" s="107"/>
      <c r="AB79" s="112">
        <f>AB70+AB77</f>
        <v>6</v>
      </c>
      <c r="AC79" s="255">
        <f>AC70+AC77</f>
        <v>264</v>
      </c>
      <c r="AD79" s="112">
        <f>AD70+AD77</f>
        <v>15</v>
      </c>
      <c r="AE79" s="55">
        <f t="shared" si="161"/>
        <v>21</v>
      </c>
      <c r="AF79" s="55"/>
      <c r="AG79" s="112">
        <f>AG70+AG77</f>
        <v>7</v>
      </c>
      <c r="AH79" s="255">
        <f>AH70+AH77</f>
        <v>231</v>
      </c>
      <c r="AI79" s="112">
        <f>AI70+AI77</f>
        <v>19</v>
      </c>
      <c r="AJ79" s="55">
        <f t="shared" si="162"/>
        <v>26</v>
      </c>
      <c r="AK79" s="55"/>
      <c r="AL79" s="112">
        <f>AL70+AL77</f>
        <v>6</v>
      </c>
      <c r="AM79" s="255">
        <f>AM70+AM77</f>
        <v>274</v>
      </c>
      <c r="AN79" s="112">
        <f>AN70+AN77</f>
        <v>25</v>
      </c>
      <c r="AO79" s="55">
        <f t="shared" si="163"/>
        <v>31</v>
      </c>
      <c r="AP79" s="55"/>
      <c r="AQ79" s="112">
        <f>AQ70+AQ77</f>
        <v>14</v>
      </c>
      <c r="AR79" s="255">
        <f>AR70+AR77</f>
        <v>173</v>
      </c>
      <c r="AS79" s="112">
        <f>AS70+AS77</f>
        <v>21</v>
      </c>
      <c r="AT79" s="55">
        <f t="shared" si="164"/>
        <v>35</v>
      </c>
      <c r="AU79" s="55"/>
      <c r="AV79" s="112">
        <f>AV70+AV77+AV78</f>
        <v>9</v>
      </c>
      <c r="AW79" s="273">
        <f>AW70+AW77+AW78</f>
        <v>75</v>
      </c>
      <c r="AX79" s="112">
        <f>AX70+AX77+AX78</f>
        <v>17</v>
      </c>
      <c r="AY79" s="55">
        <f t="shared" si="165"/>
        <v>26</v>
      </c>
      <c r="AZ79" s="55"/>
      <c r="BA79" s="112">
        <f>BA70+BA77+BA78</f>
        <v>7</v>
      </c>
      <c r="BB79" s="273">
        <f>BB70+BB77+BB78</f>
        <v>54</v>
      </c>
      <c r="BC79" s="112">
        <f>BC70+BC77+BC78</f>
        <v>16</v>
      </c>
      <c r="BD79" s="55">
        <f t="shared" si="166"/>
        <v>23</v>
      </c>
      <c r="BE79" s="55"/>
      <c r="BF79" s="112">
        <f>BF70+BF77+BF78</f>
        <v>4</v>
      </c>
      <c r="BG79" s="273">
        <f>BG70+BG77+BG78</f>
        <v>27</v>
      </c>
      <c r="BH79" s="112">
        <f>BH70+BH77+BH78</f>
        <v>12</v>
      </c>
      <c r="BI79" s="55">
        <f t="shared" si="167"/>
        <v>16</v>
      </c>
      <c r="BJ79" s="55"/>
      <c r="BK79" s="15">
        <f t="shared" si="168"/>
        <v>81</v>
      </c>
      <c r="BL79" s="259">
        <f>SUM(BG79,BB79,AW79,AR79,AM79,AH79,AC79,X79,S79,N79,I79,D79)</f>
        <v>2103</v>
      </c>
      <c r="BM79" s="15">
        <f t="shared" si="170"/>
        <v>213</v>
      </c>
      <c r="BN79" s="55">
        <f t="shared" si="147"/>
        <v>294</v>
      </c>
      <c r="BO79" s="55"/>
      <c r="BQ79" s="15">
        <f t="shared" si="148"/>
        <v>17</v>
      </c>
      <c r="BR79" s="15">
        <f t="shared" si="149"/>
        <v>734</v>
      </c>
      <c r="BS79" s="15">
        <f t="shared" si="150"/>
        <v>47</v>
      </c>
      <c r="BT79" s="55">
        <f t="shared" si="151"/>
        <v>64</v>
      </c>
      <c r="BU79" s="55"/>
      <c r="BW79" s="15">
        <f t="shared" si="152"/>
        <v>17</v>
      </c>
      <c r="BX79" s="15">
        <f t="shared" si="153"/>
        <v>535</v>
      </c>
      <c r="BY79" s="15">
        <f t="shared" si="154"/>
        <v>56</v>
      </c>
      <c r="BZ79" s="55">
        <f t="shared" si="155"/>
        <v>73</v>
      </c>
      <c r="CA79" s="55"/>
    </row>
    <row r="80" spans="1:82" x14ac:dyDescent="0.3">
      <c r="C80" s="113"/>
      <c r="D80" s="256"/>
      <c r="E80" s="113"/>
      <c r="F80" s="113"/>
      <c r="G80" s="113"/>
      <c r="H80" s="113"/>
      <c r="I80" s="256"/>
      <c r="J80" s="113"/>
      <c r="K80" s="113"/>
      <c r="L80" s="113"/>
      <c r="M80" s="113"/>
      <c r="N80" s="256"/>
      <c r="O80" s="113"/>
      <c r="P80" s="113"/>
      <c r="Q80" s="113"/>
      <c r="R80" s="113"/>
      <c r="S80" s="256"/>
      <c r="T80" s="113"/>
      <c r="U80" s="113"/>
      <c r="V80" s="113"/>
      <c r="W80" s="113"/>
      <c r="X80" s="256"/>
      <c r="Y80" s="113"/>
      <c r="Z80" s="113"/>
      <c r="AA80" s="113"/>
    </row>
    <row r="81" spans="1:79" x14ac:dyDescent="0.3">
      <c r="C81" s="113"/>
      <c r="D81" s="256"/>
      <c r="E81" s="113"/>
      <c r="F81" s="113"/>
      <c r="G81" s="113"/>
      <c r="H81" s="113"/>
      <c r="I81" s="256"/>
      <c r="J81" s="113"/>
      <c r="K81" s="113"/>
      <c r="L81" s="113"/>
      <c r="M81" s="113"/>
      <c r="N81" s="256"/>
      <c r="O81" s="113"/>
      <c r="P81" s="113"/>
      <c r="Q81" s="113"/>
      <c r="R81" s="113"/>
      <c r="S81" s="256"/>
      <c r="T81" s="113"/>
      <c r="U81" s="113"/>
      <c r="V81" s="113"/>
      <c r="W81" s="113"/>
      <c r="X81" s="256"/>
      <c r="Y81" s="113"/>
      <c r="Z81" s="113"/>
      <c r="AA81" s="113"/>
    </row>
    <row r="82" spans="1:79" x14ac:dyDescent="0.3">
      <c r="A82" s="17" t="s">
        <v>105</v>
      </c>
      <c r="B82" s="53" t="s">
        <v>106</v>
      </c>
      <c r="C82" s="114">
        <f>C12</f>
        <v>2</v>
      </c>
      <c r="D82" s="254">
        <f t="shared" ref="D82:G82" si="198">D12</f>
        <v>360</v>
      </c>
      <c r="E82" s="114">
        <f t="shared" si="198"/>
        <v>3</v>
      </c>
      <c r="F82" s="114">
        <f t="shared" si="198"/>
        <v>5</v>
      </c>
      <c r="G82" s="114">
        <f t="shared" si="198"/>
        <v>0</v>
      </c>
      <c r="H82" s="114">
        <f>H12</f>
        <v>2</v>
      </c>
      <c r="I82" s="254">
        <f t="shared" ref="I82:L82" si="199">I12</f>
        <v>32</v>
      </c>
      <c r="J82" s="114">
        <f t="shared" si="199"/>
        <v>0</v>
      </c>
      <c r="K82" s="114">
        <f t="shared" si="199"/>
        <v>2</v>
      </c>
      <c r="L82" s="114">
        <f t="shared" si="199"/>
        <v>0</v>
      </c>
      <c r="M82" s="114">
        <f>M12</f>
        <v>2</v>
      </c>
      <c r="N82" s="254">
        <f t="shared" ref="N82:Q82" si="200">N12</f>
        <v>14</v>
      </c>
      <c r="O82" s="114">
        <f t="shared" si="200"/>
        <v>5</v>
      </c>
      <c r="P82" s="114">
        <f t="shared" si="200"/>
        <v>7</v>
      </c>
      <c r="Q82" s="114">
        <f t="shared" si="200"/>
        <v>0</v>
      </c>
      <c r="R82" s="114">
        <f>R12</f>
        <v>1</v>
      </c>
      <c r="S82" s="254">
        <f t="shared" ref="S82:V82" si="201">S12</f>
        <v>119</v>
      </c>
      <c r="T82" s="114">
        <f t="shared" si="201"/>
        <v>5</v>
      </c>
      <c r="U82" s="114">
        <f t="shared" si="201"/>
        <v>6</v>
      </c>
      <c r="V82" s="114">
        <f t="shared" si="201"/>
        <v>0</v>
      </c>
      <c r="W82" s="114">
        <f>W12</f>
        <v>3</v>
      </c>
      <c r="X82" s="254">
        <f t="shared" ref="X82:AA82" si="202">X12</f>
        <v>15</v>
      </c>
      <c r="Y82" s="114">
        <f t="shared" si="202"/>
        <v>1</v>
      </c>
      <c r="Z82" s="114">
        <f t="shared" si="202"/>
        <v>4</v>
      </c>
      <c r="AA82" s="114">
        <f t="shared" si="202"/>
        <v>0</v>
      </c>
      <c r="AB82" s="47">
        <f>AB12</f>
        <v>1</v>
      </c>
      <c r="AC82" s="258">
        <f t="shared" ref="AC82:AF82" si="203">AC12</f>
        <v>26</v>
      </c>
      <c r="AD82" s="47">
        <f t="shared" si="203"/>
        <v>2</v>
      </c>
      <c r="AE82" s="47">
        <f t="shared" si="203"/>
        <v>3</v>
      </c>
      <c r="AF82" s="47">
        <f t="shared" si="203"/>
        <v>0</v>
      </c>
      <c r="AG82" s="47">
        <f>AG12</f>
        <v>0</v>
      </c>
      <c r="AH82" s="258">
        <f t="shared" ref="AH82:AK82" si="204">AH12</f>
        <v>0</v>
      </c>
      <c r="AI82" s="47">
        <f t="shared" si="204"/>
        <v>5</v>
      </c>
      <c r="AJ82" s="47">
        <f t="shared" si="204"/>
        <v>5</v>
      </c>
      <c r="AK82" s="47">
        <f t="shared" si="204"/>
        <v>0</v>
      </c>
      <c r="AL82" s="47">
        <f>AL12</f>
        <v>2</v>
      </c>
      <c r="AM82" s="258">
        <f t="shared" ref="AM82:AP82" si="205">AM12</f>
        <v>230</v>
      </c>
      <c r="AN82" s="47">
        <f t="shared" si="205"/>
        <v>4</v>
      </c>
      <c r="AO82" s="47">
        <f t="shared" si="205"/>
        <v>6</v>
      </c>
      <c r="AP82" s="47">
        <f t="shared" si="205"/>
        <v>0</v>
      </c>
      <c r="AQ82" s="47">
        <f>AQ12</f>
        <v>6</v>
      </c>
      <c r="AR82" s="258">
        <f t="shared" ref="AR82:AU82" si="206">AR12</f>
        <v>40</v>
      </c>
      <c r="AS82" s="47">
        <f t="shared" si="206"/>
        <v>5</v>
      </c>
      <c r="AT82" s="47">
        <f t="shared" si="206"/>
        <v>11</v>
      </c>
      <c r="AU82" s="47">
        <f t="shared" si="206"/>
        <v>0</v>
      </c>
      <c r="AV82" s="47">
        <f>AV12</f>
        <v>4</v>
      </c>
      <c r="AW82" s="258">
        <f t="shared" ref="AW82:AZ82" si="207">AW12</f>
        <v>40</v>
      </c>
      <c r="AX82" s="47">
        <f t="shared" si="207"/>
        <v>4</v>
      </c>
      <c r="AY82" s="47">
        <f t="shared" si="207"/>
        <v>8</v>
      </c>
      <c r="AZ82" s="47">
        <f t="shared" si="207"/>
        <v>0</v>
      </c>
      <c r="BA82" s="47">
        <f>BA12</f>
        <v>1</v>
      </c>
      <c r="BB82" s="47">
        <f t="shared" ref="BB82:BE82" si="208">BB12</f>
        <v>2</v>
      </c>
      <c r="BC82" s="47">
        <f t="shared" si="208"/>
        <v>5</v>
      </c>
      <c r="BD82" s="47">
        <f t="shared" si="208"/>
        <v>6</v>
      </c>
      <c r="BE82" s="47">
        <f t="shared" si="208"/>
        <v>0</v>
      </c>
      <c r="BF82" s="47">
        <f>BF12</f>
        <v>1</v>
      </c>
      <c r="BG82" s="47">
        <f t="shared" ref="BG82:BJ82" si="209">BG12</f>
        <v>1</v>
      </c>
      <c r="BH82" s="47">
        <f t="shared" si="209"/>
        <v>2</v>
      </c>
      <c r="BI82" s="47">
        <f t="shared" si="209"/>
        <v>3</v>
      </c>
      <c r="BJ82" s="47">
        <f t="shared" si="209"/>
        <v>0</v>
      </c>
      <c r="BK82" s="47">
        <f>BK12</f>
        <v>25</v>
      </c>
      <c r="BL82" s="258">
        <f t="shared" ref="BL82:BO82" si="210">BL12</f>
        <v>879</v>
      </c>
      <c r="BM82" s="47">
        <f t="shared" si="210"/>
        <v>41</v>
      </c>
      <c r="BN82" s="47">
        <f t="shared" si="210"/>
        <v>66</v>
      </c>
      <c r="BO82" s="47">
        <f t="shared" si="210"/>
        <v>0</v>
      </c>
      <c r="BQ82" s="47">
        <f>BQ12</f>
        <v>6</v>
      </c>
      <c r="BR82" s="47">
        <f t="shared" ref="BR82:BU82" si="211">BR12</f>
        <v>406</v>
      </c>
      <c r="BS82" s="47">
        <f t="shared" si="211"/>
        <v>8</v>
      </c>
      <c r="BT82" s="47">
        <f t="shared" si="211"/>
        <v>14</v>
      </c>
      <c r="BU82" s="47">
        <f t="shared" si="211"/>
        <v>0</v>
      </c>
      <c r="BW82" s="47">
        <f>BW12</f>
        <v>5</v>
      </c>
      <c r="BX82" s="47">
        <f t="shared" ref="BX82:CA82" si="212">BX12</f>
        <v>160</v>
      </c>
      <c r="BY82" s="47">
        <f t="shared" si="212"/>
        <v>8</v>
      </c>
      <c r="BZ82" s="47">
        <f t="shared" si="212"/>
        <v>13</v>
      </c>
      <c r="CA82" s="47">
        <f t="shared" si="212"/>
        <v>0</v>
      </c>
    </row>
    <row r="83" spans="1:79" x14ac:dyDescent="0.3">
      <c r="A83" s="17" t="s">
        <v>105</v>
      </c>
      <c r="B83" s="53" t="s">
        <v>108</v>
      </c>
      <c r="C83" s="114">
        <f>C13+C23+C32</f>
        <v>0</v>
      </c>
      <c r="D83" s="254">
        <f t="shared" ref="D83:G83" si="213">D13+D23+D32</f>
        <v>0</v>
      </c>
      <c r="E83" s="114">
        <f t="shared" si="213"/>
        <v>0</v>
      </c>
      <c r="F83" s="114">
        <f t="shared" si="213"/>
        <v>0</v>
      </c>
      <c r="G83" s="114">
        <f t="shared" si="213"/>
        <v>0</v>
      </c>
      <c r="H83" s="114">
        <f>H13+H23+H32</f>
        <v>0</v>
      </c>
      <c r="I83" s="254">
        <f t="shared" ref="I83:L83" si="214">I13+I23+I32</f>
        <v>0</v>
      </c>
      <c r="J83" s="114">
        <f t="shared" si="214"/>
        <v>0</v>
      </c>
      <c r="K83" s="114">
        <f t="shared" si="214"/>
        <v>0</v>
      </c>
      <c r="L83" s="114">
        <f t="shared" si="214"/>
        <v>0</v>
      </c>
      <c r="M83" s="114">
        <f>M13+M23+M32</f>
        <v>0</v>
      </c>
      <c r="N83" s="254">
        <f t="shared" ref="N83:Q83" si="215">N13+N23+N32</f>
        <v>0</v>
      </c>
      <c r="O83" s="114">
        <f t="shared" si="215"/>
        <v>1</v>
      </c>
      <c r="P83" s="114">
        <f t="shared" si="215"/>
        <v>1</v>
      </c>
      <c r="Q83" s="114">
        <f t="shared" si="215"/>
        <v>0</v>
      </c>
      <c r="R83" s="114">
        <f>R13+R23+R32</f>
        <v>0</v>
      </c>
      <c r="S83" s="254">
        <f t="shared" ref="S83:V83" si="216">S13+S23+S32</f>
        <v>0</v>
      </c>
      <c r="T83" s="114">
        <f t="shared" si="216"/>
        <v>0</v>
      </c>
      <c r="U83" s="114">
        <f t="shared" si="216"/>
        <v>0</v>
      </c>
      <c r="V83" s="114">
        <f t="shared" si="216"/>
        <v>0</v>
      </c>
      <c r="W83" s="114">
        <f>W13+W23+W32</f>
        <v>0</v>
      </c>
      <c r="X83" s="254">
        <f t="shared" ref="X83:AA83" si="217">X13+X23+X32</f>
        <v>0</v>
      </c>
      <c r="Y83" s="114">
        <f t="shared" si="217"/>
        <v>1</v>
      </c>
      <c r="Z83" s="114">
        <f t="shared" si="217"/>
        <v>1</v>
      </c>
      <c r="AA83" s="114">
        <f t="shared" si="217"/>
        <v>0</v>
      </c>
      <c r="AB83" s="47">
        <f>AB13+AB23+AB32</f>
        <v>1</v>
      </c>
      <c r="AC83" s="258">
        <f t="shared" ref="AC83:AF83" si="218">AC13+AC23+AC32</f>
        <v>149</v>
      </c>
      <c r="AD83" s="47">
        <f t="shared" si="218"/>
        <v>0</v>
      </c>
      <c r="AE83" s="47">
        <f t="shared" si="218"/>
        <v>1</v>
      </c>
      <c r="AF83" s="47">
        <f t="shared" si="218"/>
        <v>0</v>
      </c>
      <c r="AG83" s="47">
        <f>AG13+AG23+AG32</f>
        <v>1</v>
      </c>
      <c r="AH83" s="258">
        <f t="shared" ref="AH83:AK83" si="219">AH13+AH23+AH32</f>
        <v>1</v>
      </c>
      <c r="AI83" s="47">
        <f t="shared" si="219"/>
        <v>2</v>
      </c>
      <c r="AJ83" s="47">
        <f t="shared" si="219"/>
        <v>3</v>
      </c>
      <c r="AK83" s="47">
        <f t="shared" si="219"/>
        <v>0</v>
      </c>
      <c r="AL83" s="47">
        <f>AL13+AL23+AL32</f>
        <v>0</v>
      </c>
      <c r="AM83" s="258">
        <f t="shared" ref="AM83:AP83" si="220">AM13+AM23+AM32</f>
        <v>0</v>
      </c>
      <c r="AN83" s="47">
        <f t="shared" si="220"/>
        <v>1</v>
      </c>
      <c r="AO83" s="47">
        <f t="shared" si="220"/>
        <v>1</v>
      </c>
      <c r="AP83" s="47">
        <f t="shared" si="220"/>
        <v>0</v>
      </c>
      <c r="AQ83" s="47">
        <f>AQ13+AQ23+AQ32</f>
        <v>1</v>
      </c>
      <c r="AR83" s="258">
        <f t="shared" ref="AR83:AU83" si="221">AR13+AR23+AR32</f>
        <v>14</v>
      </c>
      <c r="AS83" s="47">
        <f t="shared" si="221"/>
        <v>0</v>
      </c>
      <c r="AT83" s="47">
        <f t="shared" si="221"/>
        <v>1</v>
      </c>
      <c r="AU83" s="47">
        <f t="shared" si="221"/>
        <v>0</v>
      </c>
      <c r="AV83" s="47">
        <f>AV13+AV23+AV32</f>
        <v>1</v>
      </c>
      <c r="AW83" s="258">
        <f t="shared" ref="AW83:AZ83" si="222">AW13+AW23+AW32</f>
        <v>2</v>
      </c>
      <c r="AX83" s="47">
        <f t="shared" si="222"/>
        <v>1</v>
      </c>
      <c r="AY83" s="47">
        <f t="shared" si="222"/>
        <v>2</v>
      </c>
      <c r="AZ83" s="47">
        <f t="shared" si="222"/>
        <v>0</v>
      </c>
      <c r="BA83" s="47">
        <f>BA13+BA23+BA32</f>
        <v>1</v>
      </c>
      <c r="BB83" s="47">
        <f t="shared" ref="BB83:BE83" si="223">BB13+BB23+BB32</f>
        <v>19</v>
      </c>
      <c r="BC83" s="47">
        <f t="shared" si="223"/>
        <v>0</v>
      </c>
      <c r="BD83" s="47">
        <f t="shared" si="223"/>
        <v>1</v>
      </c>
      <c r="BE83" s="47">
        <f t="shared" si="223"/>
        <v>0</v>
      </c>
      <c r="BF83" s="47">
        <f>BF13+BF23+BF32</f>
        <v>1</v>
      </c>
      <c r="BG83" s="47">
        <f t="shared" ref="BG83:BJ83" si="224">BG13+BG23+BG32</f>
        <v>16</v>
      </c>
      <c r="BH83" s="47">
        <f t="shared" si="224"/>
        <v>0</v>
      </c>
      <c r="BI83" s="47">
        <f t="shared" si="224"/>
        <v>1</v>
      </c>
      <c r="BJ83" s="47">
        <f t="shared" si="224"/>
        <v>0</v>
      </c>
      <c r="BK83" s="47">
        <f>BK13+BK23+BK32</f>
        <v>6</v>
      </c>
      <c r="BL83" s="258">
        <f t="shared" ref="BL83:BO83" si="225">BL13+BL23+BL32</f>
        <v>201</v>
      </c>
      <c r="BM83" s="47">
        <f t="shared" si="225"/>
        <v>6</v>
      </c>
      <c r="BN83" s="47">
        <f>BN13+BN23+BN32</f>
        <v>12</v>
      </c>
      <c r="BO83" s="47">
        <f t="shared" si="225"/>
        <v>0</v>
      </c>
      <c r="BQ83" s="47">
        <f>BQ13+BQ23+BQ32</f>
        <v>0</v>
      </c>
      <c r="BR83" s="47">
        <f t="shared" ref="BR83:BS83" si="226">BR13+BR23+BR32</f>
        <v>0</v>
      </c>
      <c r="BS83" s="47">
        <f t="shared" si="226"/>
        <v>1</v>
      </c>
      <c r="BT83" s="47">
        <f>BT13+BT23+BT32</f>
        <v>1</v>
      </c>
      <c r="BU83" s="47">
        <f t="shared" ref="BU83" si="227">BU13+BU23+BU32</f>
        <v>0</v>
      </c>
      <c r="BW83" s="47">
        <f>BW13+BW23+BW32</f>
        <v>1</v>
      </c>
      <c r="BX83" s="47">
        <f t="shared" ref="BX83:BY83" si="228">BX13+BX23+BX32</f>
        <v>149</v>
      </c>
      <c r="BY83" s="47">
        <f t="shared" si="228"/>
        <v>1</v>
      </c>
      <c r="BZ83" s="47">
        <f>BZ13+BZ23+BZ32</f>
        <v>2</v>
      </c>
      <c r="CA83" s="47">
        <f t="shared" ref="CA83" si="229">CA13+CA23+CA32</f>
        <v>0</v>
      </c>
    </row>
    <row r="84" spans="1:79" x14ac:dyDescent="0.3">
      <c r="A84" s="17" t="s">
        <v>105</v>
      </c>
      <c r="B84" s="53" t="s">
        <v>62</v>
      </c>
      <c r="C84" s="114">
        <f>C40</f>
        <v>3</v>
      </c>
      <c r="D84" s="254">
        <f t="shared" ref="D84:G84" si="230">D40</f>
        <v>375</v>
      </c>
      <c r="E84" s="114">
        <f t="shared" si="230"/>
        <v>3</v>
      </c>
      <c r="F84" s="114">
        <f t="shared" si="230"/>
        <v>6</v>
      </c>
      <c r="G84" s="114">
        <f t="shared" si="230"/>
        <v>0</v>
      </c>
      <c r="H84" s="114">
        <f>H40</f>
        <v>3</v>
      </c>
      <c r="I84" s="254">
        <f t="shared" ref="I84:L84" si="231">I40</f>
        <v>38</v>
      </c>
      <c r="J84" s="114">
        <f t="shared" si="231"/>
        <v>3</v>
      </c>
      <c r="K84" s="114">
        <f t="shared" si="231"/>
        <v>6</v>
      </c>
      <c r="L84" s="114">
        <f t="shared" si="231"/>
        <v>0</v>
      </c>
      <c r="M84" s="114">
        <f>M40</f>
        <v>2</v>
      </c>
      <c r="N84" s="254">
        <f t="shared" ref="N84:Q84" si="232">N40</f>
        <v>14</v>
      </c>
      <c r="O84" s="114">
        <f t="shared" si="232"/>
        <v>6</v>
      </c>
      <c r="P84" s="114">
        <f t="shared" si="232"/>
        <v>8</v>
      </c>
      <c r="Q84" s="114">
        <f t="shared" si="232"/>
        <v>0</v>
      </c>
      <c r="R84" s="114">
        <f>R40</f>
        <v>2</v>
      </c>
      <c r="S84" s="254">
        <f t="shared" ref="S84:V84" si="233">S40</f>
        <v>138</v>
      </c>
      <c r="T84" s="114">
        <f t="shared" si="233"/>
        <v>5</v>
      </c>
      <c r="U84" s="114">
        <f t="shared" si="233"/>
        <v>7</v>
      </c>
      <c r="V84" s="114">
        <f t="shared" si="233"/>
        <v>0</v>
      </c>
      <c r="W84" s="114">
        <f>W40</f>
        <v>3</v>
      </c>
      <c r="X84" s="254">
        <f t="shared" ref="X84:AA84" si="234">X40</f>
        <v>15</v>
      </c>
      <c r="Y84" s="114">
        <f t="shared" si="234"/>
        <v>2</v>
      </c>
      <c r="Z84" s="114">
        <f t="shared" si="234"/>
        <v>5</v>
      </c>
      <c r="AA84" s="114">
        <f t="shared" si="234"/>
        <v>0</v>
      </c>
      <c r="AB84" s="47">
        <f>AB40</f>
        <v>3</v>
      </c>
      <c r="AC84" s="258">
        <f t="shared" ref="AC84:AF84" si="235">AC40</f>
        <v>179</v>
      </c>
      <c r="AD84" s="47">
        <f t="shared" si="235"/>
        <v>2</v>
      </c>
      <c r="AE84" s="47">
        <f t="shared" si="235"/>
        <v>5</v>
      </c>
      <c r="AF84" s="47">
        <f t="shared" si="235"/>
        <v>0</v>
      </c>
      <c r="AG84" s="47">
        <f>AG40</f>
        <v>2</v>
      </c>
      <c r="AH84" s="258">
        <f t="shared" ref="AH84:AK84" si="236">AH40</f>
        <v>2</v>
      </c>
      <c r="AI84" s="47">
        <f t="shared" si="236"/>
        <v>7</v>
      </c>
      <c r="AJ84" s="47">
        <f t="shared" si="236"/>
        <v>9</v>
      </c>
      <c r="AK84" s="47">
        <f t="shared" si="236"/>
        <v>0</v>
      </c>
      <c r="AL84" s="47">
        <f>AL40</f>
        <v>5</v>
      </c>
      <c r="AM84" s="258">
        <f t="shared" ref="AM84:AP84" si="237">AM40</f>
        <v>259</v>
      </c>
      <c r="AN84" s="47">
        <f t="shared" si="237"/>
        <v>7</v>
      </c>
      <c r="AO84" s="47">
        <f t="shared" si="237"/>
        <v>12</v>
      </c>
      <c r="AP84" s="47">
        <f t="shared" si="237"/>
        <v>0</v>
      </c>
      <c r="AQ84" s="47">
        <f>AQ40</f>
        <v>9</v>
      </c>
      <c r="AR84" s="258">
        <f t="shared" ref="AR84:AU84" si="238">AR40</f>
        <v>80</v>
      </c>
      <c r="AS84" s="47">
        <f t="shared" si="238"/>
        <v>6</v>
      </c>
      <c r="AT84" s="47">
        <f t="shared" si="238"/>
        <v>15</v>
      </c>
      <c r="AU84" s="47">
        <f t="shared" si="238"/>
        <v>0</v>
      </c>
      <c r="AV84" s="47">
        <f>AV40</f>
        <v>6</v>
      </c>
      <c r="AW84" s="258">
        <f t="shared" ref="AW84:AZ84" si="239">AW40</f>
        <v>44</v>
      </c>
      <c r="AX84" s="47">
        <f t="shared" si="239"/>
        <v>5</v>
      </c>
      <c r="AY84" s="47">
        <f t="shared" si="239"/>
        <v>11</v>
      </c>
      <c r="AZ84" s="47">
        <f t="shared" si="239"/>
        <v>0</v>
      </c>
      <c r="BA84" s="47">
        <f>BA40</f>
        <v>2</v>
      </c>
      <c r="BB84" s="47">
        <f t="shared" ref="BB84:BE84" si="240">BB40</f>
        <v>21</v>
      </c>
      <c r="BC84" s="47">
        <f t="shared" si="240"/>
        <v>5</v>
      </c>
      <c r="BD84" s="47">
        <f t="shared" si="240"/>
        <v>7</v>
      </c>
      <c r="BE84" s="47">
        <f t="shared" si="240"/>
        <v>0</v>
      </c>
      <c r="BF84" s="47">
        <f>BF40</f>
        <v>3</v>
      </c>
      <c r="BG84" s="47">
        <f t="shared" ref="BG84:BJ84" si="241">BG40</f>
        <v>23</v>
      </c>
      <c r="BH84" s="47">
        <f t="shared" si="241"/>
        <v>2</v>
      </c>
      <c r="BI84" s="47">
        <f t="shared" si="241"/>
        <v>5</v>
      </c>
      <c r="BJ84" s="47">
        <f t="shared" si="241"/>
        <v>0</v>
      </c>
      <c r="BK84" s="47">
        <f>BK40</f>
        <v>43</v>
      </c>
      <c r="BL84" s="258">
        <f t="shared" ref="BL84:BO84" si="242">BL40</f>
        <v>1188</v>
      </c>
      <c r="BM84" s="47">
        <f t="shared" si="242"/>
        <v>53</v>
      </c>
      <c r="BN84" s="47">
        <f t="shared" si="242"/>
        <v>96</v>
      </c>
      <c r="BO84" s="47">
        <f t="shared" si="242"/>
        <v>0</v>
      </c>
      <c r="BQ84" s="47">
        <f>BQ40</f>
        <v>8</v>
      </c>
      <c r="BR84" s="47">
        <f t="shared" ref="BR84:BU84" si="243">BR40</f>
        <v>427</v>
      </c>
      <c r="BS84" s="47">
        <f t="shared" si="243"/>
        <v>12</v>
      </c>
      <c r="BT84" s="47">
        <f t="shared" si="243"/>
        <v>20</v>
      </c>
      <c r="BU84" s="47">
        <f t="shared" si="243"/>
        <v>0</v>
      </c>
      <c r="BW84" s="47">
        <f>BW40</f>
        <v>8</v>
      </c>
      <c r="BX84" s="47">
        <f t="shared" ref="BX84:CA84" si="244">BX40</f>
        <v>332</v>
      </c>
      <c r="BY84" s="47">
        <f t="shared" si="244"/>
        <v>9</v>
      </c>
      <c r="BZ84" s="47">
        <f t="shared" si="244"/>
        <v>17</v>
      </c>
      <c r="CA84" s="47">
        <f t="shared" si="244"/>
        <v>0</v>
      </c>
    </row>
    <row r="85" spans="1:79" x14ac:dyDescent="0.3">
      <c r="C85" s="115"/>
      <c r="D85" s="257"/>
      <c r="E85" s="115"/>
      <c r="F85" s="115"/>
      <c r="G85" s="115"/>
      <c r="H85" s="115"/>
      <c r="I85" s="257"/>
      <c r="J85" s="115"/>
      <c r="K85" s="115"/>
      <c r="L85" s="115"/>
      <c r="M85" s="115"/>
      <c r="N85" s="257"/>
      <c r="O85" s="115"/>
      <c r="P85" s="115"/>
      <c r="Q85" s="115"/>
      <c r="R85" s="115"/>
      <c r="S85" s="257"/>
      <c r="T85" s="115"/>
      <c r="U85" s="115"/>
      <c r="V85" s="115"/>
      <c r="W85" s="115"/>
      <c r="X85" s="257"/>
      <c r="Y85" s="115"/>
      <c r="Z85" s="115"/>
      <c r="AA85" s="115"/>
      <c r="AB85" s="17"/>
      <c r="AC85" s="261"/>
      <c r="AD85" s="17"/>
      <c r="AE85" s="17"/>
      <c r="AF85" s="17"/>
      <c r="AG85" s="17"/>
      <c r="AH85" s="261"/>
      <c r="AI85" s="17"/>
      <c r="AJ85" s="17"/>
      <c r="AK85" s="17"/>
      <c r="AL85" s="17"/>
      <c r="AM85" s="261"/>
      <c r="AN85" s="17"/>
      <c r="AO85" s="17"/>
      <c r="AP85" s="17"/>
      <c r="AQ85" s="17"/>
      <c r="AR85" s="261"/>
      <c r="AS85" s="17"/>
      <c r="AT85" s="17"/>
      <c r="AU85" s="17"/>
      <c r="AV85" s="17"/>
      <c r="AW85" s="261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261"/>
      <c r="BM85" s="17"/>
      <c r="BN85" s="17"/>
      <c r="BO85" s="17"/>
      <c r="BQ85" s="17"/>
      <c r="BR85" s="17"/>
      <c r="BS85" s="17"/>
      <c r="BT85" s="17"/>
      <c r="BU85" s="17"/>
      <c r="BW85" s="17"/>
      <c r="BX85" s="17"/>
      <c r="BY85" s="17"/>
      <c r="BZ85" s="17"/>
      <c r="CA85" s="17"/>
    </row>
    <row r="86" spans="1:79" x14ac:dyDescent="0.3">
      <c r="A86" s="17" t="s">
        <v>110</v>
      </c>
      <c r="B86" s="53" t="s">
        <v>106</v>
      </c>
      <c r="C86" s="114">
        <f>C12+C41+C44+C47+C50+C51+C52+C53+C54</f>
        <v>3</v>
      </c>
      <c r="D86" s="254">
        <f t="shared" ref="D86:G86" si="245">D12+D41+D44+D47+D50+D51+D52+D53+D54</f>
        <v>368</v>
      </c>
      <c r="E86" s="114">
        <f t="shared" si="245"/>
        <v>11</v>
      </c>
      <c r="F86" s="114">
        <f t="shared" si="245"/>
        <v>14</v>
      </c>
      <c r="G86" s="114">
        <f t="shared" si="245"/>
        <v>0</v>
      </c>
      <c r="H86" s="114">
        <f>H12+H41+H44+H47+H50+H51+H52+H53+H54</f>
        <v>4</v>
      </c>
      <c r="I86" s="254">
        <f t="shared" ref="I86:L86" si="246">I12+I41+I44+I47+I50+I51+I52+I53+I54</f>
        <v>69</v>
      </c>
      <c r="J86" s="114">
        <f t="shared" si="246"/>
        <v>10</v>
      </c>
      <c r="K86" s="114">
        <f t="shared" si="246"/>
        <v>14</v>
      </c>
      <c r="L86" s="114">
        <f t="shared" si="246"/>
        <v>0</v>
      </c>
      <c r="M86" s="114">
        <f>M12+M41+M44+M47+M50+M51+M52+M53+M54</f>
        <v>4</v>
      </c>
      <c r="N86" s="254">
        <f t="shared" ref="N86:Q86" si="247">N12+N41+N44+N47+N50+N51+N52+N53+N54</f>
        <v>211</v>
      </c>
      <c r="O86" s="114">
        <f t="shared" si="247"/>
        <v>12</v>
      </c>
      <c r="P86" s="114">
        <f t="shared" si="247"/>
        <v>16</v>
      </c>
      <c r="Q86" s="114">
        <f t="shared" si="247"/>
        <v>0</v>
      </c>
      <c r="R86" s="114">
        <f>R12+R41+R44+R47+R50+R51+R52+R53+R54</f>
        <v>4</v>
      </c>
      <c r="S86" s="254">
        <f t="shared" ref="S86:V86" si="248">S12+S41+S44+S47+S50+S51+S52+S53+S54</f>
        <v>143</v>
      </c>
      <c r="T86" s="114">
        <f>T12+T41+T44+T47+T50+T51+T52+T53+T54</f>
        <v>21</v>
      </c>
      <c r="U86" s="114">
        <f t="shared" si="248"/>
        <v>25</v>
      </c>
      <c r="V86" s="114">
        <f t="shared" si="248"/>
        <v>0</v>
      </c>
      <c r="W86" s="114">
        <f>W12+W41+W44+W47+W50+W51+W52+W53+W54</f>
        <v>4</v>
      </c>
      <c r="X86" s="254">
        <f t="shared" ref="X86:AA86" si="249">X12+X41+X44+X47+X50+X51+X52+X53+X54</f>
        <v>35</v>
      </c>
      <c r="Y86" s="114">
        <f t="shared" si="249"/>
        <v>14</v>
      </c>
      <c r="Z86" s="114">
        <f t="shared" si="249"/>
        <v>18</v>
      </c>
      <c r="AA86" s="114">
        <f t="shared" si="249"/>
        <v>0</v>
      </c>
      <c r="AB86" s="47">
        <f>AB12+AB41+AB44+AB47+AB58+AB51+AB52+AB53+AB54</f>
        <v>2</v>
      </c>
      <c r="AC86" s="258">
        <f>AC12+AC41+AC44+AC47+AC58+AC51+AC52+AC53+AC54</f>
        <v>94</v>
      </c>
      <c r="AD86" s="47">
        <f t="shared" ref="AD86:AF86" si="250">AD12+AD41+AD44+AD47+AD50+AD51+AD52+AD53+AD54</f>
        <v>14</v>
      </c>
      <c r="AE86" s="47">
        <f t="shared" si="250"/>
        <v>16</v>
      </c>
      <c r="AF86" s="47">
        <f t="shared" si="250"/>
        <v>0</v>
      </c>
      <c r="AG86" s="47">
        <f>AG12+AG41+AG44+AG47+AG50+AG51+AG52+AG53+AG54</f>
        <v>4</v>
      </c>
      <c r="AH86" s="258">
        <f t="shared" ref="AH86:AK86" si="251">AH12+AH41+AH44+AH47+AH50+AH51+AH52+AH53+AH54</f>
        <v>200</v>
      </c>
      <c r="AI86" s="47">
        <f t="shared" si="251"/>
        <v>16</v>
      </c>
      <c r="AJ86" s="47">
        <f t="shared" si="251"/>
        <v>20</v>
      </c>
      <c r="AK86" s="47">
        <f t="shared" si="251"/>
        <v>0</v>
      </c>
      <c r="AL86" s="47">
        <f>AL12+AL41+AL44+AL47+AL50+AL51+AL52+AL53+AL54</f>
        <v>3</v>
      </c>
      <c r="AM86" s="258">
        <f t="shared" ref="AM86:AP86" si="252">AM12+AM41+AM44+AM47+AM50+AM51+AM52+AM53+AM54</f>
        <v>245</v>
      </c>
      <c r="AN86" s="47">
        <f t="shared" si="252"/>
        <v>19</v>
      </c>
      <c r="AO86" s="47">
        <f t="shared" si="252"/>
        <v>22</v>
      </c>
      <c r="AP86" s="47">
        <f t="shared" si="252"/>
        <v>0</v>
      </c>
      <c r="AQ86" s="47">
        <f>AQ12+AQ41+AQ44+AQ47+AQ50+AQ51+AQ52+AQ53+AQ54</f>
        <v>9</v>
      </c>
      <c r="AR86" s="258">
        <f t="shared" ref="AR86:AU86" si="253">AR12+AR41+AR44+AR47+AR50+AR51+AR52+AR53+AR54</f>
        <v>120</v>
      </c>
      <c r="AS86" s="47">
        <f t="shared" si="253"/>
        <v>18</v>
      </c>
      <c r="AT86" s="47">
        <f t="shared" si="253"/>
        <v>27</v>
      </c>
      <c r="AU86" s="47">
        <f t="shared" si="253"/>
        <v>1</v>
      </c>
      <c r="AV86" s="47">
        <f>AV12+AV41+AV44+AV47+AV50+AV51+AV52+AV53+AV54</f>
        <v>5</v>
      </c>
      <c r="AW86" s="258">
        <f t="shared" ref="AW86:AZ86" si="254">AW12+AW41+AW44+AW47+AW50+AW51+AW52+AW53+AW54</f>
        <v>48</v>
      </c>
      <c r="AX86" s="47">
        <f t="shared" si="254"/>
        <v>15</v>
      </c>
      <c r="AY86" s="47">
        <f t="shared" si="254"/>
        <v>20</v>
      </c>
      <c r="AZ86" s="47">
        <f t="shared" si="254"/>
        <v>0</v>
      </c>
      <c r="BA86" s="47">
        <f>BA12+BA41+BA44+BA47+BA50+BA51+BA52+BA53+BA54</f>
        <v>5</v>
      </c>
      <c r="BB86" s="47">
        <f t="shared" ref="BB86:BE86" si="255">BB12+BB41+BB44+BB47+BB50+BB51+BB52+BB53+BB54</f>
        <v>31</v>
      </c>
      <c r="BC86" s="47">
        <f t="shared" si="255"/>
        <v>16</v>
      </c>
      <c r="BD86" s="47">
        <f t="shared" si="255"/>
        <v>21</v>
      </c>
      <c r="BE86" s="47">
        <f t="shared" si="255"/>
        <v>0</v>
      </c>
      <c r="BF86" s="47">
        <f>BF12+BF41+BF44+BF47+BF50+BF51+BF52+BF53+BF54</f>
        <v>2</v>
      </c>
      <c r="BG86" s="47">
        <f t="shared" ref="BG86:BJ86" si="256">BG12+BG41+BG44+BG47+BG50+BG51+BG52+BG53+BG54</f>
        <v>5</v>
      </c>
      <c r="BH86" s="47">
        <f t="shared" si="256"/>
        <v>12</v>
      </c>
      <c r="BI86" s="47">
        <f t="shared" si="256"/>
        <v>14</v>
      </c>
      <c r="BJ86" s="47">
        <f t="shared" si="256"/>
        <v>0</v>
      </c>
      <c r="BK86" s="47">
        <f>BK12+BK41+BK44+BK47+BK50+BK51+BK52+BK53+BK54</f>
        <v>50</v>
      </c>
      <c r="BL86" s="258">
        <f t="shared" ref="BL86:BO86" si="257">BL12+BL41+BL44+BL47+BL50+BL51+BL52+BL53+BL54</f>
        <v>1585</v>
      </c>
      <c r="BM86" s="47">
        <f t="shared" si="257"/>
        <v>178</v>
      </c>
      <c r="BN86" s="47">
        <f t="shared" si="257"/>
        <v>227</v>
      </c>
      <c r="BO86" s="47">
        <f t="shared" si="257"/>
        <v>0</v>
      </c>
      <c r="BQ86" s="47">
        <f>BQ12+BQ41+BQ44+BQ47+BQ50+BQ51+BQ52+BQ53+BQ54</f>
        <v>11</v>
      </c>
      <c r="BR86" s="47">
        <f t="shared" ref="BR86:BU86" si="258">BR12+BR41+BR44+BR47+BR50+BR51+BR52+BR53+BR54</f>
        <v>648</v>
      </c>
      <c r="BS86" s="47">
        <f t="shared" si="258"/>
        <v>33</v>
      </c>
      <c r="BT86" s="47">
        <f t="shared" si="258"/>
        <v>44</v>
      </c>
      <c r="BU86" s="47">
        <f t="shared" si="258"/>
        <v>0</v>
      </c>
      <c r="BW86" s="47">
        <f>BW12+BW41+BW44+BW47+BW50+BW51+BW52+BW53+BW54</f>
        <v>10</v>
      </c>
      <c r="BX86" s="47">
        <f t="shared" ref="BX86:CA86" si="259">BX12+BX41+BX44+BX47+BX50+BX51+BX52+BX53+BX54</f>
        <v>272</v>
      </c>
      <c r="BY86" s="47">
        <f t="shared" si="259"/>
        <v>49</v>
      </c>
      <c r="BZ86" s="47">
        <f t="shared" si="259"/>
        <v>59</v>
      </c>
      <c r="CA86" s="47">
        <f t="shared" si="259"/>
        <v>0</v>
      </c>
    </row>
    <row r="87" spans="1:79" s="292" customFormat="1" x14ac:dyDescent="0.3">
      <c r="A87" s="285" t="s">
        <v>110</v>
      </c>
      <c r="B87" s="302" t="s">
        <v>108</v>
      </c>
      <c r="C87" s="303">
        <f>C13+C23+C32+C42+C43+C45+C46+C48+C55+C56</f>
        <v>0</v>
      </c>
      <c r="D87" s="303">
        <f t="shared" ref="D87:G87" si="260">D13+D23+D32+D42+D43+D45+D46+D48+D55+D56</f>
        <v>0</v>
      </c>
      <c r="E87" s="303">
        <f t="shared" si="260"/>
        <v>1</v>
      </c>
      <c r="F87" s="303">
        <f t="shared" si="260"/>
        <v>1</v>
      </c>
      <c r="G87" s="303">
        <f t="shared" si="260"/>
        <v>0</v>
      </c>
      <c r="H87" s="303">
        <f>H13+H23+H32+H42+H43+H45+H46+H48+H55+H56</f>
        <v>0</v>
      </c>
      <c r="I87" s="303">
        <f t="shared" ref="I87:L87" si="261">I13+I23+I32+I42+I43+I45+I46+I48+I55+I56</f>
        <v>0</v>
      </c>
      <c r="J87" s="303">
        <f t="shared" si="261"/>
        <v>0</v>
      </c>
      <c r="K87" s="303">
        <f t="shared" si="261"/>
        <v>0</v>
      </c>
      <c r="L87" s="303">
        <f t="shared" si="261"/>
        <v>0</v>
      </c>
      <c r="M87" s="303">
        <f>M13+M23+M32+M42+M43+M45+M46+M48+M55+M56</f>
        <v>0</v>
      </c>
      <c r="N87" s="303">
        <f t="shared" ref="N87:Q87" si="262">N13+N23+N32+N42+N43+N45+N46+N48+N55+N56</f>
        <v>0</v>
      </c>
      <c r="O87" s="303">
        <f t="shared" si="262"/>
        <v>1</v>
      </c>
      <c r="P87" s="303">
        <f t="shared" si="262"/>
        <v>1</v>
      </c>
      <c r="Q87" s="303">
        <f t="shared" si="262"/>
        <v>0</v>
      </c>
      <c r="R87" s="303">
        <f>R13+R23+R32+R42+R43+R45+R46+R48+R55+R56</f>
        <v>0</v>
      </c>
      <c r="S87" s="303">
        <f t="shared" ref="S87:V87" si="263">S13+S23+S32+S42+S43+S45+S46+S48+S55+S56</f>
        <v>0</v>
      </c>
      <c r="T87" s="303">
        <f t="shared" si="263"/>
        <v>0</v>
      </c>
      <c r="U87" s="303">
        <f t="shared" si="263"/>
        <v>0</v>
      </c>
      <c r="V87" s="303">
        <f t="shared" si="263"/>
        <v>0</v>
      </c>
      <c r="W87" s="303">
        <f>W13+W23+W32+W42+W43+W45+W46+W48+W55+W56</f>
        <v>0</v>
      </c>
      <c r="X87" s="303">
        <f t="shared" ref="X87:AA87" si="264">X13+X23+X32+X42+X43+X45+X46+X48+X55+X56</f>
        <v>0</v>
      </c>
      <c r="Y87" s="303">
        <f t="shared" si="264"/>
        <v>1</v>
      </c>
      <c r="Z87" s="303">
        <f t="shared" si="264"/>
        <v>1</v>
      </c>
      <c r="AA87" s="303">
        <f t="shared" si="264"/>
        <v>0</v>
      </c>
      <c r="AB87" s="304">
        <f>AB13+AB23+AB32+AB42+AB43+AB45+AB46+AB48+AB55+AB56</f>
        <v>1</v>
      </c>
      <c r="AC87" s="304">
        <f t="shared" ref="AC87:AF87" si="265">AC13+AC23+AC32+AC42+AC43+AC45+AC46+AC48+AC55+AC56</f>
        <v>149</v>
      </c>
      <c r="AD87" s="304">
        <f t="shared" si="265"/>
        <v>1</v>
      </c>
      <c r="AE87" s="304">
        <f t="shared" si="265"/>
        <v>2</v>
      </c>
      <c r="AF87" s="304">
        <f t="shared" si="265"/>
        <v>0</v>
      </c>
      <c r="AG87" s="304">
        <f>AG13+AG23+AG32+AG42+AG43+AG45+AG46+AG48+AG55+AG56</f>
        <v>1</v>
      </c>
      <c r="AH87" s="304">
        <f t="shared" ref="AH87:AK87" si="266">AH13+AH23+AH32+AH42+AH43+AH45+AH46+AH48+AH55+AH56</f>
        <v>1</v>
      </c>
      <c r="AI87" s="304">
        <f t="shared" si="266"/>
        <v>2</v>
      </c>
      <c r="AJ87" s="304">
        <f t="shared" si="266"/>
        <v>3</v>
      </c>
      <c r="AK87" s="304">
        <f t="shared" si="266"/>
        <v>0</v>
      </c>
      <c r="AL87" s="304">
        <f>AL13+AL23+AL32+AL42+AL43+AL45+AL46+AL48+AL55+AL56</f>
        <v>0</v>
      </c>
      <c r="AM87" s="304">
        <f t="shared" ref="AM87:AP87" si="267">AM13+AM23+AM32+AM42+AM43+AM45+AM46+AM48+AM55+AM56</f>
        <v>0</v>
      </c>
      <c r="AN87" s="304">
        <f t="shared" si="267"/>
        <v>1</v>
      </c>
      <c r="AO87" s="304">
        <f t="shared" si="267"/>
        <v>1</v>
      </c>
      <c r="AP87" s="304">
        <f t="shared" si="267"/>
        <v>0</v>
      </c>
      <c r="AQ87" s="304">
        <f>AQ13+AQ23+AQ32+AQ42+AQ43+AQ45+AQ46+AQ48+AQ55+AQ56</f>
        <v>2</v>
      </c>
      <c r="AR87" s="304">
        <f t="shared" ref="AR87:AU87" si="268">AR13+AR23+AR32+AR42+AR43+AR45+AR46+AR48+AR55+AR56</f>
        <v>25</v>
      </c>
      <c r="AS87" s="304">
        <f t="shared" si="268"/>
        <v>0</v>
      </c>
      <c r="AT87" s="304">
        <f t="shared" si="268"/>
        <v>2</v>
      </c>
      <c r="AU87" s="304">
        <f t="shared" si="268"/>
        <v>0</v>
      </c>
      <c r="AV87" s="304">
        <f>AV13+AV23+AV32+AV42+AV43+AV45+AV46+AV48+AV55+AV56</f>
        <v>1</v>
      </c>
      <c r="AW87" s="304">
        <f t="shared" ref="AW87:AZ87" si="269">AW13+AW23+AW32+AW42+AW43+AW45+AW46+AW48+AW55+AW56</f>
        <v>2</v>
      </c>
      <c r="AX87" s="304">
        <f t="shared" si="269"/>
        <v>1</v>
      </c>
      <c r="AY87" s="304">
        <f t="shared" si="269"/>
        <v>2</v>
      </c>
      <c r="AZ87" s="304">
        <f t="shared" si="269"/>
        <v>1</v>
      </c>
      <c r="BA87" s="304">
        <f>BA13+BA23+BA32+BA42+BA43+BA45+BA46+BA48+BA55+BA56</f>
        <v>1</v>
      </c>
      <c r="BB87" s="304">
        <f t="shared" ref="BB87:BE87" si="270">BB13+BB23+BB32+BB42+BB43+BB45+BB46+BB48+BB55+BB56</f>
        <v>19</v>
      </c>
      <c r="BC87" s="304">
        <f t="shared" si="270"/>
        <v>0</v>
      </c>
      <c r="BD87" s="304">
        <f t="shared" si="270"/>
        <v>1</v>
      </c>
      <c r="BE87" s="304">
        <f t="shared" si="270"/>
        <v>0</v>
      </c>
      <c r="BF87" s="304">
        <f>BF13+BF23+BF32+BF42+BF43+BF45+BF46+BF48+BF55+BF56</f>
        <v>1</v>
      </c>
      <c r="BG87" s="304">
        <f t="shared" ref="BG87:BJ87" si="271">BG13+BG23+BG32+BG42+BG43+BG45+BG46+BG48+BG55+BG56</f>
        <v>16</v>
      </c>
      <c r="BH87" s="304">
        <f t="shared" si="271"/>
        <v>0</v>
      </c>
      <c r="BI87" s="304">
        <f t="shared" si="271"/>
        <v>1</v>
      </c>
      <c r="BJ87" s="304">
        <f t="shared" si="271"/>
        <v>0</v>
      </c>
      <c r="BK87" s="304">
        <f>BK13+BK23+BK32+BK42+BK43+BK45+BK46+BK48+BK55+BK56</f>
        <v>7</v>
      </c>
      <c r="BL87" s="304">
        <f t="shared" ref="BL87:BO87" si="272">BL13+BL23+BL32+BL42+BL43+BL45+BL46+BL48+BL55+BL56</f>
        <v>212</v>
      </c>
      <c r="BM87" s="304">
        <f t="shared" si="272"/>
        <v>8</v>
      </c>
      <c r="BN87" s="304">
        <f>BN13+BN23+BN32+BN42+BN43+BN45+BN46+BN48+BN55+BN56</f>
        <v>15</v>
      </c>
      <c r="BO87" s="304">
        <f t="shared" si="272"/>
        <v>0</v>
      </c>
      <c r="BQ87" s="304">
        <f>BQ13+BQ23+BQ32+BQ42+BQ43+BQ45+BQ46+BQ48+BQ55+BQ56</f>
        <v>0</v>
      </c>
      <c r="BR87" s="304">
        <f t="shared" ref="BR87:BS87" si="273">BR13+BR23+BR32+BR42+BR43+BR45+BR46+BR48+BR55+BR56</f>
        <v>0</v>
      </c>
      <c r="BS87" s="304">
        <f t="shared" si="273"/>
        <v>2</v>
      </c>
      <c r="BT87" s="304">
        <f>BT13+BT23+BT32+BT42+BT43+BT45+BT46+BT48+BT55+BT56</f>
        <v>2</v>
      </c>
      <c r="BU87" s="304">
        <f t="shared" ref="BU87" si="274">BU13+BU23+BU32+BU42+BU43+BU45+BU46+BU48+BU55+BU56</f>
        <v>0</v>
      </c>
      <c r="BW87" s="304">
        <f>BW13+BW23+BW32+BW42+BW43+BW45+BW46+BW48+BW55+BW56</f>
        <v>1</v>
      </c>
      <c r="BX87" s="304">
        <f t="shared" ref="BX87:BY87" si="275">BX13+BX23+BX32+BX42+BX43+BX45+BX46+BX48+BX55+BX56</f>
        <v>149</v>
      </c>
      <c r="BY87" s="304">
        <f t="shared" si="275"/>
        <v>2</v>
      </c>
      <c r="BZ87" s="304">
        <f>BZ13+BZ23+BZ32+BZ42+BZ43+BZ45+BZ46+BZ48+BZ55+BZ56</f>
        <v>3</v>
      </c>
      <c r="CA87" s="304">
        <f t="shared" ref="CA87" si="276">CA13+CA23+CA32+CA42+CA43+CA45+CA46+CA48+CA55+CA56</f>
        <v>0</v>
      </c>
    </row>
    <row r="88" spans="1:79" x14ac:dyDescent="0.3">
      <c r="A88" s="17" t="s">
        <v>110</v>
      </c>
      <c r="B88" s="53" t="s">
        <v>112</v>
      </c>
      <c r="C88" s="114">
        <f>C60</f>
        <v>4</v>
      </c>
      <c r="D88" s="254">
        <f t="shared" ref="D88:G88" si="277">D60</f>
        <v>383</v>
      </c>
      <c r="E88" s="114">
        <f t="shared" si="277"/>
        <v>12</v>
      </c>
      <c r="F88" s="114">
        <f t="shared" si="277"/>
        <v>16</v>
      </c>
      <c r="G88" s="114">
        <f t="shared" si="277"/>
        <v>0</v>
      </c>
      <c r="H88" s="114">
        <f>H60</f>
        <v>5</v>
      </c>
      <c r="I88" s="254">
        <f t="shared" ref="I88:L88" si="278">I60</f>
        <v>75</v>
      </c>
      <c r="J88" s="114">
        <f t="shared" si="278"/>
        <v>15</v>
      </c>
      <c r="K88" s="114">
        <f t="shared" si="278"/>
        <v>20</v>
      </c>
      <c r="L88" s="114">
        <f t="shared" si="278"/>
        <v>0</v>
      </c>
      <c r="M88" s="114">
        <f>M60</f>
        <v>4</v>
      </c>
      <c r="N88" s="254">
        <f t="shared" ref="N88:Q88" si="279">N60</f>
        <v>211</v>
      </c>
      <c r="O88" s="114">
        <f t="shared" si="279"/>
        <v>13</v>
      </c>
      <c r="P88" s="114">
        <f t="shared" si="279"/>
        <v>17</v>
      </c>
      <c r="Q88" s="114">
        <f t="shared" si="279"/>
        <v>0</v>
      </c>
      <c r="R88" s="114">
        <f>R60</f>
        <v>5</v>
      </c>
      <c r="S88" s="254">
        <f t="shared" ref="S88:V88" si="280">S60</f>
        <v>162</v>
      </c>
      <c r="T88" s="114">
        <f t="shared" si="280"/>
        <v>21</v>
      </c>
      <c r="U88" s="114">
        <f t="shared" si="280"/>
        <v>26</v>
      </c>
      <c r="V88" s="114">
        <f t="shared" si="280"/>
        <v>0</v>
      </c>
      <c r="W88" s="114">
        <f>W60</f>
        <v>4</v>
      </c>
      <c r="X88" s="254">
        <f t="shared" ref="X88:AA88" si="281">X60</f>
        <v>35</v>
      </c>
      <c r="Y88" s="114">
        <f t="shared" si="281"/>
        <v>15</v>
      </c>
      <c r="Z88" s="114">
        <f t="shared" si="281"/>
        <v>19</v>
      </c>
      <c r="AA88" s="114">
        <f t="shared" si="281"/>
        <v>0</v>
      </c>
      <c r="AB88" s="47">
        <f>AB60</f>
        <v>5</v>
      </c>
      <c r="AC88" s="258">
        <f t="shared" ref="AC88:AF88" si="282">AC60</f>
        <v>263</v>
      </c>
      <c r="AD88" s="47">
        <f t="shared" si="282"/>
        <v>15</v>
      </c>
      <c r="AE88" s="47">
        <f t="shared" si="282"/>
        <v>20</v>
      </c>
      <c r="AF88" s="47">
        <f t="shared" si="282"/>
        <v>0</v>
      </c>
      <c r="AG88" s="47">
        <f>AG60</f>
        <v>6</v>
      </c>
      <c r="AH88" s="258">
        <f t="shared" ref="AH88:AK88" si="283">AH60</f>
        <v>202</v>
      </c>
      <c r="AI88" s="47">
        <f t="shared" si="283"/>
        <v>18</v>
      </c>
      <c r="AJ88" s="47">
        <f t="shared" si="283"/>
        <v>24</v>
      </c>
      <c r="AK88" s="47">
        <f t="shared" si="283"/>
        <v>0</v>
      </c>
      <c r="AL88" s="47">
        <f>AL60</f>
        <v>6</v>
      </c>
      <c r="AM88" s="258">
        <f t="shared" ref="AM88:AP88" si="284">AM60</f>
        <v>274</v>
      </c>
      <c r="AN88" s="47">
        <f t="shared" si="284"/>
        <v>22</v>
      </c>
      <c r="AO88" s="47">
        <f t="shared" si="284"/>
        <v>28</v>
      </c>
      <c r="AP88" s="47">
        <f t="shared" si="284"/>
        <v>0</v>
      </c>
      <c r="AQ88" s="47">
        <f>AQ60</f>
        <v>13</v>
      </c>
      <c r="AR88" s="258">
        <f t="shared" ref="AR88:AU88" si="285">AR60</f>
        <v>171</v>
      </c>
      <c r="AS88" s="47">
        <f t="shared" si="285"/>
        <v>19</v>
      </c>
      <c r="AT88" s="47">
        <f t="shared" si="285"/>
        <v>32</v>
      </c>
      <c r="AU88" s="47">
        <f t="shared" si="285"/>
        <v>203</v>
      </c>
      <c r="AV88" s="47">
        <f>AV60</f>
        <v>7</v>
      </c>
      <c r="AW88" s="258">
        <f t="shared" ref="AW88:AZ88" si="286">AW60</f>
        <v>52</v>
      </c>
      <c r="AX88" s="47">
        <f t="shared" si="286"/>
        <v>16</v>
      </c>
      <c r="AY88" s="47">
        <f t="shared" si="286"/>
        <v>23</v>
      </c>
      <c r="AZ88" s="47">
        <f t="shared" si="286"/>
        <v>0</v>
      </c>
      <c r="BA88" s="47">
        <f>BA60</f>
        <v>6</v>
      </c>
      <c r="BB88" s="47">
        <f t="shared" ref="BB88:BE88" si="287">BB60</f>
        <v>50</v>
      </c>
      <c r="BC88" s="47">
        <f t="shared" si="287"/>
        <v>16</v>
      </c>
      <c r="BD88" s="47">
        <f t="shared" si="287"/>
        <v>22</v>
      </c>
      <c r="BE88" s="47">
        <f t="shared" si="287"/>
        <v>0</v>
      </c>
      <c r="BF88" s="47">
        <f>BF60</f>
        <v>4</v>
      </c>
      <c r="BG88" s="47">
        <f t="shared" ref="BG88:BJ88" si="288">BG60</f>
        <v>27</v>
      </c>
      <c r="BH88" s="47">
        <f t="shared" si="288"/>
        <v>12</v>
      </c>
      <c r="BI88" s="47">
        <f t="shared" si="288"/>
        <v>16</v>
      </c>
      <c r="BJ88" s="47">
        <f t="shared" si="288"/>
        <v>0</v>
      </c>
      <c r="BK88" s="47">
        <f>BK60</f>
        <v>69</v>
      </c>
      <c r="BL88" s="258">
        <f t="shared" ref="BL88:BO88" si="289">BL60</f>
        <v>1905</v>
      </c>
      <c r="BM88" s="47">
        <f t="shared" si="289"/>
        <v>194</v>
      </c>
      <c r="BN88" s="47">
        <f t="shared" si="289"/>
        <v>263</v>
      </c>
      <c r="BO88" s="47">
        <f t="shared" si="289"/>
        <v>0</v>
      </c>
      <c r="BQ88" s="47">
        <f>BQ60</f>
        <v>13</v>
      </c>
      <c r="BR88" s="47">
        <f t="shared" ref="BR88:BU88" si="290">BR60</f>
        <v>669</v>
      </c>
      <c r="BS88" s="47">
        <f t="shared" si="290"/>
        <v>40</v>
      </c>
      <c r="BT88" s="47">
        <f t="shared" si="290"/>
        <v>53</v>
      </c>
      <c r="BU88" s="47">
        <f t="shared" si="290"/>
        <v>0</v>
      </c>
      <c r="BW88" s="47">
        <f>BW60</f>
        <v>14</v>
      </c>
      <c r="BX88" s="47">
        <f t="shared" ref="BX88:CA88" si="291">BX60</f>
        <v>460</v>
      </c>
      <c r="BY88" s="47">
        <f t="shared" si="291"/>
        <v>51</v>
      </c>
      <c r="BZ88" s="47">
        <f t="shared" si="291"/>
        <v>65</v>
      </c>
      <c r="CA88" s="47">
        <f t="shared" si="291"/>
        <v>0</v>
      </c>
    </row>
    <row r="89" spans="1:79" x14ac:dyDescent="0.3">
      <c r="C89" s="115"/>
      <c r="D89" s="257"/>
      <c r="E89" s="115"/>
      <c r="F89" s="115"/>
      <c r="G89" s="115"/>
      <c r="H89" s="115"/>
      <c r="I89" s="257"/>
      <c r="J89" s="115"/>
      <c r="K89" s="115"/>
      <c r="L89" s="115"/>
      <c r="M89" s="115"/>
      <c r="N89" s="257"/>
      <c r="O89" s="115"/>
      <c r="P89" s="115"/>
      <c r="Q89" s="115"/>
      <c r="R89" s="115"/>
      <c r="S89" s="257"/>
      <c r="T89" s="115"/>
      <c r="U89" s="115"/>
      <c r="V89" s="115"/>
      <c r="W89" s="115"/>
      <c r="X89" s="257"/>
      <c r="Y89" s="115"/>
      <c r="Z89" s="115"/>
      <c r="AA89" s="115"/>
      <c r="AB89" s="17"/>
      <c r="AC89" s="261"/>
      <c r="AD89" s="17"/>
      <c r="AE89" s="17"/>
      <c r="AF89" s="17"/>
      <c r="AG89" s="17"/>
      <c r="AH89" s="261"/>
      <c r="AI89" s="17"/>
      <c r="AJ89" s="17"/>
      <c r="AK89" s="17"/>
      <c r="AL89" s="17"/>
      <c r="AM89" s="261"/>
      <c r="AN89" s="17"/>
      <c r="AO89" s="17"/>
      <c r="AP89" s="17"/>
      <c r="AQ89" s="17"/>
      <c r="AR89" s="261"/>
      <c r="AS89" s="17"/>
      <c r="AT89" s="17"/>
      <c r="AU89" s="17"/>
      <c r="AV89" s="17"/>
      <c r="AW89" s="261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261"/>
      <c r="BM89" s="17"/>
      <c r="BN89" s="17"/>
      <c r="BO89" s="17"/>
      <c r="BQ89" s="17"/>
      <c r="BR89" s="17"/>
      <c r="BS89" s="17"/>
      <c r="BT89" s="17"/>
      <c r="BU89" s="17"/>
      <c r="BW89" s="17"/>
      <c r="BX89" s="17"/>
      <c r="BY89" s="17"/>
      <c r="BZ89" s="17"/>
      <c r="CA89" s="17"/>
    </row>
    <row r="90" spans="1:79" x14ac:dyDescent="0.3">
      <c r="A90" s="17" t="s">
        <v>113</v>
      </c>
      <c r="B90" s="53" t="s">
        <v>132</v>
      </c>
      <c r="C90" s="114">
        <f>C86+C61+C62+C63+C64</f>
        <v>4</v>
      </c>
      <c r="D90" s="254">
        <f t="shared" ref="D90:G90" si="292">D86+D61+D62+D63+D64</f>
        <v>391</v>
      </c>
      <c r="E90" s="114">
        <f t="shared" si="292"/>
        <v>14</v>
      </c>
      <c r="F90" s="114">
        <f t="shared" si="292"/>
        <v>18</v>
      </c>
      <c r="G90" s="114">
        <f t="shared" si="292"/>
        <v>0</v>
      </c>
      <c r="H90" s="114">
        <f>H86+H61+H62+H63+H64</f>
        <v>4</v>
      </c>
      <c r="I90" s="254">
        <f t="shared" ref="I90:L90" si="293">I86+I61+I62+I63+I64</f>
        <v>69</v>
      </c>
      <c r="J90" s="114">
        <f t="shared" si="293"/>
        <v>12</v>
      </c>
      <c r="K90" s="114">
        <f t="shared" si="293"/>
        <v>16</v>
      </c>
      <c r="L90" s="114">
        <f t="shared" si="293"/>
        <v>0</v>
      </c>
      <c r="M90" s="114">
        <f>M86+M61+M62+M63+M64</f>
        <v>4</v>
      </c>
      <c r="N90" s="254">
        <f t="shared" ref="N90:Q90" si="294">N86+N61+N62+N63+N64</f>
        <v>211</v>
      </c>
      <c r="O90" s="114">
        <f t="shared" si="294"/>
        <v>14</v>
      </c>
      <c r="P90" s="114">
        <f t="shared" si="294"/>
        <v>18</v>
      </c>
      <c r="Q90" s="114">
        <f t="shared" si="294"/>
        <v>0</v>
      </c>
      <c r="R90" s="114">
        <f>R86+R61+R62+R63+R64</f>
        <v>5</v>
      </c>
      <c r="S90" s="254">
        <f t="shared" ref="S90:V90" si="295">S86+S61+S62+S63+S64</f>
        <v>157</v>
      </c>
      <c r="T90" s="114">
        <f t="shared" si="295"/>
        <v>24</v>
      </c>
      <c r="U90" s="114">
        <f t="shared" si="295"/>
        <v>29</v>
      </c>
      <c r="V90" s="114">
        <f t="shared" si="295"/>
        <v>0</v>
      </c>
      <c r="W90" s="114">
        <f>W86+W61+W62+W63+W64</f>
        <v>4</v>
      </c>
      <c r="X90" s="254">
        <f t="shared" ref="X90:AA90" si="296">X86+X61+X62+X63+X64</f>
        <v>35</v>
      </c>
      <c r="Y90" s="114">
        <f t="shared" si="296"/>
        <v>16</v>
      </c>
      <c r="Z90" s="114">
        <f t="shared" si="296"/>
        <v>20</v>
      </c>
      <c r="AA90" s="114">
        <f t="shared" si="296"/>
        <v>0</v>
      </c>
      <c r="AB90" s="47">
        <f>AB86+AB61+AB62+AB63+AB64</f>
        <v>2</v>
      </c>
      <c r="AC90" s="258">
        <f t="shared" ref="AC90:AF90" si="297">AC86+AC61+AC62+AC63+AC64</f>
        <v>94</v>
      </c>
      <c r="AD90" s="47">
        <f t="shared" si="297"/>
        <v>14</v>
      </c>
      <c r="AE90" s="47">
        <f t="shared" si="297"/>
        <v>16</v>
      </c>
      <c r="AF90" s="47">
        <f t="shared" si="297"/>
        <v>0</v>
      </c>
      <c r="AG90" s="47">
        <f>AG86+AG61+AG62+AG63+AG64</f>
        <v>5</v>
      </c>
      <c r="AH90" s="258">
        <f t="shared" ref="AH90:AK90" si="298">AH86+AH61+AH62+AH63+AH64</f>
        <v>229</v>
      </c>
      <c r="AI90" s="47">
        <f t="shared" si="298"/>
        <v>17</v>
      </c>
      <c r="AJ90" s="47">
        <f t="shared" si="298"/>
        <v>22</v>
      </c>
      <c r="AK90" s="47">
        <f t="shared" si="298"/>
        <v>0</v>
      </c>
      <c r="AL90" s="47">
        <f>AL86+AL61+AL62+AL63+AL64</f>
        <v>3</v>
      </c>
      <c r="AM90" s="258">
        <f t="shared" ref="AM90:AP90" si="299">AM86+AM61+AM62+AM63+AM64</f>
        <v>245</v>
      </c>
      <c r="AN90" s="47">
        <f t="shared" si="299"/>
        <v>22</v>
      </c>
      <c r="AO90" s="47">
        <f t="shared" si="299"/>
        <v>25</v>
      </c>
      <c r="AP90" s="47">
        <f t="shared" si="299"/>
        <v>0</v>
      </c>
      <c r="AQ90" s="47">
        <f>AQ86+AQ61+AQ62+AQ63+AQ64</f>
        <v>9</v>
      </c>
      <c r="AR90" s="258">
        <f t="shared" ref="AR90:AU90" si="300">AR86+AR61+AR62+AR63+AR64</f>
        <v>120</v>
      </c>
      <c r="AS90" s="47">
        <f t="shared" si="300"/>
        <v>20</v>
      </c>
      <c r="AT90" s="47">
        <f t="shared" si="300"/>
        <v>29</v>
      </c>
      <c r="AU90" s="47">
        <f t="shared" si="300"/>
        <v>1</v>
      </c>
      <c r="AV90" s="47">
        <f>AV86+AV61+AV62+AV63+AV64</f>
        <v>6</v>
      </c>
      <c r="AW90" s="258">
        <f>AW86+AW61+AW62+AW63+AW64</f>
        <v>53</v>
      </c>
      <c r="AX90" s="47">
        <f t="shared" ref="AX90:AZ90" si="301">AX86+AX61+AX62+AX63+AX64</f>
        <v>16</v>
      </c>
      <c r="AY90" s="47">
        <f t="shared" si="301"/>
        <v>22</v>
      </c>
      <c r="AZ90" s="47">
        <f t="shared" si="301"/>
        <v>0</v>
      </c>
      <c r="BA90" s="47">
        <f>BA86+BA61+BA62+BA63+BA64</f>
        <v>5</v>
      </c>
      <c r="BB90" s="47">
        <f t="shared" ref="BB90:BE90" si="302">BB86+BB61+BB62+BB63+BB64</f>
        <v>31</v>
      </c>
      <c r="BC90" s="47">
        <f t="shared" si="302"/>
        <v>16</v>
      </c>
      <c r="BD90" s="47">
        <f t="shared" si="302"/>
        <v>21</v>
      </c>
      <c r="BE90" s="47">
        <f t="shared" si="302"/>
        <v>0</v>
      </c>
      <c r="BF90" s="47">
        <f>BF86+BF61+BF62+BF63+BF64</f>
        <v>2</v>
      </c>
      <c r="BG90" s="47">
        <f t="shared" ref="BG90:BJ90" si="303">BG86+BG61+BG62+BG63+BG64</f>
        <v>5</v>
      </c>
      <c r="BH90" s="47">
        <f t="shared" si="303"/>
        <v>12</v>
      </c>
      <c r="BI90" s="47">
        <f t="shared" si="303"/>
        <v>14</v>
      </c>
      <c r="BJ90" s="47">
        <f t="shared" si="303"/>
        <v>0</v>
      </c>
      <c r="BK90" s="47">
        <f>BK86+BK61+BK62+BK63+BK64</f>
        <v>54</v>
      </c>
      <c r="BL90" s="258">
        <f t="shared" ref="BL90:BO90" si="304">BL86+BL61+BL62+BL63+BL64</f>
        <v>1656</v>
      </c>
      <c r="BM90" s="47">
        <f t="shared" si="304"/>
        <v>197</v>
      </c>
      <c r="BN90" s="47">
        <f t="shared" si="304"/>
        <v>250</v>
      </c>
      <c r="BO90" s="47">
        <f t="shared" si="304"/>
        <v>0</v>
      </c>
      <c r="BQ90" s="47">
        <f>BQ86+BQ61+BQ62+BQ63+BQ64</f>
        <v>12</v>
      </c>
      <c r="BR90" s="47">
        <f t="shared" ref="BR90:BU90" si="305">BR86+BR61+BR62+BR63+BR64</f>
        <v>671</v>
      </c>
      <c r="BS90" s="47">
        <f t="shared" si="305"/>
        <v>40</v>
      </c>
      <c r="BT90" s="47">
        <f t="shared" si="305"/>
        <v>52</v>
      </c>
      <c r="BU90" s="47">
        <f t="shared" si="305"/>
        <v>0</v>
      </c>
      <c r="BW90" s="47">
        <f>BW86+BW61+BW62+BW63+BW64</f>
        <v>11</v>
      </c>
      <c r="BX90" s="47">
        <f t="shared" ref="BX90:CA90" si="306">BX86+BX61+BX62+BX63+BX64</f>
        <v>286</v>
      </c>
      <c r="BY90" s="47">
        <f t="shared" si="306"/>
        <v>54</v>
      </c>
      <c r="BZ90" s="47">
        <f t="shared" si="306"/>
        <v>65</v>
      </c>
      <c r="CA90" s="47">
        <f t="shared" si="306"/>
        <v>0</v>
      </c>
    </row>
    <row r="91" spans="1:79" x14ac:dyDescent="0.3">
      <c r="A91" s="17" t="s">
        <v>113</v>
      </c>
      <c r="B91" s="53" t="s">
        <v>108</v>
      </c>
      <c r="C91" s="114">
        <f>C87+C65+C66+C67</f>
        <v>0</v>
      </c>
      <c r="D91" s="254">
        <f t="shared" ref="D91:G91" si="307">D87+D65+D66+D67</f>
        <v>0</v>
      </c>
      <c r="E91" s="114">
        <f t="shared" si="307"/>
        <v>1</v>
      </c>
      <c r="F91" s="114">
        <f t="shared" si="307"/>
        <v>1</v>
      </c>
      <c r="G91" s="114">
        <f t="shared" si="307"/>
        <v>0</v>
      </c>
      <c r="H91" s="114">
        <f>H87+H65+H66+H67</f>
        <v>0</v>
      </c>
      <c r="I91" s="254">
        <f t="shared" ref="I91:L91" si="308">I87+I65+I66+I67</f>
        <v>0</v>
      </c>
      <c r="J91" s="114">
        <f t="shared" si="308"/>
        <v>0</v>
      </c>
      <c r="K91" s="114">
        <f t="shared" si="308"/>
        <v>0</v>
      </c>
      <c r="L91" s="114">
        <f t="shared" si="308"/>
        <v>0</v>
      </c>
      <c r="M91" s="114">
        <f>M87+M65+M66+M67</f>
        <v>0</v>
      </c>
      <c r="N91" s="254">
        <f t="shared" ref="N91:Q91" si="309">N87+N65+N66+N67</f>
        <v>0</v>
      </c>
      <c r="O91" s="114">
        <f t="shared" si="309"/>
        <v>1</v>
      </c>
      <c r="P91" s="114">
        <f t="shared" si="309"/>
        <v>1</v>
      </c>
      <c r="Q91" s="114">
        <f t="shared" si="309"/>
        <v>0</v>
      </c>
      <c r="R91" s="114">
        <f>R87+R65+R66+R67</f>
        <v>0</v>
      </c>
      <c r="S91" s="254">
        <f t="shared" ref="S91:V91" si="310">S87+S65+S66+S67</f>
        <v>0</v>
      </c>
      <c r="T91" s="114">
        <f t="shared" si="310"/>
        <v>0</v>
      </c>
      <c r="U91" s="114">
        <f t="shared" si="310"/>
        <v>0</v>
      </c>
      <c r="V91" s="114">
        <f t="shared" si="310"/>
        <v>0</v>
      </c>
      <c r="W91" s="114">
        <f>W87+W65+W66+W67</f>
        <v>0</v>
      </c>
      <c r="X91" s="254">
        <f t="shared" ref="X91:AA91" si="311">X87+X65+X66+X67</f>
        <v>0</v>
      </c>
      <c r="Y91" s="114">
        <f t="shared" si="311"/>
        <v>1</v>
      </c>
      <c r="Z91" s="114">
        <f t="shared" si="311"/>
        <v>1</v>
      </c>
      <c r="AA91" s="114">
        <f t="shared" si="311"/>
        <v>0</v>
      </c>
      <c r="AB91" s="47">
        <f>AB87+AB65+AB66+AB67</f>
        <v>2</v>
      </c>
      <c r="AC91" s="258">
        <f t="shared" ref="AC91:AF91" si="312">AC87+AC65+AC66+AC67</f>
        <v>150</v>
      </c>
      <c r="AD91" s="47">
        <f t="shared" si="312"/>
        <v>1</v>
      </c>
      <c r="AE91" s="47">
        <f t="shared" si="312"/>
        <v>3</v>
      </c>
      <c r="AF91" s="47">
        <f t="shared" si="312"/>
        <v>0</v>
      </c>
      <c r="AG91" s="47">
        <f>AG87+AG65+AG66+AG67</f>
        <v>1</v>
      </c>
      <c r="AH91" s="258">
        <f t="shared" ref="AH91:AK91" si="313">AH87+AH65+AH66+AH67</f>
        <v>1</v>
      </c>
      <c r="AI91" s="47">
        <f t="shared" si="313"/>
        <v>2</v>
      </c>
      <c r="AJ91" s="47">
        <f t="shared" si="313"/>
        <v>3</v>
      </c>
      <c r="AK91" s="47">
        <f t="shared" si="313"/>
        <v>0</v>
      </c>
      <c r="AL91" s="47">
        <f>AL87+AL65+AL66+AL67</f>
        <v>0</v>
      </c>
      <c r="AM91" s="258">
        <f t="shared" ref="AM91:AP91" si="314">AM87+AM65+AM66+AM67</f>
        <v>0</v>
      </c>
      <c r="AN91" s="47">
        <f t="shared" si="314"/>
        <v>1</v>
      </c>
      <c r="AO91" s="47">
        <f t="shared" si="314"/>
        <v>1</v>
      </c>
      <c r="AP91" s="47">
        <f t="shared" si="314"/>
        <v>0</v>
      </c>
      <c r="AQ91" s="47">
        <f>AQ87+AQ65+AQ66+AQ67</f>
        <v>3</v>
      </c>
      <c r="AR91" s="258">
        <f t="shared" ref="AR91:AU91" si="315">AR87+AR65+AR66+AR67</f>
        <v>27</v>
      </c>
      <c r="AS91" s="47">
        <f t="shared" si="315"/>
        <v>0</v>
      </c>
      <c r="AT91" s="47">
        <f t="shared" si="315"/>
        <v>3</v>
      </c>
      <c r="AU91" s="47">
        <f t="shared" si="315"/>
        <v>0</v>
      </c>
      <c r="AV91" s="47">
        <f>AV87+AV65+AV66+AV67</f>
        <v>1</v>
      </c>
      <c r="AW91" s="258">
        <f t="shared" ref="AW91:AZ91" si="316">AW87+AW65+AW66+AW67</f>
        <v>2</v>
      </c>
      <c r="AX91" s="47">
        <f t="shared" si="316"/>
        <v>1</v>
      </c>
      <c r="AY91" s="47">
        <f t="shared" si="316"/>
        <v>2</v>
      </c>
      <c r="AZ91" s="47">
        <f t="shared" si="316"/>
        <v>1</v>
      </c>
      <c r="BA91" s="47">
        <f>BA87+BA65+BA66+BA67</f>
        <v>1</v>
      </c>
      <c r="BB91" s="47">
        <f t="shared" ref="BB91:BE91" si="317">BB87+BB65+BB66+BB67</f>
        <v>19</v>
      </c>
      <c r="BC91" s="47">
        <f t="shared" si="317"/>
        <v>0</v>
      </c>
      <c r="BD91" s="47">
        <f t="shared" si="317"/>
        <v>1</v>
      </c>
      <c r="BE91" s="47">
        <f t="shared" si="317"/>
        <v>0</v>
      </c>
      <c r="BF91" s="47">
        <f>BF87+BF65+BF66+BF67</f>
        <v>1</v>
      </c>
      <c r="BG91" s="47">
        <f t="shared" ref="BG91:BJ91" si="318">BG87+BG65+BG66+BG67</f>
        <v>16</v>
      </c>
      <c r="BH91" s="47">
        <f t="shared" si="318"/>
        <v>0</v>
      </c>
      <c r="BI91" s="47">
        <f t="shared" si="318"/>
        <v>1</v>
      </c>
      <c r="BJ91" s="47">
        <f t="shared" si="318"/>
        <v>0</v>
      </c>
      <c r="BK91" s="47">
        <f>BK87+BK65+BK66+BK67</f>
        <v>9</v>
      </c>
      <c r="BL91" s="258">
        <f t="shared" ref="BL91:BO91" si="319">BL87+BL65+BL66+BL67</f>
        <v>215</v>
      </c>
      <c r="BM91" s="47">
        <f t="shared" si="319"/>
        <v>8</v>
      </c>
      <c r="BN91" s="47">
        <f t="shared" si="319"/>
        <v>17</v>
      </c>
      <c r="BO91" s="47">
        <f t="shared" si="319"/>
        <v>0</v>
      </c>
      <c r="BQ91" s="47">
        <f>BQ87+BQ65+BQ66+BQ67</f>
        <v>0</v>
      </c>
      <c r="BR91" s="47">
        <f t="shared" ref="BR91:BU91" si="320">BR87+BR65+BR66+BR67</f>
        <v>0</v>
      </c>
      <c r="BS91" s="47">
        <f t="shared" si="320"/>
        <v>2</v>
      </c>
      <c r="BT91" s="47">
        <f t="shared" si="320"/>
        <v>2</v>
      </c>
      <c r="BU91" s="47">
        <f t="shared" si="320"/>
        <v>0</v>
      </c>
      <c r="BW91" s="47">
        <f>BW87+BW65+BW66+BW67</f>
        <v>2</v>
      </c>
      <c r="BX91" s="47">
        <f t="shared" ref="BX91:CA91" si="321">BX87+BX65+BX66+BX67</f>
        <v>150</v>
      </c>
      <c r="BY91" s="47">
        <f t="shared" si="321"/>
        <v>2</v>
      </c>
      <c r="BZ91" s="47">
        <f t="shared" si="321"/>
        <v>4</v>
      </c>
      <c r="CA91" s="47">
        <f t="shared" si="321"/>
        <v>0</v>
      </c>
    </row>
    <row r="92" spans="1:79" s="145" customFormat="1" x14ac:dyDescent="0.3">
      <c r="A92" s="144" t="s">
        <v>113</v>
      </c>
      <c r="B92" s="144" t="s">
        <v>114</v>
      </c>
      <c r="C92" s="247">
        <f>C12+C13+C23+C31+C32+C49+C50+C51+C52+C53+C54+C55+C56+C61+C62+C63+C64+C65+C66+C67</f>
        <v>4</v>
      </c>
      <c r="D92" s="258">
        <f t="shared" ref="D92:BR92" si="322">D12+D13+D23+D31+D32+D49+D50+D51+D52+D53+D54+D55+D56+D61+D62+D63+D64+D65+D66+D67</f>
        <v>391</v>
      </c>
      <c r="E92" s="247">
        <f t="shared" si="322"/>
        <v>15</v>
      </c>
      <c r="F92" s="247">
        <f t="shared" si="322"/>
        <v>19</v>
      </c>
      <c r="G92" s="247">
        <f t="shared" si="322"/>
        <v>0</v>
      </c>
      <c r="H92" s="247">
        <f t="shared" si="322"/>
        <v>4</v>
      </c>
      <c r="I92" s="258">
        <f t="shared" si="322"/>
        <v>69</v>
      </c>
      <c r="J92" s="247">
        <f t="shared" si="322"/>
        <v>12</v>
      </c>
      <c r="K92" s="247">
        <f t="shared" si="322"/>
        <v>16</v>
      </c>
      <c r="L92" s="247">
        <f t="shared" si="322"/>
        <v>0</v>
      </c>
      <c r="M92" s="247">
        <f t="shared" si="322"/>
        <v>4</v>
      </c>
      <c r="N92" s="258">
        <f t="shared" si="322"/>
        <v>211</v>
      </c>
      <c r="O92" s="247">
        <f t="shared" si="322"/>
        <v>15</v>
      </c>
      <c r="P92" s="247">
        <f t="shared" si="322"/>
        <v>19</v>
      </c>
      <c r="Q92" s="247">
        <f t="shared" si="322"/>
        <v>0</v>
      </c>
      <c r="R92" s="247">
        <f t="shared" si="322"/>
        <v>5</v>
      </c>
      <c r="S92" s="258">
        <f t="shared" si="322"/>
        <v>157</v>
      </c>
      <c r="T92" s="247">
        <f t="shared" si="322"/>
        <v>24</v>
      </c>
      <c r="U92" s="247">
        <f t="shared" si="322"/>
        <v>29</v>
      </c>
      <c r="V92" s="247">
        <f t="shared" si="322"/>
        <v>0</v>
      </c>
      <c r="W92" s="247">
        <f t="shared" si="322"/>
        <v>4</v>
      </c>
      <c r="X92" s="258">
        <f t="shared" si="322"/>
        <v>35</v>
      </c>
      <c r="Y92" s="247">
        <f t="shared" si="322"/>
        <v>17</v>
      </c>
      <c r="Z92" s="247">
        <f t="shared" si="322"/>
        <v>21</v>
      </c>
      <c r="AA92" s="247">
        <f t="shared" si="322"/>
        <v>0</v>
      </c>
      <c r="AB92" s="247">
        <f t="shared" si="322"/>
        <v>5</v>
      </c>
      <c r="AC92" s="258">
        <f t="shared" si="322"/>
        <v>260</v>
      </c>
      <c r="AD92" s="247">
        <f t="shared" si="322"/>
        <v>15</v>
      </c>
      <c r="AE92" s="247">
        <f t="shared" si="322"/>
        <v>19</v>
      </c>
      <c r="AF92" s="247">
        <f t="shared" si="322"/>
        <v>0</v>
      </c>
      <c r="AG92" s="247">
        <f t="shared" si="322"/>
        <v>6</v>
      </c>
      <c r="AH92" s="258">
        <f t="shared" si="322"/>
        <v>230</v>
      </c>
      <c r="AI92" s="247">
        <f t="shared" si="322"/>
        <v>19</v>
      </c>
      <c r="AJ92" s="247">
        <f t="shared" si="322"/>
        <v>25</v>
      </c>
      <c r="AK92" s="247">
        <f t="shared" si="322"/>
        <v>0</v>
      </c>
      <c r="AL92" s="247">
        <f t="shared" si="322"/>
        <v>4</v>
      </c>
      <c r="AM92" s="258">
        <f t="shared" si="322"/>
        <v>254</v>
      </c>
      <c r="AN92" s="247">
        <f t="shared" si="322"/>
        <v>23</v>
      </c>
      <c r="AO92" s="247">
        <f t="shared" si="322"/>
        <v>27</v>
      </c>
      <c r="AP92" s="247">
        <f t="shared" si="322"/>
        <v>0</v>
      </c>
      <c r="AQ92" s="247">
        <f t="shared" si="322"/>
        <v>12</v>
      </c>
      <c r="AR92" s="258">
        <f t="shared" si="322"/>
        <v>147</v>
      </c>
      <c r="AS92" s="247">
        <f t="shared" si="322"/>
        <v>20</v>
      </c>
      <c r="AT92" s="247">
        <f t="shared" si="322"/>
        <v>32</v>
      </c>
      <c r="AU92" s="247">
        <f t="shared" si="322"/>
        <v>1</v>
      </c>
      <c r="AV92" s="247">
        <f>AV12+AV13+AV23+AV31+AV32+AV49+AV50+AV51+AV52+AV53+AV54+AV55+AV56+AV61+AV62+AV63+AV64+AV65+AV66+AV67+AV78</f>
        <v>9</v>
      </c>
      <c r="AW92" s="258">
        <f>AW12+AW13+AW23+AW31+AW32+AW49+AW50+AW51+AW52+AW53+AW54+AW55+AW56+AW61+AW62+AW63+AW64+AW65+AW66+AW67+AW78</f>
        <v>75</v>
      </c>
      <c r="AX92" s="247">
        <f t="shared" si="322"/>
        <v>17</v>
      </c>
      <c r="AY92" s="247">
        <f t="shared" si="322"/>
        <v>25</v>
      </c>
      <c r="AZ92" s="247">
        <f t="shared" si="322"/>
        <v>0</v>
      </c>
      <c r="BA92" s="247">
        <v>6</v>
      </c>
      <c r="BB92" s="247">
        <f>BB12+BB13+BB23+BB31+BB32+BB49+BB50+BB51+BB52+BB53+BB54+BB55+BB56+BB61+BB62+BB63+BB64+BB65+BB66+BB67+BB78</f>
        <v>54</v>
      </c>
      <c r="BC92" s="247">
        <f t="shared" si="322"/>
        <v>16</v>
      </c>
      <c r="BD92" s="247">
        <f t="shared" si="322"/>
        <v>22</v>
      </c>
      <c r="BE92" s="247">
        <f t="shared" si="322"/>
        <v>0</v>
      </c>
      <c r="BF92" s="247">
        <f t="shared" si="322"/>
        <v>3</v>
      </c>
      <c r="BG92" s="247">
        <f t="shared" si="322"/>
        <v>21</v>
      </c>
      <c r="BH92" s="247">
        <f t="shared" si="322"/>
        <v>12</v>
      </c>
      <c r="BI92" s="247">
        <f t="shared" si="322"/>
        <v>15</v>
      </c>
      <c r="BJ92" s="247">
        <f t="shared" si="322"/>
        <v>0</v>
      </c>
      <c r="BK92" s="247">
        <f t="shared" si="322"/>
        <v>65</v>
      </c>
      <c r="BL92" s="258">
        <f>BL12+BL13+BL23+BL31+BL32+BL49+BL50+BL51+BL52+BL53+BL54+BL55+BL56+BL61+BL62+BL63+BL64+BL65+BL66+BL67+BL78</f>
        <v>1904</v>
      </c>
      <c r="BM92" s="247">
        <f t="shared" si="322"/>
        <v>205</v>
      </c>
      <c r="BN92" s="247">
        <f t="shared" si="322"/>
        <v>269</v>
      </c>
      <c r="BO92" s="247">
        <f t="shared" si="322"/>
        <v>0</v>
      </c>
      <c r="BQ92" s="247">
        <f t="shared" si="322"/>
        <v>12</v>
      </c>
      <c r="BR92" s="247">
        <f t="shared" si="322"/>
        <v>671</v>
      </c>
      <c r="BS92" s="247">
        <f t="shared" ref="BS92:CA92" si="323">BS12+BS13+BS23+BS31+BS32+BS49+BS50+BS51+BS52+BS53+BS54+BS55+BS56+BS61+BS62+BS63+BS64+BS65+BS66+BS67</f>
        <v>42</v>
      </c>
      <c r="BT92" s="247">
        <f t="shared" si="323"/>
        <v>54</v>
      </c>
      <c r="BU92" s="247">
        <f t="shared" si="323"/>
        <v>0</v>
      </c>
      <c r="BW92" s="247">
        <f t="shared" si="323"/>
        <v>13</v>
      </c>
      <c r="BX92" s="247">
        <f t="shared" si="323"/>
        <v>436</v>
      </c>
      <c r="BY92" s="247">
        <f t="shared" si="323"/>
        <v>56</v>
      </c>
      <c r="BZ92" s="247">
        <f t="shared" si="323"/>
        <v>69</v>
      </c>
      <c r="CA92" s="247">
        <f t="shared" si="323"/>
        <v>0</v>
      </c>
    </row>
    <row r="93" spans="1:79" x14ac:dyDescent="0.3">
      <c r="A93" s="17" t="s">
        <v>113</v>
      </c>
      <c r="B93" s="53" t="s">
        <v>115</v>
      </c>
      <c r="C93" s="114">
        <f>C70</f>
        <v>5</v>
      </c>
      <c r="D93" s="254">
        <f t="shared" ref="D93:G93" si="324">D70</f>
        <v>406</v>
      </c>
      <c r="E93" s="114">
        <f t="shared" si="324"/>
        <v>15</v>
      </c>
      <c r="F93" s="114">
        <f t="shared" si="324"/>
        <v>20</v>
      </c>
      <c r="G93" s="114">
        <f t="shared" si="324"/>
        <v>0</v>
      </c>
      <c r="H93" s="114">
        <f>H70</f>
        <v>5</v>
      </c>
      <c r="I93" s="254">
        <f t="shared" ref="I93:L93" si="325">I70</f>
        <v>75</v>
      </c>
      <c r="J93" s="114">
        <f t="shared" si="325"/>
        <v>17</v>
      </c>
      <c r="K93" s="114">
        <f t="shared" si="325"/>
        <v>22</v>
      </c>
      <c r="L93" s="114">
        <f t="shared" si="325"/>
        <v>0</v>
      </c>
      <c r="M93" s="114">
        <f>M70</f>
        <v>4</v>
      </c>
      <c r="N93" s="254">
        <f t="shared" ref="N93:Q93" si="326">N70</f>
        <v>211</v>
      </c>
      <c r="O93" s="114">
        <f t="shared" si="326"/>
        <v>15</v>
      </c>
      <c r="P93" s="114">
        <f t="shared" si="326"/>
        <v>19</v>
      </c>
      <c r="Q93" s="114">
        <f t="shared" si="326"/>
        <v>0</v>
      </c>
      <c r="R93" s="114">
        <f>R70</f>
        <v>6</v>
      </c>
      <c r="S93" s="254">
        <f t="shared" ref="S93:V93" si="327">S70</f>
        <v>176</v>
      </c>
      <c r="T93" s="114">
        <f t="shared" si="327"/>
        <v>24</v>
      </c>
      <c r="U93" s="114">
        <f t="shared" si="327"/>
        <v>30</v>
      </c>
      <c r="V93" s="114">
        <f t="shared" si="327"/>
        <v>0</v>
      </c>
      <c r="W93" s="114">
        <f>W70</f>
        <v>4</v>
      </c>
      <c r="X93" s="254">
        <f t="shared" ref="X93:AA93" si="328">X70</f>
        <v>35</v>
      </c>
      <c r="Y93" s="114">
        <f t="shared" si="328"/>
        <v>17</v>
      </c>
      <c r="Z93" s="114">
        <f t="shared" si="328"/>
        <v>21</v>
      </c>
      <c r="AA93" s="114">
        <f t="shared" si="328"/>
        <v>0</v>
      </c>
      <c r="AB93" s="47">
        <f>AB70</f>
        <v>6</v>
      </c>
      <c r="AC93" s="258">
        <f t="shared" ref="AC93:AF93" si="329">AC70</f>
        <v>264</v>
      </c>
      <c r="AD93" s="47">
        <f t="shared" si="329"/>
        <v>15</v>
      </c>
      <c r="AE93" s="47">
        <f t="shared" si="329"/>
        <v>21</v>
      </c>
      <c r="AF93" s="47">
        <f t="shared" si="329"/>
        <v>0</v>
      </c>
      <c r="AG93" s="47">
        <f>AG70</f>
        <v>7</v>
      </c>
      <c r="AH93" s="258">
        <f t="shared" ref="AH93:AK93" si="330">AH70</f>
        <v>231</v>
      </c>
      <c r="AI93" s="47">
        <f>AI70</f>
        <v>19</v>
      </c>
      <c r="AJ93" s="47">
        <f t="shared" si="330"/>
        <v>26</v>
      </c>
      <c r="AK93" s="47">
        <f t="shared" si="330"/>
        <v>0</v>
      </c>
      <c r="AL93" s="47">
        <f>AL70</f>
        <v>6</v>
      </c>
      <c r="AM93" s="258">
        <f t="shared" ref="AM93:AP93" si="331">AM70</f>
        <v>274</v>
      </c>
      <c r="AN93" s="47">
        <f t="shared" si="331"/>
        <v>25</v>
      </c>
      <c r="AO93" s="47">
        <f t="shared" si="331"/>
        <v>31</v>
      </c>
      <c r="AP93" s="47">
        <f t="shared" si="331"/>
        <v>0</v>
      </c>
      <c r="AQ93" s="47">
        <f>AQ70</f>
        <v>14</v>
      </c>
      <c r="AR93" s="258">
        <f t="shared" ref="AR93:AU93" si="332">AR70</f>
        <v>173</v>
      </c>
      <c r="AS93" s="47">
        <f t="shared" si="332"/>
        <v>21</v>
      </c>
      <c r="AT93" s="47">
        <f t="shared" si="332"/>
        <v>35</v>
      </c>
      <c r="AU93" s="47">
        <f t="shared" si="332"/>
        <v>0</v>
      </c>
      <c r="AV93" s="47">
        <f>AV70+AV78</f>
        <v>9</v>
      </c>
      <c r="AW93" s="258">
        <f>AW70+AW78</f>
        <v>75</v>
      </c>
      <c r="AX93" s="47">
        <f t="shared" ref="AX93:AZ93" si="333">AX70</f>
        <v>17</v>
      </c>
      <c r="AY93" s="47">
        <f t="shared" si="333"/>
        <v>25</v>
      </c>
      <c r="AZ93" s="47">
        <f t="shared" si="333"/>
        <v>0</v>
      </c>
      <c r="BA93" s="47">
        <v>6</v>
      </c>
      <c r="BB93" s="47">
        <f>BB70+BB78</f>
        <v>54</v>
      </c>
      <c r="BC93" s="47">
        <f t="shared" ref="BC93:BE93" si="334">BC70</f>
        <v>16</v>
      </c>
      <c r="BD93" s="47">
        <f>BD70</f>
        <v>22</v>
      </c>
      <c r="BE93" s="47">
        <f t="shared" si="334"/>
        <v>0</v>
      </c>
      <c r="BF93" s="47">
        <f>BF70</f>
        <v>4</v>
      </c>
      <c r="BG93" s="47">
        <f t="shared" ref="BG93:BJ93" si="335">BG70</f>
        <v>27</v>
      </c>
      <c r="BH93" s="47">
        <f t="shared" si="335"/>
        <v>12</v>
      </c>
      <c r="BI93" s="47">
        <f t="shared" si="335"/>
        <v>16</v>
      </c>
      <c r="BJ93" s="47">
        <f t="shared" si="335"/>
        <v>0</v>
      </c>
      <c r="BK93" s="47">
        <f>BK70</f>
        <v>75</v>
      </c>
      <c r="BL93" s="258">
        <f>BL70</f>
        <v>1979</v>
      </c>
      <c r="BM93" s="47">
        <f t="shared" ref="BM93:BO93" si="336">BM70</f>
        <v>213</v>
      </c>
      <c r="BN93" s="47">
        <f t="shared" si="336"/>
        <v>288</v>
      </c>
      <c r="BO93" s="47">
        <f t="shared" si="336"/>
        <v>0</v>
      </c>
      <c r="BQ93" s="47">
        <f>BQ70</f>
        <v>14</v>
      </c>
      <c r="BR93" s="47">
        <f t="shared" ref="BR93:BU93" si="337">BR70</f>
        <v>692</v>
      </c>
      <c r="BS93" s="47">
        <f t="shared" si="337"/>
        <v>47</v>
      </c>
      <c r="BT93" s="47">
        <f t="shared" si="337"/>
        <v>61</v>
      </c>
      <c r="BU93" s="47">
        <f t="shared" si="337"/>
        <v>0</v>
      </c>
      <c r="BW93" s="47">
        <f>BW70</f>
        <v>16</v>
      </c>
      <c r="BX93" s="47">
        <f t="shared" ref="BX93:CA93" si="338">BX70</f>
        <v>475</v>
      </c>
      <c r="BY93" s="47">
        <f t="shared" si="338"/>
        <v>56</v>
      </c>
      <c r="BZ93" s="47">
        <f t="shared" si="338"/>
        <v>72</v>
      </c>
      <c r="CA93" s="47">
        <f t="shared" si="338"/>
        <v>0</v>
      </c>
    </row>
    <row r="94" spans="1:79" x14ac:dyDescent="0.3">
      <c r="C94" s="115"/>
      <c r="D94" s="257"/>
      <c r="E94" s="115"/>
      <c r="F94" s="115"/>
      <c r="G94" s="115"/>
      <c r="H94" s="115"/>
      <c r="I94" s="257"/>
      <c r="J94" s="115"/>
      <c r="K94" s="115"/>
      <c r="L94" s="115"/>
      <c r="M94" s="115"/>
      <c r="N94" s="257"/>
      <c r="O94" s="115"/>
      <c r="P94" s="115"/>
      <c r="Q94" s="115"/>
      <c r="R94" s="115"/>
      <c r="S94" s="257"/>
      <c r="T94" s="115"/>
      <c r="U94" s="115"/>
      <c r="V94" s="115"/>
      <c r="W94" s="115"/>
      <c r="X94" s="257"/>
      <c r="Y94" s="115"/>
      <c r="Z94" s="115"/>
      <c r="AA94" s="115"/>
      <c r="AB94" s="17"/>
      <c r="AC94" s="261"/>
      <c r="AD94" s="17"/>
      <c r="AE94" s="17"/>
      <c r="AF94" s="17"/>
      <c r="AG94" s="17"/>
      <c r="AH94" s="261"/>
      <c r="AI94" s="17"/>
      <c r="AJ94" s="17"/>
      <c r="AK94" s="17"/>
      <c r="AL94" s="17"/>
      <c r="AM94" s="261"/>
      <c r="AN94" s="17"/>
      <c r="AO94" s="17"/>
      <c r="AP94" s="17"/>
      <c r="AQ94" s="17"/>
      <c r="AR94" s="261"/>
      <c r="AS94" s="17"/>
      <c r="AT94" s="17"/>
      <c r="AU94" s="17"/>
      <c r="AV94" s="17"/>
      <c r="AW94" s="261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261"/>
      <c r="BM94" s="17"/>
      <c r="BN94" s="17"/>
      <c r="BO94" s="17"/>
      <c r="BQ94" s="17"/>
      <c r="BR94" s="17"/>
      <c r="BS94" s="17"/>
      <c r="BT94" s="17"/>
      <c r="BU94" s="17"/>
      <c r="BW94" s="17"/>
      <c r="BX94" s="17"/>
      <c r="BY94" s="17"/>
      <c r="BZ94" s="17"/>
      <c r="CA94" s="17"/>
    </row>
    <row r="95" spans="1:79" x14ac:dyDescent="0.3">
      <c r="A95" s="17" t="s">
        <v>116</v>
      </c>
      <c r="B95" s="53" t="s">
        <v>117</v>
      </c>
      <c r="C95" s="114">
        <f>C79</f>
        <v>7</v>
      </c>
      <c r="D95" s="254">
        <f t="shared" ref="D95:G95" si="339">D79</f>
        <v>418</v>
      </c>
      <c r="E95" s="114">
        <f t="shared" si="339"/>
        <v>15</v>
      </c>
      <c r="F95" s="114">
        <f t="shared" si="339"/>
        <v>22</v>
      </c>
      <c r="G95" s="114">
        <f t="shared" si="339"/>
        <v>0</v>
      </c>
      <c r="H95" s="114">
        <f>H79</f>
        <v>6</v>
      </c>
      <c r="I95" s="254">
        <f t="shared" ref="I95:L95" si="340">I79</f>
        <v>105</v>
      </c>
      <c r="J95" s="114">
        <f t="shared" si="340"/>
        <v>17</v>
      </c>
      <c r="K95" s="114">
        <f t="shared" si="340"/>
        <v>23</v>
      </c>
      <c r="L95" s="114">
        <f t="shared" si="340"/>
        <v>0</v>
      </c>
      <c r="M95" s="114">
        <f>M79</f>
        <v>4</v>
      </c>
      <c r="N95" s="254">
        <f t="shared" ref="N95:Q95" si="341">N79</f>
        <v>211</v>
      </c>
      <c r="O95" s="114">
        <f t="shared" si="341"/>
        <v>15</v>
      </c>
      <c r="P95" s="114">
        <f t="shared" si="341"/>
        <v>19</v>
      </c>
      <c r="Q95" s="114">
        <f t="shared" si="341"/>
        <v>0</v>
      </c>
      <c r="R95" s="114">
        <f>R79</f>
        <v>7</v>
      </c>
      <c r="S95" s="254">
        <f t="shared" ref="S95:V95" si="342">S79</f>
        <v>236</v>
      </c>
      <c r="T95" s="114">
        <f t="shared" si="342"/>
        <v>24</v>
      </c>
      <c r="U95" s="114">
        <f t="shared" si="342"/>
        <v>31</v>
      </c>
      <c r="V95" s="114">
        <f t="shared" si="342"/>
        <v>0</v>
      </c>
      <c r="W95" s="114">
        <f>W79</f>
        <v>4</v>
      </c>
      <c r="X95" s="254">
        <f t="shared" ref="X95:AA95" si="343">X79</f>
        <v>35</v>
      </c>
      <c r="Y95" s="114">
        <f t="shared" si="343"/>
        <v>17</v>
      </c>
      <c r="Z95" s="114">
        <f t="shared" si="343"/>
        <v>21</v>
      </c>
      <c r="AA95" s="114">
        <f t="shared" si="343"/>
        <v>0</v>
      </c>
      <c r="AB95" s="47">
        <f>AB79</f>
        <v>6</v>
      </c>
      <c r="AC95" s="258">
        <f t="shared" ref="AC95:AF95" si="344">AC79</f>
        <v>264</v>
      </c>
      <c r="AD95" s="47">
        <f t="shared" si="344"/>
        <v>15</v>
      </c>
      <c r="AE95" s="47">
        <f t="shared" si="344"/>
        <v>21</v>
      </c>
      <c r="AF95" s="47">
        <f t="shared" si="344"/>
        <v>0</v>
      </c>
      <c r="AG95" s="47">
        <f>AG79</f>
        <v>7</v>
      </c>
      <c r="AH95" s="258">
        <f t="shared" ref="AH95:AK95" si="345">AH79</f>
        <v>231</v>
      </c>
      <c r="AI95" s="47">
        <f t="shared" si="345"/>
        <v>19</v>
      </c>
      <c r="AJ95" s="47">
        <f t="shared" si="345"/>
        <v>26</v>
      </c>
      <c r="AK95" s="47">
        <f t="shared" si="345"/>
        <v>0</v>
      </c>
      <c r="AL95" s="47">
        <f>AL79</f>
        <v>6</v>
      </c>
      <c r="AM95" s="258">
        <f t="shared" ref="AM95:AU95" si="346">AM79</f>
        <v>274</v>
      </c>
      <c r="AN95" s="47">
        <f t="shared" si="346"/>
        <v>25</v>
      </c>
      <c r="AO95" s="47">
        <f t="shared" si="346"/>
        <v>31</v>
      </c>
      <c r="AP95" s="47">
        <f t="shared" si="346"/>
        <v>0</v>
      </c>
      <c r="AQ95" s="47">
        <f>AQ79</f>
        <v>14</v>
      </c>
      <c r="AR95" s="258">
        <f t="shared" si="346"/>
        <v>173</v>
      </c>
      <c r="AS95" s="47">
        <f t="shared" si="346"/>
        <v>21</v>
      </c>
      <c r="AT95" s="47">
        <f t="shared" si="346"/>
        <v>35</v>
      </c>
      <c r="AU95" s="47">
        <f t="shared" si="346"/>
        <v>0</v>
      </c>
      <c r="AV95" s="47">
        <f>AV79</f>
        <v>9</v>
      </c>
      <c r="AW95" s="258">
        <f t="shared" ref="AW95:AZ95" si="347">AW79</f>
        <v>75</v>
      </c>
      <c r="AX95" s="47">
        <f t="shared" si="347"/>
        <v>17</v>
      </c>
      <c r="AY95" s="47">
        <f t="shared" si="347"/>
        <v>26</v>
      </c>
      <c r="AZ95" s="47">
        <f t="shared" si="347"/>
        <v>0</v>
      </c>
      <c r="BA95" s="47">
        <f>BA79</f>
        <v>7</v>
      </c>
      <c r="BB95" s="47">
        <f t="shared" ref="BB95:BE95" si="348">BB79</f>
        <v>54</v>
      </c>
      <c r="BC95" s="47">
        <f t="shared" si="348"/>
        <v>16</v>
      </c>
      <c r="BD95" s="47">
        <f t="shared" si="348"/>
        <v>23</v>
      </c>
      <c r="BE95" s="47">
        <f t="shared" si="348"/>
        <v>0</v>
      </c>
      <c r="BF95" s="47">
        <f>BF79</f>
        <v>4</v>
      </c>
      <c r="BG95" s="47">
        <f t="shared" ref="BG95:BJ95" si="349">BG79</f>
        <v>27</v>
      </c>
      <c r="BH95" s="47">
        <f t="shared" si="349"/>
        <v>12</v>
      </c>
      <c r="BI95" s="47">
        <f t="shared" si="349"/>
        <v>16</v>
      </c>
      <c r="BJ95" s="47">
        <f t="shared" si="349"/>
        <v>0</v>
      </c>
      <c r="BK95" s="47">
        <f>BK79</f>
        <v>81</v>
      </c>
      <c r="BL95" s="258">
        <f t="shared" ref="BL95:BO95" si="350">BL79</f>
        <v>2103</v>
      </c>
      <c r="BM95" s="47">
        <f t="shared" si="350"/>
        <v>213</v>
      </c>
      <c r="BN95" s="47">
        <f t="shared" si="350"/>
        <v>294</v>
      </c>
      <c r="BO95" s="47">
        <f t="shared" si="350"/>
        <v>0</v>
      </c>
      <c r="BQ95" s="47">
        <f>BQ79</f>
        <v>17</v>
      </c>
      <c r="BR95" s="47">
        <f t="shared" ref="BR95:BU95" si="351">BR79</f>
        <v>734</v>
      </c>
      <c r="BS95" s="47">
        <f t="shared" si="351"/>
        <v>47</v>
      </c>
      <c r="BT95" s="47">
        <f t="shared" si="351"/>
        <v>64</v>
      </c>
      <c r="BU95" s="47">
        <f t="shared" si="351"/>
        <v>0</v>
      </c>
      <c r="BW95" s="47">
        <f>BW79</f>
        <v>17</v>
      </c>
      <c r="BX95" s="47">
        <f t="shared" ref="BX95:CA95" si="352">BX79</f>
        <v>535</v>
      </c>
      <c r="BY95" s="47">
        <f t="shared" si="352"/>
        <v>56</v>
      </c>
      <c r="BZ95" s="47">
        <f t="shared" si="352"/>
        <v>73</v>
      </c>
      <c r="CA95" s="47">
        <f t="shared" si="352"/>
        <v>0</v>
      </c>
    </row>
    <row r="96" spans="1:79" x14ac:dyDescent="0.3">
      <c r="C96" s="113"/>
      <c r="D96" s="256"/>
      <c r="E96" s="113"/>
      <c r="F96" s="113"/>
      <c r="G96" s="113"/>
      <c r="H96" s="113"/>
      <c r="I96" s="256"/>
      <c r="J96" s="113"/>
      <c r="K96" s="113"/>
      <c r="L96" s="113"/>
      <c r="M96" s="113"/>
      <c r="N96" s="256"/>
      <c r="O96" s="113"/>
      <c r="P96" s="113"/>
      <c r="Q96" s="113"/>
      <c r="R96" s="113"/>
      <c r="S96" s="256"/>
      <c r="T96" s="113"/>
      <c r="U96" s="113"/>
      <c r="V96" s="113"/>
      <c r="W96" s="113"/>
      <c r="X96" s="256"/>
      <c r="Y96" s="113"/>
      <c r="Z96" s="113"/>
      <c r="AA96" s="113"/>
    </row>
    <row r="97" spans="3:27" x14ac:dyDescent="0.3">
      <c r="C97" s="113"/>
      <c r="D97" s="256"/>
      <c r="E97" s="113"/>
      <c r="F97" s="113"/>
      <c r="G97" s="113"/>
      <c r="H97" s="113"/>
      <c r="I97" s="256"/>
      <c r="J97" s="113"/>
      <c r="K97" s="113"/>
      <c r="L97" s="113"/>
      <c r="M97" s="113"/>
      <c r="N97" s="256"/>
      <c r="O97" s="113"/>
      <c r="P97" s="113"/>
      <c r="Q97" s="113"/>
      <c r="R97" s="113"/>
      <c r="S97" s="256"/>
      <c r="T97" s="113"/>
      <c r="U97" s="113"/>
      <c r="V97" s="113"/>
      <c r="W97" s="113"/>
      <c r="X97" s="256"/>
      <c r="Y97" s="113"/>
      <c r="Z97" s="113"/>
      <c r="AA97" s="113"/>
    </row>
    <row r="98" spans="3:27" x14ac:dyDescent="0.3">
      <c r="C98" s="113"/>
      <c r="D98" s="256"/>
      <c r="E98" s="113"/>
      <c r="F98" s="113"/>
      <c r="G98" s="113"/>
      <c r="H98" s="113"/>
      <c r="I98" s="256"/>
      <c r="J98" s="113"/>
      <c r="K98" s="113"/>
      <c r="L98" s="113"/>
      <c r="M98" s="113"/>
      <c r="N98" s="256"/>
      <c r="O98" s="113"/>
      <c r="P98" s="113"/>
      <c r="Q98" s="113"/>
      <c r="R98" s="113"/>
      <c r="S98" s="256"/>
      <c r="T98" s="113"/>
      <c r="U98" s="113"/>
      <c r="V98" s="113"/>
      <c r="W98" s="113"/>
      <c r="X98" s="256"/>
      <c r="Y98" s="113"/>
      <c r="Z98" s="113"/>
      <c r="AA98" s="113"/>
    </row>
    <row r="99" spans="3:27" x14ac:dyDescent="0.3">
      <c r="C99" s="113"/>
      <c r="D99" s="256"/>
      <c r="E99" s="113"/>
      <c r="F99" s="113"/>
      <c r="G99" s="113"/>
      <c r="H99" s="113"/>
      <c r="I99" s="256"/>
      <c r="J99" s="113"/>
      <c r="K99" s="113"/>
      <c r="L99" s="113"/>
      <c r="M99" s="113"/>
      <c r="N99" s="256"/>
      <c r="O99" s="113"/>
      <c r="P99" s="113"/>
      <c r="Q99" s="113"/>
      <c r="R99" s="113"/>
      <c r="S99" s="256"/>
      <c r="T99" s="113"/>
      <c r="U99" s="113"/>
      <c r="V99" s="113"/>
      <c r="W99" s="113"/>
      <c r="X99" s="256"/>
      <c r="Y99" s="113"/>
      <c r="Z99" s="113"/>
      <c r="AA99" s="113"/>
    </row>
    <row r="100" spans="3:27" x14ac:dyDescent="0.3">
      <c r="C100" s="113"/>
      <c r="D100" s="256"/>
      <c r="E100" s="113"/>
      <c r="F100" s="113"/>
      <c r="G100" s="113"/>
      <c r="H100" s="113"/>
      <c r="I100" s="256"/>
      <c r="J100" s="113"/>
      <c r="K100" s="113"/>
      <c r="L100" s="113"/>
      <c r="M100" s="113"/>
      <c r="N100" s="256"/>
      <c r="O100" s="113"/>
      <c r="P100" s="113"/>
      <c r="Q100" s="113"/>
      <c r="R100" s="113"/>
      <c r="S100" s="256"/>
      <c r="T100" s="113"/>
      <c r="U100" s="113"/>
      <c r="V100" s="113"/>
      <c r="W100" s="113"/>
      <c r="X100" s="256"/>
      <c r="Y100" s="113"/>
      <c r="Z100" s="113"/>
      <c r="AA100" s="113"/>
    </row>
    <row r="101" spans="3:27" x14ac:dyDescent="0.3">
      <c r="C101" s="113"/>
      <c r="D101" s="256"/>
      <c r="E101" s="113"/>
      <c r="F101" s="113"/>
      <c r="G101" s="113"/>
      <c r="H101" s="113"/>
      <c r="I101" s="256"/>
      <c r="J101" s="113"/>
      <c r="K101" s="113"/>
      <c r="L101" s="113"/>
      <c r="M101" s="113"/>
      <c r="N101" s="256"/>
      <c r="O101" s="113"/>
      <c r="P101" s="113"/>
      <c r="Q101" s="113"/>
      <c r="R101" s="113"/>
      <c r="S101" s="256"/>
      <c r="T101" s="113"/>
      <c r="U101" s="113"/>
      <c r="V101" s="113"/>
      <c r="W101" s="113"/>
      <c r="X101" s="256"/>
      <c r="Y101" s="113"/>
      <c r="Z101" s="113"/>
      <c r="AA101" s="113"/>
    </row>
    <row r="102" spans="3:27" x14ac:dyDescent="0.3">
      <c r="C102" s="113"/>
      <c r="D102" s="256"/>
      <c r="E102" s="113"/>
      <c r="F102" s="113"/>
      <c r="G102" s="113"/>
      <c r="H102" s="113"/>
      <c r="I102" s="256"/>
      <c r="J102" s="113"/>
      <c r="K102" s="113"/>
      <c r="L102" s="113"/>
      <c r="M102" s="113"/>
      <c r="N102" s="256"/>
      <c r="O102" s="113"/>
      <c r="P102" s="113"/>
      <c r="Q102" s="113"/>
      <c r="R102" s="113"/>
      <c r="S102" s="256"/>
      <c r="T102" s="113"/>
      <c r="U102" s="113"/>
      <c r="V102" s="113"/>
      <c r="W102" s="113"/>
      <c r="X102" s="256"/>
      <c r="Y102" s="113"/>
      <c r="Z102" s="113"/>
      <c r="AA102" s="113"/>
    </row>
    <row r="103" spans="3:27" x14ac:dyDescent="0.3">
      <c r="C103" s="113"/>
      <c r="D103" s="256"/>
      <c r="E103" s="113"/>
      <c r="F103" s="113"/>
      <c r="G103" s="113"/>
      <c r="H103" s="113"/>
      <c r="I103" s="256"/>
      <c r="J103" s="113"/>
      <c r="K103" s="113"/>
      <c r="L103" s="113"/>
      <c r="M103" s="113"/>
      <c r="N103" s="256"/>
      <c r="O103" s="113"/>
      <c r="P103" s="113"/>
      <c r="Q103" s="113"/>
      <c r="R103" s="113"/>
      <c r="S103" s="256"/>
      <c r="T103" s="113"/>
      <c r="U103" s="113"/>
      <c r="V103" s="113"/>
      <c r="W103" s="113"/>
      <c r="X103" s="256"/>
      <c r="Y103" s="113"/>
      <c r="Z103" s="113"/>
      <c r="AA103" s="113"/>
    </row>
    <row r="104" spans="3:27" x14ac:dyDescent="0.3">
      <c r="C104" s="113"/>
      <c r="D104" s="256"/>
      <c r="E104" s="113"/>
      <c r="F104" s="113"/>
      <c r="G104" s="113"/>
      <c r="H104" s="113"/>
      <c r="I104" s="256"/>
      <c r="J104" s="113"/>
      <c r="K104" s="113"/>
      <c r="L104" s="113"/>
      <c r="M104" s="113"/>
      <c r="N104" s="256"/>
      <c r="O104" s="113"/>
      <c r="P104" s="113"/>
      <c r="Q104" s="113"/>
      <c r="R104" s="113"/>
      <c r="S104" s="256"/>
      <c r="T104" s="113"/>
      <c r="U104" s="113"/>
      <c r="V104" s="113"/>
      <c r="W104" s="113"/>
      <c r="X104" s="256"/>
      <c r="Y104" s="113"/>
      <c r="Z104" s="113"/>
      <c r="AA104" s="113"/>
    </row>
    <row r="105" spans="3:27" x14ac:dyDescent="0.3">
      <c r="C105" s="113"/>
      <c r="D105" s="256"/>
      <c r="E105" s="113"/>
      <c r="F105" s="113"/>
      <c r="G105" s="113"/>
      <c r="H105" s="113"/>
      <c r="I105" s="256"/>
      <c r="J105" s="113"/>
      <c r="K105" s="113"/>
      <c r="L105" s="113"/>
      <c r="M105" s="113"/>
      <c r="N105" s="256"/>
      <c r="O105" s="113"/>
      <c r="P105" s="113"/>
      <c r="Q105" s="113"/>
      <c r="R105" s="113"/>
      <c r="S105" s="256"/>
      <c r="T105" s="113"/>
      <c r="U105" s="113"/>
      <c r="V105" s="113"/>
      <c r="W105" s="113"/>
      <c r="X105" s="256"/>
      <c r="Y105" s="113"/>
      <c r="Z105" s="113"/>
      <c r="AA105" s="113"/>
    </row>
    <row r="106" spans="3:27" x14ac:dyDescent="0.3">
      <c r="C106" s="113"/>
      <c r="D106" s="256"/>
      <c r="E106" s="113"/>
      <c r="F106" s="113"/>
      <c r="G106" s="113"/>
      <c r="H106" s="113"/>
      <c r="I106" s="256"/>
      <c r="J106" s="113"/>
      <c r="K106" s="113"/>
      <c r="L106" s="113"/>
      <c r="M106" s="113"/>
      <c r="N106" s="256"/>
      <c r="O106" s="113"/>
      <c r="P106" s="113"/>
      <c r="Q106" s="113"/>
      <c r="R106" s="113"/>
      <c r="S106" s="256"/>
      <c r="T106" s="113"/>
      <c r="U106" s="113"/>
      <c r="V106" s="113"/>
      <c r="W106" s="113"/>
      <c r="X106" s="256"/>
      <c r="Y106" s="113"/>
      <c r="Z106" s="113"/>
      <c r="AA106" s="113"/>
    </row>
    <row r="107" spans="3:27" x14ac:dyDescent="0.3">
      <c r="C107" s="113"/>
      <c r="D107" s="256"/>
      <c r="E107" s="113"/>
      <c r="F107" s="113"/>
      <c r="G107" s="113"/>
      <c r="H107" s="113"/>
      <c r="I107" s="256"/>
      <c r="J107" s="113"/>
      <c r="K107" s="113"/>
      <c r="L107" s="113"/>
      <c r="M107" s="113"/>
      <c r="N107" s="256"/>
      <c r="O107" s="113"/>
      <c r="P107" s="113"/>
      <c r="Q107" s="113"/>
      <c r="R107" s="113"/>
      <c r="S107" s="256"/>
      <c r="T107" s="113"/>
      <c r="U107" s="113"/>
      <c r="V107" s="113"/>
      <c r="W107" s="113"/>
      <c r="X107" s="256"/>
      <c r="Y107" s="113"/>
      <c r="Z107" s="113"/>
      <c r="AA107" s="113"/>
    </row>
    <row r="108" spans="3:27" x14ac:dyDescent="0.3">
      <c r="C108" s="113"/>
      <c r="D108" s="256"/>
      <c r="E108" s="113"/>
      <c r="F108" s="113"/>
      <c r="G108" s="113"/>
      <c r="H108" s="113"/>
      <c r="I108" s="256"/>
      <c r="J108" s="113"/>
      <c r="K108" s="113"/>
      <c r="L108" s="113"/>
      <c r="M108" s="113"/>
      <c r="N108" s="256"/>
      <c r="O108" s="113"/>
      <c r="P108" s="113"/>
      <c r="Q108" s="113"/>
      <c r="R108" s="113"/>
      <c r="S108" s="256"/>
      <c r="T108" s="113"/>
      <c r="U108" s="113"/>
      <c r="V108" s="113"/>
      <c r="W108" s="113"/>
      <c r="X108" s="256"/>
      <c r="Y108" s="113"/>
      <c r="Z108" s="113"/>
      <c r="AA108" s="113"/>
    </row>
    <row r="109" spans="3:27" x14ac:dyDescent="0.3">
      <c r="C109" s="113"/>
      <c r="D109" s="256"/>
      <c r="E109" s="113"/>
      <c r="F109" s="113"/>
      <c r="G109" s="113"/>
      <c r="H109" s="113"/>
      <c r="I109" s="256"/>
      <c r="J109" s="113"/>
      <c r="K109" s="113"/>
      <c r="L109" s="113"/>
      <c r="M109" s="113"/>
      <c r="N109" s="256"/>
      <c r="O109" s="113"/>
      <c r="P109" s="113"/>
      <c r="Q109" s="113"/>
      <c r="R109" s="113"/>
      <c r="S109" s="256"/>
      <c r="T109" s="113"/>
      <c r="U109" s="113"/>
      <c r="V109" s="113"/>
      <c r="W109" s="113"/>
      <c r="X109" s="256"/>
      <c r="Y109" s="113"/>
      <c r="Z109" s="113"/>
      <c r="AA109" s="113"/>
    </row>
    <row r="110" spans="3:27" x14ac:dyDescent="0.3">
      <c r="C110" s="113"/>
      <c r="D110" s="256"/>
      <c r="E110" s="113"/>
      <c r="F110" s="113"/>
      <c r="G110" s="113"/>
      <c r="H110" s="113"/>
      <c r="I110" s="256"/>
      <c r="J110" s="113"/>
      <c r="K110" s="113"/>
      <c r="L110" s="113"/>
      <c r="M110" s="113"/>
      <c r="N110" s="256"/>
      <c r="O110" s="113"/>
      <c r="P110" s="113"/>
      <c r="Q110" s="113"/>
      <c r="R110" s="113"/>
      <c r="S110" s="256"/>
      <c r="T110" s="113"/>
      <c r="U110" s="113"/>
      <c r="V110" s="113"/>
      <c r="W110" s="113"/>
      <c r="X110" s="256"/>
      <c r="Y110" s="113"/>
      <c r="Z110" s="113"/>
      <c r="AA110" s="113"/>
    </row>
    <row r="111" spans="3:27" x14ac:dyDescent="0.3">
      <c r="C111" s="113"/>
      <c r="D111" s="256"/>
      <c r="E111" s="113"/>
      <c r="F111" s="113"/>
      <c r="G111" s="113"/>
      <c r="H111" s="113"/>
      <c r="I111" s="256"/>
      <c r="J111" s="113"/>
      <c r="K111" s="113"/>
      <c r="L111" s="113"/>
      <c r="M111" s="113"/>
      <c r="N111" s="256"/>
      <c r="O111" s="113"/>
      <c r="P111" s="113"/>
      <c r="Q111" s="113"/>
      <c r="R111" s="113"/>
      <c r="S111" s="256"/>
      <c r="T111" s="113"/>
      <c r="U111" s="113"/>
      <c r="V111" s="113"/>
      <c r="W111" s="113"/>
      <c r="X111" s="256"/>
      <c r="Y111" s="113"/>
      <c r="Z111" s="113"/>
      <c r="AA111" s="113"/>
    </row>
    <row r="112" spans="3:27" x14ac:dyDescent="0.3">
      <c r="C112" s="113"/>
      <c r="D112" s="256"/>
      <c r="E112" s="113"/>
      <c r="F112" s="113"/>
      <c r="G112" s="113"/>
      <c r="H112" s="113"/>
      <c r="I112" s="256"/>
      <c r="J112" s="113"/>
      <c r="K112" s="113"/>
      <c r="L112" s="113"/>
      <c r="M112" s="113"/>
      <c r="N112" s="256"/>
      <c r="O112" s="113"/>
      <c r="P112" s="113"/>
      <c r="Q112" s="113"/>
      <c r="R112" s="113"/>
      <c r="S112" s="256"/>
      <c r="T112" s="113"/>
      <c r="U112" s="113"/>
      <c r="V112" s="113"/>
      <c r="W112" s="113"/>
      <c r="X112" s="256"/>
      <c r="Y112" s="113"/>
      <c r="Z112" s="113"/>
      <c r="AA112" s="113"/>
    </row>
    <row r="113" spans="3:27" x14ac:dyDescent="0.3">
      <c r="C113" s="113"/>
      <c r="D113" s="256"/>
      <c r="E113" s="113"/>
      <c r="F113" s="113"/>
      <c r="G113" s="113"/>
      <c r="H113" s="113"/>
      <c r="I113" s="256"/>
      <c r="J113" s="113"/>
      <c r="K113" s="113"/>
      <c r="L113" s="113"/>
      <c r="M113" s="113"/>
      <c r="N113" s="256"/>
      <c r="O113" s="113"/>
      <c r="P113" s="113"/>
      <c r="Q113" s="113"/>
      <c r="R113" s="113"/>
      <c r="S113" s="256"/>
      <c r="T113" s="113"/>
      <c r="U113" s="113"/>
      <c r="V113" s="113"/>
      <c r="W113" s="113"/>
      <c r="X113" s="256"/>
      <c r="Y113" s="113"/>
      <c r="Z113" s="113"/>
      <c r="AA113" s="113"/>
    </row>
  </sheetData>
  <mergeCells count="23">
    <mergeCell ref="BQ3:BU3"/>
    <mergeCell ref="BW3:CA3"/>
    <mergeCell ref="A69:B69"/>
    <mergeCell ref="A70:B70"/>
    <mergeCell ref="A77:B77"/>
    <mergeCell ref="BK3:BO3"/>
    <mergeCell ref="BF3:BJ3"/>
    <mergeCell ref="BA3:BE3"/>
    <mergeCell ref="AV3:AZ3"/>
    <mergeCell ref="AQ3:AU3"/>
    <mergeCell ref="A79:B79"/>
    <mergeCell ref="AL3:AP3"/>
    <mergeCell ref="AG3:AK3"/>
    <mergeCell ref="AB3:AF3"/>
    <mergeCell ref="W3:AA3"/>
    <mergeCell ref="A60:B60"/>
    <mergeCell ref="A59:B59"/>
    <mergeCell ref="C3:G3"/>
    <mergeCell ref="R3:V3"/>
    <mergeCell ref="M3:Q3"/>
    <mergeCell ref="H3:L3"/>
    <mergeCell ref="A40:B40"/>
    <mergeCell ref="A49:B49"/>
  </mergeCells>
  <pageMargins left="0.7" right="0.7" top="0.75" bottom="0.75" header="0.3" footer="0.3"/>
  <ignoredErrors>
    <ignoredError sqref="BK23:BL39 BK6:BL8 C12:E12 C32:E32 C40:E40 C49:E49 C59:E60 M23:O23 H32:J32 M32:O32 H40:J40 M40:O40 H49:J49 M49:O49 M59:O60 H59:J60 R23:T23 R32:T32 R40:T40 R49:T49 R59:T60 D13:E13 H12:J13 M12:O13 W13:Y13 BM12:BM50 R12:T13 AB32:AD32 AB12:AD13 AB40:AD40 AB60:AD60 BQ79:BS79 BW79:BY79 AH59:AH60 AI60 AG32:AI32 AH49:AI49 AC49:AD49 AI23 AG12:AI13 AG40:AI40 AG60 AL40:AN40 AM49:AN49 AM59 AL60:AN60 BK10:BL11 BL9 BK79 BK60:BL69 AQ12:AS13 AL12:AN13 BM59:BM77 BW5:BY77 BQ5:BS77 BK71:BL77 BK41:BL49 BL40 BM79 BK59 BK50 BK51:BK58 BL50:BL59 BM51:BM58 BK13:BL21 BL12" unlockedFormula="1"/>
    <ignoredError sqref="C76:E76 AG23 AL23:AN23" formulaRange="1"/>
    <ignoredError sqref="D23:E23 H23:J23 AB23:AD23 AH23" formulaRange="1" unlockedFormula="1"/>
    <ignoredError sqref="K12:K13 K23 K32 K49 K59:K60 K69:K70 K79 P13 P23 P32 P40 P49 P59:P60 P69:P70 P79 U12:U13 U23 U32 U40 U49 U59:U60 U69:U70 U79 U76:U77 P76:P77 K76:K77" formula="1"/>
    <ignoredError sqref="W12:Y12 W32:Y32 X40:Y40 W49:X49 W59:Y60 W23:Y23" formula="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11"/>
  <sheetViews>
    <sheetView tabSelected="1" zoomScale="80" zoomScaleNormal="80" workbookViewId="0">
      <pane xSplit="2" ySplit="4" topLeftCell="AW5" activePane="bottomRight" state="frozen"/>
      <selection pane="topRight" activeCell="C1" sqref="C1"/>
      <selection pane="bottomLeft" activeCell="A5" sqref="A5"/>
      <selection pane="bottomRight" activeCell="BC1" sqref="BC1:BD1"/>
    </sheetView>
  </sheetViews>
  <sheetFormatPr baseColWidth="10" defaultColWidth="11.44140625" defaultRowHeight="14.4" outlineLevelRow="2" x14ac:dyDescent="0.3"/>
  <cols>
    <col min="1" max="1" width="19.5546875" customWidth="1"/>
    <col min="2" max="2" width="38.44140625" customWidth="1"/>
    <col min="3" max="3" width="14.44140625" customWidth="1"/>
    <col min="4" max="6" width="11.88671875" customWidth="1"/>
    <col min="7" max="7" width="16.44140625" customWidth="1"/>
    <col min="8" max="10" width="11.88671875" customWidth="1"/>
    <col min="11" max="11" width="16.109375" customWidth="1"/>
    <col min="12" max="12" width="11.88671875" customWidth="1"/>
    <col min="13" max="14" width="11.88671875" style="85" customWidth="1"/>
    <col min="15" max="15" width="16" style="85" customWidth="1"/>
    <col min="16" max="18" width="11.88671875" style="85" customWidth="1"/>
    <col min="19" max="19" width="15.44140625" style="85" customWidth="1"/>
    <col min="20" max="22" width="11.88671875" style="85" customWidth="1"/>
    <col min="23" max="23" width="15.44140625" style="85" customWidth="1"/>
    <col min="24" max="26" width="11.88671875" customWidth="1"/>
    <col min="27" max="27" width="15.44140625" customWidth="1"/>
    <col min="28" max="30" width="11.88671875" customWidth="1"/>
    <col min="31" max="31" width="15.44140625" customWidth="1"/>
    <col min="32" max="34" width="11.88671875" customWidth="1"/>
    <col min="35" max="35" width="15.44140625" customWidth="1"/>
    <col min="36" max="38" width="11.88671875" customWidth="1"/>
    <col min="39" max="39" width="15.44140625" customWidth="1"/>
    <col min="40" max="42" width="11.88671875" customWidth="1"/>
    <col min="43" max="43" width="15.44140625" customWidth="1"/>
    <col min="44" max="46" width="11.88671875" customWidth="1"/>
    <col min="47" max="47" width="15.44140625" customWidth="1"/>
    <col min="48" max="49" width="11.88671875" customWidth="1"/>
    <col min="50" max="50" width="12.44140625" customWidth="1"/>
    <col min="51" max="51" width="15.44140625" customWidth="1"/>
    <col min="52" max="53" width="11.88671875" customWidth="1"/>
    <col min="54" max="54" width="13" customWidth="1"/>
  </cols>
  <sheetData>
    <row r="1" spans="1:57" x14ac:dyDescent="0.3">
      <c r="F1" s="44">
        <f>F59+J59+N59+R59+V59+Z59+AD59+AH59+AL59+AP59</f>
        <v>5012983.2299992843</v>
      </c>
      <c r="H1" s="44"/>
      <c r="M1"/>
      <c r="N1"/>
      <c r="O1" s="44"/>
      <c r="P1"/>
      <c r="Q1"/>
      <c r="R1"/>
      <c r="S1"/>
      <c r="T1"/>
      <c r="U1"/>
      <c r="V1"/>
      <c r="W1"/>
    </row>
    <row r="2" spans="1:57" x14ac:dyDescent="0.3">
      <c r="A2" s="20" t="s">
        <v>133</v>
      </c>
    </row>
    <row r="3" spans="1:57" x14ac:dyDescent="0.3">
      <c r="C3" s="325" t="s">
        <v>3</v>
      </c>
      <c r="D3" s="325"/>
      <c r="E3" s="325"/>
      <c r="F3" s="325"/>
      <c r="G3" s="325" t="s">
        <v>4</v>
      </c>
      <c r="H3" s="325"/>
      <c r="I3" s="325"/>
      <c r="J3" s="325"/>
      <c r="K3" s="325" t="s">
        <v>5</v>
      </c>
      <c r="L3" s="325"/>
      <c r="M3" s="325"/>
      <c r="N3" s="325"/>
      <c r="O3" s="326" t="s">
        <v>6</v>
      </c>
      <c r="P3" s="326"/>
      <c r="Q3" s="326"/>
      <c r="R3" s="326"/>
      <c r="S3" s="326" t="s">
        <v>7</v>
      </c>
      <c r="T3" s="326"/>
      <c r="U3" s="326"/>
      <c r="V3" s="326"/>
      <c r="W3" s="325" t="s">
        <v>8</v>
      </c>
      <c r="X3" s="325"/>
      <c r="Y3" s="325"/>
      <c r="Z3" s="325"/>
      <c r="AA3" s="325" t="s">
        <v>9</v>
      </c>
      <c r="AB3" s="325"/>
      <c r="AC3" s="325"/>
      <c r="AD3" s="325"/>
      <c r="AE3" s="325" t="s">
        <v>10</v>
      </c>
      <c r="AF3" s="325"/>
      <c r="AG3" s="325"/>
      <c r="AH3" s="325"/>
      <c r="AI3" s="325" t="s">
        <v>11</v>
      </c>
      <c r="AJ3" s="325"/>
      <c r="AK3" s="325"/>
      <c r="AL3" s="325"/>
      <c r="AM3" s="325" t="s">
        <v>12</v>
      </c>
      <c r="AN3" s="325"/>
      <c r="AO3" s="325"/>
      <c r="AP3" s="325"/>
      <c r="AQ3" s="325" t="s">
        <v>13</v>
      </c>
      <c r="AR3" s="325"/>
      <c r="AS3" s="325"/>
      <c r="AT3" s="325"/>
      <c r="AU3" s="325" t="s">
        <v>14</v>
      </c>
      <c r="AV3" s="325"/>
      <c r="AW3" s="325"/>
      <c r="AX3" s="325"/>
      <c r="AY3" s="318" t="s">
        <v>122</v>
      </c>
      <c r="AZ3" s="318"/>
      <c r="BA3" s="318"/>
      <c r="BB3" s="318"/>
    </row>
    <row r="4" spans="1:57" ht="45" customHeight="1" x14ac:dyDescent="0.3">
      <c r="A4" s="142" t="s">
        <v>20</v>
      </c>
      <c r="B4" s="143" t="s">
        <v>21</v>
      </c>
      <c r="C4" s="21" t="s">
        <v>134</v>
      </c>
      <c r="D4" s="84" t="s">
        <v>135</v>
      </c>
      <c r="E4" s="21" t="s">
        <v>136</v>
      </c>
      <c r="F4" s="22" t="s">
        <v>137</v>
      </c>
      <c r="G4" s="21" t="s">
        <v>134</v>
      </c>
      <c r="H4" s="21" t="s">
        <v>135</v>
      </c>
      <c r="I4" s="21" t="s">
        <v>136</v>
      </c>
      <c r="J4" s="22" t="s">
        <v>137</v>
      </c>
      <c r="K4" s="21" t="s">
        <v>134</v>
      </c>
      <c r="L4" s="21" t="s">
        <v>135</v>
      </c>
      <c r="M4" s="21" t="s">
        <v>136</v>
      </c>
      <c r="N4" s="22" t="s">
        <v>137</v>
      </c>
      <c r="O4" s="21" t="s">
        <v>134</v>
      </c>
      <c r="P4" s="21" t="s">
        <v>135</v>
      </c>
      <c r="Q4" s="21" t="s">
        <v>136</v>
      </c>
      <c r="R4" s="22" t="s">
        <v>137</v>
      </c>
      <c r="S4" s="21" t="s">
        <v>134</v>
      </c>
      <c r="T4" s="21" t="s">
        <v>135</v>
      </c>
      <c r="U4" s="21" t="s">
        <v>136</v>
      </c>
      <c r="V4" s="22" t="s">
        <v>137</v>
      </c>
      <c r="W4" s="21" t="s">
        <v>134</v>
      </c>
      <c r="X4" s="21" t="s">
        <v>135</v>
      </c>
      <c r="Y4" s="21" t="s">
        <v>136</v>
      </c>
      <c r="Z4" s="22" t="s">
        <v>137</v>
      </c>
      <c r="AA4" s="21" t="s">
        <v>134</v>
      </c>
      <c r="AB4" s="21" t="s">
        <v>135</v>
      </c>
      <c r="AC4" s="21" t="s">
        <v>136</v>
      </c>
      <c r="AD4" s="22" t="s">
        <v>137</v>
      </c>
      <c r="AE4" s="21" t="s">
        <v>134</v>
      </c>
      <c r="AF4" s="21" t="s">
        <v>135</v>
      </c>
      <c r="AG4" s="21" t="s">
        <v>136</v>
      </c>
      <c r="AH4" s="22" t="s">
        <v>137</v>
      </c>
      <c r="AI4" s="21" t="s">
        <v>134</v>
      </c>
      <c r="AJ4" s="21" t="s">
        <v>135</v>
      </c>
      <c r="AK4" s="21" t="s">
        <v>136</v>
      </c>
      <c r="AL4" s="22" t="s">
        <v>137</v>
      </c>
      <c r="AM4" s="21" t="s">
        <v>134</v>
      </c>
      <c r="AN4" s="21" t="s">
        <v>135</v>
      </c>
      <c r="AO4" s="21" t="s">
        <v>136</v>
      </c>
      <c r="AP4" s="22" t="s">
        <v>137</v>
      </c>
      <c r="AQ4" s="21" t="s">
        <v>134</v>
      </c>
      <c r="AR4" s="21" t="s">
        <v>135</v>
      </c>
      <c r="AS4" s="21" t="s">
        <v>136</v>
      </c>
      <c r="AT4" s="22" t="s">
        <v>137</v>
      </c>
      <c r="AU4" s="21" t="s">
        <v>134</v>
      </c>
      <c r="AV4" s="21" t="s">
        <v>135</v>
      </c>
      <c r="AW4" s="21" t="s">
        <v>136</v>
      </c>
      <c r="AX4" s="22" t="s">
        <v>137</v>
      </c>
      <c r="AY4" s="21" t="s">
        <v>134</v>
      </c>
      <c r="AZ4" s="21" t="s">
        <v>135</v>
      </c>
      <c r="BA4" s="21" t="s">
        <v>136</v>
      </c>
      <c r="BB4" s="22" t="s">
        <v>137</v>
      </c>
    </row>
    <row r="5" spans="1:57" outlineLevel="2" x14ac:dyDescent="0.3">
      <c r="A5" s="1" t="s">
        <v>25</v>
      </c>
      <c r="B5" s="2" t="s">
        <v>26</v>
      </c>
      <c r="C5" s="15">
        <v>9600</v>
      </c>
      <c r="D5" s="15">
        <v>18004</v>
      </c>
      <c r="E5" s="15">
        <v>8917</v>
      </c>
      <c r="F5" s="45">
        <f>SUM(C5:E5)</f>
        <v>36521</v>
      </c>
      <c r="G5" s="15">
        <v>9600</v>
      </c>
      <c r="H5" s="16">
        <v>18538.5</v>
      </c>
      <c r="I5" s="15">
        <v>8917</v>
      </c>
      <c r="J5" s="45">
        <f>SUM(G5:I5)</f>
        <v>37055.5</v>
      </c>
      <c r="K5" s="15">
        <v>9600</v>
      </c>
      <c r="L5" s="16">
        <v>18440</v>
      </c>
      <c r="M5" s="15">
        <v>8917</v>
      </c>
      <c r="N5" s="86">
        <f>SUM(K5:M5)</f>
        <v>36957</v>
      </c>
      <c r="O5" s="15">
        <v>9600</v>
      </c>
      <c r="P5" s="16">
        <v>19899</v>
      </c>
      <c r="Q5" s="15">
        <v>8917</v>
      </c>
      <c r="R5" s="86">
        <f>SUM(O5:Q5)</f>
        <v>38416</v>
      </c>
      <c r="S5" s="15">
        <v>9600</v>
      </c>
      <c r="T5" s="16">
        <v>20104.5</v>
      </c>
      <c r="U5" s="15">
        <v>8917</v>
      </c>
      <c r="V5" s="86">
        <f>SUM(S5:U5)</f>
        <v>38621.5</v>
      </c>
      <c r="W5" s="15">
        <v>9600</v>
      </c>
      <c r="X5" s="16">
        <v>18871.5</v>
      </c>
      <c r="Y5" s="15">
        <v>8917</v>
      </c>
      <c r="Z5" s="45">
        <f>SUM(W5:Y5)</f>
        <v>37388.5</v>
      </c>
      <c r="AA5" s="15">
        <v>9600</v>
      </c>
      <c r="AB5" s="16">
        <v>19044</v>
      </c>
      <c r="AC5" s="15">
        <v>8917</v>
      </c>
      <c r="AD5" s="45">
        <f>SUM(AA5:AC5)</f>
        <v>37561</v>
      </c>
      <c r="AE5" s="15">
        <v>9600</v>
      </c>
      <c r="AF5" s="16">
        <v>19317</v>
      </c>
      <c r="AG5" s="15">
        <v>8917</v>
      </c>
      <c r="AH5" s="45">
        <f>SUM(AE5:AG5)</f>
        <v>37834</v>
      </c>
      <c r="AI5" s="15">
        <v>9600</v>
      </c>
      <c r="AJ5" s="16">
        <v>20107</v>
      </c>
      <c r="AK5" s="15">
        <v>8917</v>
      </c>
      <c r="AL5" s="45">
        <f>SUM(AI5:AK5)</f>
        <v>38624</v>
      </c>
      <c r="AM5" s="15">
        <v>9600</v>
      </c>
      <c r="AN5" s="16">
        <v>20928</v>
      </c>
      <c r="AO5" s="15">
        <v>8917</v>
      </c>
      <c r="AP5" s="45">
        <f>SUM(AM5:AO5)</f>
        <v>39445</v>
      </c>
      <c r="AQ5" s="15">
        <v>9600</v>
      </c>
      <c r="AR5" s="16" t="s">
        <v>138</v>
      </c>
      <c r="AS5" s="15">
        <v>8917</v>
      </c>
      <c r="AT5" s="45">
        <f>SUM(AQ5:AS5)</f>
        <v>18517</v>
      </c>
      <c r="AU5" s="15">
        <v>9600</v>
      </c>
      <c r="AV5" s="16">
        <v>20928</v>
      </c>
      <c r="AW5" s="15">
        <v>8917</v>
      </c>
      <c r="AX5" s="45">
        <f>SUM(AU5:AW5)</f>
        <v>39445</v>
      </c>
      <c r="AY5" s="15">
        <f>SUM(AU5,AQ5,AM5,AI5,AE5,AA5,W5,S5,O5,K5,G5,C5)</f>
        <v>115200</v>
      </c>
      <c r="AZ5" s="15">
        <f>SUM(AV5,AR5,AN5,AJ5,AF5,AB5,X5,T5,P5,L5,H5,D5)</f>
        <v>214181.5</v>
      </c>
      <c r="BA5" s="15">
        <f>SUM(AW5,AS5,AO5,AK5,AG5,AC5,Y5,U5,Q5,M5,I5,E5)</f>
        <v>107004</v>
      </c>
      <c r="BB5" s="45">
        <f>SUM(AX5,AT5,AP5,AL5,AH5,AD5,Z5,V5,R5,N5,J5,F5)</f>
        <v>436385.5</v>
      </c>
      <c r="BD5" s="44">
        <f t="shared" ref="BD5:BD36" si="0">F5+J5+N5+R5+V5+Z5+AD5</f>
        <v>262520.5</v>
      </c>
    </row>
    <row r="6" spans="1:57" outlineLevel="2" x14ac:dyDescent="0.3">
      <c r="A6" s="3" t="s">
        <v>25</v>
      </c>
      <c r="B6" s="4" t="s">
        <v>27</v>
      </c>
      <c r="C6" s="16">
        <v>3600</v>
      </c>
      <c r="D6" s="16">
        <v>23611.7</v>
      </c>
      <c r="E6" s="16">
        <v>16860</v>
      </c>
      <c r="F6" s="45">
        <f t="shared" ref="F6:F69" si="1">SUM(C6:E6)</f>
        <v>44071.7</v>
      </c>
      <c r="G6" s="16">
        <v>3600</v>
      </c>
      <c r="H6" s="16">
        <v>26301</v>
      </c>
      <c r="I6" s="16">
        <v>16860</v>
      </c>
      <c r="J6" s="45">
        <f t="shared" ref="J6:J69" si="2">SUM(G6:I6)</f>
        <v>46761</v>
      </c>
      <c r="K6" s="16">
        <v>3600</v>
      </c>
      <c r="L6" s="16">
        <v>22274.35</v>
      </c>
      <c r="M6" s="16">
        <v>16860</v>
      </c>
      <c r="N6" s="86">
        <f t="shared" ref="N6:N69" si="3">SUM(K6:M6)</f>
        <v>42734.35</v>
      </c>
      <c r="O6" s="16">
        <v>3600</v>
      </c>
      <c r="P6" s="16">
        <v>26367.95</v>
      </c>
      <c r="Q6" s="16">
        <v>16860</v>
      </c>
      <c r="R6" s="86">
        <f t="shared" ref="R6:R69" si="4">SUM(O6:Q6)</f>
        <v>46827.95</v>
      </c>
      <c r="S6" s="16">
        <v>3600</v>
      </c>
      <c r="T6" s="16">
        <v>27054</v>
      </c>
      <c r="U6" s="16">
        <v>16860</v>
      </c>
      <c r="V6" s="86">
        <f t="shared" ref="V6:V69" si="5">SUM(S6:U6)</f>
        <v>47514</v>
      </c>
      <c r="W6" s="16">
        <v>3600</v>
      </c>
      <c r="X6" s="16">
        <v>26127.5</v>
      </c>
      <c r="Y6" s="16">
        <v>16860</v>
      </c>
      <c r="Z6" s="45">
        <f t="shared" ref="Z6:Z70" si="6">SUM(W6:Y6)</f>
        <v>46587.5</v>
      </c>
      <c r="AA6" s="16">
        <v>3600</v>
      </c>
      <c r="AB6" s="16">
        <v>25524.5</v>
      </c>
      <c r="AC6" s="16">
        <v>16860</v>
      </c>
      <c r="AD6" s="45">
        <f t="shared" ref="AD6:AD70" si="7">SUM(AA6:AC6)</f>
        <v>45984.5</v>
      </c>
      <c r="AE6" s="16">
        <v>3600</v>
      </c>
      <c r="AF6" s="16">
        <v>25679</v>
      </c>
      <c r="AG6" s="16">
        <v>16860</v>
      </c>
      <c r="AH6" s="45">
        <f t="shared" ref="AH6:AH70" si="8">SUM(AE6:AG6)</f>
        <v>46139</v>
      </c>
      <c r="AI6" s="16">
        <v>3600</v>
      </c>
      <c r="AJ6" s="16">
        <v>26706.75</v>
      </c>
      <c r="AK6" s="16">
        <v>16860</v>
      </c>
      <c r="AL6" s="45">
        <f t="shared" ref="AL6:AL70" si="9">SUM(AI6:AK6)</f>
        <v>47166.75</v>
      </c>
      <c r="AM6" s="16">
        <v>3600</v>
      </c>
      <c r="AN6" s="16">
        <v>27747.5</v>
      </c>
      <c r="AO6" s="16">
        <v>16860</v>
      </c>
      <c r="AP6" s="45">
        <f t="shared" ref="AP6:AP70" si="10">SUM(AM6:AO6)</f>
        <v>48207.5</v>
      </c>
      <c r="AQ6" s="16">
        <v>3600</v>
      </c>
      <c r="AR6" s="16">
        <v>26958.5</v>
      </c>
      <c r="AS6" s="16">
        <v>16860</v>
      </c>
      <c r="AT6" s="45">
        <f t="shared" ref="AT6:AT70" si="11">SUM(AQ6:AS6)</f>
        <v>47418.5</v>
      </c>
      <c r="AU6" s="16">
        <v>3600</v>
      </c>
      <c r="AV6" s="16">
        <v>25673.25</v>
      </c>
      <c r="AW6" s="16">
        <v>16860</v>
      </c>
      <c r="AX6" s="45">
        <f t="shared" ref="AX6:AX70" si="12">SUM(AU6:AW6)</f>
        <v>46133.25</v>
      </c>
      <c r="AY6" s="15">
        <f t="shared" ref="AY6:AY70" si="13">SUM(AU6,AQ6,AM6,AI6,AE6,AA6,W6,S6,O6,K6,G6,C6)</f>
        <v>43200</v>
      </c>
      <c r="AZ6" s="15">
        <f t="shared" ref="AZ6:AZ70" si="14">SUM(AV6,AR6,AN6,AJ6,AF6,AB6,X6,T6,P6,L6,H6,D6)</f>
        <v>310026.00000000006</v>
      </c>
      <c r="BA6" s="15">
        <f t="shared" ref="BA6:BA70" si="15">SUM(AW6,AS6,AO6,AK6,AG6,AC6,Y6,U6,Q6,M6,I6,E6)</f>
        <v>202320</v>
      </c>
      <c r="BB6" s="45">
        <f>SUM(AX6,AT6,AP6,AL6,AH6,AD6,Z6,V6,R6,N6,J6,F6)</f>
        <v>555546</v>
      </c>
      <c r="BD6" s="44">
        <f t="shared" si="0"/>
        <v>320481</v>
      </c>
    </row>
    <row r="7" spans="1:57" outlineLevel="2" x14ac:dyDescent="0.3">
      <c r="A7" s="3" t="s">
        <v>25</v>
      </c>
      <c r="B7" s="4" t="s">
        <v>28</v>
      </c>
      <c r="C7" s="16">
        <v>3400</v>
      </c>
      <c r="D7" s="16">
        <v>62094.990000000005</v>
      </c>
      <c r="E7" s="16">
        <v>12860</v>
      </c>
      <c r="F7" s="45">
        <f t="shared" si="1"/>
        <v>78354.990000000005</v>
      </c>
      <c r="G7" s="16">
        <v>3400</v>
      </c>
      <c r="H7" s="16">
        <v>59437.17</v>
      </c>
      <c r="I7" s="16">
        <v>12860</v>
      </c>
      <c r="J7" s="45">
        <f t="shared" si="2"/>
        <v>75697.17</v>
      </c>
      <c r="K7" s="16">
        <v>3400</v>
      </c>
      <c r="L7" s="16">
        <v>62072.59</v>
      </c>
      <c r="M7" s="16">
        <v>12860</v>
      </c>
      <c r="N7" s="86">
        <f t="shared" si="3"/>
        <v>78332.59</v>
      </c>
      <c r="O7" s="16">
        <v>3400</v>
      </c>
      <c r="P7" s="16">
        <v>65484.73</v>
      </c>
      <c r="Q7" s="16">
        <v>12860</v>
      </c>
      <c r="R7" s="86">
        <f t="shared" si="4"/>
        <v>81744.73000000001</v>
      </c>
      <c r="S7" s="16">
        <v>3400</v>
      </c>
      <c r="T7" s="16">
        <v>56405</v>
      </c>
      <c r="U7" s="16">
        <v>12860</v>
      </c>
      <c r="V7" s="86">
        <f>SUM(S7:U7)</f>
        <v>72665</v>
      </c>
      <c r="W7" s="16">
        <v>3400</v>
      </c>
      <c r="X7" s="16">
        <v>52670</v>
      </c>
      <c r="Y7" s="16">
        <v>12860</v>
      </c>
      <c r="Z7" s="45">
        <f t="shared" si="6"/>
        <v>68930</v>
      </c>
      <c r="AA7" s="16">
        <v>3400</v>
      </c>
      <c r="AB7" s="16">
        <v>56354</v>
      </c>
      <c r="AC7" s="16">
        <v>12860</v>
      </c>
      <c r="AD7" s="45">
        <f t="shared" si="7"/>
        <v>72614</v>
      </c>
      <c r="AE7" s="16">
        <v>3400</v>
      </c>
      <c r="AF7" s="47">
        <v>55456</v>
      </c>
      <c r="AG7" s="16">
        <v>12860</v>
      </c>
      <c r="AH7" s="45">
        <f t="shared" si="8"/>
        <v>71716</v>
      </c>
      <c r="AI7" s="16">
        <v>3400</v>
      </c>
      <c r="AJ7" s="47">
        <v>60331</v>
      </c>
      <c r="AK7" s="16">
        <v>12860</v>
      </c>
      <c r="AL7" s="45">
        <f t="shared" si="9"/>
        <v>76591</v>
      </c>
      <c r="AM7" s="16">
        <v>3400</v>
      </c>
      <c r="AN7" s="47">
        <v>59234</v>
      </c>
      <c r="AO7" s="16">
        <v>11940</v>
      </c>
      <c r="AP7" s="45">
        <f t="shared" si="10"/>
        <v>74574</v>
      </c>
      <c r="AQ7" s="16">
        <v>3400</v>
      </c>
      <c r="AR7" s="47">
        <v>57877</v>
      </c>
      <c r="AS7" s="16">
        <v>12217</v>
      </c>
      <c r="AT7" s="45">
        <f t="shared" si="11"/>
        <v>73494</v>
      </c>
      <c r="AU7" s="16">
        <v>3400</v>
      </c>
      <c r="AV7" s="47">
        <v>44236</v>
      </c>
      <c r="AW7" s="16">
        <v>10927</v>
      </c>
      <c r="AX7" s="45">
        <f t="shared" si="12"/>
        <v>58563</v>
      </c>
      <c r="AY7" s="15">
        <f t="shared" si="13"/>
        <v>40800</v>
      </c>
      <c r="AZ7" s="15">
        <f t="shared" si="14"/>
        <v>691652.48</v>
      </c>
      <c r="BA7" s="15">
        <f t="shared" si="15"/>
        <v>150824</v>
      </c>
      <c r="BB7" s="45">
        <f>SUM(AX7,AT7,AP7,AL7,AH7,AD7,Z7,V7,R7,N7,J7,F7)</f>
        <v>883276.48</v>
      </c>
      <c r="BC7" s="311">
        <f>(7/BB7)*1000000</f>
        <v>7.9250383753001108</v>
      </c>
      <c r="BD7" s="44">
        <f>F7+J7+N7+R7+V7+Z7+AD7</f>
        <v>528338.48</v>
      </c>
      <c r="BE7" s="44"/>
    </row>
    <row r="8" spans="1:57" outlineLevel="2" x14ac:dyDescent="0.3">
      <c r="A8" s="3" t="s">
        <v>25</v>
      </c>
      <c r="B8" s="4" t="s">
        <v>30</v>
      </c>
      <c r="C8" s="16">
        <v>2400</v>
      </c>
      <c r="D8" s="16">
        <v>22604.5</v>
      </c>
      <c r="E8" s="16">
        <v>10779</v>
      </c>
      <c r="F8" s="45">
        <f t="shared" si="1"/>
        <v>35783.5</v>
      </c>
      <c r="G8" s="16">
        <v>2400</v>
      </c>
      <c r="H8" s="16">
        <v>19837</v>
      </c>
      <c r="I8" s="16">
        <v>10779</v>
      </c>
      <c r="J8" s="45">
        <f t="shared" si="2"/>
        <v>33016</v>
      </c>
      <c r="K8" s="16">
        <v>2400</v>
      </c>
      <c r="L8" s="16">
        <v>21270.5</v>
      </c>
      <c r="M8" s="16">
        <v>10779</v>
      </c>
      <c r="N8" s="86">
        <f t="shared" si="3"/>
        <v>34449.5</v>
      </c>
      <c r="O8" s="16">
        <v>2400</v>
      </c>
      <c r="P8" s="16">
        <v>22084.5</v>
      </c>
      <c r="Q8" s="16">
        <v>10779</v>
      </c>
      <c r="R8" s="86">
        <f>SUM(O8:Q8)</f>
        <v>35263.5</v>
      </c>
      <c r="S8" s="16">
        <v>2400</v>
      </c>
      <c r="T8" s="16">
        <v>22528.5</v>
      </c>
      <c r="U8" s="16">
        <v>10779</v>
      </c>
      <c r="V8" s="86">
        <f t="shared" si="5"/>
        <v>35707.5</v>
      </c>
      <c r="W8" s="16">
        <v>2400</v>
      </c>
      <c r="X8" s="16">
        <v>22409</v>
      </c>
      <c r="Y8" s="16">
        <v>10779</v>
      </c>
      <c r="Z8" s="45">
        <f t="shared" si="6"/>
        <v>35588</v>
      </c>
      <c r="AA8" s="16">
        <v>2400</v>
      </c>
      <c r="AB8" s="16">
        <v>22369.5</v>
      </c>
      <c r="AC8" s="16">
        <v>10779</v>
      </c>
      <c r="AD8" s="45">
        <f t="shared" si="7"/>
        <v>35548.5</v>
      </c>
      <c r="AE8" s="16">
        <v>2400</v>
      </c>
      <c r="AF8" s="16">
        <v>22237</v>
      </c>
      <c r="AG8" s="16">
        <v>10779</v>
      </c>
      <c r="AH8" s="45">
        <f t="shared" si="8"/>
        <v>35416</v>
      </c>
      <c r="AI8" s="16">
        <v>2400</v>
      </c>
      <c r="AJ8" s="16">
        <v>21883.5</v>
      </c>
      <c r="AK8" s="16">
        <v>10779</v>
      </c>
      <c r="AL8" s="45">
        <f t="shared" si="9"/>
        <v>35062.5</v>
      </c>
      <c r="AM8" s="16">
        <v>2400</v>
      </c>
      <c r="AN8" s="16">
        <v>22665</v>
      </c>
      <c r="AO8" s="16">
        <v>10779</v>
      </c>
      <c r="AP8" s="45">
        <f t="shared" si="10"/>
        <v>35844</v>
      </c>
      <c r="AQ8" s="16">
        <v>2400</v>
      </c>
      <c r="AR8" s="16">
        <v>22978.5</v>
      </c>
      <c r="AS8" s="16">
        <v>10779</v>
      </c>
      <c r="AT8" s="45">
        <f t="shared" si="11"/>
        <v>36157.5</v>
      </c>
      <c r="AU8" s="16">
        <v>2400</v>
      </c>
      <c r="AV8" s="16">
        <v>19006</v>
      </c>
      <c r="AW8" s="16">
        <v>10779</v>
      </c>
      <c r="AX8" s="45">
        <f t="shared" si="12"/>
        <v>32185</v>
      </c>
      <c r="AY8" s="15">
        <f t="shared" si="13"/>
        <v>28800</v>
      </c>
      <c r="AZ8" s="15">
        <f t="shared" si="14"/>
        <v>261873.5</v>
      </c>
      <c r="BA8" s="15">
        <f t="shared" si="15"/>
        <v>129348</v>
      </c>
      <c r="BB8" s="45">
        <f t="shared" ref="BB8:BB70" si="16">SUM(AX8,AT8,AP8,AL8,AH8,AD8,Z8,V8,R8,N8,J8,F8)</f>
        <v>420021.5</v>
      </c>
      <c r="BD8" s="44">
        <f t="shared" si="0"/>
        <v>245356.5</v>
      </c>
    </row>
    <row r="9" spans="1:57" outlineLevel="2" x14ac:dyDescent="0.3">
      <c r="A9" s="3" t="s">
        <v>25</v>
      </c>
      <c r="B9" s="4" t="s">
        <v>31</v>
      </c>
      <c r="C9" s="16">
        <v>31000</v>
      </c>
      <c r="D9" s="16">
        <v>100631.9</v>
      </c>
      <c r="E9" s="16">
        <v>30473</v>
      </c>
      <c r="F9" s="45">
        <f t="shared" si="1"/>
        <v>162104.9</v>
      </c>
      <c r="G9" s="16">
        <v>31000</v>
      </c>
      <c r="H9" s="16">
        <v>93311.05</v>
      </c>
      <c r="I9" s="16">
        <v>30473</v>
      </c>
      <c r="J9" s="45">
        <f t="shared" si="2"/>
        <v>154784.04999999999</v>
      </c>
      <c r="K9" s="16">
        <v>31000</v>
      </c>
      <c r="L9" s="16">
        <v>94809.7</v>
      </c>
      <c r="M9" s="16">
        <v>30473</v>
      </c>
      <c r="N9" s="86">
        <f t="shared" si="3"/>
        <v>156282.70000000001</v>
      </c>
      <c r="O9" s="16">
        <v>31000</v>
      </c>
      <c r="P9" s="16">
        <v>105629.5</v>
      </c>
      <c r="Q9" s="16">
        <v>30473</v>
      </c>
      <c r="R9" s="86">
        <f t="shared" si="4"/>
        <v>167102.5</v>
      </c>
      <c r="S9" s="16">
        <v>31000</v>
      </c>
      <c r="T9" s="16">
        <v>104388.2</v>
      </c>
      <c r="U9" s="16">
        <f>30473+2980</f>
        <v>33453</v>
      </c>
      <c r="V9" s="86">
        <f t="shared" si="5"/>
        <v>168841.2</v>
      </c>
      <c r="W9" s="16">
        <v>31000</v>
      </c>
      <c r="X9" s="16">
        <v>96802.2</v>
      </c>
      <c r="Y9" s="16">
        <f>30473+3310</f>
        <v>33783</v>
      </c>
      <c r="Z9" s="45">
        <f t="shared" si="6"/>
        <v>161585.20000000001</v>
      </c>
      <c r="AA9" s="16">
        <v>31000</v>
      </c>
      <c r="AB9" s="16">
        <v>98879.5</v>
      </c>
      <c r="AC9" s="16">
        <v>30473</v>
      </c>
      <c r="AD9" s="45">
        <f t="shared" si="7"/>
        <v>160352.5</v>
      </c>
      <c r="AE9" s="16">
        <v>31000</v>
      </c>
      <c r="AF9" s="16">
        <v>98508.5</v>
      </c>
      <c r="AG9" s="16">
        <v>30473</v>
      </c>
      <c r="AH9" s="45">
        <f t="shared" si="8"/>
        <v>159981.5</v>
      </c>
      <c r="AI9" s="16">
        <v>31000</v>
      </c>
      <c r="AJ9" s="16">
        <v>100612.25</v>
      </c>
      <c r="AK9" s="16">
        <v>30473</v>
      </c>
      <c r="AL9" s="45">
        <f t="shared" si="9"/>
        <v>162085.25</v>
      </c>
      <c r="AM9" s="16">
        <v>31000</v>
      </c>
      <c r="AN9" s="16">
        <v>105668</v>
      </c>
      <c r="AO9" s="16">
        <v>30473</v>
      </c>
      <c r="AP9" s="45">
        <f>SUM(AM9:AO9)</f>
        <v>167141</v>
      </c>
      <c r="AQ9" s="16">
        <v>31000</v>
      </c>
      <c r="AR9" s="16">
        <v>103755</v>
      </c>
      <c r="AS9" s="16">
        <v>30473</v>
      </c>
      <c r="AT9" s="45">
        <f t="shared" si="11"/>
        <v>165228</v>
      </c>
      <c r="AU9" s="16">
        <v>31000</v>
      </c>
      <c r="AV9" s="16">
        <v>105632</v>
      </c>
      <c r="AW9" s="16">
        <v>30473</v>
      </c>
      <c r="AX9" s="45">
        <f t="shared" si="12"/>
        <v>167105</v>
      </c>
      <c r="AY9" s="15">
        <f t="shared" si="13"/>
        <v>372000</v>
      </c>
      <c r="AZ9" s="15">
        <f t="shared" si="14"/>
        <v>1208627.7999999998</v>
      </c>
      <c r="BA9" s="15">
        <f t="shared" si="15"/>
        <v>371966</v>
      </c>
      <c r="BB9" s="45">
        <f t="shared" si="16"/>
        <v>1952593.7999999998</v>
      </c>
      <c r="BD9" s="44">
        <f t="shared" si="0"/>
        <v>1131053.0499999998</v>
      </c>
    </row>
    <row r="10" spans="1:57" s="36" customFormat="1" outlineLevel="2" x14ac:dyDescent="0.3">
      <c r="A10" s="3" t="s">
        <v>25</v>
      </c>
      <c r="B10" s="4" t="s">
        <v>32</v>
      </c>
      <c r="C10" s="146">
        <v>2200</v>
      </c>
      <c r="D10" s="146">
        <v>26882</v>
      </c>
      <c r="E10" s="146">
        <v>5791</v>
      </c>
      <c r="F10" s="45">
        <f t="shared" si="1"/>
        <v>34873</v>
      </c>
      <c r="G10" s="146">
        <v>2200</v>
      </c>
      <c r="H10" s="146">
        <v>27727</v>
      </c>
      <c r="I10" s="146">
        <v>5791</v>
      </c>
      <c r="J10" s="45">
        <f t="shared" si="2"/>
        <v>35718</v>
      </c>
      <c r="K10" s="146">
        <v>2200</v>
      </c>
      <c r="L10" s="146">
        <v>29030</v>
      </c>
      <c r="M10" s="146">
        <v>5791</v>
      </c>
      <c r="N10" s="86">
        <f t="shared" si="3"/>
        <v>37021</v>
      </c>
      <c r="O10" s="146">
        <v>2200</v>
      </c>
      <c r="P10" s="146">
        <v>28803</v>
      </c>
      <c r="Q10" s="146">
        <v>5791</v>
      </c>
      <c r="R10" s="86">
        <f t="shared" si="4"/>
        <v>36794</v>
      </c>
      <c r="S10" s="146">
        <v>2200</v>
      </c>
      <c r="T10" s="146">
        <v>26338.5</v>
      </c>
      <c r="U10" s="146">
        <v>5791</v>
      </c>
      <c r="V10" s="86">
        <f t="shared" si="5"/>
        <v>34329.5</v>
      </c>
      <c r="W10" s="146">
        <v>2200</v>
      </c>
      <c r="X10" s="16">
        <v>21542.5</v>
      </c>
      <c r="Y10" s="146">
        <f>5791+4368</f>
        <v>10159</v>
      </c>
      <c r="Z10" s="45">
        <f t="shared" si="6"/>
        <v>33901.5</v>
      </c>
      <c r="AA10" s="146">
        <v>2200</v>
      </c>
      <c r="AB10" s="16">
        <v>22614.5</v>
      </c>
      <c r="AC10" s="146">
        <f>5791+4368</f>
        <v>10159</v>
      </c>
      <c r="AD10" s="45">
        <f t="shared" si="7"/>
        <v>34973.5</v>
      </c>
      <c r="AE10" s="146">
        <v>2200</v>
      </c>
      <c r="AF10" s="16">
        <v>21454</v>
      </c>
      <c r="AG10" s="146">
        <f>5791+4368</f>
        <v>10159</v>
      </c>
      <c r="AH10" s="45">
        <f t="shared" si="8"/>
        <v>33813</v>
      </c>
      <c r="AI10" s="146">
        <v>2200</v>
      </c>
      <c r="AJ10" s="16">
        <v>21379.5</v>
      </c>
      <c r="AK10" s="146">
        <f>5791+4368</f>
        <v>10159</v>
      </c>
      <c r="AL10" s="45">
        <f t="shared" si="9"/>
        <v>33738.5</v>
      </c>
      <c r="AM10" s="146">
        <v>2200</v>
      </c>
      <c r="AN10" s="16">
        <v>23694</v>
      </c>
      <c r="AO10" s="146">
        <f>5791+4368</f>
        <v>10159</v>
      </c>
      <c r="AP10" s="45">
        <f t="shared" si="10"/>
        <v>36053</v>
      </c>
      <c r="AQ10" s="146">
        <v>2200</v>
      </c>
      <c r="AR10" s="16">
        <v>22375</v>
      </c>
      <c r="AS10" s="146">
        <f>5791+4368</f>
        <v>10159</v>
      </c>
      <c r="AT10" s="45">
        <f t="shared" si="11"/>
        <v>34734</v>
      </c>
      <c r="AU10" s="146">
        <v>2200</v>
      </c>
      <c r="AV10" s="16">
        <v>22304</v>
      </c>
      <c r="AW10" s="146">
        <f>5791+4368</f>
        <v>10159</v>
      </c>
      <c r="AX10" s="45">
        <f t="shared" si="12"/>
        <v>34663</v>
      </c>
      <c r="AY10" s="147">
        <f t="shared" si="13"/>
        <v>26400</v>
      </c>
      <c r="AZ10" s="147">
        <f t="shared" si="14"/>
        <v>294144</v>
      </c>
      <c r="BA10" s="147">
        <f t="shared" si="15"/>
        <v>100068</v>
      </c>
      <c r="BB10" s="45">
        <f t="shared" si="16"/>
        <v>420612</v>
      </c>
      <c r="BD10" s="44">
        <f t="shared" si="0"/>
        <v>247610.5</v>
      </c>
    </row>
    <row r="11" spans="1:57" outlineLevel="2" x14ac:dyDescent="0.3">
      <c r="A11" s="3" t="s">
        <v>25</v>
      </c>
      <c r="B11" s="5" t="s">
        <v>33</v>
      </c>
      <c r="C11" s="16">
        <v>6600</v>
      </c>
      <c r="D11" s="16">
        <v>41331</v>
      </c>
      <c r="E11" s="16">
        <v>16892</v>
      </c>
      <c r="F11" s="45">
        <f t="shared" si="1"/>
        <v>64823</v>
      </c>
      <c r="G11" s="16">
        <v>6600</v>
      </c>
      <c r="H11" s="16">
        <v>36106</v>
      </c>
      <c r="I11" s="16">
        <v>16892</v>
      </c>
      <c r="J11" s="45">
        <f t="shared" si="2"/>
        <v>59598</v>
      </c>
      <c r="K11" s="16">
        <v>6600</v>
      </c>
      <c r="L11" s="16">
        <v>43210</v>
      </c>
      <c r="M11" s="16">
        <v>16892</v>
      </c>
      <c r="N11" s="86">
        <f t="shared" si="3"/>
        <v>66702</v>
      </c>
      <c r="O11" s="16">
        <v>6600</v>
      </c>
      <c r="P11" s="16">
        <v>41135</v>
      </c>
      <c r="Q11" s="16">
        <v>16892</v>
      </c>
      <c r="R11" s="86">
        <f t="shared" si="4"/>
        <v>64627</v>
      </c>
      <c r="S11" s="16">
        <v>6600</v>
      </c>
      <c r="T11" s="16">
        <v>41685.5</v>
      </c>
      <c r="U11" s="16">
        <v>16892</v>
      </c>
      <c r="V11" s="86">
        <f>SUM(S11:U11)</f>
        <v>65177.5</v>
      </c>
      <c r="W11" s="16">
        <v>6600</v>
      </c>
      <c r="X11" s="16">
        <v>37453</v>
      </c>
      <c r="Y11" s="16">
        <v>16892</v>
      </c>
      <c r="Z11" s="45">
        <f>SUM(W11:Y11)</f>
        <v>60945</v>
      </c>
      <c r="AA11" s="16">
        <v>6600</v>
      </c>
      <c r="AB11" s="16">
        <v>42331.5</v>
      </c>
      <c r="AC11" s="16">
        <v>16892</v>
      </c>
      <c r="AD11" s="45">
        <f>SUM(AA11:AC11)</f>
        <v>65823.5</v>
      </c>
      <c r="AE11" s="16">
        <v>6600</v>
      </c>
      <c r="AF11" s="16">
        <v>39508</v>
      </c>
      <c r="AG11" s="16">
        <v>16892</v>
      </c>
      <c r="AH11" s="45">
        <f t="shared" si="8"/>
        <v>63000</v>
      </c>
      <c r="AI11" s="16">
        <v>6600</v>
      </c>
      <c r="AJ11" s="16">
        <v>42322.54</v>
      </c>
      <c r="AK11" s="16">
        <v>16892</v>
      </c>
      <c r="AL11" s="45">
        <f>SUM(AI11:AK11)</f>
        <v>65814.540000000008</v>
      </c>
      <c r="AM11" s="16">
        <v>6600</v>
      </c>
      <c r="AN11" s="16">
        <v>42007</v>
      </c>
      <c r="AO11" s="16">
        <v>16892</v>
      </c>
      <c r="AP11" s="45">
        <f t="shared" si="10"/>
        <v>65499</v>
      </c>
      <c r="AQ11" s="16">
        <v>6600</v>
      </c>
      <c r="AR11" s="16">
        <v>39615</v>
      </c>
      <c r="AS11" s="16">
        <v>16892</v>
      </c>
      <c r="AT11" s="45">
        <f t="shared" si="11"/>
        <v>63107</v>
      </c>
      <c r="AU11" s="16">
        <v>6600</v>
      </c>
      <c r="AV11" s="16">
        <v>34398.5</v>
      </c>
      <c r="AW11" s="16">
        <v>16892</v>
      </c>
      <c r="AX11" s="45">
        <f>SUM(AU11:AW11)</f>
        <v>57890.5</v>
      </c>
      <c r="AY11" s="15">
        <f t="shared" si="13"/>
        <v>79200</v>
      </c>
      <c r="AZ11" s="15">
        <f>SUM(AV11,AR11,AN11,AJ11,AF11,AB11,X11,T11,P11,L11,H11,D11)</f>
        <v>481103.04000000004</v>
      </c>
      <c r="BA11" s="147">
        <f>SUM(AW11,AS11,AO11,AK11,AG11,AC11,Y11,U11,Q11,M11,I11,E11)</f>
        <v>202704</v>
      </c>
      <c r="BB11" s="45">
        <f>SUM(AX11,AT11,AP11,AL11,AH11,AD11,Z11,V11,R11,N11,J11,F11)</f>
        <v>763007.04</v>
      </c>
      <c r="BD11" s="44">
        <f t="shared" si="0"/>
        <v>447696</v>
      </c>
    </row>
    <row r="12" spans="1:57" s="19" customFormat="1" outlineLevel="1" x14ac:dyDescent="0.3">
      <c r="A12" s="6" t="s">
        <v>25</v>
      </c>
      <c r="B12" s="7" t="s">
        <v>34</v>
      </c>
      <c r="C12" s="12">
        <f>SUM(C5:C11)</f>
        <v>58800</v>
      </c>
      <c r="D12" s="12">
        <f t="shared" ref="D12:E12" si="17">SUM(D5:D11)</f>
        <v>295160.08999999997</v>
      </c>
      <c r="E12" s="12">
        <f t="shared" si="17"/>
        <v>102572</v>
      </c>
      <c r="F12" s="45">
        <f t="shared" si="1"/>
        <v>456532.08999999997</v>
      </c>
      <c r="G12" s="12">
        <f>SUM(G5:G11)</f>
        <v>58800</v>
      </c>
      <c r="H12" s="12">
        <f t="shared" ref="H12" si="18">SUM(H5:H11)</f>
        <v>281257.71999999997</v>
      </c>
      <c r="I12" s="12">
        <f t="shared" ref="I12" si="19">SUM(I5:I11)</f>
        <v>102572</v>
      </c>
      <c r="J12" s="45">
        <f t="shared" si="2"/>
        <v>442629.72</v>
      </c>
      <c r="K12" s="12">
        <f>SUM(K5:K11)</f>
        <v>58800</v>
      </c>
      <c r="L12" s="12">
        <f t="shared" ref="L12" si="20">SUM(L5:L11)</f>
        <v>291107.14</v>
      </c>
      <c r="M12" s="12">
        <f t="shared" ref="M12" si="21">SUM(M5:M11)</f>
        <v>102572</v>
      </c>
      <c r="N12" s="86">
        <f t="shared" si="3"/>
        <v>452479.14</v>
      </c>
      <c r="O12" s="12">
        <f>SUM(O5:O11)</f>
        <v>58800</v>
      </c>
      <c r="P12" s="12">
        <f t="shared" ref="P12" si="22">SUM(P5:P11)</f>
        <v>309403.68</v>
      </c>
      <c r="Q12" s="12">
        <f t="shared" ref="Q12" si="23">SUM(Q5:Q11)</f>
        <v>102572</v>
      </c>
      <c r="R12" s="86">
        <f t="shared" si="4"/>
        <v>470775.68</v>
      </c>
      <c r="S12" s="12">
        <f>SUM(S5:S11)</f>
        <v>58800</v>
      </c>
      <c r="T12" s="12">
        <f t="shared" ref="T12" si="24">SUM(T5:T11)</f>
        <v>298504.2</v>
      </c>
      <c r="U12" s="12">
        <f t="shared" ref="U12" si="25">SUM(U5:U11)</f>
        <v>105552</v>
      </c>
      <c r="V12" s="86">
        <f t="shared" si="5"/>
        <v>462856.2</v>
      </c>
      <c r="W12" s="12">
        <f>SUM(W5:W11)</f>
        <v>58800</v>
      </c>
      <c r="X12" s="12">
        <f t="shared" ref="X12" si="26">SUM(X5:X11)</f>
        <v>275875.7</v>
      </c>
      <c r="Y12" s="12">
        <f t="shared" ref="Y12" si="27">SUM(Y5:Y11)</f>
        <v>110250</v>
      </c>
      <c r="Z12" s="45">
        <f t="shared" si="6"/>
        <v>444925.7</v>
      </c>
      <c r="AA12" s="12">
        <f>SUM(AA5:AA11)</f>
        <v>58800</v>
      </c>
      <c r="AB12" s="12">
        <f t="shared" ref="AB12:AC12" si="28">SUM(AB5:AB11)</f>
        <v>287117.5</v>
      </c>
      <c r="AC12" s="12">
        <f t="shared" si="28"/>
        <v>106940</v>
      </c>
      <c r="AD12" s="45">
        <f t="shared" si="7"/>
        <v>452857.5</v>
      </c>
      <c r="AE12" s="12">
        <f>SUM(AE5:AE11)</f>
        <v>58800</v>
      </c>
      <c r="AF12" s="12">
        <f t="shared" ref="AF12:AG12" si="29">SUM(AF5:AF11)</f>
        <v>282159.5</v>
      </c>
      <c r="AG12" s="12">
        <f t="shared" si="29"/>
        <v>106940</v>
      </c>
      <c r="AH12" s="45">
        <f t="shared" si="8"/>
        <v>447899.5</v>
      </c>
      <c r="AI12" s="12">
        <f>SUM(AI5:AI11)</f>
        <v>58800</v>
      </c>
      <c r="AJ12" s="12">
        <f t="shared" ref="AJ12:AK12" si="30">SUM(AJ5:AJ11)</f>
        <v>293342.53999999998</v>
      </c>
      <c r="AK12" s="12">
        <f t="shared" si="30"/>
        <v>106940</v>
      </c>
      <c r="AL12" s="45">
        <f t="shared" si="9"/>
        <v>459082.54</v>
      </c>
      <c r="AM12" s="12">
        <f>SUM(AM5:AM11)</f>
        <v>58800</v>
      </c>
      <c r="AN12" s="12">
        <f t="shared" ref="AN12:AO12" si="31">SUM(AN5:AN11)</f>
        <v>301943.5</v>
      </c>
      <c r="AO12" s="12">
        <f t="shared" si="31"/>
        <v>106020</v>
      </c>
      <c r="AP12" s="45">
        <f t="shared" si="10"/>
        <v>466763.5</v>
      </c>
      <c r="AQ12" s="12">
        <f>SUM(AQ5:AQ11)</f>
        <v>58800</v>
      </c>
      <c r="AR12" s="12">
        <f t="shared" ref="AR12:AS12" si="32">SUM(AR5:AR11)</f>
        <v>273559</v>
      </c>
      <c r="AS12" s="12">
        <f t="shared" si="32"/>
        <v>106297</v>
      </c>
      <c r="AT12" s="45">
        <f t="shared" si="11"/>
        <v>438656</v>
      </c>
      <c r="AU12" s="12">
        <f>SUM(AU5:AU11)</f>
        <v>58800</v>
      </c>
      <c r="AV12" s="12">
        <f>SUM(AV5:AV11)</f>
        <v>272177.75</v>
      </c>
      <c r="AW12" s="12">
        <f>SUM(AW5:AW11)</f>
        <v>105007</v>
      </c>
      <c r="AX12" s="45">
        <f t="shared" si="12"/>
        <v>435984.75</v>
      </c>
      <c r="AY12" s="15">
        <f t="shared" si="13"/>
        <v>705600</v>
      </c>
      <c r="AZ12" s="15">
        <f t="shared" si="14"/>
        <v>3461608.3200000003</v>
      </c>
      <c r="BA12" s="15">
        <f t="shared" si="15"/>
        <v>1264234</v>
      </c>
      <c r="BB12" s="45">
        <f t="shared" si="16"/>
        <v>5431442.3200000003</v>
      </c>
      <c r="BD12" s="44">
        <f t="shared" si="0"/>
        <v>3183056.0300000003</v>
      </c>
    </row>
    <row r="13" spans="1:57" s="19" customFormat="1" outlineLevel="1" x14ac:dyDescent="0.3">
      <c r="A13" s="6" t="s">
        <v>25</v>
      </c>
      <c r="B13" s="7" t="s">
        <v>35</v>
      </c>
      <c r="C13" s="12">
        <f>SUM(C14:C22)</f>
        <v>16400</v>
      </c>
      <c r="D13" s="49">
        <f>SUM(D14:D22)</f>
        <v>91711.16</v>
      </c>
      <c r="E13" s="49">
        <f>SUM(E14:E22)</f>
        <v>47692.47</v>
      </c>
      <c r="F13" s="45">
        <f>SUM(C13:E13)</f>
        <v>155803.63</v>
      </c>
      <c r="G13" s="12">
        <f>SUM(G14:G22)</f>
        <v>16400</v>
      </c>
      <c r="H13" s="49">
        <f>SUM(H14:H22)</f>
        <v>91711.16</v>
      </c>
      <c r="I13" s="49">
        <f>SUM(I14:I22)</f>
        <v>47269.17</v>
      </c>
      <c r="J13" s="45">
        <f>SUM(G13:I13)</f>
        <v>155380.33000000002</v>
      </c>
      <c r="K13" s="12">
        <f>SUM(K14:K22)</f>
        <v>16400</v>
      </c>
      <c r="L13" s="49">
        <f>SUM(L14:L22)</f>
        <v>91711.16</v>
      </c>
      <c r="M13" s="49">
        <f>SUM(M14:M22)</f>
        <v>48799.47</v>
      </c>
      <c r="N13" s="86">
        <f>SUM(K13:M13)</f>
        <v>156910.63</v>
      </c>
      <c r="O13" s="12">
        <f>SUM(O14:O22)</f>
        <v>16400</v>
      </c>
      <c r="P13" s="49">
        <f>SUM(P14:P22)</f>
        <v>162172.03999999998</v>
      </c>
      <c r="Q13" s="49">
        <f>SUM(Q14:Q22)</f>
        <v>53917</v>
      </c>
      <c r="R13" s="86">
        <f>SUM(O13:Q13)</f>
        <v>232489.03999999998</v>
      </c>
      <c r="S13" s="12">
        <f>SUM(S14:S22)</f>
        <v>16400</v>
      </c>
      <c r="T13" s="49">
        <f>SUM(T14:T22)</f>
        <v>180305.5</v>
      </c>
      <c r="U13" s="49">
        <f>SUM(U14:U22)</f>
        <v>51418</v>
      </c>
      <c r="V13" s="86">
        <f>SUM(S13:U13)</f>
        <v>248123.5</v>
      </c>
      <c r="W13" s="12">
        <f>SUM(W14:W22)</f>
        <v>15600</v>
      </c>
      <c r="X13" s="49">
        <f>SUM(X14:X22)</f>
        <v>111604</v>
      </c>
      <c r="Y13" s="49">
        <f>SUM(Y14:Y22)</f>
        <v>117636.5</v>
      </c>
      <c r="Z13" s="45">
        <f>SUM(W13:Y13)</f>
        <v>244840.5</v>
      </c>
      <c r="AA13" s="12">
        <f>SUM(AA14:AA22)</f>
        <v>15600</v>
      </c>
      <c r="AB13" s="49">
        <f>SUM(AB14:AB22)</f>
        <v>111364</v>
      </c>
      <c r="AC13" s="49">
        <f>SUM(AC14:AC22)</f>
        <v>116049.5</v>
      </c>
      <c r="AD13" s="45">
        <f>SUM(AA13:AC13)</f>
        <v>243013.5</v>
      </c>
      <c r="AE13" s="12">
        <f>SUM(AE14:AE22)</f>
        <v>15600</v>
      </c>
      <c r="AF13" s="12">
        <f t="shared" ref="AF13" si="33">SUM(AF14:AF22)</f>
        <v>119335</v>
      </c>
      <c r="AG13" s="12">
        <f>SUM(AG14:AG22)</f>
        <v>117138.553</v>
      </c>
      <c r="AH13" s="45">
        <f>SUM(AE13:AG13)</f>
        <v>252073.55300000001</v>
      </c>
      <c r="AI13" s="12">
        <f>+SUM(AI14:AI22)</f>
        <v>15600</v>
      </c>
      <c r="AJ13" s="12">
        <f t="shared" ref="AJ13" si="34">+SUM(AJ14:AJ22)</f>
        <v>118221</v>
      </c>
      <c r="AK13" s="12">
        <f>+SUM(AK14:AK22)</f>
        <v>119136.36</v>
      </c>
      <c r="AL13" s="45">
        <f>SUM(AI13:AK13)</f>
        <v>252957.36</v>
      </c>
      <c r="AM13" s="284">
        <f>SUM(AM14:AM22)</f>
        <v>15600</v>
      </c>
      <c r="AN13" s="284">
        <f>SUM(AN14:AN22)</f>
        <v>136085</v>
      </c>
      <c r="AO13" s="284">
        <f>SUM(AO14:AO22)</f>
        <v>121441.5</v>
      </c>
      <c r="AP13" s="45">
        <f>SUM(AM13:AO13)</f>
        <v>273126.5</v>
      </c>
      <c r="AQ13" s="284">
        <f>SUM(AQ14:AQ22)</f>
        <v>15600</v>
      </c>
      <c r="AR13" s="284">
        <f>SUM(AR14:AR22)</f>
        <v>136085</v>
      </c>
      <c r="AS13" s="284">
        <f>SUM(AS14:AS22)</f>
        <v>121441.5</v>
      </c>
      <c r="AT13" s="45">
        <f>SUM(AQ13:AS13)</f>
        <v>273126.5</v>
      </c>
      <c r="AU13" s="284">
        <f>SUM(AU14:AU22)</f>
        <v>15600</v>
      </c>
      <c r="AV13" s="284">
        <f>SUM(AV14:AV22)</f>
        <v>136085</v>
      </c>
      <c r="AW13" s="284">
        <f>SUM(AW14:AW22)</f>
        <v>121441.5</v>
      </c>
      <c r="AX13" s="45">
        <f>SUM(AU13:AW13)</f>
        <v>273126.5</v>
      </c>
      <c r="AY13" s="15">
        <f>SUM(AU13,AQ13,AM13,AI13,AE13,AA13,W13,S13,O13,K13,G13,C13)</f>
        <v>191200</v>
      </c>
      <c r="AZ13" s="15">
        <f t="shared" si="14"/>
        <v>1486390.0199999998</v>
      </c>
      <c r="BA13" s="15">
        <f t="shared" si="15"/>
        <v>1083381.523</v>
      </c>
      <c r="BB13" s="45">
        <f t="shared" si="16"/>
        <v>2760971.5429999996</v>
      </c>
      <c r="BD13" s="44">
        <f t="shared" si="0"/>
        <v>1436561.13</v>
      </c>
    </row>
    <row r="14" spans="1:57" outlineLevel="2" x14ac:dyDescent="0.3">
      <c r="A14" s="3" t="s">
        <v>25</v>
      </c>
      <c r="B14" s="4" t="s">
        <v>36</v>
      </c>
      <c r="C14" s="16">
        <v>2000</v>
      </c>
      <c r="D14" s="16">
        <v>25405.33</v>
      </c>
      <c r="E14" s="16">
        <v>20876</v>
      </c>
      <c r="F14" s="45">
        <f t="shared" si="1"/>
        <v>48281.33</v>
      </c>
      <c r="G14" s="16">
        <v>2000</v>
      </c>
      <c r="H14" s="16">
        <v>25405.33</v>
      </c>
      <c r="I14" s="16">
        <v>20876</v>
      </c>
      <c r="J14" s="45">
        <f t="shared" si="2"/>
        <v>48281.33</v>
      </c>
      <c r="K14" s="16">
        <v>2000</v>
      </c>
      <c r="L14" s="16">
        <v>25405.33</v>
      </c>
      <c r="M14" s="16">
        <v>20876</v>
      </c>
      <c r="N14" s="86">
        <f t="shared" si="3"/>
        <v>48281.33</v>
      </c>
      <c r="O14" s="16">
        <v>2000</v>
      </c>
      <c r="P14" s="16">
        <v>28697.81</v>
      </c>
      <c r="Q14" s="16">
        <v>20876</v>
      </c>
      <c r="R14" s="86">
        <f t="shared" si="4"/>
        <v>51573.81</v>
      </c>
      <c r="S14" s="16">
        <v>2000</v>
      </c>
      <c r="T14" s="16">
        <v>35694</v>
      </c>
      <c r="U14" s="16">
        <v>20876</v>
      </c>
      <c r="V14" s="86">
        <f t="shared" si="5"/>
        <v>58570</v>
      </c>
      <c r="W14" s="16">
        <v>2000</v>
      </c>
      <c r="X14" s="16">
        <v>35099</v>
      </c>
      <c r="Y14" s="16">
        <v>20876</v>
      </c>
      <c r="Z14" s="45">
        <f t="shared" si="6"/>
        <v>57975</v>
      </c>
      <c r="AA14" s="16">
        <v>2000</v>
      </c>
      <c r="AB14" s="16">
        <v>35099</v>
      </c>
      <c r="AC14" s="16">
        <v>20876</v>
      </c>
      <c r="AD14" s="45">
        <f t="shared" si="7"/>
        <v>57975</v>
      </c>
      <c r="AE14" s="16">
        <v>2000</v>
      </c>
      <c r="AF14" s="16">
        <v>36233</v>
      </c>
      <c r="AG14" s="16">
        <v>20876</v>
      </c>
      <c r="AH14" s="45">
        <f t="shared" si="8"/>
        <v>59109</v>
      </c>
      <c r="AI14" s="16">
        <v>2000</v>
      </c>
      <c r="AJ14" s="16">
        <v>35183</v>
      </c>
      <c r="AK14" s="16">
        <v>20876</v>
      </c>
      <c r="AL14" s="45">
        <f t="shared" si="9"/>
        <v>58059</v>
      </c>
      <c r="AM14" s="242">
        <v>2000</v>
      </c>
      <c r="AN14" s="242">
        <v>35183</v>
      </c>
      <c r="AO14" s="16">
        <v>20876</v>
      </c>
      <c r="AP14" s="45">
        <f t="shared" si="10"/>
        <v>58059</v>
      </c>
      <c r="AQ14" s="242">
        <v>2000</v>
      </c>
      <c r="AR14" s="242">
        <v>35183</v>
      </c>
      <c r="AS14" s="16">
        <v>20876</v>
      </c>
      <c r="AT14" s="45">
        <f t="shared" si="11"/>
        <v>58059</v>
      </c>
      <c r="AU14" s="242">
        <v>2000</v>
      </c>
      <c r="AV14" s="242">
        <v>35183</v>
      </c>
      <c r="AW14" s="16">
        <v>20876</v>
      </c>
      <c r="AX14" s="45">
        <f t="shared" si="12"/>
        <v>58059</v>
      </c>
      <c r="AY14" s="15">
        <f t="shared" si="13"/>
        <v>24000</v>
      </c>
      <c r="AZ14" s="15">
        <f t="shared" si="14"/>
        <v>387770.80000000005</v>
      </c>
      <c r="BA14" s="15">
        <f t="shared" si="15"/>
        <v>250512</v>
      </c>
      <c r="BB14" s="45">
        <f t="shared" si="16"/>
        <v>662282.79999999993</v>
      </c>
      <c r="BD14" s="44">
        <f t="shared" si="0"/>
        <v>370937.8</v>
      </c>
    </row>
    <row r="15" spans="1:57" outlineLevel="2" x14ac:dyDescent="0.3">
      <c r="A15" s="3" t="s">
        <v>25</v>
      </c>
      <c r="B15" s="4" t="s">
        <v>37</v>
      </c>
      <c r="C15" s="16"/>
      <c r="D15" s="16">
        <v>16363</v>
      </c>
      <c r="E15" s="17"/>
      <c r="F15" s="45">
        <f t="shared" si="1"/>
        <v>16363</v>
      </c>
      <c r="G15" s="16"/>
      <c r="H15" s="16">
        <v>16363</v>
      </c>
      <c r="I15" s="17"/>
      <c r="J15" s="45">
        <f t="shared" si="2"/>
        <v>16363</v>
      </c>
      <c r="K15" s="16"/>
      <c r="L15" s="16">
        <v>16363</v>
      </c>
      <c r="M15" s="87"/>
      <c r="N15" s="86">
        <f t="shared" si="3"/>
        <v>16363</v>
      </c>
      <c r="O15" s="16"/>
      <c r="P15" s="16">
        <v>19680</v>
      </c>
      <c r="Q15" s="87"/>
      <c r="R15" s="86">
        <f t="shared" si="4"/>
        <v>19680</v>
      </c>
      <c r="S15" s="16"/>
      <c r="T15" s="16">
        <v>20132</v>
      </c>
      <c r="U15" s="87"/>
      <c r="V15" s="86">
        <f t="shared" si="5"/>
        <v>20132</v>
      </c>
      <c r="W15" s="16"/>
      <c r="X15" s="16">
        <v>19848</v>
      </c>
      <c r="Y15" s="87"/>
      <c r="Z15" s="45">
        <f t="shared" si="6"/>
        <v>19848</v>
      </c>
      <c r="AA15" s="16"/>
      <c r="AB15" s="16">
        <v>19848</v>
      </c>
      <c r="AC15" s="16"/>
      <c r="AD15" s="45">
        <f t="shared" si="7"/>
        <v>19848</v>
      </c>
      <c r="AE15" s="16"/>
      <c r="AF15" s="16">
        <v>24437</v>
      </c>
      <c r="AG15" s="16"/>
      <c r="AH15" s="45">
        <f t="shared" si="8"/>
        <v>24437</v>
      </c>
      <c r="AI15" s="16"/>
      <c r="AJ15" s="16">
        <v>26160</v>
      </c>
      <c r="AK15" s="16"/>
      <c r="AL15" s="45">
        <f t="shared" si="9"/>
        <v>26160</v>
      </c>
      <c r="AM15" s="242"/>
      <c r="AN15" s="242">
        <v>26160</v>
      </c>
      <c r="AO15" s="242"/>
      <c r="AP15" s="45">
        <f t="shared" si="10"/>
        <v>26160</v>
      </c>
      <c r="AQ15" s="242"/>
      <c r="AR15" s="242">
        <v>26160</v>
      </c>
      <c r="AS15" s="242"/>
      <c r="AT15" s="45">
        <f t="shared" si="11"/>
        <v>26160</v>
      </c>
      <c r="AU15" s="242"/>
      <c r="AV15" s="242">
        <v>26160</v>
      </c>
      <c r="AW15" s="242"/>
      <c r="AX15" s="45">
        <f t="shared" si="12"/>
        <v>26160</v>
      </c>
      <c r="AY15" s="15">
        <f t="shared" si="13"/>
        <v>0</v>
      </c>
      <c r="AZ15" s="15">
        <f t="shared" si="14"/>
        <v>257674</v>
      </c>
      <c r="BA15" s="15">
        <f t="shared" si="15"/>
        <v>0</v>
      </c>
      <c r="BB15" s="45">
        <f t="shared" si="16"/>
        <v>257674</v>
      </c>
      <c r="BD15" s="44">
        <f t="shared" si="0"/>
        <v>128597</v>
      </c>
    </row>
    <row r="16" spans="1:57" outlineLevel="2" x14ac:dyDescent="0.3">
      <c r="A16" s="3" t="s">
        <v>25</v>
      </c>
      <c r="B16" s="8" t="s">
        <v>38</v>
      </c>
      <c r="C16" s="16"/>
      <c r="D16" s="17"/>
      <c r="E16" s="16">
        <v>16398.47</v>
      </c>
      <c r="F16" s="45">
        <f t="shared" si="1"/>
        <v>16398.47</v>
      </c>
      <c r="G16" s="16"/>
      <c r="H16" s="17"/>
      <c r="I16" s="16">
        <v>15975.17</v>
      </c>
      <c r="J16" s="45">
        <f t="shared" si="2"/>
        <v>15975.17</v>
      </c>
      <c r="K16" s="16"/>
      <c r="L16" s="17"/>
      <c r="M16" s="16">
        <v>15633.47</v>
      </c>
      <c r="N16" s="86">
        <f t="shared" si="3"/>
        <v>15633.47</v>
      </c>
      <c r="O16" s="16"/>
      <c r="P16" s="87"/>
      <c r="Q16" s="16">
        <v>20751</v>
      </c>
      <c r="R16" s="86">
        <f t="shared" si="4"/>
        <v>20751</v>
      </c>
      <c r="S16" s="16"/>
      <c r="T16" s="87"/>
      <c r="U16" s="16">
        <v>20124</v>
      </c>
      <c r="V16" s="86">
        <f t="shared" si="5"/>
        <v>20124</v>
      </c>
      <c r="W16" s="16"/>
      <c r="X16" s="87"/>
      <c r="Y16" s="16">
        <v>18912</v>
      </c>
      <c r="Z16" s="45">
        <f t="shared" si="6"/>
        <v>18912</v>
      </c>
      <c r="AA16" s="16"/>
      <c r="AB16" s="16"/>
      <c r="AC16" s="16">
        <v>17329</v>
      </c>
      <c r="AD16" s="45">
        <f t="shared" si="7"/>
        <v>17329</v>
      </c>
      <c r="AE16" s="16"/>
      <c r="AF16" s="16"/>
      <c r="AG16" s="16">
        <v>17036.053</v>
      </c>
      <c r="AH16" s="45">
        <f t="shared" si="8"/>
        <v>17036.053</v>
      </c>
      <c r="AI16" s="16"/>
      <c r="AJ16" s="16"/>
      <c r="AK16" s="16">
        <v>17863.86</v>
      </c>
      <c r="AL16" s="45">
        <f t="shared" si="9"/>
        <v>17863.86</v>
      </c>
      <c r="AM16" s="242"/>
      <c r="AN16" s="242">
        <v>17864</v>
      </c>
      <c r="AO16" s="242">
        <v>19285</v>
      </c>
      <c r="AP16" s="45">
        <f t="shared" si="10"/>
        <v>37149</v>
      </c>
      <c r="AQ16" s="242"/>
      <c r="AR16" s="242">
        <v>17864</v>
      </c>
      <c r="AS16" s="242">
        <v>19285</v>
      </c>
      <c r="AT16" s="45">
        <f t="shared" si="11"/>
        <v>37149</v>
      </c>
      <c r="AU16" s="242"/>
      <c r="AV16" s="242">
        <v>17864</v>
      </c>
      <c r="AW16" s="242">
        <v>19285</v>
      </c>
      <c r="AX16" s="45">
        <f t="shared" si="12"/>
        <v>37149</v>
      </c>
      <c r="AY16" s="15">
        <f t="shared" si="13"/>
        <v>0</v>
      </c>
      <c r="AZ16" s="15">
        <f t="shared" si="14"/>
        <v>53592</v>
      </c>
      <c r="BA16" s="15">
        <f t="shared" si="15"/>
        <v>217878.02300000002</v>
      </c>
      <c r="BB16" s="45">
        <f t="shared" si="16"/>
        <v>271470.02300000004</v>
      </c>
      <c r="BD16" s="44">
        <f t="shared" si="0"/>
        <v>125123.11</v>
      </c>
    </row>
    <row r="17" spans="1:56" outlineLevel="2" x14ac:dyDescent="0.3">
      <c r="A17" s="3" t="s">
        <v>25</v>
      </c>
      <c r="B17" s="4" t="s">
        <v>39</v>
      </c>
      <c r="C17" s="16">
        <v>13600</v>
      </c>
      <c r="D17" s="16">
        <v>27166.83</v>
      </c>
      <c r="E17" s="17"/>
      <c r="F17" s="45">
        <f t="shared" si="1"/>
        <v>40766.83</v>
      </c>
      <c r="G17" s="16">
        <v>13600</v>
      </c>
      <c r="H17" s="16">
        <v>27166.83</v>
      </c>
      <c r="I17" s="17"/>
      <c r="J17" s="45">
        <f t="shared" si="2"/>
        <v>40766.83</v>
      </c>
      <c r="K17" s="16">
        <v>13600</v>
      </c>
      <c r="L17" s="16">
        <v>27166.83</v>
      </c>
      <c r="M17" s="87"/>
      <c r="N17" s="86">
        <f t="shared" si="3"/>
        <v>40766.83</v>
      </c>
      <c r="O17" s="16">
        <v>13600</v>
      </c>
      <c r="P17" s="16">
        <v>28590.23</v>
      </c>
      <c r="Q17" s="87"/>
      <c r="R17" s="86">
        <f t="shared" si="4"/>
        <v>42190.229999999996</v>
      </c>
      <c r="S17" s="16">
        <v>13600</v>
      </c>
      <c r="T17" s="16">
        <v>34300</v>
      </c>
      <c r="U17" s="87"/>
      <c r="V17" s="86">
        <f t="shared" si="5"/>
        <v>47900</v>
      </c>
      <c r="W17" s="16">
        <v>13600</v>
      </c>
      <c r="X17" s="16">
        <v>33427</v>
      </c>
      <c r="Y17" s="87"/>
      <c r="Z17" s="45">
        <f t="shared" si="6"/>
        <v>47027</v>
      </c>
      <c r="AA17" s="16">
        <v>13600</v>
      </c>
      <c r="AB17" s="16">
        <v>33427</v>
      </c>
      <c r="AC17" s="16"/>
      <c r="AD17" s="45">
        <f t="shared" si="7"/>
        <v>47027</v>
      </c>
      <c r="AE17" s="16">
        <v>13600</v>
      </c>
      <c r="AF17" s="16">
        <v>34771</v>
      </c>
      <c r="AG17" s="16"/>
      <c r="AH17" s="45">
        <f t="shared" si="8"/>
        <v>48371</v>
      </c>
      <c r="AI17" s="16">
        <v>13600</v>
      </c>
      <c r="AJ17" s="87">
        <f>32070+1535</f>
        <v>33605</v>
      </c>
      <c r="AK17" s="16"/>
      <c r="AL17" s="45">
        <f t="shared" si="9"/>
        <v>47205</v>
      </c>
      <c r="AM17" s="242">
        <v>13600</v>
      </c>
      <c r="AN17" s="244">
        <f>32070+1535</f>
        <v>33605</v>
      </c>
      <c r="AO17" s="242"/>
      <c r="AP17" s="45">
        <f t="shared" si="10"/>
        <v>47205</v>
      </c>
      <c r="AQ17" s="242">
        <v>13600</v>
      </c>
      <c r="AR17" s="244">
        <f>32070+1535</f>
        <v>33605</v>
      </c>
      <c r="AS17" s="242"/>
      <c r="AT17" s="45">
        <f t="shared" si="11"/>
        <v>47205</v>
      </c>
      <c r="AU17" s="242">
        <v>13600</v>
      </c>
      <c r="AV17" s="244">
        <f>32070+1535</f>
        <v>33605</v>
      </c>
      <c r="AW17" s="242"/>
      <c r="AX17" s="45">
        <f t="shared" si="12"/>
        <v>47205</v>
      </c>
      <c r="AY17" s="15">
        <f t="shared" si="13"/>
        <v>163200</v>
      </c>
      <c r="AZ17" s="15">
        <f t="shared" si="14"/>
        <v>380435.72000000003</v>
      </c>
      <c r="BA17" s="15">
        <f t="shared" si="15"/>
        <v>0</v>
      </c>
      <c r="BB17" s="45">
        <f t="shared" si="16"/>
        <v>543635.72</v>
      </c>
      <c r="BD17" s="44">
        <f t="shared" si="0"/>
        <v>306444.71999999997</v>
      </c>
    </row>
    <row r="18" spans="1:56" outlineLevel="2" x14ac:dyDescent="0.3">
      <c r="A18" s="3" t="s">
        <v>25</v>
      </c>
      <c r="B18" s="4" t="s">
        <v>40</v>
      </c>
      <c r="C18" s="16"/>
      <c r="D18" s="16">
        <v>6941</v>
      </c>
      <c r="E18" s="17"/>
      <c r="F18" s="45">
        <f t="shared" si="1"/>
        <v>6941</v>
      </c>
      <c r="G18" s="16"/>
      <c r="H18" s="16">
        <v>6941</v>
      </c>
      <c r="I18" s="17"/>
      <c r="J18" s="45">
        <f t="shared" si="2"/>
        <v>6941</v>
      </c>
      <c r="K18" s="16"/>
      <c r="L18" s="16">
        <v>6941</v>
      </c>
      <c r="M18" s="87"/>
      <c r="N18" s="86">
        <f t="shared" si="3"/>
        <v>6941</v>
      </c>
      <c r="O18" s="16"/>
      <c r="P18" s="16">
        <v>7363</v>
      </c>
      <c r="Q18" s="87"/>
      <c r="R18" s="86">
        <f t="shared" si="4"/>
        <v>7363</v>
      </c>
      <c r="S18" s="16"/>
      <c r="T18" s="16">
        <v>9307</v>
      </c>
      <c r="U18" s="87"/>
      <c r="V18" s="86">
        <f t="shared" si="5"/>
        <v>9307</v>
      </c>
      <c r="W18" s="16"/>
      <c r="X18" s="16">
        <v>9170</v>
      </c>
      <c r="Y18" s="87"/>
      <c r="Z18" s="45">
        <f t="shared" si="6"/>
        <v>9170</v>
      </c>
      <c r="AA18" s="16"/>
      <c r="AB18" s="16">
        <v>8930</v>
      </c>
      <c r="AC18" s="16"/>
      <c r="AD18" s="45">
        <f t="shared" si="7"/>
        <v>8930</v>
      </c>
      <c r="AE18" s="16"/>
      <c r="AF18" s="16">
        <v>9273</v>
      </c>
      <c r="AG18" s="16"/>
      <c r="AH18" s="45">
        <f t="shared" si="8"/>
        <v>9273</v>
      </c>
      <c r="AI18" s="16"/>
      <c r="AJ18" s="16">
        <v>9035</v>
      </c>
      <c r="AK18" s="16"/>
      <c r="AL18" s="45">
        <f t="shared" si="9"/>
        <v>9035</v>
      </c>
      <c r="AM18" s="242"/>
      <c r="AN18" s="242">
        <v>9035</v>
      </c>
      <c r="AO18" s="242"/>
      <c r="AP18" s="45">
        <f t="shared" si="10"/>
        <v>9035</v>
      </c>
      <c r="AQ18" s="242"/>
      <c r="AR18" s="242">
        <v>9035</v>
      </c>
      <c r="AS18" s="242"/>
      <c r="AT18" s="45">
        <f t="shared" si="11"/>
        <v>9035</v>
      </c>
      <c r="AU18" s="242"/>
      <c r="AV18" s="242">
        <v>9035</v>
      </c>
      <c r="AW18" s="242"/>
      <c r="AX18" s="45">
        <f t="shared" si="12"/>
        <v>9035</v>
      </c>
      <c r="AY18" s="15">
        <f t="shared" si="13"/>
        <v>0</v>
      </c>
      <c r="AZ18" s="15">
        <f t="shared" si="14"/>
        <v>101006</v>
      </c>
      <c r="BA18" s="15">
        <f t="shared" si="15"/>
        <v>0</v>
      </c>
      <c r="BB18" s="45">
        <f t="shared" si="16"/>
        <v>101006</v>
      </c>
      <c r="BD18" s="44">
        <f t="shared" si="0"/>
        <v>55593</v>
      </c>
    </row>
    <row r="19" spans="1:56" outlineLevel="2" x14ac:dyDescent="0.3">
      <c r="A19" s="3" t="s">
        <v>25</v>
      </c>
      <c r="B19" s="5" t="s">
        <v>41</v>
      </c>
      <c r="C19" s="16"/>
      <c r="D19" s="16">
        <v>1090</v>
      </c>
      <c r="E19" s="17"/>
      <c r="F19" s="45">
        <f t="shared" si="1"/>
        <v>1090</v>
      </c>
      <c r="G19" s="16"/>
      <c r="H19" s="16">
        <v>1090</v>
      </c>
      <c r="I19" s="17"/>
      <c r="J19" s="45">
        <f t="shared" si="2"/>
        <v>1090</v>
      </c>
      <c r="K19" s="16"/>
      <c r="L19" s="16">
        <v>1090</v>
      </c>
      <c r="M19" s="87"/>
      <c r="N19" s="86">
        <f t="shared" si="3"/>
        <v>1090</v>
      </c>
      <c r="O19" s="16"/>
      <c r="P19" s="16"/>
      <c r="Q19" s="87"/>
      <c r="R19" s="86">
        <f t="shared" si="4"/>
        <v>0</v>
      </c>
      <c r="S19" s="16"/>
      <c r="T19" s="16"/>
      <c r="U19" s="87"/>
      <c r="V19" s="86">
        <f t="shared" si="5"/>
        <v>0</v>
      </c>
      <c r="W19" s="16"/>
      <c r="X19" s="16"/>
      <c r="Y19" s="87"/>
      <c r="Z19" s="45">
        <f t="shared" si="6"/>
        <v>0</v>
      </c>
      <c r="AA19" s="16"/>
      <c r="AB19" s="16"/>
      <c r="AC19" s="16"/>
      <c r="AD19" s="45">
        <f t="shared" si="7"/>
        <v>0</v>
      </c>
      <c r="AE19" s="16"/>
      <c r="AF19" s="16"/>
      <c r="AG19" s="16"/>
      <c r="AH19" s="45">
        <f t="shared" si="8"/>
        <v>0</v>
      </c>
      <c r="AI19" s="16"/>
      <c r="AJ19" s="16"/>
      <c r="AK19" s="16"/>
      <c r="AL19" s="45">
        <f t="shared" si="9"/>
        <v>0</v>
      </c>
      <c r="AM19" s="242"/>
      <c r="AN19" s="242"/>
      <c r="AO19" s="242"/>
      <c r="AP19" s="45">
        <f t="shared" si="10"/>
        <v>0</v>
      </c>
      <c r="AQ19" s="242"/>
      <c r="AR19" s="242"/>
      <c r="AS19" s="242"/>
      <c r="AT19" s="45">
        <f t="shared" si="11"/>
        <v>0</v>
      </c>
      <c r="AU19" s="242"/>
      <c r="AV19" s="242"/>
      <c r="AW19" s="242"/>
      <c r="AX19" s="45">
        <f t="shared" si="12"/>
        <v>0</v>
      </c>
      <c r="AY19" s="15">
        <f t="shared" si="13"/>
        <v>0</v>
      </c>
      <c r="AZ19" s="15">
        <f t="shared" si="14"/>
        <v>3270</v>
      </c>
      <c r="BA19" s="15">
        <f t="shared" si="15"/>
        <v>0</v>
      </c>
      <c r="BB19" s="45">
        <f t="shared" si="16"/>
        <v>3270</v>
      </c>
      <c r="BD19" s="44">
        <f t="shared" si="0"/>
        <v>3270</v>
      </c>
    </row>
    <row r="20" spans="1:56" outlineLevel="2" x14ac:dyDescent="0.3">
      <c r="A20" s="3" t="s">
        <v>25</v>
      </c>
      <c r="B20" s="5" t="s">
        <v>42</v>
      </c>
      <c r="C20" s="16">
        <v>800</v>
      </c>
      <c r="D20" s="16">
        <v>4869</v>
      </c>
      <c r="E20" s="17"/>
      <c r="F20" s="45">
        <f t="shared" si="1"/>
        <v>5669</v>
      </c>
      <c r="G20" s="16">
        <v>800</v>
      </c>
      <c r="H20" s="16">
        <v>4869</v>
      </c>
      <c r="I20" s="17"/>
      <c r="J20" s="45">
        <f t="shared" si="2"/>
        <v>5669</v>
      </c>
      <c r="K20" s="16">
        <v>800</v>
      </c>
      <c r="L20" s="16">
        <v>4869</v>
      </c>
      <c r="M20" s="87"/>
      <c r="N20" s="86">
        <f t="shared" si="3"/>
        <v>5669</v>
      </c>
      <c r="O20" s="16">
        <v>800</v>
      </c>
      <c r="P20" s="16">
        <v>66494.5</v>
      </c>
      <c r="Q20" s="87"/>
      <c r="R20" s="86">
        <f t="shared" si="4"/>
        <v>67294.5</v>
      </c>
      <c r="S20" s="16">
        <v>800</v>
      </c>
      <c r="T20" s="16">
        <v>66494.5</v>
      </c>
      <c r="U20" s="87"/>
      <c r="V20" s="86">
        <f t="shared" si="5"/>
        <v>67294.5</v>
      </c>
      <c r="W20" s="16"/>
      <c r="X20" s="16"/>
      <c r="Y20" s="16">
        <v>66494.5</v>
      </c>
      <c r="Z20" s="45">
        <f t="shared" si="6"/>
        <v>66494.5</v>
      </c>
      <c r="AA20" s="16"/>
      <c r="AB20" s="16"/>
      <c r="AC20" s="16">
        <v>66494.5</v>
      </c>
      <c r="AD20" s="45">
        <f t="shared" si="7"/>
        <v>66494.5</v>
      </c>
      <c r="AE20" s="16"/>
      <c r="AF20" s="16"/>
      <c r="AG20" s="16">
        <v>66494.5</v>
      </c>
      <c r="AH20" s="45">
        <f t="shared" si="8"/>
        <v>66494.5</v>
      </c>
      <c r="AI20" s="16"/>
      <c r="AJ20" s="16"/>
      <c r="AK20" s="16">
        <v>66494.5</v>
      </c>
      <c r="AL20" s="45">
        <f t="shared" si="9"/>
        <v>66494.5</v>
      </c>
      <c r="AM20" s="242"/>
      <c r="AN20" s="242"/>
      <c r="AO20" s="242">
        <v>66494.5</v>
      </c>
      <c r="AP20" s="45">
        <f t="shared" si="10"/>
        <v>66494.5</v>
      </c>
      <c r="AQ20" s="242"/>
      <c r="AR20" s="242"/>
      <c r="AS20" s="242">
        <v>66494.5</v>
      </c>
      <c r="AT20" s="45">
        <f t="shared" si="11"/>
        <v>66494.5</v>
      </c>
      <c r="AU20" s="242"/>
      <c r="AV20" s="242"/>
      <c r="AW20" s="242">
        <v>66494.5</v>
      </c>
      <c r="AX20" s="45">
        <f t="shared" si="12"/>
        <v>66494.5</v>
      </c>
      <c r="AY20" s="15">
        <f t="shared" si="13"/>
        <v>4000</v>
      </c>
      <c r="AZ20" s="15">
        <f t="shared" si="14"/>
        <v>147596</v>
      </c>
      <c r="BA20" s="15">
        <f t="shared" si="15"/>
        <v>465461.5</v>
      </c>
      <c r="BB20" s="45">
        <f t="shared" si="16"/>
        <v>617057.5</v>
      </c>
      <c r="BD20" s="44">
        <f t="shared" si="0"/>
        <v>284585</v>
      </c>
    </row>
    <row r="21" spans="1:56" outlineLevel="2" x14ac:dyDescent="0.3">
      <c r="A21" s="3" t="s">
        <v>25</v>
      </c>
      <c r="B21" s="4" t="s">
        <v>43</v>
      </c>
      <c r="C21" s="16"/>
      <c r="D21" s="16">
        <v>9876</v>
      </c>
      <c r="E21" s="17"/>
      <c r="F21" s="45">
        <f t="shared" si="1"/>
        <v>9876</v>
      </c>
      <c r="G21" s="16"/>
      <c r="H21" s="16">
        <v>9876</v>
      </c>
      <c r="I21" s="17"/>
      <c r="J21" s="45">
        <f t="shared" si="2"/>
        <v>9876</v>
      </c>
      <c r="K21" s="16"/>
      <c r="L21" s="16">
        <v>9876</v>
      </c>
      <c r="M21" s="87"/>
      <c r="N21" s="86">
        <f t="shared" si="3"/>
        <v>9876</v>
      </c>
      <c r="O21" s="16"/>
      <c r="P21" s="16">
        <v>11346.5</v>
      </c>
      <c r="Q21" s="87"/>
      <c r="R21" s="86">
        <f t="shared" si="4"/>
        <v>11346.5</v>
      </c>
      <c r="S21" s="16"/>
      <c r="T21" s="16">
        <v>14378</v>
      </c>
      <c r="U21" s="87"/>
      <c r="V21" s="86">
        <f t="shared" si="5"/>
        <v>14378</v>
      </c>
      <c r="W21" s="16"/>
      <c r="X21" s="16">
        <v>14060</v>
      </c>
      <c r="Y21" s="87"/>
      <c r="Z21" s="45">
        <f t="shared" si="6"/>
        <v>14060</v>
      </c>
      <c r="AA21" s="16"/>
      <c r="AB21" s="16">
        <v>14060</v>
      </c>
      <c r="AC21" s="16"/>
      <c r="AD21" s="45">
        <f t="shared" si="7"/>
        <v>14060</v>
      </c>
      <c r="AE21" s="16"/>
      <c r="AF21" s="16">
        <v>14621</v>
      </c>
      <c r="AG21" s="16"/>
      <c r="AH21" s="45">
        <f t="shared" si="8"/>
        <v>14621</v>
      </c>
      <c r="AI21" s="16"/>
      <c r="AJ21" s="16">
        <v>14238</v>
      </c>
      <c r="AK21" s="16"/>
      <c r="AL21" s="45">
        <f t="shared" si="9"/>
        <v>14238</v>
      </c>
      <c r="AM21" s="242"/>
      <c r="AN21" s="242">
        <v>14238</v>
      </c>
      <c r="AO21" s="242"/>
      <c r="AP21" s="45">
        <f t="shared" si="10"/>
        <v>14238</v>
      </c>
      <c r="AQ21" s="242"/>
      <c r="AR21" s="242">
        <v>14238</v>
      </c>
      <c r="AS21" s="242"/>
      <c r="AT21" s="45">
        <f t="shared" si="11"/>
        <v>14238</v>
      </c>
      <c r="AU21" s="242"/>
      <c r="AV21" s="242">
        <v>14238</v>
      </c>
      <c r="AW21" s="242"/>
      <c r="AX21" s="45">
        <f t="shared" si="12"/>
        <v>14238</v>
      </c>
      <c r="AY21" s="15">
        <f t="shared" si="13"/>
        <v>0</v>
      </c>
      <c r="AZ21" s="15">
        <f t="shared" si="14"/>
        <v>155045.5</v>
      </c>
      <c r="BA21" s="15">
        <f t="shared" si="15"/>
        <v>0</v>
      </c>
      <c r="BB21" s="45">
        <f t="shared" si="16"/>
        <v>155045.5</v>
      </c>
      <c r="BD21" s="44">
        <f t="shared" si="0"/>
        <v>83472.5</v>
      </c>
    </row>
    <row r="22" spans="1:56" outlineLevel="2" x14ac:dyDescent="0.3">
      <c r="A22" s="3" t="s">
        <v>25</v>
      </c>
      <c r="B22" s="4" t="s">
        <v>44</v>
      </c>
      <c r="C22" s="16"/>
      <c r="D22" s="16"/>
      <c r="E22" s="16">
        <v>10418</v>
      </c>
      <c r="F22" s="45">
        <f t="shared" ref="F22" si="35">SUM(C22:E22)</f>
        <v>10418</v>
      </c>
      <c r="G22" s="16"/>
      <c r="H22" s="16"/>
      <c r="I22" s="16">
        <v>10418</v>
      </c>
      <c r="J22" s="45">
        <f t="shared" ref="J22" si="36">SUM(G22:I22)</f>
        <v>10418</v>
      </c>
      <c r="K22" s="16"/>
      <c r="L22" s="16"/>
      <c r="M22" s="16">
        <v>12290</v>
      </c>
      <c r="N22" s="86">
        <f t="shared" si="3"/>
        <v>12290</v>
      </c>
      <c r="O22" s="16"/>
      <c r="P22" s="16"/>
      <c r="Q22" s="16">
        <v>12290</v>
      </c>
      <c r="R22" s="86">
        <f t="shared" ref="R22" si="37">SUM(O22:Q22)</f>
        <v>12290</v>
      </c>
      <c r="S22" s="16"/>
      <c r="T22" s="16"/>
      <c r="U22" s="16">
        <v>10418</v>
      </c>
      <c r="V22" s="86">
        <f t="shared" ref="V22" si="38">SUM(S22:U22)</f>
        <v>10418</v>
      </c>
      <c r="W22" s="16"/>
      <c r="X22" s="16"/>
      <c r="Y22" s="16">
        <v>11354</v>
      </c>
      <c r="Z22" s="45">
        <f t="shared" ref="Z22" si="39">SUM(W22:Y22)</f>
        <v>11354</v>
      </c>
      <c r="AA22" s="16"/>
      <c r="AB22" s="16"/>
      <c r="AC22" s="16">
        <v>11350</v>
      </c>
      <c r="AD22" s="45">
        <f t="shared" ref="AD22" si="40">SUM(AA22:AC22)</f>
        <v>11350</v>
      </c>
      <c r="AE22" s="16"/>
      <c r="AF22" s="16"/>
      <c r="AG22" s="16">
        <v>12732</v>
      </c>
      <c r="AH22" s="45">
        <f t="shared" ref="AH22" si="41">SUM(AE22:AG22)</f>
        <v>12732</v>
      </c>
      <c r="AI22" s="16"/>
      <c r="AJ22" s="16"/>
      <c r="AK22" s="16">
        <v>13902</v>
      </c>
      <c r="AL22" s="45">
        <f t="shared" ref="AL22" si="42">SUM(AI22:AK22)</f>
        <v>13902</v>
      </c>
      <c r="AM22" s="242"/>
      <c r="AN22" s="242"/>
      <c r="AO22" s="242">
        <v>14786</v>
      </c>
      <c r="AP22" s="45">
        <f t="shared" ref="AP22" si="43">SUM(AM22:AO22)</f>
        <v>14786</v>
      </c>
      <c r="AQ22" s="242"/>
      <c r="AR22" s="242"/>
      <c r="AS22" s="242">
        <v>14786</v>
      </c>
      <c r="AT22" s="45">
        <f t="shared" ref="AT22" si="44">SUM(AQ22:AS22)</f>
        <v>14786</v>
      </c>
      <c r="AU22" s="242"/>
      <c r="AV22" s="242"/>
      <c r="AW22" s="242">
        <v>14786</v>
      </c>
      <c r="AX22" s="45">
        <f t="shared" ref="AX22" si="45">SUM(AU22:AW22)</f>
        <v>14786</v>
      </c>
      <c r="AY22" s="15">
        <f t="shared" ref="AY22" si="46">SUM(AU22,AQ22,AM22,AI22,AE22,AA22,W22,S22,O22,K22,G22,C22)</f>
        <v>0</v>
      </c>
      <c r="AZ22" s="15">
        <f t="shared" ref="AZ22" si="47">SUM(AV22,AR22,AN22,AJ22,AF22,AB22,X22,T22,P22,L22,H22,D22)</f>
        <v>0</v>
      </c>
      <c r="BA22" s="15">
        <f t="shared" ref="BA22" si="48">SUM(AW22,AS22,AO22,AK22,AG22,AC22,Y22,U22,Q22,M22,I22,E22)</f>
        <v>149530</v>
      </c>
      <c r="BB22" s="45">
        <f t="shared" ref="BB22" si="49">SUM(AX22,AT22,AP22,AL22,AH22,AD22,Z22,V22,R22,N22,J22,F22)</f>
        <v>149530</v>
      </c>
      <c r="BD22" s="44">
        <f t="shared" si="0"/>
        <v>78538</v>
      </c>
    </row>
    <row r="23" spans="1:56" s="19" customFormat="1" outlineLevel="1" x14ac:dyDescent="0.3">
      <c r="A23" s="6" t="s">
        <v>25</v>
      </c>
      <c r="B23" s="7" t="s">
        <v>45</v>
      </c>
      <c r="C23" s="12">
        <f>SUM(C24:C28)</f>
        <v>8600</v>
      </c>
      <c r="D23" s="12">
        <f>SUM(D24:D28)</f>
        <v>17034.666666666668</v>
      </c>
      <c r="E23" s="12">
        <f>SUM(E24:E28)</f>
        <v>170468</v>
      </c>
      <c r="F23" s="45">
        <f t="shared" si="1"/>
        <v>196102.66666666666</v>
      </c>
      <c r="G23" s="12">
        <f>SUM(G24:G28)</f>
        <v>8600</v>
      </c>
      <c r="H23" s="12">
        <f>SUM(H24:H28)</f>
        <v>16163.666666666666</v>
      </c>
      <c r="I23" s="12">
        <f>SUM(I24:I28)</f>
        <v>170468</v>
      </c>
      <c r="J23" s="45">
        <f t="shared" si="2"/>
        <v>195231.66666666666</v>
      </c>
      <c r="K23" s="12">
        <f>SUM(K24:K28)</f>
        <v>8600</v>
      </c>
      <c r="L23" s="12">
        <f>SUM(L24:L28)</f>
        <v>21738</v>
      </c>
      <c r="M23" s="12">
        <f>SUM(M24:M28)</f>
        <v>170468</v>
      </c>
      <c r="N23" s="86">
        <f t="shared" si="3"/>
        <v>200806</v>
      </c>
      <c r="O23" s="12">
        <f>SUM(O24:O28)</f>
        <v>8600</v>
      </c>
      <c r="P23" s="12">
        <f>SUM(P24:P28)</f>
        <v>24006</v>
      </c>
      <c r="Q23" s="12">
        <f>SUM(Q24:Q28)</f>
        <v>170468</v>
      </c>
      <c r="R23" s="86">
        <f t="shared" si="4"/>
        <v>203074</v>
      </c>
      <c r="S23" s="12">
        <f>SUM(S24:S28)</f>
        <v>8600</v>
      </c>
      <c r="T23" s="12">
        <f>SUM(T24:T28)</f>
        <v>27969.8</v>
      </c>
      <c r="U23" s="12">
        <f>SUM(U24:U28)</f>
        <v>170468</v>
      </c>
      <c r="V23" s="86">
        <f t="shared" si="5"/>
        <v>207037.8</v>
      </c>
      <c r="W23" s="12">
        <f>SUM(W24:W28)</f>
        <v>8600</v>
      </c>
      <c r="X23" s="12">
        <f>SUM(X24:X29)</f>
        <v>24813.55</v>
      </c>
      <c r="Y23" s="12">
        <f>SUM(Y24:Y28)</f>
        <v>170468</v>
      </c>
      <c r="Z23" s="45">
        <f t="shared" si="6"/>
        <v>203881.55</v>
      </c>
      <c r="AA23" s="12">
        <f>SUM(AA24:AA28)</f>
        <v>8600</v>
      </c>
      <c r="AB23" s="12">
        <f>SUM(AB24:AB28)</f>
        <v>24684</v>
      </c>
      <c r="AC23" s="12">
        <f>SUM(AC24:AC28)</f>
        <v>170468</v>
      </c>
      <c r="AD23" s="45">
        <f t="shared" si="7"/>
        <v>203752</v>
      </c>
      <c r="AE23" s="12">
        <f>SUM(AE24:AE28)</f>
        <v>8400</v>
      </c>
      <c r="AF23" s="12">
        <f>SUM(AF24:AF28)</f>
        <v>23855</v>
      </c>
      <c r="AG23" s="12">
        <f>SUM(AG24:AG28)</f>
        <v>170468</v>
      </c>
      <c r="AH23" s="45">
        <f t="shared" si="8"/>
        <v>202723</v>
      </c>
      <c r="AI23" s="12">
        <f>SUM(AI24:AI28)</f>
        <v>8400</v>
      </c>
      <c r="AJ23" s="12">
        <f>SUM(AJ24:AJ28)</f>
        <v>22794</v>
      </c>
      <c r="AK23" s="12">
        <f>SUM(AK24:AK28)</f>
        <v>170468</v>
      </c>
      <c r="AL23" s="45">
        <f t="shared" si="9"/>
        <v>201662</v>
      </c>
      <c r="AM23" s="12">
        <f>SUM(AM24:AM28)</f>
        <v>8400</v>
      </c>
      <c r="AN23" s="12">
        <f>SUM(AN24:AN28)</f>
        <v>24582</v>
      </c>
      <c r="AO23" s="12">
        <f>SUM(AO24:AO28)</f>
        <v>170468</v>
      </c>
      <c r="AP23" s="45">
        <f t="shared" si="10"/>
        <v>203450</v>
      </c>
      <c r="AQ23" s="12">
        <f>SUM(AQ24:AQ28)</f>
        <v>8400</v>
      </c>
      <c r="AR23" s="12">
        <f>SUM(AR24:AR28)</f>
        <v>24582</v>
      </c>
      <c r="AS23" s="12">
        <f>SUM(AS24:AS28)</f>
        <v>170468</v>
      </c>
      <c r="AT23" s="45">
        <f t="shared" si="11"/>
        <v>203450</v>
      </c>
      <c r="AU23" s="12">
        <f>SUM(AU24:AU28)</f>
        <v>8400</v>
      </c>
      <c r="AV23" s="12">
        <f>SUM(AV24:AV28)</f>
        <v>24582</v>
      </c>
      <c r="AW23" s="12">
        <f>SUM(AW24:AW28)</f>
        <v>170468</v>
      </c>
      <c r="AX23" s="45">
        <f t="shared" si="12"/>
        <v>203450</v>
      </c>
      <c r="AY23" s="15">
        <f t="shared" si="13"/>
        <v>102200</v>
      </c>
      <c r="AZ23" s="15">
        <f t="shared" si="14"/>
        <v>276804.68333333329</v>
      </c>
      <c r="BA23" s="15">
        <f t="shared" si="15"/>
        <v>2045616</v>
      </c>
      <c r="BB23" s="45">
        <f t="shared" si="16"/>
        <v>2424620.6833333331</v>
      </c>
      <c r="BD23" s="44">
        <f t="shared" si="0"/>
        <v>1409885.6833333333</v>
      </c>
    </row>
    <row r="24" spans="1:56" outlineLevel="2" x14ac:dyDescent="0.3">
      <c r="A24" s="3" t="s">
        <v>25</v>
      </c>
      <c r="B24" s="9" t="s">
        <v>46</v>
      </c>
      <c r="C24" s="16"/>
      <c r="D24" s="16">
        <v>11527</v>
      </c>
      <c r="E24" s="16">
        <v>120708</v>
      </c>
      <c r="F24" s="45">
        <f t="shared" si="1"/>
        <v>132235</v>
      </c>
      <c r="G24" s="16"/>
      <c r="H24" s="16">
        <v>11069</v>
      </c>
      <c r="I24" s="16">
        <v>120708</v>
      </c>
      <c r="J24" s="45">
        <f t="shared" si="2"/>
        <v>131777</v>
      </c>
      <c r="K24" s="16"/>
      <c r="L24" s="16">
        <v>11256</v>
      </c>
      <c r="M24" s="16">
        <v>120708</v>
      </c>
      <c r="N24" s="86">
        <f t="shared" si="3"/>
        <v>131964</v>
      </c>
      <c r="O24" s="16"/>
      <c r="P24" s="16">
        <v>12069</v>
      </c>
      <c r="Q24" s="16">
        <v>120708</v>
      </c>
      <c r="R24" s="86">
        <f t="shared" si="4"/>
        <v>132777</v>
      </c>
      <c r="S24" s="16"/>
      <c r="T24" s="16">
        <v>13110.5</v>
      </c>
      <c r="U24" s="16">
        <v>120708</v>
      </c>
      <c r="V24" s="86">
        <f t="shared" si="5"/>
        <v>133818.5</v>
      </c>
      <c r="W24" s="16"/>
      <c r="X24" s="16">
        <v>10953.55</v>
      </c>
      <c r="Y24" s="16">
        <v>120708</v>
      </c>
      <c r="Z24" s="45">
        <f t="shared" si="6"/>
        <v>131661.54999999999</v>
      </c>
      <c r="AA24" s="16"/>
      <c r="AB24" s="16">
        <v>10840</v>
      </c>
      <c r="AC24" s="16">
        <v>120708</v>
      </c>
      <c r="AD24" s="45">
        <f t="shared" si="7"/>
        <v>131548</v>
      </c>
      <c r="AE24" s="16"/>
      <c r="AF24" s="16">
        <v>10048</v>
      </c>
      <c r="AG24" s="16">
        <v>120708</v>
      </c>
      <c r="AH24" s="45">
        <f t="shared" si="8"/>
        <v>130756</v>
      </c>
      <c r="AI24" s="16"/>
      <c r="AJ24" s="16">
        <v>10785</v>
      </c>
      <c r="AK24" s="16">
        <v>120708</v>
      </c>
      <c r="AL24" s="45">
        <f t="shared" si="9"/>
        <v>131493</v>
      </c>
      <c r="AM24" s="242"/>
      <c r="AN24" s="242">
        <v>11433</v>
      </c>
      <c r="AO24" s="16">
        <v>120708</v>
      </c>
      <c r="AP24" s="45">
        <f t="shared" si="10"/>
        <v>132141</v>
      </c>
      <c r="AQ24" s="242"/>
      <c r="AR24" s="242">
        <v>11433</v>
      </c>
      <c r="AS24" s="16">
        <v>120708</v>
      </c>
      <c r="AT24" s="45">
        <f t="shared" si="11"/>
        <v>132141</v>
      </c>
      <c r="AU24" s="242"/>
      <c r="AV24" s="242">
        <v>11433</v>
      </c>
      <c r="AW24" s="16">
        <v>120708</v>
      </c>
      <c r="AX24" s="45">
        <f t="shared" si="12"/>
        <v>132141</v>
      </c>
      <c r="AY24" s="15">
        <f t="shared" si="13"/>
        <v>0</v>
      </c>
      <c r="AZ24" s="15">
        <f t="shared" si="14"/>
        <v>135957.04999999999</v>
      </c>
      <c r="BA24" s="15">
        <f>SUM(AW24,AS24,AO24,AK24,AG24,AC24,Y24,U24,Q24,M24,I24,E24)</f>
        <v>1448496</v>
      </c>
      <c r="BB24" s="45">
        <f t="shared" si="16"/>
        <v>1584453.05</v>
      </c>
      <c r="BD24" s="44">
        <f t="shared" si="0"/>
        <v>925781.05</v>
      </c>
    </row>
    <row r="25" spans="1:56" outlineLevel="2" x14ac:dyDescent="0.3">
      <c r="A25" s="3" t="s">
        <v>25</v>
      </c>
      <c r="B25" s="9" t="s">
        <v>47</v>
      </c>
      <c r="C25" s="16">
        <v>200</v>
      </c>
      <c r="D25" s="16">
        <v>2775</v>
      </c>
      <c r="E25" s="17"/>
      <c r="F25" s="45">
        <f t="shared" si="1"/>
        <v>2975</v>
      </c>
      <c r="G25" s="16">
        <v>200</v>
      </c>
      <c r="H25" s="16">
        <v>2362</v>
      </c>
      <c r="I25" s="17"/>
      <c r="J25" s="45">
        <f t="shared" si="2"/>
        <v>2562</v>
      </c>
      <c r="K25" s="16">
        <v>200</v>
      </c>
      <c r="L25" s="16">
        <v>2284</v>
      </c>
      <c r="M25" s="87"/>
      <c r="N25" s="86">
        <f t="shared" si="3"/>
        <v>2484</v>
      </c>
      <c r="O25" s="16">
        <v>200</v>
      </c>
      <c r="P25" s="16">
        <v>2545</v>
      </c>
      <c r="Q25" s="87"/>
      <c r="R25" s="86">
        <f t="shared" si="4"/>
        <v>2745</v>
      </c>
      <c r="S25" s="16">
        <v>200</v>
      </c>
      <c r="T25" s="16">
        <v>2631.3</v>
      </c>
      <c r="U25" s="87"/>
      <c r="V25" s="86">
        <f t="shared" si="5"/>
        <v>2831.3</v>
      </c>
      <c r="W25" s="16">
        <v>200</v>
      </c>
      <c r="X25" s="16">
        <v>2024</v>
      </c>
      <c r="Y25" s="17"/>
      <c r="Z25" s="45">
        <f t="shared" si="6"/>
        <v>2224</v>
      </c>
      <c r="AA25" s="16">
        <v>200</v>
      </c>
      <c r="AB25" s="16">
        <v>2024</v>
      </c>
      <c r="AC25" s="17"/>
      <c r="AD25" s="45">
        <f t="shared" si="7"/>
        <v>2224</v>
      </c>
      <c r="AE25" s="16"/>
      <c r="AF25" s="16">
        <v>2392</v>
      </c>
      <c r="AG25" s="16"/>
      <c r="AH25" s="45">
        <f t="shared" si="8"/>
        <v>2392</v>
      </c>
      <c r="AI25" s="16"/>
      <c r="AJ25" s="16">
        <v>1266</v>
      </c>
      <c r="AK25" s="17"/>
      <c r="AL25" s="45">
        <f t="shared" si="9"/>
        <v>1266</v>
      </c>
      <c r="AM25" s="242"/>
      <c r="AN25" s="242">
        <v>2406</v>
      </c>
      <c r="AO25" s="243"/>
      <c r="AP25" s="45">
        <f t="shared" si="10"/>
        <v>2406</v>
      </c>
      <c r="AQ25" s="242"/>
      <c r="AR25" s="242">
        <v>2406</v>
      </c>
      <c r="AS25" s="243"/>
      <c r="AT25" s="45">
        <f t="shared" si="11"/>
        <v>2406</v>
      </c>
      <c r="AU25" s="242"/>
      <c r="AV25" s="242">
        <v>2406</v>
      </c>
      <c r="AW25" s="243"/>
      <c r="AX25" s="45">
        <f t="shared" si="12"/>
        <v>2406</v>
      </c>
      <c r="AY25" s="15">
        <f t="shared" si="13"/>
        <v>1400</v>
      </c>
      <c r="AZ25" s="15">
        <f t="shared" si="14"/>
        <v>27521.3</v>
      </c>
      <c r="BA25" s="15">
        <f t="shared" si="15"/>
        <v>0</v>
      </c>
      <c r="BB25" s="45">
        <f t="shared" si="16"/>
        <v>28921.3</v>
      </c>
      <c r="BD25" s="44">
        <f t="shared" si="0"/>
        <v>18045.3</v>
      </c>
    </row>
    <row r="26" spans="1:56" outlineLevel="2" x14ac:dyDescent="0.3">
      <c r="A26" s="3" t="s">
        <v>25</v>
      </c>
      <c r="B26" s="9" t="s">
        <v>48</v>
      </c>
      <c r="C26" s="16">
        <v>3000</v>
      </c>
      <c r="D26" s="16">
        <v>837.33333333333337</v>
      </c>
      <c r="E26" s="17"/>
      <c r="F26" s="45">
        <f t="shared" si="1"/>
        <v>3837.3333333333335</v>
      </c>
      <c r="G26" s="16">
        <v>3000</v>
      </c>
      <c r="H26" s="16">
        <v>837.33333333333337</v>
      </c>
      <c r="I26" s="17"/>
      <c r="J26" s="45">
        <f t="shared" si="2"/>
        <v>3837.3333333333335</v>
      </c>
      <c r="K26" s="16">
        <v>3000</v>
      </c>
      <c r="L26" s="16">
        <v>2512</v>
      </c>
      <c r="M26" s="87"/>
      <c r="N26" s="86">
        <f t="shared" si="3"/>
        <v>5512</v>
      </c>
      <c r="O26" s="16">
        <v>3000</v>
      </c>
      <c r="P26" s="16">
        <v>3038</v>
      </c>
      <c r="Q26" s="87"/>
      <c r="R26" s="86">
        <f t="shared" si="4"/>
        <v>6038</v>
      </c>
      <c r="S26" s="16">
        <v>3000</v>
      </c>
      <c r="T26" s="16">
        <v>4189</v>
      </c>
      <c r="U26" s="87"/>
      <c r="V26" s="86">
        <f t="shared" si="5"/>
        <v>7189</v>
      </c>
      <c r="W26" s="16">
        <v>3000</v>
      </c>
      <c r="X26" s="16">
        <v>4037</v>
      </c>
      <c r="Y26" s="17"/>
      <c r="Z26" s="45">
        <f t="shared" si="6"/>
        <v>7037</v>
      </c>
      <c r="AA26" s="16">
        <v>3000</v>
      </c>
      <c r="AB26" s="16">
        <v>4037</v>
      </c>
      <c r="AC26" s="17"/>
      <c r="AD26" s="45">
        <f t="shared" si="7"/>
        <v>7037</v>
      </c>
      <c r="AE26" s="16">
        <v>3000</v>
      </c>
      <c r="AF26" s="16">
        <v>4126</v>
      </c>
      <c r="AG26" s="16"/>
      <c r="AH26" s="45">
        <f t="shared" si="8"/>
        <v>7126</v>
      </c>
      <c r="AI26" s="16">
        <v>3000</v>
      </c>
      <c r="AJ26" s="16">
        <v>3870</v>
      </c>
      <c r="AK26" s="17"/>
      <c r="AL26" s="45">
        <f t="shared" si="9"/>
        <v>6870</v>
      </c>
      <c r="AM26" s="242">
        <v>3000</v>
      </c>
      <c r="AN26" s="242">
        <v>3870</v>
      </c>
      <c r="AO26" s="243"/>
      <c r="AP26" s="45">
        <f t="shared" si="10"/>
        <v>6870</v>
      </c>
      <c r="AQ26" s="242">
        <v>3000</v>
      </c>
      <c r="AR26" s="242">
        <v>3870</v>
      </c>
      <c r="AS26" s="243"/>
      <c r="AT26" s="45">
        <f t="shared" si="11"/>
        <v>6870</v>
      </c>
      <c r="AU26" s="242">
        <v>3000</v>
      </c>
      <c r="AV26" s="242">
        <v>3870</v>
      </c>
      <c r="AW26" s="243"/>
      <c r="AX26" s="45">
        <f t="shared" si="12"/>
        <v>6870</v>
      </c>
      <c r="AY26" s="15">
        <f t="shared" si="13"/>
        <v>36000</v>
      </c>
      <c r="AZ26" s="15">
        <f t="shared" si="14"/>
        <v>39093.666666666672</v>
      </c>
      <c r="BA26" s="15">
        <f t="shared" si="15"/>
        <v>0</v>
      </c>
      <c r="BB26" s="45">
        <f t="shared" si="16"/>
        <v>75093.666666666657</v>
      </c>
      <c r="BD26" s="44">
        <f t="shared" si="0"/>
        <v>40487.666666666672</v>
      </c>
    </row>
    <row r="27" spans="1:56" outlineLevel="2" x14ac:dyDescent="0.3">
      <c r="A27" s="3" t="s">
        <v>25</v>
      </c>
      <c r="B27" s="9" t="s">
        <v>49</v>
      </c>
      <c r="C27" s="16">
        <v>5400</v>
      </c>
      <c r="D27" s="16">
        <v>1119.6666666666667</v>
      </c>
      <c r="E27" s="17"/>
      <c r="F27" s="45">
        <f t="shared" si="1"/>
        <v>6519.666666666667</v>
      </c>
      <c r="G27" s="16">
        <v>5400</v>
      </c>
      <c r="H27" s="16">
        <v>1119.6666666666667</v>
      </c>
      <c r="I27" s="17"/>
      <c r="J27" s="45">
        <f t="shared" si="2"/>
        <v>6519.666666666667</v>
      </c>
      <c r="K27" s="16">
        <v>5400</v>
      </c>
      <c r="L27" s="16">
        <v>3359</v>
      </c>
      <c r="M27" s="87"/>
      <c r="N27" s="86">
        <f t="shared" si="3"/>
        <v>8759</v>
      </c>
      <c r="O27" s="16">
        <v>5400</v>
      </c>
      <c r="P27" s="16">
        <v>3854</v>
      </c>
      <c r="Q27" s="87"/>
      <c r="R27" s="86">
        <f t="shared" si="4"/>
        <v>9254</v>
      </c>
      <c r="S27" s="16">
        <v>5400</v>
      </c>
      <c r="T27" s="16">
        <v>4777</v>
      </c>
      <c r="U27" s="87"/>
      <c r="V27" s="86">
        <f t="shared" si="5"/>
        <v>10177</v>
      </c>
      <c r="W27" s="16">
        <v>5400</v>
      </c>
      <c r="X27" s="16">
        <v>4629</v>
      </c>
      <c r="Y27" s="17"/>
      <c r="Z27" s="45">
        <f t="shared" si="6"/>
        <v>10029</v>
      </c>
      <c r="AA27" s="16">
        <v>5400</v>
      </c>
      <c r="AB27" s="16">
        <v>4613</v>
      </c>
      <c r="AC27" s="17"/>
      <c r="AD27" s="45">
        <f t="shared" si="7"/>
        <v>10013</v>
      </c>
      <c r="AE27" s="16">
        <v>5400</v>
      </c>
      <c r="AF27" s="16">
        <v>3968</v>
      </c>
      <c r="AG27" s="16"/>
      <c r="AH27" s="45">
        <f t="shared" si="8"/>
        <v>9368</v>
      </c>
      <c r="AI27" s="16">
        <v>5400</v>
      </c>
      <c r="AJ27" s="16">
        <v>3600</v>
      </c>
      <c r="AK27" s="17"/>
      <c r="AL27" s="45">
        <f t="shared" si="9"/>
        <v>9000</v>
      </c>
      <c r="AM27" s="242">
        <v>5400</v>
      </c>
      <c r="AN27" s="242">
        <v>3600</v>
      </c>
      <c r="AO27" s="243"/>
      <c r="AP27" s="45">
        <f t="shared" si="10"/>
        <v>9000</v>
      </c>
      <c r="AQ27" s="242">
        <v>5400</v>
      </c>
      <c r="AR27" s="242">
        <v>3600</v>
      </c>
      <c r="AS27" s="243"/>
      <c r="AT27" s="45">
        <f t="shared" si="11"/>
        <v>9000</v>
      </c>
      <c r="AU27" s="242">
        <v>5400</v>
      </c>
      <c r="AV27" s="242">
        <v>3600</v>
      </c>
      <c r="AW27" s="243"/>
      <c r="AX27" s="45">
        <f t="shared" si="12"/>
        <v>9000</v>
      </c>
      <c r="AY27" s="15">
        <f t="shared" si="13"/>
        <v>64800</v>
      </c>
      <c r="AZ27" s="15">
        <f t="shared" si="14"/>
        <v>41839.333333333328</v>
      </c>
      <c r="BA27" s="15">
        <f t="shared" si="15"/>
        <v>0</v>
      </c>
      <c r="BB27" s="45">
        <f t="shared" si="16"/>
        <v>106639.33333333334</v>
      </c>
      <c r="BD27" s="44">
        <f t="shared" si="0"/>
        <v>61271.333333333336</v>
      </c>
    </row>
    <row r="28" spans="1:56" outlineLevel="2" x14ac:dyDescent="0.3">
      <c r="A28" s="3" t="s">
        <v>25</v>
      </c>
      <c r="B28" s="9" t="s">
        <v>50</v>
      </c>
      <c r="C28" s="16"/>
      <c r="D28" s="16">
        <v>775.66666666666663</v>
      </c>
      <c r="E28" s="46">
        <v>49760</v>
      </c>
      <c r="F28" s="45">
        <f t="shared" si="1"/>
        <v>50535.666666666664</v>
      </c>
      <c r="G28" s="16"/>
      <c r="H28" s="16">
        <v>775.66666666666663</v>
      </c>
      <c r="I28" s="46">
        <v>49760</v>
      </c>
      <c r="J28" s="45">
        <f t="shared" si="2"/>
        <v>50535.666666666664</v>
      </c>
      <c r="K28" s="16"/>
      <c r="L28" s="16">
        <v>2327</v>
      </c>
      <c r="M28" s="46">
        <v>49760</v>
      </c>
      <c r="N28" s="86">
        <f t="shared" si="3"/>
        <v>52087</v>
      </c>
      <c r="O28" s="16"/>
      <c r="P28" s="16">
        <v>2500</v>
      </c>
      <c r="Q28" s="46">
        <v>49760</v>
      </c>
      <c r="R28" s="86">
        <f t="shared" si="4"/>
        <v>52260</v>
      </c>
      <c r="S28" s="16"/>
      <c r="T28" s="16">
        <v>3262</v>
      </c>
      <c r="U28" s="46">
        <v>49760</v>
      </c>
      <c r="V28" s="86">
        <f t="shared" si="5"/>
        <v>53022</v>
      </c>
      <c r="W28" s="16"/>
      <c r="X28" s="16">
        <v>3170</v>
      </c>
      <c r="Y28" s="46">
        <v>49760</v>
      </c>
      <c r="Z28" s="45">
        <f t="shared" si="6"/>
        <v>52930</v>
      </c>
      <c r="AA28" s="16"/>
      <c r="AB28" s="16">
        <v>3170</v>
      </c>
      <c r="AC28" s="46">
        <v>49760</v>
      </c>
      <c r="AD28" s="45">
        <f t="shared" si="7"/>
        <v>52930</v>
      </c>
      <c r="AE28" s="16"/>
      <c r="AF28" s="16">
        <v>3321</v>
      </c>
      <c r="AG28" s="46">
        <v>49760</v>
      </c>
      <c r="AH28" s="45">
        <f t="shared" si="8"/>
        <v>53081</v>
      </c>
      <c r="AI28" s="16"/>
      <c r="AJ28" s="16">
        <v>3273</v>
      </c>
      <c r="AK28" s="46">
        <v>49760</v>
      </c>
      <c r="AL28" s="45">
        <f t="shared" si="9"/>
        <v>53033</v>
      </c>
      <c r="AM28" s="242"/>
      <c r="AN28" s="242">
        <v>3273</v>
      </c>
      <c r="AO28" s="46">
        <v>49760</v>
      </c>
      <c r="AP28" s="45">
        <f t="shared" si="10"/>
        <v>53033</v>
      </c>
      <c r="AQ28" s="242"/>
      <c r="AR28" s="242">
        <v>3273</v>
      </c>
      <c r="AS28" s="46">
        <v>49760</v>
      </c>
      <c r="AT28" s="45">
        <f t="shared" si="11"/>
        <v>53033</v>
      </c>
      <c r="AU28" s="242"/>
      <c r="AV28" s="242">
        <v>3273</v>
      </c>
      <c r="AW28" s="46">
        <v>49760</v>
      </c>
      <c r="AX28" s="45">
        <f t="shared" si="12"/>
        <v>53033</v>
      </c>
      <c r="AY28" s="15">
        <f t="shared" si="13"/>
        <v>0</v>
      </c>
      <c r="AZ28" s="15">
        <f t="shared" si="14"/>
        <v>32393.333333333336</v>
      </c>
      <c r="BA28" s="15">
        <f t="shared" si="15"/>
        <v>597120</v>
      </c>
      <c r="BB28" s="45">
        <f t="shared" si="16"/>
        <v>629513.33333333326</v>
      </c>
      <c r="BD28" s="44">
        <f t="shared" si="0"/>
        <v>364300.33333333331</v>
      </c>
    </row>
    <row r="29" spans="1:56" outlineLevel="2" x14ac:dyDescent="0.3">
      <c r="A29" s="3" t="s">
        <v>25</v>
      </c>
      <c r="B29" s="52" t="s">
        <v>80</v>
      </c>
      <c r="C29" s="16">
        <v>307600</v>
      </c>
      <c r="D29" s="17"/>
      <c r="E29" s="16">
        <v>98446</v>
      </c>
      <c r="F29" s="45">
        <f t="shared" si="1"/>
        <v>406046</v>
      </c>
      <c r="G29" s="16">
        <v>307600</v>
      </c>
      <c r="H29" s="17"/>
      <c r="I29" s="16">
        <v>98446</v>
      </c>
      <c r="J29" s="45">
        <f t="shared" si="2"/>
        <v>406046</v>
      </c>
      <c r="K29" s="16">
        <v>307600</v>
      </c>
      <c r="L29" s="17"/>
      <c r="M29" s="16">
        <v>98446</v>
      </c>
      <c r="N29" s="86">
        <f t="shared" si="3"/>
        <v>406046</v>
      </c>
      <c r="O29" s="16">
        <v>307600</v>
      </c>
      <c r="P29" s="87"/>
      <c r="Q29" s="16">
        <v>98446</v>
      </c>
      <c r="R29" s="86">
        <f t="shared" si="4"/>
        <v>406046</v>
      </c>
      <c r="S29" s="16">
        <v>307600</v>
      </c>
      <c r="T29" s="87"/>
      <c r="U29" s="16">
        <v>98446</v>
      </c>
      <c r="V29" s="86">
        <f t="shared" si="5"/>
        <v>406046</v>
      </c>
      <c r="W29" s="16">
        <v>307600</v>
      </c>
      <c r="X29" s="87"/>
      <c r="Y29" s="16">
        <v>98446</v>
      </c>
      <c r="Z29" s="45">
        <f t="shared" si="6"/>
        <v>406046</v>
      </c>
      <c r="AA29" s="16">
        <v>307600</v>
      </c>
      <c r="AB29" s="16"/>
      <c r="AC29" s="16">
        <v>98446</v>
      </c>
      <c r="AD29" s="45">
        <f>SUM(AA29:AC29)</f>
        <v>406046</v>
      </c>
      <c r="AE29" s="16">
        <v>307600</v>
      </c>
      <c r="AF29" s="17"/>
      <c r="AG29" s="16">
        <v>98446</v>
      </c>
      <c r="AH29" s="45">
        <f t="shared" si="8"/>
        <v>406046</v>
      </c>
      <c r="AI29" s="16">
        <v>307600</v>
      </c>
      <c r="AJ29" s="16"/>
      <c r="AK29" s="16">
        <v>98446</v>
      </c>
      <c r="AL29" s="45">
        <f t="shared" si="9"/>
        <v>406046</v>
      </c>
      <c r="AM29" s="245">
        <v>307600</v>
      </c>
      <c r="AN29" s="245"/>
      <c r="AO29" s="245">
        <v>98446</v>
      </c>
      <c r="AP29" s="45">
        <f t="shared" si="10"/>
        <v>406046</v>
      </c>
      <c r="AQ29" s="245">
        <v>307600</v>
      </c>
      <c r="AR29" s="245"/>
      <c r="AS29" s="245">
        <v>98446</v>
      </c>
      <c r="AT29" s="45">
        <f t="shared" si="11"/>
        <v>406046</v>
      </c>
      <c r="AU29" s="245">
        <v>307600</v>
      </c>
      <c r="AV29" s="245"/>
      <c r="AW29" s="245">
        <v>98446</v>
      </c>
      <c r="AX29" s="45">
        <f t="shared" si="12"/>
        <v>406046</v>
      </c>
      <c r="AY29" s="15">
        <f t="shared" si="13"/>
        <v>3691200</v>
      </c>
      <c r="AZ29" s="15">
        <f t="shared" si="14"/>
        <v>0</v>
      </c>
      <c r="BA29" s="15">
        <f t="shared" si="15"/>
        <v>1181352</v>
      </c>
      <c r="BB29" s="45">
        <f t="shared" si="16"/>
        <v>4872552</v>
      </c>
      <c r="BD29" s="44">
        <f t="shared" si="0"/>
        <v>2842322</v>
      </c>
    </row>
    <row r="30" spans="1:56" outlineLevel="2" x14ac:dyDescent="0.3">
      <c r="A30" s="3" t="s">
        <v>25</v>
      </c>
      <c r="B30" s="52" t="s">
        <v>81</v>
      </c>
      <c r="C30" s="16"/>
      <c r="D30" s="17"/>
      <c r="E30" s="16">
        <v>17254</v>
      </c>
      <c r="F30" s="45">
        <f t="shared" si="1"/>
        <v>17254</v>
      </c>
      <c r="G30" s="16"/>
      <c r="H30" s="17"/>
      <c r="I30" s="16">
        <v>17254</v>
      </c>
      <c r="J30" s="45">
        <f t="shared" si="2"/>
        <v>17254</v>
      </c>
      <c r="K30" s="16"/>
      <c r="L30" s="17"/>
      <c r="M30" s="16">
        <v>17254</v>
      </c>
      <c r="N30" s="86">
        <f t="shared" si="3"/>
        <v>17254</v>
      </c>
      <c r="O30" s="16"/>
      <c r="P30" s="87"/>
      <c r="Q30" s="16">
        <v>17254</v>
      </c>
      <c r="R30" s="86">
        <f t="shared" si="4"/>
        <v>17254</v>
      </c>
      <c r="S30" s="16"/>
      <c r="T30" s="87"/>
      <c r="U30" s="16">
        <v>17254</v>
      </c>
      <c r="V30" s="86">
        <f t="shared" si="5"/>
        <v>17254</v>
      </c>
      <c r="W30" s="16"/>
      <c r="X30" s="17"/>
      <c r="Y30" s="16">
        <v>17254</v>
      </c>
      <c r="Z30" s="45">
        <f t="shared" si="6"/>
        <v>17254</v>
      </c>
      <c r="AA30" s="16"/>
      <c r="AB30" s="17"/>
      <c r="AC30" s="16">
        <v>17254</v>
      </c>
      <c r="AD30" s="45">
        <f t="shared" si="7"/>
        <v>17254</v>
      </c>
      <c r="AE30" s="16"/>
      <c r="AF30" s="17"/>
      <c r="AG30" s="16">
        <v>17254</v>
      </c>
      <c r="AH30" s="45">
        <f t="shared" si="8"/>
        <v>17254</v>
      </c>
      <c r="AI30" s="16"/>
      <c r="AJ30" s="17"/>
      <c r="AK30" s="16">
        <v>17254</v>
      </c>
      <c r="AL30" s="45">
        <f t="shared" si="9"/>
        <v>17254</v>
      </c>
      <c r="AM30" s="245"/>
      <c r="AN30" s="283"/>
      <c r="AO30" s="245">
        <v>17254</v>
      </c>
      <c r="AP30" s="45">
        <f t="shared" si="10"/>
        <v>17254</v>
      </c>
      <c r="AQ30" s="245"/>
      <c r="AR30" s="283"/>
      <c r="AS30" s="245">
        <v>17254</v>
      </c>
      <c r="AT30" s="45">
        <f t="shared" si="11"/>
        <v>17254</v>
      </c>
      <c r="AU30" s="245"/>
      <c r="AV30" s="283"/>
      <c r="AW30" s="245">
        <v>17254</v>
      </c>
      <c r="AX30" s="45">
        <f t="shared" si="12"/>
        <v>17254</v>
      </c>
      <c r="AY30" s="15">
        <f t="shared" si="13"/>
        <v>0</v>
      </c>
      <c r="AZ30" s="15">
        <f t="shared" si="14"/>
        <v>0</v>
      </c>
      <c r="BA30" s="15">
        <f t="shared" si="15"/>
        <v>207048</v>
      </c>
      <c r="BB30" s="45">
        <f t="shared" si="16"/>
        <v>207048</v>
      </c>
      <c r="BD30" s="44">
        <f t="shared" si="0"/>
        <v>120778</v>
      </c>
    </row>
    <row r="31" spans="1:56" outlineLevel="2" x14ac:dyDescent="0.3">
      <c r="A31" s="3" t="s">
        <v>25</v>
      </c>
      <c r="B31" s="52" t="s">
        <v>53</v>
      </c>
      <c r="C31" s="16"/>
      <c r="D31" s="17"/>
      <c r="E31" s="61">
        <v>17969</v>
      </c>
      <c r="F31" s="45">
        <f t="shared" si="1"/>
        <v>17969</v>
      </c>
      <c r="G31" s="16"/>
      <c r="H31" s="17"/>
      <c r="I31" s="61">
        <v>11670</v>
      </c>
      <c r="J31" s="45">
        <f t="shared" si="2"/>
        <v>11670</v>
      </c>
      <c r="K31" s="16"/>
      <c r="L31" s="17"/>
      <c r="M31" s="61">
        <v>17594</v>
      </c>
      <c r="N31" s="86">
        <f t="shared" si="3"/>
        <v>17594</v>
      </c>
      <c r="O31" s="16"/>
      <c r="P31" s="87"/>
      <c r="Q31" s="16">
        <v>15000</v>
      </c>
      <c r="R31" s="86">
        <f t="shared" si="4"/>
        <v>15000</v>
      </c>
      <c r="S31" s="16"/>
      <c r="T31" s="87"/>
      <c r="U31" s="16">
        <v>17000</v>
      </c>
      <c r="V31" s="86">
        <f t="shared" si="5"/>
        <v>17000</v>
      </c>
      <c r="W31" s="16"/>
      <c r="X31" s="17"/>
      <c r="Y31" s="16">
        <v>17110</v>
      </c>
      <c r="Z31" s="45">
        <f t="shared" si="6"/>
        <v>17110</v>
      </c>
      <c r="AA31" s="16"/>
      <c r="AB31" s="17"/>
      <c r="AC31" s="16">
        <v>18919</v>
      </c>
      <c r="AD31" s="45">
        <f t="shared" si="7"/>
        <v>18919</v>
      </c>
      <c r="AE31" s="16"/>
      <c r="AF31" s="17"/>
      <c r="AG31" s="61">
        <v>19842</v>
      </c>
      <c r="AH31" s="45">
        <f t="shared" si="8"/>
        <v>19842</v>
      </c>
      <c r="AI31" s="16"/>
      <c r="AJ31" s="17"/>
      <c r="AK31" s="16">
        <v>42553.55</v>
      </c>
      <c r="AL31" s="45">
        <f t="shared" si="9"/>
        <v>42553.55</v>
      </c>
      <c r="AM31" s="245"/>
      <c r="AN31" s="283"/>
      <c r="AO31" s="245">
        <v>42553.55</v>
      </c>
      <c r="AP31" s="45">
        <f t="shared" si="10"/>
        <v>42553.55</v>
      </c>
      <c r="AQ31" s="245"/>
      <c r="AR31" s="283"/>
      <c r="AS31" s="245">
        <v>42553.55</v>
      </c>
      <c r="AT31" s="45">
        <f t="shared" si="11"/>
        <v>42553.55</v>
      </c>
      <c r="AU31" s="245"/>
      <c r="AV31" s="283"/>
      <c r="AW31" s="245">
        <v>44681</v>
      </c>
      <c r="AX31" s="45">
        <f t="shared" si="12"/>
        <v>44681</v>
      </c>
      <c r="AY31" s="15">
        <f t="shared" si="13"/>
        <v>0</v>
      </c>
      <c r="AZ31" s="15">
        <f t="shared" si="14"/>
        <v>0</v>
      </c>
      <c r="BA31" s="15">
        <f t="shared" si="15"/>
        <v>307445.65000000002</v>
      </c>
      <c r="BB31" s="45">
        <f t="shared" si="16"/>
        <v>307445.65000000002</v>
      </c>
      <c r="BD31" s="44">
        <f t="shared" si="0"/>
        <v>115262</v>
      </c>
    </row>
    <row r="32" spans="1:56" s="19" customFormat="1" outlineLevel="1" x14ac:dyDescent="0.3">
      <c r="A32" s="6" t="s">
        <v>25</v>
      </c>
      <c r="B32" s="7" t="s">
        <v>54</v>
      </c>
      <c r="C32" s="48">
        <f>SUM(C33:C39)</f>
        <v>0</v>
      </c>
      <c r="D32" s="48">
        <f>SUM(D33:D39)</f>
        <v>13622.33</v>
      </c>
      <c r="E32" s="48">
        <f>SUM(E33:E39)</f>
        <v>0</v>
      </c>
      <c r="F32" s="45">
        <f t="shared" si="1"/>
        <v>13622.33</v>
      </c>
      <c r="G32" s="12"/>
      <c r="H32" s="48">
        <f>SUM(H33:H39)</f>
        <v>12382.96</v>
      </c>
      <c r="I32" s="18"/>
      <c r="J32" s="45">
        <f t="shared" si="2"/>
        <v>12382.96</v>
      </c>
      <c r="K32" s="12"/>
      <c r="L32" s="48">
        <f>SUM(L33:L39)</f>
        <v>12065.5</v>
      </c>
      <c r="M32" s="89"/>
      <c r="N32" s="86">
        <f t="shared" si="3"/>
        <v>12065.5</v>
      </c>
      <c r="O32" s="12"/>
      <c r="P32" s="88">
        <f>SUM(P33:P39)</f>
        <v>14135.5</v>
      </c>
      <c r="Q32" s="89"/>
      <c r="R32" s="86">
        <f t="shared" si="4"/>
        <v>14135.5</v>
      </c>
      <c r="S32" s="12"/>
      <c r="T32" s="88">
        <f>SUM(T33:T39)</f>
        <v>13534.5</v>
      </c>
      <c r="U32" s="89"/>
      <c r="V32" s="86">
        <f t="shared" si="5"/>
        <v>13534.5</v>
      </c>
      <c r="W32" s="12"/>
      <c r="X32" s="88">
        <f>SUM(X33:X39)</f>
        <v>12614.5</v>
      </c>
      <c r="Y32" s="18"/>
      <c r="Z32" s="45">
        <f t="shared" si="6"/>
        <v>12614.5</v>
      </c>
      <c r="AA32" s="12">
        <f>SUM(AA33:AA39)</f>
        <v>1392</v>
      </c>
      <c r="AB32" s="88">
        <f>SUM(AB33:AB39)</f>
        <v>13582.5</v>
      </c>
      <c r="AC32" s="18"/>
      <c r="AD32" s="45">
        <f t="shared" si="7"/>
        <v>14974.5</v>
      </c>
      <c r="AE32" s="12">
        <f>SUM(AE33:AE39)</f>
        <v>1392</v>
      </c>
      <c r="AF32" s="88">
        <f>SUM(AF33:AF39)</f>
        <v>12639</v>
      </c>
      <c r="AG32" s="18"/>
      <c r="AH32" s="45">
        <f t="shared" si="8"/>
        <v>14031</v>
      </c>
      <c r="AI32" s="12">
        <f>SUM(AI33:AI39)</f>
        <v>0</v>
      </c>
      <c r="AJ32" s="88">
        <f>SUM(AJ33:AJ39)</f>
        <v>11775</v>
      </c>
      <c r="AK32" s="18"/>
      <c r="AL32" s="45">
        <f t="shared" si="9"/>
        <v>11775</v>
      </c>
      <c r="AM32" s="12">
        <f>SUM(AM33:AM39)</f>
        <v>1392</v>
      </c>
      <c r="AN32" s="88">
        <f>SUM(AN33:AN39)</f>
        <v>9888.5</v>
      </c>
      <c r="AO32" s="18"/>
      <c r="AP32" s="45">
        <f>SUM(AM32:AO32)</f>
        <v>11280.5</v>
      </c>
      <c r="AQ32" s="12">
        <f>SUM(AQ33:AQ39)</f>
        <v>1392</v>
      </c>
      <c r="AR32" s="88">
        <f>SUM(AR33:AR39)</f>
        <v>11929</v>
      </c>
      <c r="AS32" s="18"/>
      <c r="AT32" s="45">
        <f t="shared" si="11"/>
        <v>13321</v>
      </c>
      <c r="AU32" s="12">
        <f>SUM(AU33:AU39)</f>
        <v>1392</v>
      </c>
      <c r="AV32" s="12">
        <f>SUM(AV33:AV39)</f>
        <v>11956</v>
      </c>
      <c r="AW32" s="12">
        <f>SUM(AW33:AW39)</f>
        <v>6481</v>
      </c>
      <c r="AX32" s="45">
        <f t="shared" si="12"/>
        <v>19829</v>
      </c>
      <c r="AY32" s="15">
        <f t="shared" si="13"/>
        <v>6960</v>
      </c>
      <c r="AZ32" s="15">
        <f t="shared" si="14"/>
        <v>150125.28999999998</v>
      </c>
      <c r="BA32" s="15">
        <f t="shared" si="15"/>
        <v>6481</v>
      </c>
      <c r="BB32" s="45">
        <f t="shared" si="16"/>
        <v>163566.28999999998</v>
      </c>
      <c r="BD32" s="44">
        <f t="shared" si="0"/>
        <v>93329.790000000008</v>
      </c>
    </row>
    <row r="33" spans="1:56" outlineLevel="2" x14ac:dyDescent="0.3">
      <c r="A33" s="3" t="s">
        <v>25</v>
      </c>
      <c r="B33" s="4" t="s">
        <v>55</v>
      </c>
      <c r="C33" s="16"/>
      <c r="D33" s="16">
        <v>5882.3</v>
      </c>
      <c r="E33" s="17"/>
      <c r="F33" s="45">
        <f t="shared" si="1"/>
        <v>5882.3</v>
      </c>
      <c r="G33" s="16"/>
      <c r="H33" s="16">
        <v>4888</v>
      </c>
      <c r="I33" s="17"/>
      <c r="J33" s="45">
        <f t="shared" si="2"/>
        <v>4888</v>
      </c>
      <c r="K33" s="16"/>
      <c r="L33" s="16">
        <v>5108</v>
      </c>
      <c r="M33" s="87"/>
      <c r="N33" s="86">
        <f t="shared" si="3"/>
        <v>5108</v>
      </c>
      <c r="O33" s="16"/>
      <c r="P33" s="16">
        <v>6245.5</v>
      </c>
      <c r="Q33" s="87"/>
      <c r="R33" s="86">
        <f t="shared" si="4"/>
        <v>6245.5</v>
      </c>
      <c r="S33" s="16"/>
      <c r="T33" s="16">
        <v>6042</v>
      </c>
      <c r="U33" s="87"/>
      <c r="V33" s="86">
        <f t="shared" si="5"/>
        <v>6042</v>
      </c>
      <c r="W33" s="16"/>
      <c r="X33" s="16">
        <v>5576</v>
      </c>
      <c r="Y33" s="16"/>
      <c r="Z33" s="45">
        <f t="shared" si="6"/>
        <v>5576</v>
      </c>
      <c r="AA33" s="16"/>
      <c r="AB33" s="16">
        <v>6012.5</v>
      </c>
      <c r="AC33" s="17"/>
      <c r="AD33" s="45">
        <f t="shared" si="7"/>
        <v>6012.5</v>
      </c>
      <c r="AE33" s="16"/>
      <c r="AF33" s="16">
        <v>5052.5</v>
      </c>
      <c r="AG33" s="17"/>
      <c r="AH33" s="45">
        <f t="shared" si="8"/>
        <v>5052.5</v>
      </c>
      <c r="AI33" s="16"/>
      <c r="AJ33" s="16">
        <v>4720</v>
      </c>
      <c r="AK33" s="17"/>
      <c r="AL33" s="45">
        <f t="shared" si="9"/>
        <v>4720</v>
      </c>
      <c r="AM33" s="16"/>
      <c r="AN33" s="245">
        <v>3780</v>
      </c>
      <c r="AO33" s="17"/>
      <c r="AP33" s="45">
        <f t="shared" si="10"/>
        <v>3780</v>
      </c>
      <c r="AQ33" s="16"/>
      <c r="AR33" s="245">
        <v>6230</v>
      </c>
      <c r="AS33" s="17"/>
      <c r="AT33" s="45">
        <f t="shared" si="11"/>
        <v>6230</v>
      </c>
      <c r="AU33" s="16"/>
      <c r="AV33" s="245">
        <v>6230</v>
      </c>
      <c r="AW33" s="47">
        <v>6481</v>
      </c>
      <c r="AX33" s="45">
        <f t="shared" si="12"/>
        <v>12711</v>
      </c>
      <c r="AY33" s="15">
        <f t="shared" si="13"/>
        <v>0</v>
      </c>
      <c r="AZ33" s="15">
        <f t="shared" si="14"/>
        <v>65766.8</v>
      </c>
      <c r="BA33" s="15">
        <f t="shared" si="15"/>
        <v>6481</v>
      </c>
      <c r="BB33" s="45">
        <f t="shared" si="16"/>
        <v>72247.8</v>
      </c>
      <c r="BD33" s="44">
        <f t="shared" si="0"/>
        <v>39754.300000000003</v>
      </c>
    </row>
    <row r="34" spans="1:56" outlineLevel="2" x14ac:dyDescent="0.3">
      <c r="A34" s="3" t="s">
        <v>25</v>
      </c>
      <c r="B34" s="4" t="s">
        <v>56</v>
      </c>
      <c r="C34" s="16"/>
      <c r="D34" s="16">
        <v>3253</v>
      </c>
      <c r="E34" s="17"/>
      <c r="F34" s="45">
        <f t="shared" si="1"/>
        <v>3253</v>
      </c>
      <c r="G34" s="16"/>
      <c r="H34" s="16">
        <v>3395.5</v>
      </c>
      <c r="I34" s="17"/>
      <c r="J34" s="45">
        <f t="shared" si="2"/>
        <v>3395.5</v>
      </c>
      <c r="K34" s="16"/>
      <c r="L34" s="16">
        <v>3095.5</v>
      </c>
      <c r="M34" s="87"/>
      <c r="N34" s="86">
        <f t="shared" si="3"/>
        <v>3095.5</v>
      </c>
      <c r="O34" s="16"/>
      <c r="P34" s="16">
        <v>3417.5</v>
      </c>
      <c r="Q34" s="87"/>
      <c r="R34" s="86">
        <f t="shared" si="4"/>
        <v>3417.5</v>
      </c>
      <c r="S34" s="16"/>
      <c r="T34" s="16">
        <v>3117.5</v>
      </c>
      <c r="U34" s="87"/>
      <c r="V34" s="86">
        <f t="shared" si="5"/>
        <v>3117.5</v>
      </c>
      <c r="W34" s="16"/>
      <c r="X34" s="16">
        <v>3131.5</v>
      </c>
      <c r="Y34" s="16"/>
      <c r="Z34" s="45">
        <f t="shared" si="6"/>
        <v>3131.5</v>
      </c>
      <c r="AA34" s="16"/>
      <c r="AB34" s="16">
        <v>3378.5</v>
      </c>
      <c r="AC34" s="17"/>
      <c r="AD34" s="45">
        <f t="shared" si="7"/>
        <v>3378.5</v>
      </c>
      <c r="AE34" s="16"/>
      <c r="AF34" s="16">
        <v>3378.5</v>
      </c>
      <c r="AG34" s="17"/>
      <c r="AH34" s="45">
        <f>SUM(AE34:AG34)</f>
        <v>3378.5</v>
      </c>
      <c r="AI34" s="16"/>
      <c r="AJ34" s="16">
        <v>3158.5</v>
      </c>
      <c r="AK34" s="17"/>
      <c r="AL34" s="45">
        <f t="shared" si="9"/>
        <v>3158.5</v>
      </c>
      <c r="AM34" s="16"/>
      <c r="AN34" s="242">
        <v>2668</v>
      </c>
      <c r="AO34" s="17"/>
      <c r="AP34" s="45">
        <f t="shared" si="10"/>
        <v>2668</v>
      </c>
      <c r="AQ34" s="16"/>
      <c r="AR34" s="242">
        <v>2668</v>
      </c>
      <c r="AS34" s="17"/>
      <c r="AT34" s="45">
        <f t="shared" si="11"/>
        <v>2668</v>
      </c>
      <c r="AU34" s="16"/>
      <c r="AV34" s="242">
        <v>2668</v>
      </c>
      <c r="AW34" s="17"/>
      <c r="AX34" s="45">
        <f t="shared" si="12"/>
        <v>2668</v>
      </c>
      <c r="AY34" s="15">
        <f t="shared" si="13"/>
        <v>0</v>
      </c>
      <c r="AZ34" s="15">
        <f t="shared" si="14"/>
        <v>37330</v>
      </c>
      <c r="BA34" s="15">
        <f>SUM(AW34,AS34,AO34,AK34,AG34,AC34,Y34,U34,Q34,M34,I34,E34)</f>
        <v>0</v>
      </c>
      <c r="BB34" s="45">
        <f t="shared" si="16"/>
        <v>37330</v>
      </c>
      <c r="BD34" s="44">
        <f t="shared" si="0"/>
        <v>22789</v>
      </c>
    </row>
    <row r="35" spans="1:56" outlineLevel="2" x14ac:dyDescent="0.3">
      <c r="A35" s="3" t="s">
        <v>25</v>
      </c>
      <c r="B35" s="4" t="s">
        <v>57</v>
      </c>
      <c r="C35" s="16"/>
      <c r="D35" s="16">
        <v>481.5</v>
      </c>
      <c r="E35" s="17"/>
      <c r="F35" s="45">
        <f t="shared" si="1"/>
        <v>481.5</v>
      </c>
      <c r="G35" s="16"/>
      <c r="H35" s="16">
        <v>474</v>
      </c>
      <c r="I35" s="17"/>
      <c r="J35" s="45">
        <f t="shared" si="2"/>
        <v>474</v>
      </c>
      <c r="K35" s="16"/>
      <c r="L35" s="16">
        <v>256</v>
      </c>
      <c r="M35" s="87"/>
      <c r="N35" s="86">
        <f t="shared" si="3"/>
        <v>256</v>
      </c>
      <c r="O35" s="16"/>
      <c r="P35" s="16">
        <v>288.5</v>
      </c>
      <c r="Q35" s="87"/>
      <c r="R35" s="86">
        <f t="shared" si="4"/>
        <v>288.5</v>
      </c>
      <c r="S35" s="16"/>
      <c r="T35" s="16">
        <v>455</v>
      </c>
      <c r="U35" s="87"/>
      <c r="V35" s="86">
        <f t="shared" si="5"/>
        <v>455</v>
      </c>
      <c r="W35" s="16"/>
      <c r="X35" s="16">
        <v>225.5</v>
      </c>
      <c r="Y35" s="16"/>
      <c r="Z35" s="45">
        <f t="shared" si="6"/>
        <v>225.5</v>
      </c>
      <c r="AA35" s="16"/>
      <c r="AB35" s="16">
        <v>249</v>
      </c>
      <c r="AC35" s="17"/>
      <c r="AD35" s="45">
        <f t="shared" si="7"/>
        <v>249</v>
      </c>
      <c r="AE35" s="16"/>
      <c r="AF35" s="16">
        <v>249</v>
      </c>
      <c r="AG35" s="17"/>
      <c r="AH35" s="45">
        <f t="shared" si="8"/>
        <v>249</v>
      </c>
      <c r="AI35" s="16"/>
      <c r="AJ35" s="16">
        <v>249</v>
      </c>
      <c r="AK35" s="17"/>
      <c r="AL35" s="45">
        <f t="shared" si="9"/>
        <v>249</v>
      </c>
      <c r="AM35" s="16"/>
      <c r="AN35" s="242" t="s">
        <v>139</v>
      </c>
      <c r="AO35" s="17"/>
      <c r="AP35" s="45">
        <f>SUM(AM35:AO35)</f>
        <v>0</v>
      </c>
      <c r="AQ35" s="16"/>
      <c r="AR35" s="242" t="s">
        <v>139</v>
      </c>
      <c r="AS35" s="17"/>
      <c r="AT35" s="45">
        <f t="shared" si="11"/>
        <v>0</v>
      </c>
      <c r="AU35" s="16"/>
      <c r="AV35" s="242" t="s">
        <v>139</v>
      </c>
      <c r="AW35" s="17"/>
      <c r="AX35" s="45">
        <f>SUM(AU35:AW35)</f>
        <v>0</v>
      </c>
      <c r="AY35" s="15">
        <f t="shared" si="13"/>
        <v>0</v>
      </c>
      <c r="AZ35" s="15">
        <f>SUM(AV35,AR35,AN35,AJ35,AF35,AB35,X35,T35,P35,L35,H35,D35)</f>
        <v>2927.5</v>
      </c>
      <c r="BA35" s="15">
        <f t="shared" si="15"/>
        <v>0</v>
      </c>
      <c r="BB35" s="45">
        <f t="shared" si="16"/>
        <v>2927.5</v>
      </c>
      <c r="BD35" s="44">
        <f t="shared" si="0"/>
        <v>2429.5</v>
      </c>
    </row>
    <row r="36" spans="1:56" outlineLevel="2" x14ac:dyDescent="0.3">
      <c r="A36" s="3" t="s">
        <v>25</v>
      </c>
      <c r="B36" s="4" t="s">
        <v>58</v>
      </c>
      <c r="C36" s="16"/>
      <c r="D36" s="16">
        <v>631.53</v>
      </c>
      <c r="E36" s="17"/>
      <c r="F36" s="45">
        <f t="shared" si="1"/>
        <v>631.53</v>
      </c>
      <c r="G36" s="16"/>
      <c r="H36" s="16">
        <v>483.96</v>
      </c>
      <c r="I36" s="17"/>
      <c r="J36" s="45">
        <f t="shared" si="2"/>
        <v>483.96</v>
      </c>
      <c r="K36" s="16"/>
      <c r="L36" s="16">
        <v>412.5</v>
      </c>
      <c r="M36" s="87"/>
      <c r="N36" s="86">
        <f t="shared" si="3"/>
        <v>412.5</v>
      </c>
      <c r="O36" s="16"/>
      <c r="P36" s="16">
        <v>458.5</v>
      </c>
      <c r="Q36" s="87"/>
      <c r="R36" s="86">
        <f t="shared" si="4"/>
        <v>458.5</v>
      </c>
      <c r="S36" s="16"/>
      <c r="T36" s="16">
        <v>452.5</v>
      </c>
      <c r="U36" s="87"/>
      <c r="V36" s="86">
        <f t="shared" si="5"/>
        <v>452.5</v>
      </c>
      <c r="W36" s="16"/>
      <c r="X36" s="16">
        <v>420</v>
      </c>
      <c r="Y36" s="16"/>
      <c r="Z36" s="45">
        <f t="shared" si="6"/>
        <v>420</v>
      </c>
      <c r="AA36" s="16"/>
      <c r="AB36" s="16">
        <v>443</v>
      </c>
      <c r="AC36" s="17"/>
      <c r="AD36" s="45">
        <f t="shared" si="7"/>
        <v>443</v>
      </c>
      <c r="AE36" s="16"/>
      <c r="AF36" s="16">
        <v>443</v>
      </c>
      <c r="AG36" s="17"/>
      <c r="AH36" s="45">
        <f t="shared" si="8"/>
        <v>443</v>
      </c>
      <c r="AI36" s="16"/>
      <c r="AJ36" s="16">
        <v>447.5</v>
      </c>
      <c r="AK36" s="17"/>
      <c r="AL36" s="45">
        <f t="shared" si="9"/>
        <v>447.5</v>
      </c>
      <c r="AM36" s="16"/>
      <c r="AN36" s="242" t="s">
        <v>140</v>
      </c>
      <c r="AO36" s="17"/>
      <c r="AP36" s="45">
        <f>SUM(AM36:AO36)</f>
        <v>0</v>
      </c>
      <c r="AQ36" s="16"/>
      <c r="AR36" s="242" t="s">
        <v>140</v>
      </c>
      <c r="AS36" s="17"/>
      <c r="AT36" s="45">
        <f t="shared" si="11"/>
        <v>0</v>
      </c>
      <c r="AU36" s="16"/>
      <c r="AV36" s="242" t="s">
        <v>140</v>
      </c>
      <c r="AW36" s="17"/>
      <c r="AX36" s="45">
        <f t="shared" si="12"/>
        <v>0</v>
      </c>
      <c r="AY36" s="15">
        <f t="shared" si="13"/>
        <v>0</v>
      </c>
      <c r="AZ36" s="15">
        <f t="shared" si="14"/>
        <v>4192.49</v>
      </c>
      <c r="BA36" s="15">
        <f t="shared" si="15"/>
        <v>0</v>
      </c>
      <c r="BB36" s="45">
        <f t="shared" si="16"/>
        <v>4192.49</v>
      </c>
      <c r="BD36" s="44">
        <f t="shared" si="0"/>
        <v>3301.99</v>
      </c>
    </row>
    <row r="37" spans="1:56" outlineLevel="2" x14ac:dyDescent="0.3">
      <c r="A37" s="3" t="s">
        <v>25</v>
      </c>
      <c r="B37" s="4" t="s">
        <v>59</v>
      </c>
      <c r="C37" s="16"/>
      <c r="D37" s="16">
        <v>1381.5</v>
      </c>
      <c r="E37" s="17"/>
      <c r="F37" s="45">
        <f t="shared" si="1"/>
        <v>1381.5</v>
      </c>
      <c r="G37" s="16"/>
      <c r="H37" s="16">
        <v>1266.5</v>
      </c>
      <c r="I37" s="17"/>
      <c r="J37" s="45">
        <f t="shared" si="2"/>
        <v>1266.5</v>
      </c>
      <c r="K37" s="16"/>
      <c r="L37" s="16">
        <v>1330</v>
      </c>
      <c r="M37" s="87"/>
      <c r="N37" s="86">
        <f t="shared" si="3"/>
        <v>1330</v>
      </c>
      <c r="O37" s="16"/>
      <c r="P37" s="16">
        <v>1542.5</v>
      </c>
      <c r="Q37" s="87"/>
      <c r="R37" s="86">
        <f t="shared" si="4"/>
        <v>1542.5</v>
      </c>
      <c r="S37" s="16"/>
      <c r="T37" s="16">
        <v>1541</v>
      </c>
      <c r="U37" s="87"/>
      <c r="V37" s="86">
        <f t="shared" si="5"/>
        <v>1541</v>
      </c>
      <c r="W37" s="16"/>
      <c r="X37" s="16">
        <v>1324</v>
      </c>
      <c r="Y37" s="16"/>
      <c r="Z37" s="45">
        <f t="shared" si="6"/>
        <v>1324</v>
      </c>
      <c r="AA37" s="16">
        <v>1392</v>
      </c>
      <c r="AB37" s="16">
        <v>1324</v>
      </c>
      <c r="AC37" s="17"/>
      <c r="AD37" s="45">
        <f t="shared" si="7"/>
        <v>2716</v>
      </c>
      <c r="AE37" s="16">
        <v>1392</v>
      </c>
      <c r="AF37" s="16">
        <v>1433</v>
      </c>
      <c r="AG37" s="17"/>
      <c r="AH37" s="45">
        <f t="shared" si="8"/>
        <v>2825</v>
      </c>
      <c r="AI37" s="16"/>
      <c r="AJ37" s="87">
        <v>1313.5</v>
      </c>
      <c r="AK37" s="17"/>
      <c r="AL37" s="45">
        <f t="shared" si="9"/>
        <v>1313.5</v>
      </c>
      <c r="AM37" s="16">
        <v>1392</v>
      </c>
      <c r="AN37" s="46">
        <v>1389</v>
      </c>
      <c r="AO37" s="17"/>
      <c r="AP37" s="45">
        <f t="shared" si="10"/>
        <v>2781</v>
      </c>
      <c r="AQ37" s="16">
        <v>1392</v>
      </c>
      <c r="AR37" s="16">
        <v>1106</v>
      </c>
      <c r="AS37" s="17"/>
      <c r="AT37" s="45">
        <f t="shared" si="11"/>
        <v>2498</v>
      </c>
      <c r="AU37" s="16">
        <v>1392</v>
      </c>
      <c r="AV37" s="16">
        <v>1106</v>
      </c>
      <c r="AW37" s="17"/>
      <c r="AX37" s="45">
        <f t="shared" si="12"/>
        <v>2498</v>
      </c>
      <c r="AY37" s="15">
        <f t="shared" si="13"/>
        <v>6960</v>
      </c>
      <c r="AZ37" s="15">
        <f t="shared" si="14"/>
        <v>16057</v>
      </c>
      <c r="BA37" s="15">
        <f t="shared" si="15"/>
        <v>0</v>
      </c>
      <c r="BB37" s="45">
        <f t="shared" si="16"/>
        <v>23017</v>
      </c>
      <c r="BD37" s="44">
        <f t="shared" ref="BD37:BD68" si="50">F37+J37+N37+R37+V37+Z37+AD37</f>
        <v>11101.5</v>
      </c>
    </row>
    <row r="38" spans="1:56" outlineLevel="2" x14ac:dyDescent="0.3">
      <c r="A38" s="3" t="s">
        <v>25</v>
      </c>
      <c r="B38" s="4" t="s">
        <v>60</v>
      </c>
      <c r="C38" s="16"/>
      <c r="D38" s="16">
        <v>1225.5</v>
      </c>
      <c r="E38" s="17"/>
      <c r="F38" s="45">
        <f t="shared" si="1"/>
        <v>1225.5</v>
      </c>
      <c r="G38" s="16"/>
      <c r="H38" s="16">
        <v>1262</v>
      </c>
      <c r="I38" s="17"/>
      <c r="J38" s="45">
        <f t="shared" si="2"/>
        <v>1262</v>
      </c>
      <c r="K38" s="16"/>
      <c r="L38" s="16">
        <v>1241.5</v>
      </c>
      <c r="M38" s="87"/>
      <c r="N38" s="86">
        <f t="shared" si="3"/>
        <v>1241.5</v>
      </c>
      <c r="O38" s="16"/>
      <c r="P38" s="16">
        <v>1528</v>
      </c>
      <c r="Q38" s="87"/>
      <c r="R38" s="86">
        <f t="shared" si="4"/>
        <v>1528</v>
      </c>
      <c r="S38" s="16"/>
      <c r="T38" s="16">
        <v>1260</v>
      </c>
      <c r="U38" s="87"/>
      <c r="V38" s="86">
        <f t="shared" si="5"/>
        <v>1260</v>
      </c>
      <c r="W38" s="16"/>
      <c r="X38" s="16">
        <v>1304</v>
      </c>
      <c r="Y38" s="16"/>
      <c r="Z38" s="45">
        <f t="shared" si="6"/>
        <v>1304</v>
      </c>
      <c r="AA38" s="16"/>
      <c r="AB38" s="16">
        <v>1450</v>
      </c>
      <c r="AC38" s="17"/>
      <c r="AD38" s="45">
        <f t="shared" si="7"/>
        <v>1450</v>
      </c>
      <c r="AE38" s="16"/>
      <c r="AF38" s="16">
        <v>1400</v>
      </c>
      <c r="AG38" s="17"/>
      <c r="AH38" s="45">
        <f t="shared" si="8"/>
        <v>1400</v>
      </c>
      <c r="AI38" s="16"/>
      <c r="AJ38" s="87">
        <v>1203.5</v>
      </c>
      <c r="AK38" s="17"/>
      <c r="AL38" s="45">
        <f t="shared" si="9"/>
        <v>1203.5</v>
      </c>
      <c r="AM38" s="16"/>
      <c r="AN38" s="244">
        <v>1383</v>
      </c>
      <c r="AO38" s="17"/>
      <c r="AP38" s="45">
        <f t="shared" si="10"/>
        <v>1383</v>
      </c>
      <c r="AQ38" s="16"/>
      <c r="AR38" s="16">
        <v>1291</v>
      </c>
      <c r="AS38" s="17"/>
      <c r="AT38" s="45">
        <f t="shared" si="11"/>
        <v>1291</v>
      </c>
      <c r="AU38" s="16"/>
      <c r="AV38" s="16">
        <v>1291</v>
      </c>
      <c r="AW38" s="17"/>
      <c r="AX38" s="45">
        <f t="shared" si="12"/>
        <v>1291</v>
      </c>
      <c r="AY38" s="15">
        <f t="shared" si="13"/>
        <v>0</v>
      </c>
      <c r="AZ38" s="15">
        <f t="shared" si="14"/>
        <v>15839.5</v>
      </c>
      <c r="BA38" s="15">
        <f t="shared" si="15"/>
        <v>0</v>
      </c>
      <c r="BB38" s="45">
        <f t="shared" si="16"/>
        <v>15839.5</v>
      </c>
      <c r="BD38" s="44">
        <f t="shared" si="50"/>
        <v>9271</v>
      </c>
    </row>
    <row r="39" spans="1:56" outlineLevel="2" x14ac:dyDescent="0.3">
      <c r="A39" s="3" t="s">
        <v>25</v>
      </c>
      <c r="B39" s="4" t="s">
        <v>61</v>
      </c>
      <c r="C39" s="16"/>
      <c r="D39" s="16">
        <v>767</v>
      </c>
      <c r="E39" s="17"/>
      <c r="F39" s="45">
        <f t="shared" si="1"/>
        <v>767</v>
      </c>
      <c r="G39" s="16"/>
      <c r="H39" s="16">
        <v>613</v>
      </c>
      <c r="I39" s="17"/>
      <c r="J39" s="45">
        <f t="shared" si="2"/>
        <v>613</v>
      </c>
      <c r="K39" s="16"/>
      <c r="L39" s="16">
        <v>622</v>
      </c>
      <c r="M39" s="87"/>
      <c r="N39" s="86">
        <f t="shared" si="3"/>
        <v>622</v>
      </c>
      <c r="O39" s="16"/>
      <c r="P39" s="16">
        <v>655</v>
      </c>
      <c r="Q39" s="87"/>
      <c r="R39" s="86">
        <f t="shared" si="4"/>
        <v>655</v>
      </c>
      <c r="S39" s="16"/>
      <c r="T39" s="16">
        <v>666.5</v>
      </c>
      <c r="U39" s="87"/>
      <c r="V39" s="86">
        <f t="shared" si="5"/>
        <v>666.5</v>
      </c>
      <c r="W39" s="16"/>
      <c r="X39" s="46">
        <v>633.5</v>
      </c>
      <c r="Y39" s="17"/>
      <c r="Z39" s="45">
        <f>SUM(W39:Y39)</f>
        <v>633.5</v>
      </c>
      <c r="AA39" s="16"/>
      <c r="AB39" s="16">
        <v>725.5</v>
      </c>
      <c r="AC39" s="17"/>
      <c r="AD39" s="45">
        <f t="shared" si="7"/>
        <v>725.5</v>
      </c>
      <c r="AE39" s="16"/>
      <c r="AF39" s="16">
        <v>683</v>
      </c>
      <c r="AG39" s="17"/>
      <c r="AH39" s="45">
        <f t="shared" si="8"/>
        <v>683</v>
      </c>
      <c r="AI39" s="16"/>
      <c r="AJ39" s="16">
        <v>683</v>
      </c>
      <c r="AK39" s="17"/>
      <c r="AL39" s="45">
        <f t="shared" si="9"/>
        <v>683</v>
      </c>
      <c r="AM39" s="16"/>
      <c r="AN39" s="16">
        <v>668.5</v>
      </c>
      <c r="AO39" s="17"/>
      <c r="AP39" s="45">
        <f>SUM(AM39:AO39)</f>
        <v>668.5</v>
      </c>
      <c r="AQ39" s="16"/>
      <c r="AR39" s="17">
        <v>634</v>
      </c>
      <c r="AS39" s="17"/>
      <c r="AT39" s="45">
        <f t="shared" si="11"/>
        <v>634</v>
      </c>
      <c r="AU39" s="16"/>
      <c r="AV39" s="17">
        <v>661</v>
      </c>
      <c r="AW39" s="17"/>
      <c r="AX39" s="45">
        <f t="shared" si="12"/>
        <v>661</v>
      </c>
      <c r="AY39" s="15">
        <f t="shared" si="13"/>
        <v>0</v>
      </c>
      <c r="AZ39" s="15">
        <f t="shared" si="14"/>
        <v>8012</v>
      </c>
      <c r="BA39" s="15">
        <f t="shared" si="15"/>
        <v>0</v>
      </c>
      <c r="BB39" s="45">
        <f t="shared" si="16"/>
        <v>8012</v>
      </c>
      <c r="BD39" s="44">
        <f t="shared" si="50"/>
        <v>4682.5</v>
      </c>
    </row>
    <row r="40" spans="1:56" s="24" customFormat="1" x14ac:dyDescent="0.3">
      <c r="A40" s="319" t="s">
        <v>62</v>
      </c>
      <c r="B40" s="320"/>
      <c r="C40" s="23">
        <f>C32+C29+C30+C31+C23+C13+C12</f>
        <v>391400</v>
      </c>
      <c r="D40" s="23">
        <f t="shared" ref="D40:E40" si="51">D32+D29+D30+D31+D23+D13+D12</f>
        <v>417528.24666666664</v>
      </c>
      <c r="E40" s="23">
        <f t="shared" si="51"/>
        <v>454401.47</v>
      </c>
      <c r="F40" s="45">
        <f t="shared" si="1"/>
        <v>1263329.7166666666</v>
      </c>
      <c r="G40" s="23">
        <f>G32+G29+G30+G31+G23+G13+G12</f>
        <v>391400</v>
      </c>
      <c r="H40" s="23">
        <f t="shared" ref="H40:I40" si="52">H32+H29+H30+H31+H23+H13+H12</f>
        <v>401515.50666666665</v>
      </c>
      <c r="I40" s="23">
        <f t="shared" si="52"/>
        <v>447679.17</v>
      </c>
      <c r="J40" s="45">
        <f t="shared" si="2"/>
        <v>1240594.6766666665</v>
      </c>
      <c r="K40" s="23">
        <f>K32+K29+K30+K31+K23+K13+K12</f>
        <v>391400</v>
      </c>
      <c r="L40" s="23">
        <f t="shared" ref="L40:M40" si="53">L32+L29+L30+L31+L23+L13+L12</f>
        <v>416621.80000000005</v>
      </c>
      <c r="M40" s="23">
        <f t="shared" si="53"/>
        <v>455133.47</v>
      </c>
      <c r="N40" s="86">
        <f t="shared" si="3"/>
        <v>1263155.27</v>
      </c>
      <c r="O40" s="23">
        <f>O32+O29+O30+O31+O23+O13+O12</f>
        <v>391400</v>
      </c>
      <c r="P40" s="23">
        <f t="shared" ref="P40:Q40" si="54">P32+P29+P30+P31+P23+P13+P12</f>
        <v>509717.22</v>
      </c>
      <c r="Q40" s="23">
        <f t="shared" si="54"/>
        <v>457657</v>
      </c>
      <c r="R40" s="86">
        <f t="shared" si="4"/>
        <v>1358774.22</v>
      </c>
      <c r="S40" s="23">
        <f>S32+S29+S30+S31+S23+S13+S12</f>
        <v>391400</v>
      </c>
      <c r="T40" s="23">
        <f t="shared" ref="T40:U40" si="55">T32+T29+T30+T31+T23+T13+T12</f>
        <v>520314</v>
      </c>
      <c r="U40" s="23">
        <f t="shared" si="55"/>
        <v>460138</v>
      </c>
      <c r="V40" s="86">
        <f t="shared" si="5"/>
        <v>1371852</v>
      </c>
      <c r="W40" s="23">
        <f>W32+W29+W30+W31+W23+W13+W12</f>
        <v>390600</v>
      </c>
      <c r="X40" s="23">
        <f t="shared" ref="X40:Y40" si="56">X32+X29+X30+X31+X23+X13+X12</f>
        <v>424907.75</v>
      </c>
      <c r="Y40" s="23">
        <f t="shared" si="56"/>
        <v>531164.5</v>
      </c>
      <c r="Z40" s="45">
        <f t="shared" si="6"/>
        <v>1346672.25</v>
      </c>
      <c r="AA40" s="23">
        <f>AA32+AA29+AA30+AA31+AA23+AA13+AA12</f>
        <v>391992</v>
      </c>
      <c r="AB40" s="23">
        <f t="shared" ref="AB40:AC40" si="57">AB32+AB29+AB30+AB31+AB23+AB13+AB12</f>
        <v>436748</v>
      </c>
      <c r="AC40" s="23">
        <f t="shared" si="57"/>
        <v>528076.5</v>
      </c>
      <c r="AD40" s="45">
        <f t="shared" si="7"/>
        <v>1356816.5</v>
      </c>
      <c r="AE40" s="23">
        <f>AE32+AE29+AE30+AE31+AE23+AE13+AE12</f>
        <v>391792</v>
      </c>
      <c r="AF40" s="23">
        <f t="shared" ref="AF40:AG40" si="58">AF32+AF29+AF30+AF31+AF23+AF13+AF12</f>
        <v>437988.5</v>
      </c>
      <c r="AG40" s="23">
        <f t="shared" si="58"/>
        <v>530088.55300000007</v>
      </c>
      <c r="AH40" s="45">
        <f t="shared" si="8"/>
        <v>1359869.0530000001</v>
      </c>
      <c r="AI40" s="23">
        <f>AI32+AI29+AI30+AI31+AI23+AI13+AI12</f>
        <v>390400</v>
      </c>
      <c r="AJ40" s="23">
        <f t="shared" ref="AJ40:AK40" si="59">AJ32+AJ29+AJ30+AJ31+AJ23+AJ13+AJ12</f>
        <v>446132.54</v>
      </c>
      <c r="AK40" s="23">
        <f t="shared" si="59"/>
        <v>554797.90999999992</v>
      </c>
      <c r="AL40" s="45">
        <f t="shared" si="9"/>
        <v>1391330.45</v>
      </c>
      <c r="AM40" s="23">
        <f>AM32+AM29+AM30+AM31+AM23+AM13+AM12</f>
        <v>391792</v>
      </c>
      <c r="AN40" s="23">
        <f t="shared" ref="AN40:AO40" si="60">AN32+AN29+AN30+AN31+AN23+AN13+AN12</f>
        <v>472499</v>
      </c>
      <c r="AO40" s="23">
        <f t="shared" si="60"/>
        <v>556183.05000000005</v>
      </c>
      <c r="AP40" s="45">
        <f t="shared" si="10"/>
        <v>1420474.05</v>
      </c>
      <c r="AQ40" s="23">
        <f>AQ32+AQ29+AQ30+AQ31+AQ23+AQ13+AQ12</f>
        <v>391792</v>
      </c>
      <c r="AR40" s="23">
        <f t="shared" ref="AR40:AS40" si="61">AR32+AR29+AR30+AR31+AR23+AR13+AR12</f>
        <v>446155</v>
      </c>
      <c r="AS40" s="23">
        <f t="shared" si="61"/>
        <v>556460.05000000005</v>
      </c>
      <c r="AT40" s="45">
        <f>SUM(AQ40:AS40)</f>
        <v>1394407.05</v>
      </c>
      <c r="AU40" s="23">
        <f>AU32+AU29+AU30+AU31+AU23+AU13+AU12</f>
        <v>391792</v>
      </c>
      <c r="AV40" s="23">
        <f>AV32+AV29+AV30+AV31+AV23+AV13+AV12</f>
        <v>444800.75</v>
      </c>
      <c r="AW40" s="23">
        <f>AW32+AW29+AW30+AW31+AW23+AW13+AW12</f>
        <v>563778.5</v>
      </c>
      <c r="AX40" s="45">
        <f t="shared" si="12"/>
        <v>1400371.25</v>
      </c>
      <c r="AY40" s="315">
        <f t="shared" si="13"/>
        <v>4697160</v>
      </c>
      <c r="AZ40" s="315">
        <f t="shared" si="14"/>
        <v>5374928.3133333335</v>
      </c>
      <c r="BA40" s="315">
        <f t="shared" si="15"/>
        <v>6095558.1729999995</v>
      </c>
      <c r="BB40" s="45">
        <f t="shared" si="16"/>
        <v>16167646.486333333</v>
      </c>
      <c r="BD40" s="44">
        <f t="shared" si="50"/>
        <v>9201194.6333333328</v>
      </c>
    </row>
    <row r="41" spans="1:56" outlineLevel="2" x14ac:dyDescent="0.3">
      <c r="A41" s="10" t="s">
        <v>63</v>
      </c>
      <c r="B41" s="4" t="s">
        <v>64</v>
      </c>
      <c r="C41" s="102">
        <v>2640</v>
      </c>
      <c r="D41" s="103">
        <v>11491.223333333332</v>
      </c>
      <c r="E41" s="102">
        <v>3007</v>
      </c>
      <c r="F41" s="104">
        <f t="shared" si="1"/>
        <v>17138.223333333332</v>
      </c>
      <c r="G41" s="102">
        <v>2520</v>
      </c>
      <c r="H41" s="102">
        <v>15727.523333333334</v>
      </c>
      <c r="I41" s="102">
        <v>10525</v>
      </c>
      <c r="J41" s="104">
        <f t="shared" si="2"/>
        <v>28772.523333333334</v>
      </c>
      <c r="K41" s="102">
        <v>2584</v>
      </c>
      <c r="L41" s="102">
        <v>14826.91</v>
      </c>
      <c r="M41" s="102">
        <v>9915</v>
      </c>
      <c r="N41" s="181">
        <f t="shared" si="3"/>
        <v>27325.91</v>
      </c>
      <c r="O41" s="102">
        <v>2640</v>
      </c>
      <c r="P41" s="102">
        <v>17212.32</v>
      </c>
      <c r="Q41" s="102">
        <v>12144</v>
      </c>
      <c r="R41" s="181">
        <f t="shared" si="4"/>
        <v>31996.32</v>
      </c>
      <c r="S41" s="102">
        <v>2640</v>
      </c>
      <c r="T41" s="102">
        <v>14752.439999999999</v>
      </c>
      <c r="U41" s="102">
        <v>9265</v>
      </c>
      <c r="V41" s="86">
        <f t="shared" si="5"/>
        <v>26657.439999999999</v>
      </c>
      <c r="W41" s="102">
        <v>2720</v>
      </c>
      <c r="X41" s="102">
        <v>36013.96</v>
      </c>
      <c r="Y41" s="102">
        <v>9464</v>
      </c>
      <c r="Z41" s="45">
        <f t="shared" si="6"/>
        <v>48197.96</v>
      </c>
      <c r="AA41" s="102">
        <v>2944</v>
      </c>
      <c r="AB41" s="102">
        <v>65013</v>
      </c>
      <c r="AC41" s="102">
        <v>14373</v>
      </c>
      <c r="AD41" s="45">
        <f t="shared" si="7"/>
        <v>82330</v>
      </c>
      <c r="AE41" s="16">
        <v>3128</v>
      </c>
      <c r="AF41" s="16">
        <v>75353.119999999995</v>
      </c>
      <c r="AG41" s="16">
        <v>27660</v>
      </c>
      <c r="AH41" s="45">
        <f t="shared" si="8"/>
        <v>106141.12</v>
      </c>
      <c r="AI41" s="16">
        <v>2816</v>
      </c>
      <c r="AJ41" s="16">
        <v>54912.3</v>
      </c>
      <c r="AK41" s="16">
        <v>17565.64</v>
      </c>
      <c r="AL41" s="45">
        <f t="shared" si="9"/>
        <v>75293.94</v>
      </c>
      <c r="AM41" s="245">
        <v>2944</v>
      </c>
      <c r="AN41" s="245">
        <v>69409.72</v>
      </c>
      <c r="AO41" s="245">
        <v>20106</v>
      </c>
      <c r="AP41" s="104">
        <f t="shared" si="10"/>
        <v>92459.72</v>
      </c>
      <c r="AQ41" s="245">
        <v>2944</v>
      </c>
      <c r="AR41" s="245">
        <v>69409.72</v>
      </c>
      <c r="AS41" s="245">
        <v>20106</v>
      </c>
      <c r="AT41" s="104">
        <f t="shared" si="11"/>
        <v>92459.72</v>
      </c>
      <c r="AU41" s="245">
        <v>2944</v>
      </c>
      <c r="AV41" s="245">
        <v>69409.72</v>
      </c>
      <c r="AW41" s="245">
        <v>20106</v>
      </c>
      <c r="AX41" s="104">
        <f t="shared" si="12"/>
        <v>92459.72</v>
      </c>
      <c r="AY41" s="15">
        <f t="shared" si="13"/>
        <v>33464</v>
      </c>
      <c r="AZ41" s="106">
        <f t="shared" si="14"/>
        <v>513531.95666666667</v>
      </c>
      <c r="BA41" s="106">
        <f t="shared" si="15"/>
        <v>174236.64</v>
      </c>
      <c r="BB41" s="104">
        <f>SUM(AX41,AT41,AP41,AL41,AH41,AD41,Z41,V41,R41,N41,J41,F41)</f>
        <v>721232.59666666656</v>
      </c>
      <c r="BD41" s="44">
        <f t="shared" si="50"/>
        <v>262418.37666666665</v>
      </c>
    </row>
    <row r="42" spans="1:56" outlineLevel="2" x14ac:dyDescent="0.3">
      <c r="A42" s="10" t="s">
        <v>63</v>
      </c>
      <c r="B42" s="4" t="s">
        <v>65</v>
      </c>
      <c r="C42" s="102">
        <v>176</v>
      </c>
      <c r="D42" s="103">
        <v>446.34000000000003</v>
      </c>
      <c r="E42" s="105"/>
      <c r="F42" s="104">
        <f t="shared" si="1"/>
        <v>622.34</v>
      </c>
      <c r="G42" s="102">
        <v>168</v>
      </c>
      <c r="H42" s="102">
        <v>552.98</v>
      </c>
      <c r="I42" s="102"/>
      <c r="J42" s="104">
        <f t="shared" si="2"/>
        <v>720.98</v>
      </c>
      <c r="K42" s="102">
        <v>152</v>
      </c>
      <c r="L42" s="102">
        <v>528.66000000000008</v>
      </c>
      <c r="M42" s="102"/>
      <c r="N42" s="181">
        <f t="shared" si="3"/>
        <v>680.66000000000008</v>
      </c>
      <c r="O42" s="102">
        <v>176</v>
      </c>
      <c r="P42" s="102">
        <v>644.64</v>
      </c>
      <c r="Q42" s="102"/>
      <c r="R42" s="181">
        <f t="shared" si="4"/>
        <v>820.64</v>
      </c>
      <c r="S42" s="102">
        <v>176</v>
      </c>
      <c r="T42" s="102">
        <v>664.41</v>
      </c>
      <c r="U42" s="102"/>
      <c r="V42" s="86">
        <f t="shared" si="5"/>
        <v>840.41</v>
      </c>
      <c r="W42" s="102">
        <v>160</v>
      </c>
      <c r="X42" s="102">
        <v>881.21</v>
      </c>
      <c r="Y42" s="102"/>
      <c r="Z42" s="45">
        <f t="shared" si="6"/>
        <v>1041.21</v>
      </c>
      <c r="AA42" s="102">
        <v>184</v>
      </c>
      <c r="AB42" s="102">
        <v>1805</v>
      </c>
      <c r="AC42" s="102"/>
      <c r="AD42" s="45">
        <f t="shared" si="7"/>
        <v>1989</v>
      </c>
      <c r="AE42" s="16">
        <v>184</v>
      </c>
      <c r="AF42" s="16">
        <v>2276.8000000000002</v>
      </c>
      <c r="AG42" s="16"/>
      <c r="AH42" s="45">
        <f t="shared" si="8"/>
        <v>2460.8000000000002</v>
      </c>
      <c r="AI42" s="16">
        <v>176</v>
      </c>
      <c r="AJ42" s="16">
        <v>1700.6</v>
      </c>
      <c r="AK42" s="16"/>
      <c r="AL42" s="45">
        <f t="shared" si="9"/>
        <v>1876.6</v>
      </c>
      <c r="AM42" s="245">
        <v>184</v>
      </c>
      <c r="AN42" s="245">
        <v>2151.09</v>
      </c>
      <c r="AO42" s="242"/>
      <c r="AP42" s="104">
        <f t="shared" si="10"/>
        <v>2335.09</v>
      </c>
      <c r="AQ42" s="245">
        <v>184</v>
      </c>
      <c r="AR42" s="245">
        <v>2151.09</v>
      </c>
      <c r="AS42" s="242"/>
      <c r="AT42" s="104">
        <f t="shared" si="11"/>
        <v>2335.09</v>
      </c>
      <c r="AU42" s="245">
        <v>184</v>
      </c>
      <c r="AV42" s="245">
        <v>2151.09</v>
      </c>
      <c r="AW42" s="242"/>
      <c r="AX42" s="104">
        <f t="shared" si="12"/>
        <v>2335.09</v>
      </c>
      <c r="AY42" s="15">
        <f t="shared" si="13"/>
        <v>2104</v>
      </c>
      <c r="AZ42" s="106">
        <f t="shared" si="14"/>
        <v>15953.91</v>
      </c>
      <c r="BA42" s="106">
        <f t="shared" si="15"/>
        <v>0</v>
      </c>
      <c r="BB42" s="104">
        <f t="shared" si="16"/>
        <v>18057.91</v>
      </c>
      <c r="BD42" s="44">
        <f t="shared" si="50"/>
        <v>6715.24</v>
      </c>
    </row>
    <row r="43" spans="1:56" outlineLevel="2" x14ac:dyDescent="0.3">
      <c r="A43" s="10" t="s">
        <v>63</v>
      </c>
      <c r="B43" s="4" t="s">
        <v>66</v>
      </c>
      <c r="C43" s="102">
        <v>176</v>
      </c>
      <c r="D43" s="103">
        <v>290.08999999999997</v>
      </c>
      <c r="E43" s="105"/>
      <c r="F43" s="104">
        <f t="shared" si="1"/>
        <v>466.09</v>
      </c>
      <c r="G43" s="102">
        <v>168</v>
      </c>
      <c r="H43" s="102">
        <v>413.49</v>
      </c>
      <c r="I43" s="102"/>
      <c r="J43" s="104">
        <f t="shared" si="2"/>
        <v>581.49</v>
      </c>
      <c r="K43" s="102">
        <v>152</v>
      </c>
      <c r="L43" s="102">
        <v>405.04999999999995</v>
      </c>
      <c r="M43" s="102"/>
      <c r="N43" s="181">
        <f t="shared" si="3"/>
        <v>557.04999999999995</v>
      </c>
      <c r="O43" s="102">
        <v>176</v>
      </c>
      <c r="P43" s="102">
        <v>355.68000000000006</v>
      </c>
      <c r="Q43" s="102"/>
      <c r="R43" s="181">
        <f t="shared" si="4"/>
        <v>531.68000000000006</v>
      </c>
      <c r="S43" s="102">
        <v>176</v>
      </c>
      <c r="T43" s="102">
        <v>332.9</v>
      </c>
      <c r="U43" s="102"/>
      <c r="V43" s="86">
        <f t="shared" si="5"/>
        <v>508.9</v>
      </c>
      <c r="W43" s="102"/>
      <c r="X43" s="102">
        <v>669.67</v>
      </c>
      <c r="Y43" s="102"/>
      <c r="Z43" s="45">
        <f t="shared" si="6"/>
        <v>669.67</v>
      </c>
      <c r="AA43" s="102"/>
      <c r="AB43" s="102">
        <v>1107</v>
      </c>
      <c r="AC43" s="102"/>
      <c r="AD43" s="45">
        <f t="shared" si="7"/>
        <v>1107</v>
      </c>
      <c r="AE43" s="16"/>
      <c r="AF43" s="16">
        <v>1389.82</v>
      </c>
      <c r="AG43" s="16"/>
      <c r="AH43" s="45">
        <f t="shared" si="8"/>
        <v>1389.82</v>
      </c>
      <c r="AI43" s="16"/>
      <c r="AJ43" s="16">
        <v>1004.24</v>
      </c>
      <c r="AK43" s="16"/>
      <c r="AL43" s="45">
        <f t="shared" si="9"/>
        <v>1004.24</v>
      </c>
      <c r="AM43" s="242"/>
      <c r="AN43" s="245">
        <v>1386</v>
      </c>
      <c r="AO43" s="242"/>
      <c r="AP43" s="104">
        <f t="shared" si="10"/>
        <v>1386</v>
      </c>
      <c r="AQ43" s="242"/>
      <c r="AR43" s="245">
        <v>1386</v>
      </c>
      <c r="AS43" s="242"/>
      <c r="AT43" s="104">
        <f t="shared" si="11"/>
        <v>1386</v>
      </c>
      <c r="AU43" s="242"/>
      <c r="AV43" s="245">
        <v>1386</v>
      </c>
      <c r="AW43" s="242"/>
      <c r="AX43" s="104">
        <f t="shared" si="12"/>
        <v>1386</v>
      </c>
      <c r="AY43" s="15">
        <f t="shared" si="13"/>
        <v>848</v>
      </c>
      <c r="AZ43" s="106">
        <f t="shared" si="14"/>
        <v>10125.939999999999</v>
      </c>
      <c r="BA43" s="106">
        <f t="shared" si="15"/>
        <v>0</v>
      </c>
      <c r="BB43" s="104">
        <f t="shared" si="16"/>
        <v>10973.939999999999</v>
      </c>
      <c r="BD43" s="44">
        <f t="shared" si="50"/>
        <v>4421.88</v>
      </c>
    </row>
    <row r="44" spans="1:56" outlineLevel="2" x14ac:dyDescent="0.3">
      <c r="A44" s="10" t="s">
        <v>63</v>
      </c>
      <c r="B44" s="100" t="s">
        <v>67</v>
      </c>
      <c r="C44" s="16"/>
      <c r="D44" s="16">
        <v>19172</v>
      </c>
      <c r="E44" s="16">
        <v>14601</v>
      </c>
      <c r="F44" s="45">
        <f>SUM(C44:E44)</f>
        <v>33773</v>
      </c>
      <c r="G44" s="16"/>
      <c r="H44" s="16">
        <v>20597</v>
      </c>
      <c r="I44" s="16">
        <v>14887</v>
      </c>
      <c r="J44" s="45">
        <f>SUM(G44:I44)</f>
        <v>35484</v>
      </c>
      <c r="K44" s="16"/>
      <c r="L44" s="16">
        <v>20262</v>
      </c>
      <c r="M44" s="16">
        <v>15794</v>
      </c>
      <c r="N44" s="86">
        <f t="shared" si="3"/>
        <v>36056</v>
      </c>
      <c r="O44" s="16"/>
      <c r="P44" s="16">
        <v>22625</v>
      </c>
      <c r="Q44" s="16">
        <v>16594</v>
      </c>
      <c r="R44" s="86">
        <f t="shared" si="4"/>
        <v>39219</v>
      </c>
      <c r="S44" s="16"/>
      <c r="T44" s="16">
        <v>19810</v>
      </c>
      <c r="U44" s="16">
        <v>15790</v>
      </c>
      <c r="V44" s="86">
        <f t="shared" si="5"/>
        <v>35600</v>
      </c>
      <c r="W44" s="16"/>
      <c r="X44" s="16">
        <v>17078</v>
      </c>
      <c r="Y44" s="16">
        <v>17190</v>
      </c>
      <c r="Z44" s="45">
        <f t="shared" si="6"/>
        <v>34268</v>
      </c>
      <c r="AA44" s="16"/>
      <c r="AB44" s="16">
        <v>19774</v>
      </c>
      <c r="AC44" s="16">
        <v>18632</v>
      </c>
      <c r="AD44" s="45">
        <f>SUM(AA44:AC44)</f>
        <v>38406</v>
      </c>
      <c r="AE44" s="16"/>
      <c r="AF44" s="16">
        <v>20079</v>
      </c>
      <c r="AG44" s="16">
        <v>17616</v>
      </c>
      <c r="AH44" s="45">
        <f>SUM(AE44:AG44)</f>
        <v>37695</v>
      </c>
      <c r="AI44" s="16"/>
      <c r="AJ44" s="16">
        <v>20079</v>
      </c>
      <c r="AK44" s="16">
        <v>17616</v>
      </c>
      <c r="AL44" s="45">
        <f>SUM(AI44:AK44)</f>
        <v>37695</v>
      </c>
      <c r="AM44" s="16"/>
      <c r="AN44" s="16">
        <v>20079</v>
      </c>
      <c r="AO44" s="16">
        <v>17616</v>
      </c>
      <c r="AP44" s="45">
        <f t="shared" si="10"/>
        <v>37695</v>
      </c>
      <c r="AQ44" s="16"/>
      <c r="AR44" s="16">
        <v>20079</v>
      </c>
      <c r="AS44" s="16">
        <v>17616</v>
      </c>
      <c r="AT44" s="45">
        <f t="shared" si="11"/>
        <v>37695</v>
      </c>
      <c r="AU44" s="16"/>
      <c r="AV44" s="16">
        <v>18361</v>
      </c>
      <c r="AW44" s="16">
        <v>17616</v>
      </c>
      <c r="AX44" s="45">
        <f>SUM(AU44:AW44)</f>
        <v>35977</v>
      </c>
      <c r="AY44" s="15">
        <f>SUM(AU44,AQ44,AM44,AI44,AE44,AA44,W44,S44,O44,K44,G44,C44)</f>
        <v>0</v>
      </c>
      <c r="AZ44" s="15">
        <f>SUM(AV44,AR44,AN44,AJ44,AF44,AB44,X44,T44,P44,L44,H44,D44)</f>
        <v>237995</v>
      </c>
      <c r="BA44" s="15">
        <f t="shared" si="15"/>
        <v>201568</v>
      </c>
      <c r="BB44" s="45">
        <f t="shared" si="16"/>
        <v>439563</v>
      </c>
      <c r="BD44" s="44">
        <f t="shared" si="50"/>
        <v>252806</v>
      </c>
    </row>
    <row r="45" spans="1:56" outlineLevel="2" x14ac:dyDescent="0.3">
      <c r="A45" s="10" t="s">
        <v>63</v>
      </c>
      <c r="B45" s="100" t="s">
        <v>68</v>
      </c>
      <c r="C45" s="16"/>
      <c r="D45" s="17"/>
      <c r="E45" s="16">
        <v>2022</v>
      </c>
      <c r="F45" s="45">
        <v>2022</v>
      </c>
      <c r="G45" s="16"/>
      <c r="H45" s="17"/>
      <c r="I45" s="46">
        <v>1840</v>
      </c>
      <c r="J45" s="45">
        <v>1840</v>
      </c>
      <c r="K45" s="16"/>
      <c r="L45" s="17"/>
      <c r="M45" s="16">
        <v>1941</v>
      </c>
      <c r="N45" s="86">
        <v>1941</v>
      </c>
      <c r="O45" s="16"/>
      <c r="P45" s="87"/>
      <c r="Q45" s="16">
        <v>2269</v>
      </c>
      <c r="R45" s="86">
        <v>2269</v>
      </c>
      <c r="S45" s="16"/>
      <c r="T45" s="16"/>
      <c r="U45" s="16">
        <v>2055</v>
      </c>
      <c r="V45" s="86">
        <f t="shared" si="5"/>
        <v>2055</v>
      </c>
      <c r="W45" s="16"/>
      <c r="X45" s="16"/>
      <c r="Y45" s="16">
        <v>1974</v>
      </c>
      <c r="Z45" s="45">
        <f t="shared" si="6"/>
        <v>1974</v>
      </c>
      <c r="AA45" s="16"/>
      <c r="AB45" s="16"/>
      <c r="AC45" s="16">
        <v>2549</v>
      </c>
      <c r="AD45" s="45">
        <f>SUM(AA45:AC45)</f>
        <v>2549</v>
      </c>
      <c r="AE45" s="16"/>
      <c r="AF45" s="16">
        <v>2491</v>
      </c>
      <c r="AG45" s="16"/>
      <c r="AH45" s="45">
        <f t="shared" si="8"/>
        <v>2491</v>
      </c>
      <c r="AI45" s="16"/>
      <c r="AJ45" s="16">
        <v>2576</v>
      </c>
      <c r="AK45" s="16"/>
      <c r="AL45" s="45">
        <f>SUM(AI45:AK45)</f>
        <v>2576</v>
      </c>
      <c r="AM45" s="16"/>
      <c r="AN45" s="16">
        <v>2491</v>
      </c>
      <c r="AO45" s="16"/>
      <c r="AP45" s="45">
        <f t="shared" si="10"/>
        <v>2491</v>
      </c>
      <c r="AQ45" s="16"/>
      <c r="AR45" s="16">
        <v>2491</v>
      </c>
      <c r="AS45" s="16"/>
      <c r="AT45" s="45">
        <f t="shared" si="11"/>
        <v>2491</v>
      </c>
      <c r="AU45" s="16"/>
      <c r="AV45" s="16">
        <v>2491</v>
      </c>
      <c r="AW45" s="16"/>
      <c r="AX45" s="45">
        <f t="shared" si="12"/>
        <v>2491</v>
      </c>
      <c r="AY45" s="15">
        <f t="shared" si="13"/>
        <v>0</v>
      </c>
      <c r="AZ45" s="15">
        <f t="shared" si="14"/>
        <v>12540</v>
      </c>
      <c r="BA45" s="15">
        <f t="shared" si="15"/>
        <v>14650</v>
      </c>
      <c r="BB45" s="45">
        <f t="shared" si="16"/>
        <v>27190</v>
      </c>
      <c r="BD45" s="44">
        <f t="shared" si="50"/>
        <v>14650</v>
      </c>
    </row>
    <row r="46" spans="1:56" outlineLevel="2" x14ac:dyDescent="0.3">
      <c r="A46" s="10" t="s">
        <v>63</v>
      </c>
      <c r="B46" s="100" t="s">
        <v>69</v>
      </c>
      <c r="C46" s="16"/>
      <c r="D46" s="17"/>
      <c r="E46" s="16">
        <v>3754</v>
      </c>
      <c r="F46" s="45">
        <v>3754</v>
      </c>
      <c r="G46" s="16"/>
      <c r="H46" s="17"/>
      <c r="I46" s="46">
        <v>3418</v>
      </c>
      <c r="J46" s="45">
        <v>3418</v>
      </c>
      <c r="K46" s="16"/>
      <c r="L46" s="17"/>
      <c r="M46" s="16">
        <v>3604</v>
      </c>
      <c r="N46" s="86">
        <v>3604</v>
      </c>
      <c r="O46" s="16"/>
      <c r="P46" s="87"/>
      <c r="Q46" s="16">
        <v>4215</v>
      </c>
      <c r="R46" s="86">
        <v>4215</v>
      </c>
      <c r="S46" s="16"/>
      <c r="T46" s="16"/>
      <c r="U46" s="16">
        <v>3816</v>
      </c>
      <c r="V46" s="86">
        <f t="shared" si="5"/>
        <v>3816</v>
      </c>
      <c r="W46" s="16"/>
      <c r="X46" s="16"/>
      <c r="Y46" s="16">
        <v>3666</v>
      </c>
      <c r="Z46" s="45">
        <f t="shared" si="6"/>
        <v>3666</v>
      </c>
      <c r="AA46" s="16"/>
      <c r="AB46" s="16"/>
      <c r="AC46" s="16">
        <v>4733</v>
      </c>
      <c r="AD46" s="45">
        <f t="shared" si="7"/>
        <v>4733</v>
      </c>
      <c r="AE46" s="16"/>
      <c r="AF46" s="16">
        <v>4625</v>
      </c>
      <c r="AG46" s="16"/>
      <c r="AH46" s="45">
        <f t="shared" si="8"/>
        <v>4625</v>
      </c>
      <c r="AI46" s="16"/>
      <c r="AJ46" s="16">
        <v>4625</v>
      </c>
      <c r="AK46" s="16"/>
      <c r="AL46" s="45">
        <f>SUM(AI46:AK46)</f>
        <v>4625</v>
      </c>
      <c r="AM46" s="16"/>
      <c r="AN46" s="16">
        <v>4625</v>
      </c>
      <c r="AO46" s="16"/>
      <c r="AP46" s="45">
        <f t="shared" si="10"/>
        <v>4625</v>
      </c>
      <c r="AQ46" s="16"/>
      <c r="AR46" s="16">
        <v>4625</v>
      </c>
      <c r="AS46" s="16"/>
      <c r="AT46" s="45">
        <f t="shared" si="11"/>
        <v>4625</v>
      </c>
      <c r="AU46" s="16"/>
      <c r="AV46" s="16">
        <v>4625</v>
      </c>
      <c r="AW46" s="16"/>
      <c r="AX46" s="45">
        <f t="shared" si="12"/>
        <v>4625</v>
      </c>
      <c r="AY46" s="15">
        <f t="shared" si="13"/>
        <v>0</v>
      </c>
      <c r="AZ46" s="15">
        <f t="shared" si="14"/>
        <v>23125</v>
      </c>
      <c r="BA46" s="15">
        <f t="shared" si="15"/>
        <v>27206</v>
      </c>
      <c r="BB46" s="45">
        <f t="shared" si="16"/>
        <v>50331</v>
      </c>
      <c r="BD46" s="44">
        <f t="shared" si="50"/>
        <v>27206</v>
      </c>
    </row>
    <row r="47" spans="1:56" outlineLevel="2" x14ac:dyDescent="0.3">
      <c r="A47" s="10" t="s">
        <v>63</v>
      </c>
      <c r="B47" s="4" t="s">
        <v>70</v>
      </c>
      <c r="C47" s="16">
        <v>1023.9</v>
      </c>
      <c r="D47" s="16">
        <v>6412</v>
      </c>
      <c r="E47" s="16">
        <v>3662.84</v>
      </c>
      <c r="F47" s="45">
        <f t="shared" si="1"/>
        <v>11098.74</v>
      </c>
      <c r="G47" s="16">
        <v>845.65</v>
      </c>
      <c r="H47" s="16">
        <v>6866.15</v>
      </c>
      <c r="I47" s="16">
        <v>3383.38</v>
      </c>
      <c r="J47" s="45">
        <f t="shared" si="2"/>
        <v>11095.18</v>
      </c>
      <c r="K47" s="16">
        <v>800.9</v>
      </c>
      <c r="L47" s="16">
        <v>5734.77</v>
      </c>
      <c r="M47" s="16">
        <v>3035.4</v>
      </c>
      <c r="N47" s="86">
        <f t="shared" si="3"/>
        <v>9571.07</v>
      </c>
      <c r="O47" s="16">
        <v>1095.28</v>
      </c>
      <c r="P47" s="16">
        <v>6592.62</v>
      </c>
      <c r="Q47" s="16">
        <v>4631.0600000000004</v>
      </c>
      <c r="R47" s="86">
        <f t="shared" si="4"/>
        <v>12318.96</v>
      </c>
      <c r="S47" s="16">
        <v>935.85</v>
      </c>
      <c r="T47" s="16">
        <v>6764.5</v>
      </c>
      <c r="U47" s="16">
        <v>4813.62</v>
      </c>
      <c r="V47" s="86">
        <f t="shared" si="5"/>
        <v>12513.970000000001</v>
      </c>
      <c r="W47" s="16">
        <v>924.98</v>
      </c>
      <c r="X47" s="16">
        <v>6577.73</v>
      </c>
      <c r="Y47" s="16">
        <v>6347.17</v>
      </c>
      <c r="Z47" s="45">
        <f t="shared" si="6"/>
        <v>13849.88</v>
      </c>
      <c r="AA47" s="16">
        <v>896</v>
      </c>
      <c r="AB47" s="16">
        <v>6295</v>
      </c>
      <c r="AC47" s="16">
        <v>4541</v>
      </c>
      <c r="AD47" s="45">
        <f t="shared" si="7"/>
        <v>11732</v>
      </c>
      <c r="AE47" s="61">
        <v>874.7</v>
      </c>
      <c r="AF47" s="61">
        <v>6821</v>
      </c>
      <c r="AG47" s="61">
        <v>3971.83</v>
      </c>
      <c r="AH47" s="45">
        <f t="shared" si="8"/>
        <v>11667.529999999999</v>
      </c>
      <c r="AI47" s="61">
        <v>874.7</v>
      </c>
      <c r="AJ47" s="61">
        <v>6821</v>
      </c>
      <c r="AK47" s="61">
        <v>3971.83</v>
      </c>
      <c r="AL47" s="45">
        <f t="shared" si="9"/>
        <v>11667.529999999999</v>
      </c>
      <c r="AM47" s="61">
        <v>874.7</v>
      </c>
      <c r="AN47" s="61">
        <v>6821</v>
      </c>
      <c r="AO47" s="61">
        <v>3971.83</v>
      </c>
      <c r="AP47" s="45">
        <f t="shared" si="10"/>
        <v>11667.529999999999</v>
      </c>
      <c r="AQ47" s="61">
        <v>874.7</v>
      </c>
      <c r="AR47" s="61">
        <v>6821</v>
      </c>
      <c r="AS47" s="61">
        <v>3971.83</v>
      </c>
      <c r="AT47" s="45">
        <f t="shared" si="11"/>
        <v>11667.529999999999</v>
      </c>
      <c r="AU47" s="61">
        <v>874.7</v>
      </c>
      <c r="AV47" s="61">
        <v>6821</v>
      </c>
      <c r="AW47" s="61">
        <v>3971.83</v>
      </c>
      <c r="AX47" s="45">
        <f t="shared" si="12"/>
        <v>11667.529999999999</v>
      </c>
      <c r="AY47" s="15">
        <f t="shared" si="13"/>
        <v>10896.06</v>
      </c>
      <c r="AZ47" s="15">
        <f t="shared" si="14"/>
        <v>79347.76999999999</v>
      </c>
      <c r="BA47" s="15">
        <f t="shared" si="15"/>
        <v>50273.619999999995</v>
      </c>
      <c r="BB47" s="45">
        <f t="shared" si="16"/>
        <v>140517.44999999998</v>
      </c>
      <c r="BD47" s="44">
        <f t="shared" si="50"/>
        <v>82179.8</v>
      </c>
    </row>
    <row r="48" spans="1:56" outlineLevel="2" x14ac:dyDescent="0.3">
      <c r="A48" s="10" t="s">
        <v>63</v>
      </c>
      <c r="B48" s="4" t="s">
        <v>71</v>
      </c>
      <c r="C48" s="16"/>
      <c r="D48" s="16">
        <v>1424.36</v>
      </c>
      <c r="E48" s="16">
        <v>1975.22</v>
      </c>
      <c r="F48" s="45">
        <f t="shared" si="1"/>
        <v>3399.58</v>
      </c>
      <c r="G48" s="16">
        <v>4.75</v>
      </c>
      <c r="H48" s="16">
        <v>1587.35</v>
      </c>
      <c r="I48" s="16">
        <v>2539.88</v>
      </c>
      <c r="J48" s="45">
        <f t="shared" si="2"/>
        <v>4131.9799999999996</v>
      </c>
      <c r="K48" s="16">
        <v>4.4000000000000004</v>
      </c>
      <c r="L48" s="16">
        <v>1458.45</v>
      </c>
      <c r="M48" s="16">
        <v>2135.23</v>
      </c>
      <c r="N48" s="86">
        <f t="shared" si="3"/>
        <v>3598.08</v>
      </c>
      <c r="O48" s="16">
        <v>15.8</v>
      </c>
      <c r="P48" s="16">
        <v>1770.17</v>
      </c>
      <c r="Q48" s="16">
        <v>2231.35</v>
      </c>
      <c r="R48" s="86">
        <f t="shared" si="4"/>
        <v>4017.3199999999997</v>
      </c>
      <c r="S48" s="16">
        <v>6.43</v>
      </c>
      <c r="T48" s="16">
        <v>1653.58</v>
      </c>
      <c r="U48" s="16">
        <v>2188.6799999999998</v>
      </c>
      <c r="V48" s="86">
        <f t="shared" si="5"/>
        <v>3848.6899999999996</v>
      </c>
      <c r="W48" s="16">
        <v>4.7</v>
      </c>
      <c r="X48" s="16">
        <v>1472.95</v>
      </c>
      <c r="Y48" s="16">
        <v>1907.92</v>
      </c>
      <c r="Z48" s="45">
        <f t="shared" si="6"/>
        <v>3385.57</v>
      </c>
      <c r="AA48" s="242">
        <v>4.7</v>
      </c>
      <c r="AB48" s="242">
        <v>1472.95</v>
      </c>
      <c r="AC48" s="242">
        <v>1907.92</v>
      </c>
      <c r="AD48" s="45">
        <f t="shared" si="7"/>
        <v>3385.57</v>
      </c>
      <c r="AE48" s="242">
        <v>4.7</v>
      </c>
      <c r="AF48" s="242">
        <v>1472.95</v>
      </c>
      <c r="AG48" s="242">
        <v>1907.92</v>
      </c>
      <c r="AH48" s="45">
        <f t="shared" si="8"/>
        <v>3385.57</v>
      </c>
      <c r="AI48" s="242">
        <v>4.7</v>
      </c>
      <c r="AJ48" s="242">
        <v>1472.95</v>
      </c>
      <c r="AK48" s="242">
        <v>1907.92</v>
      </c>
      <c r="AL48" s="45">
        <f t="shared" si="9"/>
        <v>3385.57</v>
      </c>
      <c r="AM48" s="242">
        <v>4.7</v>
      </c>
      <c r="AN48" s="242">
        <v>1472.95</v>
      </c>
      <c r="AO48" s="242">
        <v>1907.92</v>
      </c>
      <c r="AP48" s="45">
        <f t="shared" si="10"/>
        <v>3385.57</v>
      </c>
      <c r="AQ48" s="242">
        <v>4.7</v>
      </c>
      <c r="AR48" s="242">
        <v>1472.95</v>
      </c>
      <c r="AS48" s="242">
        <v>1907.92</v>
      </c>
      <c r="AT48" s="45">
        <f t="shared" si="11"/>
        <v>3385.57</v>
      </c>
      <c r="AU48" s="242">
        <v>4.7</v>
      </c>
      <c r="AV48" s="242">
        <v>1472.95</v>
      </c>
      <c r="AW48" s="242">
        <v>1907.92</v>
      </c>
      <c r="AX48" s="45">
        <f t="shared" si="12"/>
        <v>3385.57</v>
      </c>
      <c r="AY48" s="15">
        <f t="shared" si="13"/>
        <v>64.28</v>
      </c>
      <c r="AZ48" s="15">
        <f t="shared" si="14"/>
        <v>18204.560000000001</v>
      </c>
      <c r="BA48" s="15">
        <f t="shared" si="15"/>
        <v>24425.800000000003</v>
      </c>
      <c r="BB48" s="45">
        <f t="shared" si="16"/>
        <v>42694.64</v>
      </c>
      <c r="BD48" s="44">
        <f t="shared" si="50"/>
        <v>25766.789999999997</v>
      </c>
    </row>
    <row r="49" spans="1:56" s="27" customFormat="1" outlineLevel="1" x14ac:dyDescent="0.3">
      <c r="A49" s="321" t="s">
        <v>63</v>
      </c>
      <c r="B49" s="322"/>
      <c r="C49" s="25">
        <f>SUM(C41:C48)</f>
        <v>4015.9</v>
      </c>
      <c r="D49" s="25">
        <f t="shared" ref="D49:E49" si="62">SUM(D41:D48)</f>
        <v>39236.013333333336</v>
      </c>
      <c r="E49" s="25">
        <f t="shared" si="62"/>
        <v>29022.06</v>
      </c>
      <c r="F49" s="45">
        <f t="shared" si="1"/>
        <v>72273.973333333342</v>
      </c>
      <c r="G49" s="25">
        <f>SUM(G41:G48)</f>
        <v>3706.4</v>
      </c>
      <c r="H49" s="25">
        <f t="shared" ref="H49" si="63">SUM(H41:H48)</f>
        <v>45744.493333333332</v>
      </c>
      <c r="I49" s="25">
        <f t="shared" ref="I49" si="64">SUM(I41:I48)</f>
        <v>36593.259999999995</v>
      </c>
      <c r="J49" s="45">
        <f t="shared" si="2"/>
        <v>86044.153333333321</v>
      </c>
      <c r="K49" s="25">
        <f>SUM(K41:K48)</f>
        <v>3693.3</v>
      </c>
      <c r="L49" s="25">
        <f t="shared" ref="L49" si="65">SUM(L41:L48)</f>
        <v>43215.839999999997</v>
      </c>
      <c r="M49" s="25">
        <f t="shared" ref="M49" si="66">SUM(M41:M48)</f>
        <v>36424.630000000005</v>
      </c>
      <c r="N49" s="86">
        <f t="shared" si="3"/>
        <v>83333.77</v>
      </c>
      <c r="O49" s="25">
        <f>SUM(O41:O48)</f>
        <v>4103.08</v>
      </c>
      <c r="P49" s="25">
        <f t="shared" ref="P49" si="67">SUM(P41:P48)</f>
        <v>49200.43</v>
      </c>
      <c r="Q49" s="25">
        <f t="shared" ref="Q49" si="68">SUM(Q41:Q48)</f>
        <v>42084.409999999996</v>
      </c>
      <c r="R49" s="86">
        <f t="shared" si="4"/>
        <v>95387.92</v>
      </c>
      <c r="S49" s="25">
        <f>SUM(S41:S48)</f>
        <v>3934.2799999999997</v>
      </c>
      <c r="T49" s="25">
        <f t="shared" ref="T49" si="69">SUM(T41:T48)</f>
        <v>43977.83</v>
      </c>
      <c r="U49" s="25">
        <f t="shared" ref="U49" si="70">SUM(U41:U48)</f>
        <v>37928.300000000003</v>
      </c>
      <c r="V49" s="86">
        <f t="shared" si="5"/>
        <v>85840.41</v>
      </c>
      <c r="W49" s="25">
        <f>SUM(W41:W48)</f>
        <v>3809.68</v>
      </c>
      <c r="X49" s="25">
        <f t="shared" ref="X49" si="71">SUM(X41:X48)</f>
        <v>62693.51999999999</v>
      </c>
      <c r="Y49" s="25">
        <f t="shared" ref="Y49" si="72">SUM(Y41:Y48)</f>
        <v>40549.089999999997</v>
      </c>
      <c r="Z49" s="45">
        <f t="shared" si="6"/>
        <v>107052.28999999998</v>
      </c>
      <c r="AA49" s="25">
        <f>SUM(AA41:AA48)</f>
        <v>4028.7</v>
      </c>
      <c r="AB49" s="25">
        <f t="shared" ref="AB49" si="73">SUM(AB41:AB48)</f>
        <v>95466.95</v>
      </c>
      <c r="AC49" s="25">
        <f t="shared" ref="AC49" si="74">SUM(AC41:AC48)</f>
        <v>46735.92</v>
      </c>
      <c r="AD49" s="45">
        <f t="shared" si="7"/>
        <v>146231.57</v>
      </c>
      <c r="AE49" s="25">
        <f>SUM(AE41:AE48)</f>
        <v>4191.3999999999996</v>
      </c>
      <c r="AF49" s="25">
        <f t="shared" ref="AF49:AG49" si="75">SUM(AF41:AF48)</f>
        <v>114508.69</v>
      </c>
      <c r="AG49" s="25">
        <f t="shared" si="75"/>
        <v>51155.75</v>
      </c>
      <c r="AH49" s="45">
        <f t="shared" si="8"/>
        <v>169855.84</v>
      </c>
      <c r="AI49" s="25">
        <f>SUM(AI41:AI48)</f>
        <v>3871.3999999999996</v>
      </c>
      <c r="AJ49" s="25">
        <f t="shared" ref="AJ49:AK49" si="76">SUM(AJ41:AJ48)</f>
        <v>93191.09</v>
      </c>
      <c r="AK49" s="25">
        <f t="shared" si="76"/>
        <v>41061.39</v>
      </c>
      <c r="AL49" s="45">
        <f t="shared" si="9"/>
        <v>138123.88</v>
      </c>
      <c r="AM49" s="25">
        <f>SUM(AM41:AM48)</f>
        <v>4007.3999999999996</v>
      </c>
      <c r="AN49" s="25">
        <f t="shared" ref="AN49:AO49" si="77">SUM(AN41:AN48)</f>
        <v>108435.76</v>
      </c>
      <c r="AO49" s="25">
        <f t="shared" si="77"/>
        <v>43601.75</v>
      </c>
      <c r="AP49" s="45">
        <f t="shared" si="10"/>
        <v>156044.90999999997</v>
      </c>
      <c r="AQ49" s="25">
        <f>SUM(AQ41:AQ48)</f>
        <v>4007.3999999999996</v>
      </c>
      <c r="AR49" s="25">
        <f t="shared" ref="AR49:AS49" si="78">SUM(AR41:AR48)</f>
        <v>108435.76</v>
      </c>
      <c r="AS49" s="25">
        <f t="shared" si="78"/>
        <v>43601.75</v>
      </c>
      <c r="AT49" s="45">
        <f t="shared" si="11"/>
        <v>156044.90999999997</v>
      </c>
      <c r="AU49" s="25">
        <f>SUM(AU41:AU48)</f>
        <v>4007.3999999999996</v>
      </c>
      <c r="AV49" s="26">
        <f>SUM(AV41:AV48)</f>
        <v>106717.75999999999</v>
      </c>
      <c r="AW49" s="26">
        <f>SUM(AW41:AW48)</f>
        <v>43601.75</v>
      </c>
      <c r="AX49" s="45">
        <f t="shared" si="12"/>
        <v>154326.90999999997</v>
      </c>
      <c r="AY49" s="15">
        <f t="shared" si="13"/>
        <v>47376.340000000004</v>
      </c>
      <c r="AZ49" s="15">
        <f t="shared" si="14"/>
        <v>910824.1366666666</v>
      </c>
      <c r="BA49" s="15">
        <f t="shared" si="15"/>
        <v>492360.06</v>
      </c>
      <c r="BB49" s="45">
        <f t="shared" si="16"/>
        <v>1450560.5366666664</v>
      </c>
      <c r="BD49" s="44">
        <f t="shared" si="50"/>
        <v>676164.08666666667</v>
      </c>
    </row>
    <row r="50" spans="1:56" outlineLevel="2" x14ac:dyDescent="0.3">
      <c r="A50" s="10" t="s">
        <v>72</v>
      </c>
      <c r="B50" s="5" t="s">
        <v>73</v>
      </c>
      <c r="C50" s="16">
        <v>3752</v>
      </c>
      <c r="D50" s="16">
        <v>34055.136666666665</v>
      </c>
      <c r="E50" s="16">
        <v>20197.650000000001</v>
      </c>
      <c r="F50" s="45">
        <f t="shared" si="1"/>
        <v>58004.786666666667</v>
      </c>
      <c r="G50" s="16">
        <v>3480</v>
      </c>
      <c r="H50" s="16">
        <v>32583.45333333332</v>
      </c>
      <c r="I50" s="16">
        <v>23159.3</v>
      </c>
      <c r="J50" s="45">
        <f t="shared" si="2"/>
        <v>59222.753333333327</v>
      </c>
      <c r="K50" s="16">
        <v>3632</v>
      </c>
      <c r="L50" s="16">
        <v>29652.839999999993</v>
      </c>
      <c r="M50" s="16">
        <v>22068.9</v>
      </c>
      <c r="N50" s="86">
        <f t="shared" ref="N50:N58" si="79">SUM(K50:M50)</f>
        <v>55353.74</v>
      </c>
      <c r="O50" s="16">
        <v>3056</v>
      </c>
      <c r="P50" s="16">
        <v>35549.450000000354</v>
      </c>
      <c r="Q50" s="16">
        <v>27978.869999999995</v>
      </c>
      <c r="R50" s="86">
        <f t="shared" si="4"/>
        <v>66584.320000000356</v>
      </c>
      <c r="S50" s="16">
        <v>3256</v>
      </c>
      <c r="T50" s="16">
        <v>35535.943333333344</v>
      </c>
      <c r="U50" s="16">
        <v>31176.43</v>
      </c>
      <c r="V50" s="86">
        <f t="shared" si="5"/>
        <v>69968.373333333351</v>
      </c>
      <c r="W50" s="16">
        <v>3440</v>
      </c>
      <c r="X50" s="16">
        <v>36671.513333333329</v>
      </c>
      <c r="Y50" s="16">
        <v>26468.510000000002</v>
      </c>
      <c r="Z50" s="45">
        <f t="shared" si="6"/>
        <v>66580.023333333331</v>
      </c>
      <c r="AA50" s="295">
        <v>3192</v>
      </c>
      <c r="AB50" s="296">
        <v>34603.353333333012</v>
      </c>
      <c r="AC50" s="296">
        <v>25287.78</v>
      </c>
      <c r="AD50" s="45">
        <f t="shared" si="7"/>
        <v>63083.133333333011</v>
      </c>
      <c r="AE50" s="295">
        <v>3136</v>
      </c>
      <c r="AF50" s="296">
        <v>34665.816666666658</v>
      </c>
      <c r="AG50" s="296">
        <v>25475.05</v>
      </c>
      <c r="AH50" s="45">
        <f t="shared" si="8"/>
        <v>63276.866666666654</v>
      </c>
      <c r="AI50" s="295">
        <v>3048</v>
      </c>
      <c r="AJ50" s="296">
        <v>36136.963333333326</v>
      </c>
      <c r="AK50" s="296">
        <v>25983.980000000003</v>
      </c>
      <c r="AL50" s="45">
        <f t="shared" ref="AL50:AL60" si="80">SUM(AI50:AK50)</f>
        <v>65168.943333333329</v>
      </c>
      <c r="AM50" s="295">
        <v>3316</v>
      </c>
      <c r="AN50" s="296">
        <v>35863.589999999975</v>
      </c>
      <c r="AO50" s="296">
        <v>27023.72</v>
      </c>
      <c r="AP50" s="45">
        <f t="shared" si="10"/>
        <v>66203.309999999969</v>
      </c>
      <c r="AQ50" s="295">
        <v>2968</v>
      </c>
      <c r="AR50" s="296">
        <v>36499.446666666692</v>
      </c>
      <c r="AS50" s="296">
        <v>25179.209999999995</v>
      </c>
      <c r="AT50" s="45">
        <f t="shared" si="11"/>
        <v>64646.656666666691</v>
      </c>
      <c r="AU50" s="295">
        <v>2920</v>
      </c>
      <c r="AV50" s="296">
        <v>36712.716666666653</v>
      </c>
      <c r="AW50" s="296">
        <v>22454.57</v>
      </c>
      <c r="AX50" s="45">
        <f t="shared" si="12"/>
        <v>62087.286666666652</v>
      </c>
      <c r="AY50" s="15">
        <f t="shared" ref="AY50:AY59" si="81">SUM(AU50,AQ50,AM50,AI50,AE50,AA50,W50,S50,O50,K50,G50,C50)</f>
        <v>39196</v>
      </c>
      <c r="AZ50" s="15">
        <f t="shared" si="14"/>
        <v>418530.22333333327</v>
      </c>
      <c r="BA50" s="15">
        <f t="shared" si="15"/>
        <v>302453.97000000003</v>
      </c>
      <c r="BB50" s="45">
        <f t="shared" si="16"/>
        <v>760180.19333333324</v>
      </c>
      <c r="BD50" s="44">
        <f t="shared" si="50"/>
        <v>438797.13000000006</v>
      </c>
    </row>
    <row r="51" spans="1:56" outlineLevel="2" x14ac:dyDescent="0.3">
      <c r="A51" s="10" t="s">
        <v>72</v>
      </c>
      <c r="B51" s="5" t="s">
        <v>74</v>
      </c>
      <c r="C51" s="16">
        <v>984</v>
      </c>
      <c r="D51" s="16">
        <v>11937.683333333</v>
      </c>
      <c r="E51" s="16">
        <v>6690.87</v>
      </c>
      <c r="F51" s="45">
        <f t="shared" si="1"/>
        <v>19612.553333332999</v>
      </c>
      <c r="G51" s="16">
        <v>912</v>
      </c>
      <c r="H51" s="16">
        <v>11387.766666666666</v>
      </c>
      <c r="I51" s="16">
        <v>8340.1</v>
      </c>
      <c r="J51" s="45">
        <f t="shared" si="2"/>
        <v>20639.866666666669</v>
      </c>
      <c r="K51" s="16">
        <v>936</v>
      </c>
      <c r="L51" s="16">
        <v>11765.586666666668</v>
      </c>
      <c r="M51" s="16">
        <v>7759.2400000000007</v>
      </c>
      <c r="N51" s="86">
        <f t="shared" si="79"/>
        <v>20460.826666666668</v>
      </c>
      <c r="O51" s="16">
        <v>952</v>
      </c>
      <c r="P51" s="16">
        <v>12374.349999999999</v>
      </c>
      <c r="Q51" s="16">
        <v>7625.07</v>
      </c>
      <c r="R51" s="86">
        <f t="shared" si="4"/>
        <v>20951.419999999998</v>
      </c>
      <c r="S51" s="16">
        <v>912</v>
      </c>
      <c r="T51" s="16">
        <v>12005.276666666667</v>
      </c>
      <c r="U51" s="16">
        <v>6876.1200000000008</v>
      </c>
      <c r="V51" s="86">
        <f t="shared" si="5"/>
        <v>19793.396666666667</v>
      </c>
      <c r="W51" s="16">
        <v>912</v>
      </c>
      <c r="X51" s="16">
        <v>12835.453333333333</v>
      </c>
      <c r="Y51" s="16">
        <v>9027.34</v>
      </c>
      <c r="Z51" s="45">
        <f t="shared" si="6"/>
        <v>22774.793333333335</v>
      </c>
      <c r="AA51" s="295">
        <v>912</v>
      </c>
      <c r="AB51" s="296">
        <v>12281.490000003334</v>
      </c>
      <c r="AC51" s="296">
        <v>13448.99</v>
      </c>
      <c r="AD51" s="45">
        <f t="shared" si="7"/>
        <v>26642.480000003336</v>
      </c>
      <c r="AE51" s="295">
        <v>992</v>
      </c>
      <c r="AF51" s="296">
        <v>12458.580000000002</v>
      </c>
      <c r="AG51" s="296">
        <v>11604</v>
      </c>
      <c r="AH51" s="45">
        <f t="shared" si="8"/>
        <v>25054.58</v>
      </c>
      <c r="AI51" s="295">
        <v>952</v>
      </c>
      <c r="AJ51" s="296">
        <v>12201.553333333335</v>
      </c>
      <c r="AK51" s="296">
        <v>12731.119999999999</v>
      </c>
      <c r="AL51" s="45">
        <f t="shared" si="80"/>
        <v>25884.673333333332</v>
      </c>
      <c r="AM51" s="295">
        <v>928</v>
      </c>
      <c r="AN51" s="296">
        <v>11723.980000000001</v>
      </c>
      <c r="AO51" s="296">
        <v>12482.99</v>
      </c>
      <c r="AP51" s="45">
        <f t="shared" si="10"/>
        <v>25134.97</v>
      </c>
      <c r="AQ51" s="295">
        <v>896</v>
      </c>
      <c r="AR51" s="296">
        <v>12174.516666666666</v>
      </c>
      <c r="AS51" s="296">
        <v>11802.230000000001</v>
      </c>
      <c r="AT51" s="45">
        <f t="shared" si="11"/>
        <v>24872.746666666666</v>
      </c>
      <c r="AU51" s="295">
        <v>872</v>
      </c>
      <c r="AV51" s="296">
        <v>13095.056666666667</v>
      </c>
      <c r="AW51" s="296">
        <v>8811.1266667</v>
      </c>
      <c r="AX51" s="45">
        <f t="shared" si="12"/>
        <v>22778.183333366665</v>
      </c>
      <c r="AY51" s="15">
        <f t="shared" si="81"/>
        <v>11160</v>
      </c>
      <c r="AZ51" s="15">
        <f t="shared" si="14"/>
        <v>146241.29333333636</v>
      </c>
      <c r="BA51" s="15">
        <f t="shared" si="15"/>
        <v>117199.19666669999</v>
      </c>
      <c r="BB51" s="45">
        <f t="shared" si="16"/>
        <v>274600.49000003637</v>
      </c>
      <c r="BD51" s="44">
        <f t="shared" si="50"/>
        <v>150875.33666666967</v>
      </c>
    </row>
    <row r="52" spans="1:56" outlineLevel="2" x14ac:dyDescent="0.3">
      <c r="A52" s="10" t="s">
        <v>72</v>
      </c>
      <c r="B52" s="5" t="s">
        <v>75</v>
      </c>
      <c r="C52" s="16">
        <v>7117.7333333333345</v>
      </c>
      <c r="D52" s="16">
        <v>44820.076666670022</v>
      </c>
      <c r="E52" s="16">
        <v>63278.350000000006</v>
      </c>
      <c r="F52" s="45">
        <f t="shared" si="1"/>
        <v>115216.16000000336</v>
      </c>
      <c r="G52" s="16">
        <v>6576.27</v>
      </c>
      <c r="H52" s="16">
        <v>44884.903333333335</v>
      </c>
      <c r="I52" s="16">
        <v>55628.14</v>
      </c>
      <c r="J52" s="45">
        <f t="shared" si="2"/>
        <v>107089.31333333334</v>
      </c>
      <c r="K52" s="16">
        <v>8144.666666666667</v>
      </c>
      <c r="L52" s="16">
        <v>45267.406666663002</v>
      </c>
      <c r="M52" s="16">
        <v>63919.08</v>
      </c>
      <c r="N52" s="86">
        <f t="shared" si="79"/>
        <v>117331.15333332967</v>
      </c>
      <c r="O52" s="16">
        <v>9303.0666666666712</v>
      </c>
      <c r="P52" s="16">
        <v>47241.459999999686</v>
      </c>
      <c r="Q52" s="16">
        <v>65046.3</v>
      </c>
      <c r="R52" s="86">
        <f t="shared" si="4"/>
        <v>121590.82666666637</v>
      </c>
      <c r="S52" s="16">
        <v>9667.4666666666672</v>
      </c>
      <c r="T52" s="16">
        <v>47637.073333339948</v>
      </c>
      <c r="U52" s="16">
        <v>63786.78</v>
      </c>
      <c r="V52" s="86">
        <f t="shared" si="5"/>
        <v>121091.32000000661</v>
      </c>
      <c r="W52" s="16">
        <v>9142.2166666666672</v>
      </c>
      <c r="X52" s="16">
        <v>45666.953333330006</v>
      </c>
      <c r="Y52" s="16">
        <v>64871.21</v>
      </c>
      <c r="Z52" s="45">
        <f t="shared" si="6"/>
        <v>119680.37999999667</v>
      </c>
      <c r="AA52" s="295">
        <v>10222.520000000004</v>
      </c>
      <c r="AB52" s="296">
        <v>47096.266666666663</v>
      </c>
      <c r="AC52" s="296">
        <v>61413.2</v>
      </c>
      <c r="AD52" s="45">
        <f t="shared" si="7"/>
        <v>118731.98666666666</v>
      </c>
      <c r="AE52" s="295">
        <v>14275.200000000004</v>
      </c>
      <c r="AF52" s="296">
        <v>47196.006666663328</v>
      </c>
      <c r="AG52" s="296">
        <v>61850.76</v>
      </c>
      <c r="AH52" s="45">
        <f t="shared" si="8"/>
        <v>123321.96666666333</v>
      </c>
      <c r="AI52" s="295">
        <v>15133</v>
      </c>
      <c r="AJ52" s="296">
        <v>45372.369999999988</v>
      </c>
      <c r="AK52" s="296">
        <v>57762.51</v>
      </c>
      <c r="AL52" s="45">
        <f t="shared" si="80"/>
        <v>118267.87999999999</v>
      </c>
      <c r="AM52" s="295">
        <v>15899.666666666668</v>
      </c>
      <c r="AN52" s="296">
        <v>45631.233333366661</v>
      </c>
      <c r="AO52" s="296">
        <v>58203.56</v>
      </c>
      <c r="AP52" s="45">
        <f t="shared" si="10"/>
        <v>119734.46000003333</v>
      </c>
      <c r="AQ52" s="295">
        <v>15113.25</v>
      </c>
      <c r="AR52" s="296">
        <v>46030.009999999995</v>
      </c>
      <c r="AS52" s="296">
        <v>62091.98</v>
      </c>
      <c r="AT52" s="45">
        <f t="shared" si="11"/>
        <v>123235.23999999999</v>
      </c>
      <c r="AU52" s="295">
        <v>14954.583333333332</v>
      </c>
      <c r="AV52" s="296">
        <v>47380.196666666663</v>
      </c>
      <c r="AW52" s="296">
        <v>63251.2033333</v>
      </c>
      <c r="AX52" s="45">
        <f t="shared" si="12"/>
        <v>125585.9833333</v>
      </c>
      <c r="AY52" s="15">
        <f t="shared" si="81"/>
        <v>135549.64000000001</v>
      </c>
      <c r="AZ52" s="15">
        <f t="shared" si="14"/>
        <v>554223.95666669926</v>
      </c>
      <c r="BA52" s="15">
        <f t="shared" si="15"/>
        <v>741103.07333330007</v>
      </c>
      <c r="BB52" s="45">
        <f t="shared" si="16"/>
        <v>1430876.6699999992</v>
      </c>
      <c r="BD52" s="44">
        <f t="shared" si="50"/>
        <v>820731.14000000269</v>
      </c>
    </row>
    <row r="53" spans="1:56" outlineLevel="2" x14ac:dyDescent="0.3">
      <c r="A53" s="10" t="s">
        <v>72</v>
      </c>
      <c r="B53" s="5" t="s">
        <v>76</v>
      </c>
      <c r="C53" s="16">
        <v>3704</v>
      </c>
      <c r="D53" s="16">
        <v>26707.499999996671</v>
      </c>
      <c r="E53" s="16">
        <v>78589.42</v>
      </c>
      <c r="F53" s="45">
        <f t="shared" si="1"/>
        <v>109000.91999999667</v>
      </c>
      <c r="G53" s="16">
        <v>3528</v>
      </c>
      <c r="H53" s="16">
        <v>25889.066666666677</v>
      </c>
      <c r="I53" s="16">
        <v>75038.77</v>
      </c>
      <c r="J53" s="45">
        <f t="shared" si="2"/>
        <v>104455.83666666668</v>
      </c>
      <c r="K53" s="16">
        <v>3496</v>
      </c>
      <c r="L53" s="16">
        <v>25943.586666666662</v>
      </c>
      <c r="M53" s="16">
        <v>75878.080000000002</v>
      </c>
      <c r="N53" s="86">
        <f t="shared" si="79"/>
        <v>105317.66666666666</v>
      </c>
      <c r="O53" s="16">
        <v>3480</v>
      </c>
      <c r="P53" s="16">
        <v>27240.720000003341</v>
      </c>
      <c r="Q53" s="16">
        <v>82866.849999999991</v>
      </c>
      <c r="R53" s="86">
        <f t="shared" si="4"/>
        <v>113587.57000000332</v>
      </c>
      <c r="S53" s="16">
        <v>3520</v>
      </c>
      <c r="T53" s="16">
        <v>27475.640000003332</v>
      </c>
      <c r="U53" s="16">
        <v>81717.48</v>
      </c>
      <c r="V53" s="86">
        <f t="shared" si="5"/>
        <v>112713.12000000333</v>
      </c>
      <c r="W53" s="16">
        <v>3344</v>
      </c>
      <c r="X53" s="16">
        <v>27109.736666666671</v>
      </c>
      <c r="Y53" s="16">
        <v>76939.78</v>
      </c>
      <c r="Z53" s="45">
        <f t="shared" si="6"/>
        <v>107393.51666666666</v>
      </c>
      <c r="AA53" s="295">
        <v>2928</v>
      </c>
      <c r="AB53" s="296">
        <v>27455.753333333327</v>
      </c>
      <c r="AC53" s="296">
        <v>78955.44</v>
      </c>
      <c r="AD53" s="45">
        <f t="shared" si="7"/>
        <v>109339.19333333333</v>
      </c>
      <c r="AE53" s="295">
        <v>2936</v>
      </c>
      <c r="AF53" s="296">
        <v>26233.283333336662</v>
      </c>
      <c r="AG53" s="296">
        <v>75507.200000000012</v>
      </c>
      <c r="AH53" s="45">
        <f t="shared" si="8"/>
        <v>104676.48333333667</v>
      </c>
      <c r="AI53" s="295">
        <v>2960</v>
      </c>
      <c r="AJ53" s="296">
        <v>26168.103333333322</v>
      </c>
      <c r="AK53" s="296">
        <v>75567.070000000007</v>
      </c>
      <c r="AL53" s="45">
        <f t="shared" si="80"/>
        <v>104695.17333333332</v>
      </c>
      <c r="AM53" s="295">
        <v>2912</v>
      </c>
      <c r="AN53" s="296">
        <v>26215.716666670007</v>
      </c>
      <c r="AO53" s="296">
        <v>70824.19</v>
      </c>
      <c r="AP53" s="45">
        <f t="shared" si="10"/>
        <v>99951.906666670009</v>
      </c>
      <c r="AQ53" s="295">
        <v>3008</v>
      </c>
      <c r="AR53" s="296">
        <v>26431.416666666668</v>
      </c>
      <c r="AS53" s="296">
        <v>68195.16</v>
      </c>
      <c r="AT53" s="45">
        <f t="shared" si="11"/>
        <v>97634.576666666675</v>
      </c>
      <c r="AU53" s="295">
        <v>3248</v>
      </c>
      <c r="AV53" s="296">
        <v>28202.333333333328</v>
      </c>
      <c r="AW53" s="296">
        <v>41109.32</v>
      </c>
      <c r="AX53" s="45">
        <f t="shared" si="12"/>
        <v>72559.653333333321</v>
      </c>
      <c r="AY53" s="15">
        <f t="shared" si="81"/>
        <v>39064</v>
      </c>
      <c r="AZ53" s="15">
        <f t="shared" si="14"/>
        <v>321072.85666667664</v>
      </c>
      <c r="BA53" s="15">
        <f t="shared" si="15"/>
        <v>881188.76</v>
      </c>
      <c r="BB53" s="45">
        <f t="shared" si="16"/>
        <v>1241325.6166666767</v>
      </c>
      <c r="BD53" s="44">
        <f t="shared" si="50"/>
        <v>761807.82333333674</v>
      </c>
    </row>
    <row r="54" spans="1:56" outlineLevel="2" x14ac:dyDescent="0.3">
      <c r="A54" s="10" t="s">
        <v>72</v>
      </c>
      <c r="B54" s="5" t="s">
        <v>77</v>
      </c>
      <c r="C54" s="16">
        <v>683.11666666666667</v>
      </c>
      <c r="D54" s="16">
        <v>7706.1666666666688</v>
      </c>
      <c r="E54" s="16">
        <v>9785.9599999999991</v>
      </c>
      <c r="F54" s="45">
        <f t="shared" si="1"/>
        <v>18175.243333333332</v>
      </c>
      <c r="G54" s="16">
        <v>679.33333333333337</v>
      </c>
      <c r="H54" s="16">
        <v>8000.800000000002</v>
      </c>
      <c r="I54" s="16">
        <v>8019.3200000000006</v>
      </c>
      <c r="J54" s="45">
        <f t="shared" si="2"/>
        <v>16699.453333333335</v>
      </c>
      <c r="K54" s="16">
        <v>595.5</v>
      </c>
      <c r="L54" s="16">
        <v>8056.8133333333317</v>
      </c>
      <c r="M54" s="16">
        <v>10684.49</v>
      </c>
      <c r="N54" s="86">
        <f t="shared" si="79"/>
        <v>19336.80333333333</v>
      </c>
      <c r="O54" s="16">
        <v>584</v>
      </c>
      <c r="P54" s="16">
        <v>7861.416666666667</v>
      </c>
      <c r="Q54" s="16">
        <v>10738.650000000001</v>
      </c>
      <c r="R54" s="86">
        <f t="shared" si="4"/>
        <v>19184.066666666669</v>
      </c>
      <c r="S54" s="16">
        <v>660.65</v>
      </c>
      <c r="T54" s="16">
        <v>7453.9666666666653</v>
      </c>
      <c r="U54" s="16">
        <v>10661.08</v>
      </c>
      <c r="V54" s="86">
        <f t="shared" si="5"/>
        <v>18775.696666666663</v>
      </c>
      <c r="W54" s="16">
        <v>724.93333333333339</v>
      </c>
      <c r="X54" s="16">
        <v>7052.7999999999993</v>
      </c>
      <c r="Y54" s="16">
        <v>10133.43</v>
      </c>
      <c r="Z54" s="45">
        <f t="shared" si="6"/>
        <v>17911.163333333334</v>
      </c>
      <c r="AA54" s="295">
        <v>730.58333333333326</v>
      </c>
      <c r="AB54" s="296">
        <v>6864.4466666666667</v>
      </c>
      <c r="AC54" s="296">
        <v>11389.83</v>
      </c>
      <c r="AD54" s="45">
        <f t="shared" si="7"/>
        <v>18984.86</v>
      </c>
      <c r="AE54" s="295">
        <v>706</v>
      </c>
      <c r="AF54" s="296">
        <v>7407.2366666666676</v>
      </c>
      <c r="AG54" s="296">
        <v>12228.71</v>
      </c>
      <c r="AH54" s="45">
        <f t="shared" si="8"/>
        <v>20341.946666666667</v>
      </c>
      <c r="AI54" s="295">
        <v>722</v>
      </c>
      <c r="AJ54" s="296">
        <v>8182.8333333333321</v>
      </c>
      <c r="AK54" s="296">
        <v>12046.600000000002</v>
      </c>
      <c r="AL54" s="45">
        <f t="shared" si="80"/>
        <v>20951.433333333334</v>
      </c>
      <c r="AM54" s="295">
        <v>712.85</v>
      </c>
      <c r="AN54" s="296">
        <v>7772.9833333333336</v>
      </c>
      <c r="AO54" s="296">
        <v>11586.58</v>
      </c>
      <c r="AP54" s="45">
        <f t="shared" si="10"/>
        <v>20072.413333333334</v>
      </c>
      <c r="AQ54" s="295">
        <v>693.5</v>
      </c>
      <c r="AR54" s="296">
        <v>8102.6333333333323</v>
      </c>
      <c r="AS54" s="296">
        <v>11962.82</v>
      </c>
      <c r="AT54" s="45">
        <f t="shared" si="11"/>
        <v>20758.953333333331</v>
      </c>
      <c r="AU54" s="295">
        <v>624</v>
      </c>
      <c r="AV54" s="296">
        <v>7724.0999999999995</v>
      </c>
      <c r="AW54" s="296">
        <v>10822.53</v>
      </c>
      <c r="AX54" s="45">
        <f t="shared" si="12"/>
        <v>19170.629999999997</v>
      </c>
      <c r="AY54" s="15">
        <f t="shared" si="81"/>
        <v>8116.4666666666662</v>
      </c>
      <c r="AZ54" s="15">
        <f t="shared" si="14"/>
        <v>92186.196666666685</v>
      </c>
      <c r="BA54" s="15">
        <f t="shared" si="15"/>
        <v>130060.00000000003</v>
      </c>
      <c r="BB54" s="45">
        <f t="shared" si="16"/>
        <v>230362.66333333333</v>
      </c>
      <c r="BD54" s="44">
        <f t="shared" si="50"/>
        <v>129067.28666666667</v>
      </c>
    </row>
    <row r="55" spans="1:56" outlineLevel="2" x14ac:dyDescent="0.3">
      <c r="A55" s="10" t="s">
        <v>72</v>
      </c>
      <c r="B55" s="5" t="s">
        <v>78</v>
      </c>
      <c r="C55" s="16">
        <v>0</v>
      </c>
      <c r="D55" s="16">
        <v>33622.143333333341</v>
      </c>
      <c r="E55" s="16">
        <v>0</v>
      </c>
      <c r="F55" s="45">
        <f t="shared" si="1"/>
        <v>33622.143333333341</v>
      </c>
      <c r="G55" s="16">
        <v>0</v>
      </c>
      <c r="H55" s="16">
        <v>30963.333333347004</v>
      </c>
      <c r="I55" s="16">
        <v>0</v>
      </c>
      <c r="J55" s="45">
        <f t="shared" si="2"/>
        <v>30963.333333347004</v>
      </c>
      <c r="K55" s="16">
        <v>0</v>
      </c>
      <c r="L55" s="16">
        <v>28374.113333339668</v>
      </c>
      <c r="M55" s="16">
        <v>0</v>
      </c>
      <c r="N55" s="86">
        <f t="shared" si="79"/>
        <v>28374.113333339668</v>
      </c>
      <c r="O55" s="16">
        <v>0</v>
      </c>
      <c r="P55" s="16">
        <v>28631.57666667</v>
      </c>
      <c r="Q55" s="16">
        <v>0</v>
      </c>
      <c r="R55" s="86">
        <f t="shared" si="4"/>
        <v>28631.57666667</v>
      </c>
      <c r="S55" s="16">
        <v>0</v>
      </c>
      <c r="T55" s="16">
        <v>30276.636666666673</v>
      </c>
      <c r="U55" s="16">
        <v>0</v>
      </c>
      <c r="V55" s="86">
        <f t="shared" si="5"/>
        <v>30276.636666666673</v>
      </c>
      <c r="W55" s="16">
        <v>0</v>
      </c>
      <c r="X55" s="16">
        <v>29196.103333336672</v>
      </c>
      <c r="Y55" s="16">
        <v>0</v>
      </c>
      <c r="Z55" s="45">
        <f t="shared" si="6"/>
        <v>29196.103333336672</v>
      </c>
      <c r="AA55" s="295">
        <v>0</v>
      </c>
      <c r="AB55" s="296">
        <v>29672.799999553332</v>
      </c>
      <c r="AC55" s="296">
        <v>0</v>
      </c>
      <c r="AD55" s="45">
        <f t="shared" si="7"/>
        <v>29672.799999553332</v>
      </c>
      <c r="AE55" s="295">
        <v>0</v>
      </c>
      <c r="AF55" s="296">
        <v>29447.109999659337</v>
      </c>
      <c r="AG55" s="296">
        <v>0</v>
      </c>
      <c r="AH55" s="45">
        <f t="shared" si="8"/>
        <v>29447.109999659337</v>
      </c>
      <c r="AI55" s="295">
        <v>0</v>
      </c>
      <c r="AJ55" s="296">
        <v>29353.003333332665</v>
      </c>
      <c r="AK55" s="296">
        <v>0</v>
      </c>
      <c r="AL55" s="45">
        <f t="shared" si="80"/>
        <v>29353.003333332665</v>
      </c>
      <c r="AM55" s="295">
        <v>0</v>
      </c>
      <c r="AN55" s="296">
        <v>29499.666666659999</v>
      </c>
      <c r="AO55" s="296">
        <v>0</v>
      </c>
      <c r="AP55" s="45">
        <f t="shared" si="10"/>
        <v>29499.666666659999</v>
      </c>
      <c r="AQ55" s="295">
        <v>0</v>
      </c>
      <c r="AR55" s="296">
        <v>29788.696666673335</v>
      </c>
      <c r="AS55" s="296">
        <v>0</v>
      </c>
      <c r="AT55" s="45">
        <f t="shared" si="11"/>
        <v>29788.696666673335</v>
      </c>
      <c r="AU55" s="295">
        <v>0</v>
      </c>
      <c r="AV55" s="296">
        <v>29569.006666666661</v>
      </c>
      <c r="AW55" s="296">
        <v>0</v>
      </c>
      <c r="AX55" s="45">
        <f t="shared" si="12"/>
        <v>29569.006666666661</v>
      </c>
      <c r="AY55" s="15">
        <f t="shared" si="81"/>
        <v>0</v>
      </c>
      <c r="AZ55" s="15">
        <f t="shared" si="14"/>
        <v>358394.1899992387</v>
      </c>
      <c r="BA55" s="15">
        <f t="shared" si="15"/>
        <v>0</v>
      </c>
      <c r="BB55" s="45">
        <f t="shared" si="16"/>
        <v>358394.1899992387</v>
      </c>
      <c r="BD55" s="44">
        <f t="shared" si="50"/>
        <v>210736.7066662467</v>
      </c>
    </row>
    <row r="56" spans="1:56" outlineLevel="2" x14ac:dyDescent="0.3">
      <c r="A56" s="10" t="s">
        <v>72</v>
      </c>
      <c r="B56" s="5" t="s">
        <v>79</v>
      </c>
      <c r="C56" s="16">
        <v>0</v>
      </c>
      <c r="D56" s="16">
        <v>6887.3700000000008</v>
      </c>
      <c r="E56" s="16">
        <v>31629.8</v>
      </c>
      <c r="F56" s="45">
        <f t="shared" si="1"/>
        <v>38517.17</v>
      </c>
      <c r="G56" s="16">
        <v>0</v>
      </c>
      <c r="H56" s="16">
        <v>6437.0666666666657</v>
      </c>
      <c r="I56" s="16">
        <v>27184.600000000002</v>
      </c>
      <c r="J56" s="45">
        <f t="shared" si="2"/>
        <v>33621.666666666672</v>
      </c>
      <c r="K56" s="16">
        <v>0</v>
      </c>
      <c r="L56" s="16">
        <v>6903.3466666766672</v>
      </c>
      <c r="M56" s="16">
        <v>34899.200000000004</v>
      </c>
      <c r="N56" s="86">
        <f t="shared" si="79"/>
        <v>41802.546666676673</v>
      </c>
      <c r="O56" s="16">
        <v>0</v>
      </c>
      <c r="P56" s="16">
        <v>7455.3033333299991</v>
      </c>
      <c r="Q56" s="16">
        <v>37488.799999999996</v>
      </c>
      <c r="R56" s="86">
        <f t="shared" si="4"/>
        <v>44944.103333329993</v>
      </c>
      <c r="S56" s="16">
        <v>0</v>
      </c>
      <c r="T56" s="16">
        <v>7404.4833333333327</v>
      </c>
      <c r="U56" s="16">
        <v>37526.700000000004</v>
      </c>
      <c r="V56" s="86">
        <f t="shared" si="5"/>
        <v>44931.183333333334</v>
      </c>
      <c r="W56" s="16">
        <v>0</v>
      </c>
      <c r="X56" s="16">
        <v>6138.516666669334</v>
      </c>
      <c r="Y56" s="16">
        <v>34115.599999999999</v>
      </c>
      <c r="Z56" s="45">
        <f t="shared" si="6"/>
        <v>40254.116666669332</v>
      </c>
      <c r="AA56" s="295">
        <v>0</v>
      </c>
      <c r="AB56" s="296">
        <v>5398.7666666666664</v>
      </c>
      <c r="AC56" s="296">
        <v>34452.300000000003</v>
      </c>
      <c r="AD56" s="45">
        <f t="shared" si="7"/>
        <v>39851.066666666666</v>
      </c>
      <c r="AE56" s="295">
        <v>0</v>
      </c>
      <c r="AF56" s="296">
        <v>5807.7</v>
      </c>
      <c r="AG56" s="296">
        <v>34443.4</v>
      </c>
      <c r="AH56" s="45">
        <f t="shared" si="8"/>
        <v>40251.1</v>
      </c>
      <c r="AI56" s="295">
        <v>0</v>
      </c>
      <c r="AJ56" s="296">
        <v>6535.9166666666679</v>
      </c>
      <c r="AK56" s="296">
        <v>47099.6</v>
      </c>
      <c r="AL56" s="45">
        <f t="shared" si="80"/>
        <v>53635.516666666663</v>
      </c>
      <c r="AM56" s="295">
        <v>0</v>
      </c>
      <c r="AN56" s="296">
        <v>7029.6499999966663</v>
      </c>
      <c r="AO56" s="296">
        <v>42980.899999999994</v>
      </c>
      <c r="AP56" s="45">
        <f t="shared" si="10"/>
        <v>50010.549999996663</v>
      </c>
      <c r="AQ56" s="295">
        <v>0</v>
      </c>
      <c r="AR56" s="296">
        <v>7151.083333333333</v>
      </c>
      <c r="AS56" s="296">
        <v>36106</v>
      </c>
      <c r="AT56" s="45">
        <f t="shared" si="11"/>
        <v>43257.083333333336</v>
      </c>
      <c r="AU56" s="295">
        <v>0</v>
      </c>
      <c r="AV56" s="296">
        <v>7395.0166666666673</v>
      </c>
      <c r="AW56" s="296">
        <v>39632.833333000002</v>
      </c>
      <c r="AX56" s="45">
        <f t="shared" si="12"/>
        <v>47027.849999666672</v>
      </c>
      <c r="AY56" s="15">
        <f t="shared" si="81"/>
        <v>0</v>
      </c>
      <c r="AZ56" s="15">
        <f t="shared" si="14"/>
        <v>80544.220000005982</v>
      </c>
      <c r="BA56" s="15">
        <f t="shared" si="15"/>
        <v>437559.73333299992</v>
      </c>
      <c r="BB56" s="45">
        <f t="shared" si="16"/>
        <v>518103.95333300601</v>
      </c>
      <c r="BD56" s="44">
        <f t="shared" si="50"/>
        <v>283921.85333334265</v>
      </c>
    </row>
    <row r="57" spans="1:56" outlineLevel="2" x14ac:dyDescent="0.3">
      <c r="A57" s="10" t="s">
        <v>72</v>
      </c>
      <c r="B57" s="5" t="s">
        <v>80</v>
      </c>
      <c r="C57" s="16">
        <v>0</v>
      </c>
      <c r="D57" s="16">
        <v>0</v>
      </c>
      <c r="E57" s="16">
        <v>100344</v>
      </c>
      <c r="F57" s="45">
        <f t="shared" si="1"/>
        <v>100344</v>
      </c>
      <c r="G57" s="16">
        <v>0</v>
      </c>
      <c r="H57" s="16">
        <v>0</v>
      </c>
      <c r="I57" s="16">
        <v>98004</v>
      </c>
      <c r="J57" s="45">
        <f t="shared" si="2"/>
        <v>98004</v>
      </c>
      <c r="K57" s="16">
        <v>0</v>
      </c>
      <c r="L57" s="16">
        <v>0</v>
      </c>
      <c r="M57" s="16">
        <v>99180</v>
      </c>
      <c r="N57" s="86">
        <f t="shared" si="79"/>
        <v>99180</v>
      </c>
      <c r="O57" s="16">
        <v>0</v>
      </c>
      <c r="P57" s="16">
        <v>0</v>
      </c>
      <c r="Q57" s="16">
        <v>98664</v>
      </c>
      <c r="R57" s="86">
        <f t="shared" si="4"/>
        <v>98664</v>
      </c>
      <c r="S57" s="16">
        <v>0</v>
      </c>
      <c r="T57" s="16">
        <v>0</v>
      </c>
      <c r="U57" s="16">
        <v>99324</v>
      </c>
      <c r="V57" s="86">
        <f t="shared" si="5"/>
        <v>99324</v>
      </c>
      <c r="W57" s="16">
        <v>0</v>
      </c>
      <c r="X57" s="16">
        <v>0</v>
      </c>
      <c r="Y57" s="16">
        <v>98520</v>
      </c>
      <c r="Z57" s="45">
        <f t="shared" si="6"/>
        <v>98520</v>
      </c>
      <c r="AA57" s="295">
        <v>0</v>
      </c>
      <c r="AB57" s="296">
        <v>0</v>
      </c>
      <c r="AC57" s="296">
        <v>97748</v>
      </c>
      <c r="AD57" s="45">
        <f t="shared" si="7"/>
        <v>97748</v>
      </c>
      <c r="AE57" s="295">
        <v>0</v>
      </c>
      <c r="AF57" s="296">
        <v>0</v>
      </c>
      <c r="AG57" s="296">
        <v>96964</v>
      </c>
      <c r="AH57" s="45">
        <f t="shared" si="8"/>
        <v>96964</v>
      </c>
      <c r="AI57" s="295">
        <v>0</v>
      </c>
      <c r="AJ57" s="296">
        <v>0</v>
      </c>
      <c r="AK57" s="296">
        <v>96360</v>
      </c>
      <c r="AL57" s="45">
        <f t="shared" si="80"/>
        <v>96360</v>
      </c>
      <c r="AM57" s="295">
        <v>0</v>
      </c>
      <c r="AN57" s="296">
        <v>0</v>
      </c>
      <c r="AO57" s="296">
        <v>97004</v>
      </c>
      <c r="AP57" s="45">
        <f t="shared" si="10"/>
        <v>97004</v>
      </c>
      <c r="AQ57" s="295">
        <v>0</v>
      </c>
      <c r="AR57" s="296">
        <v>0</v>
      </c>
      <c r="AS57" s="296">
        <v>96384</v>
      </c>
      <c r="AT57" s="45">
        <f t="shared" si="11"/>
        <v>96384</v>
      </c>
      <c r="AU57" s="295">
        <v>0</v>
      </c>
      <c r="AV57" s="296">
        <v>0</v>
      </c>
      <c r="AW57" s="296">
        <v>96940</v>
      </c>
      <c r="AX57" s="45">
        <f t="shared" si="12"/>
        <v>96940</v>
      </c>
      <c r="AY57" s="15">
        <f t="shared" si="81"/>
        <v>0</v>
      </c>
      <c r="AZ57" s="15">
        <f t="shared" si="14"/>
        <v>0</v>
      </c>
      <c r="BA57" s="15">
        <f t="shared" si="15"/>
        <v>1175436</v>
      </c>
      <c r="BB57" s="45">
        <f t="shared" si="16"/>
        <v>1175436</v>
      </c>
      <c r="BD57" s="44">
        <f t="shared" si="50"/>
        <v>691784</v>
      </c>
    </row>
    <row r="58" spans="1:56" outlineLevel="2" x14ac:dyDescent="0.3">
      <c r="A58" s="10" t="s">
        <v>72</v>
      </c>
      <c r="B58" s="5" t="s">
        <v>81</v>
      </c>
      <c r="C58" s="16">
        <v>0</v>
      </c>
      <c r="D58" s="16">
        <v>0</v>
      </c>
      <c r="E58" s="16">
        <v>0</v>
      </c>
      <c r="F58" s="45">
        <f t="shared" si="1"/>
        <v>0</v>
      </c>
      <c r="G58" s="16">
        <v>0</v>
      </c>
      <c r="H58" s="16">
        <v>0</v>
      </c>
      <c r="I58" s="16">
        <v>0</v>
      </c>
      <c r="J58" s="45">
        <f t="shared" si="2"/>
        <v>0</v>
      </c>
      <c r="K58" s="16">
        <v>0</v>
      </c>
      <c r="L58" s="16">
        <v>0</v>
      </c>
      <c r="M58" s="16">
        <v>0</v>
      </c>
      <c r="N58" s="86">
        <f t="shared" si="79"/>
        <v>0</v>
      </c>
      <c r="O58" s="16">
        <v>0</v>
      </c>
      <c r="P58" s="16">
        <v>0</v>
      </c>
      <c r="Q58" s="16">
        <v>0</v>
      </c>
      <c r="R58" s="86">
        <f t="shared" si="4"/>
        <v>0</v>
      </c>
      <c r="S58" s="16">
        <v>0</v>
      </c>
      <c r="T58" s="16">
        <v>0</v>
      </c>
      <c r="U58" s="16">
        <v>0</v>
      </c>
      <c r="V58" s="86">
        <f t="shared" si="5"/>
        <v>0</v>
      </c>
      <c r="W58" s="16">
        <v>0</v>
      </c>
      <c r="X58" s="16">
        <v>0</v>
      </c>
      <c r="Y58" s="16">
        <v>0</v>
      </c>
      <c r="Z58" s="45">
        <f t="shared" si="6"/>
        <v>0</v>
      </c>
      <c r="AA58" s="295">
        <v>0</v>
      </c>
      <c r="AB58" s="296">
        <v>0</v>
      </c>
      <c r="AC58" s="296">
        <v>0</v>
      </c>
      <c r="AD58" s="45">
        <f t="shared" si="7"/>
        <v>0</v>
      </c>
      <c r="AE58" s="295">
        <v>0</v>
      </c>
      <c r="AF58" s="296">
        <v>0</v>
      </c>
      <c r="AG58" s="296">
        <v>0</v>
      </c>
      <c r="AH58" s="45">
        <f t="shared" si="8"/>
        <v>0</v>
      </c>
      <c r="AI58" s="295">
        <v>0</v>
      </c>
      <c r="AJ58" s="296">
        <v>0</v>
      </c>
      <c r="AK58" s="296">
        <v>0</v>
      </c>
      <c r="AL58" s="45">
        <f t="shared" si="80"/>
        <v>0</v>
      </c>
      <c r="AM58" s="295">
        <v>0</v>
      </c>
      <c r="AN58" s="296">
        <v>0</v>
      </c>
      <c r="AO58" s="296">
        <v>0</v>
      </c>
      <c r="AP58" s="45">
        <f t="shared" si="10"/>
        <v>0</v>
      </c>
      <c r="AQ58" s="295">
        <v>0</v>
      </c>
      <c r="AR58" s="296">
        <v>0</v>
      </c>
      <c r="AS58" s="296">
        <v>0</v>
      </c>
      <c r="AT58" s="45">
        <f t="shared" si="11"/>
        <v>0</v>
      </c>
      <c r="AU58" s="295">
        <v>0</v>
      </c>
      <c r="AV58" s="296">
        <v>0</v>
      </c>
      <c r="AW58" s="296">
        <v>0</v>
      </c>
      <c r="AX58" s="45">
        <f t="shared" si="12"/>
        <v>0</v>
      </c>
      <c r="AY58" s="15">
        <f t="shared" si="81"/>
        <v>0</v>
      </c>
      <c r="AZ58" s="15">
        <f t="shared" si="14"/>
        <v>0</v>
      </c>
      <c r="BA58" s="15">
        <f t="shared" si="15"/>
        <v>0</v>
      </c>
      <c r="BB58" s="45">
        <f t="shared" si="16"/>
        <v>0</v>
      </c>
      <c r="BD58" s="44">
        <f t="shared" si="50"/>
        <v>0</v>
      </c>
    </row>
    <row r="59" spans="1:56" s="27" customFormat="1" outlineLevel="1" x14ac:dyDescent="0.3">
      <c r="A59" s="323" t="s">
        <v>82</v>
      </c>
      <c r="B59" s="324"/>
      <c r="C59" s="25">
        <f>SUM(C50:C58)</f>
        <v>16240.85</v>
      </c>
      <c r="D59" s="64">
        <f>SUM(D50:D58)</f>
        <v>165736.07666666637</v>
      </c>
      <c r="E59" s="64">
        <f>SUM(E50:E58)</f>
        <v>310516.05</v>
      </c>
      <c r="F59" s="45">
        <f>SUM(F50:F58)</f>
        <v>492492.97666666639</v>
      </c>
      <c r="G59" s="25">
        <f>SUM(G50:G58)</f>
        <v>15175.603333333334</v>
      </c>
      <c r="H59" s="25">
        <f t="shared" ref="H59:I59" si="82">SUM(H50:H58)</f>
        <v>160146.39000001369</v>
      </c>
      <c r="I59" s="25">
        <f t="shared" si="82"/>
        <v>295374.23</v>
      </c>
      <c r="J59" s="45">
        <f>SUM(J50:J58)</f>
        <v>470696.22333334701</v>
      </c>
      <c r="K59" s="25">
        <f>SUM(K50:K58)</f>
        <v>16804.166666666668</v>
      </c>
      <c r="L59" s="25">
        <f t="shared" ref="L59:M59" si="83">SUM(L50:L58)</f>
        <v>155963.69333334596</v>
      </c>
      <c r="M59" s="25">
        <f t="shared" si="83"/>
        <v>314388.99</v>
      </c>
      <c r="N59" s="86">
        <f t="shared" ref="N59:V59" si="84">SUM(N50:N58)</f>
        <v>487156.85000001267</v>
      </c>
      <c r="O59" s="25">
        <f t="shared" si="84"/>
        <v>17375.066666666673</v>
      </c>
      <c r="P59" s="90">
        <f t="shared" si="84"/>
        <v>166354.27666667005</v>
      </c>
      <c r="Q59" s="90">
        <f t="shared" si="84"/>
        <v>330408.53999999992</v>
      </c>
      <c r="R59" s="86">
        <f t="shared" si="84"/>
        <v>514137.88333333668</v>
      </c>
      <c r="S59" s="25">
        <f t="shared" si="84"/>
        <v>18016.116666666669</v>
      </c>
      <c r="T59" s="90">
        <f t="shared" si="84"/>
        <v>167789.02000000997</v>
      </c>
      <c r="U59" s="90">
        <f t="shared" si="84"/>
        <v>331068.58999999997</v>
      </c>
      <c r="V59" s="86">
        <f t="shared" si="84"/>
        <v>516873.72666667664</v>
      </c>
      <c r="W59" s="25">
        <f>SUM(W50:W58)</f>
        <v>17563.150000000001</v>
      </c>
      <c r="X59" s="25">
        <f>SUM(X50:X58)</f>
        <v>164671.07666666934</v>
      </c>
      <c r="Y59" s="25">
        <f>SUM(Y50:Y58)</f>
        <v>320075.87</v>
      </c>
      <c r="Z59" s="45">
        <f t="shared" si="6"/>
        <v>502310.09666666936</v>
      </c>
      <c r="AA59" s="25">
        <f>SUM(AA50:AA58)</f>
        <v>17985.103333333336</v>
      </c>
      <c r="AB59" s="25">
        <f>SUM(AB50:AB58)</f>
        <v>163372.87666622299</v>
      </c>
      <c r="AC59" s="25">
        <f>SUM(AC50:AC58)</f>
        <v>322695.53999999998</v>
      </c>
      <c r="AD59" s="45">
        <f t="shared" si="7"/>
        <v>504053.5199995563</v>
      </c>
      <c r="AE59" s="25">
        <f>SUM(AE50:AE58)</f>
        <v>22045.200000000004</v>
      </c>
      <c r="AF59" s="25">
        <f>SUM(AF50:AF58)</f>
        <v>163215.73333299265</v>
      </c>
      <c r="AG59" s="25">
        <f>SUM(AG50:AG58)</f>
        <v>318073.12</v>
      </c>
      <c r="AH59" s="45">
        <f t="shared" si="8"/>
        <v>503334.05333299265</v>
      </c>
      <c r="AI59" s="25">
        <f>SUM(AI50:AI58)</f>
        <v>22815</v>
      </c>
      <c r="AJ59" s="25">
        <f>SUM(AJ50:AJ58)</f>
        <v>163950.74333333262</v>
      </c>
      <c r="AK59" s="25">
        <f>SUM(AK50:AK58)</f>
        <v>327550.88</v>
      </c>
      <c r="AL59" s="45">
        <f t="shared" si="80"/>
        <v>514316.62333333259</v>
      </c>
      <c r="AM59" s="25">
        <f>SUM(AM50:AM58)</f>
        <v>23768.516666666666</v>
      </c>
      <c r="AN59" s="25">
        <f>SUM(AN50:AN58)</f>
        <v>163736.82000002667</v>
      </c>
      <c r="AO59" s="25">
        <f>SUM(AO50:AO58)</f>
        <v>320105.93999999994</v>
      </c>
      <c r="AP59" s="45">
        <f t="shared" si="10"/>
        <v>507611.27666669327</v>
      </c>
      <c r="AQ59" s="25">
        <f>SUM(AQ50:AQ58)</f>
        <v>22678.75</v>
      </c>
      <c r="AR59" s="25">
        <f>SUM(AR50:AR58)</f>
        <v>166177.80333334004</v>
      </c>
      <c r="AS59" s="25">
        <f>SUM(AS50:AS58)</f>
        <v>311721.40000000002</v>
      </c>
      <c r="AT59" s="45">
        <f t="shared" si="11"/>
        <v>500577.95333334006</v>
      </c>
      <c r="AU59" s="25">
        <f>SUM(AU50:AU58)</f>
        <v>22618.583333333332</v>
      </c>
      <c r="AV59" s="26">
        <f>SUM(AV50:AV58)</f>
        <v>170078.42666666661</v>
      </c>
      <c r="AW59" s="26">
        <f>SUM(AW50:AW58)</f>
        <v>283021.58333300002</v>
      </c>
      <c r="AX59" s="45">
        <f t="shared" si="12"/>
        <v>475718.59333299997</v>
      </c>
      <c r="AY59" s="15">
        <f t="shared" si="81"/>
        <v>233086.10666666666</v>
      </c>
      <c r="AZ59" s="15">
        <f t="shared" si="14"/>
        <v>1971192.9366659569</v>
      </c>
      <c r="BA59" s="15">
        <f t="shared" si="15"/>
        <v>3785000.7333329995</v>
      </c>
      <c r="BB59" s="45">
        <f>SUM(AX59,AT59,AP59,AL59,AH59,AD59,Z59,V59,R59,N59,J59,F59)+21778</f>
        <v>6011057.7766656242</v>
      </c>
      <c r="BD59" s="44">
        <f t="shared" si="50"/>
        <v>3487721.2766662654</v>
      </c>
    </row>
    <row r="60" spans="1:56" s="30" customFormat="1" x14ac:dyDescent="0.3">
      <c r="A60" s="335" t="s">
        <v>83</v>
      </c>
      <c r="B60" s="336"/>
      <c r="C60" s="28">
        <f>C59+C49+C40</f>
        <v>411656.75</v>
      </c>
      <c r="D60" s="28">
        <f t="shared" ref="D60:F60" si="85">D59+D49+D40</f>
        <v>622500.33666666632</v>
      </c>
      <c r="E60" s="28">
        <f t="shared" si="85"/>
        <v>793939.58</v>
      </c>
      <c r="F60" s="28">
        <f t="shared" si="85"/>
        <v>1828096.6666666663</v>
      </c>
      <c r="G60" s="28">
        <f>G59+G49+G40</f>
        <v>410282.00333333336</v>
      </c>
      <c r="H60" s="28">
        <f t="shared" ref="H60" si="86">H59+H49+H40</f>
        <v>607406.39000001363</v>
      </c>
      <c r="I60" s="28">
        <f t="shared" ref="I60:J60" si="87">I59+I49+I40</f>
        <v>779646.65999999992</v>
      </c>
      <c r="J60" s="28">
        <f t="shared" si="87"/>
        <v>1797335.0533333467</v>
      </c>
      <c r="K60" s="28">
        <f>K59+K49+K40</f>
        <v>411897.46666666667</v>
      </c>
      <c r="L60" s="28">
        <f>L59+L49+L40</f>
        <v>615801.33333334606</v>
      </c>
      <c r="M60" s="28">
        <f>M59+M49+M40</f>
        <v>805947.09</v>
      </c>
      <c r="N60" s="28">
        <f t="shared" ref="N60" si="88">N59+N49+N40</f>
        <v>1833645.8900000127</v>
      </c>
      <c r="O60" s="28">
        <f>O59+O49+O40</f>
        <v>412878.14666666667</v>
      </c>
      <c r="P60" s="28">
        <f t="shared" ref="P60" si="89">P59+P49+P40</f>
        <v>725271.92666667001</v>
      </c>
      <c r="Q60" s="28">
        <f t="shared" ref="Q60:R60" si="90">Q59+Q49+Q40</f>
        <v>830149.95</v>
      </c>
      <c r="R60" s="28">
        <f t="shared" si="90"/>
        <v>1968300.0233333367</v>
      </c>
      <c r="S60" s="28">
        <f>S59+S49+S40</f>
        <v>413350.39666666667</v>
      </c>
      <c r="T60" s="28">
        <f t="shared" ref="T60" si="91">T59+T49+T40</f>
        <v>732080.85000000999</v>
      </c>
      <c r="U60" s="28">
        <f t="shared" ref="U60:V60" si="92">U59+U49+U40</f>
        <v>829134.8899999999</v>
      </c>
      <c r="V60" s="28">
        <f t="shared" si="92"/>
        <v>1974566.1366666765</v>
      </c>
      <c r="W60" s="28">
        <f>W59+W49+W40</f>
        <v>411972.83</v>
      </c>
      <c r="X60" s="28">
        <f t="shared" ref="X60" si="93">X59+X49+X40</f>
        <v>652272.34666666936</v>
      </c>
      <c r="Y60" s="28">
        <f t="shared" ref="Y60" si="94">Y59+Y49+Y40</f>
        <v>891789.46</v>
      </c>
      <c r="Z60" s="45">
        <f t="shared" si="6"/>
        <v>1956034.6366666693</v>
      </c>
      <c r="AA60" s="28">
        <f>AA59+AA49+AA40</f>
        <v>414005.80333333334</v>
      </c>
      <c r="AB60" s="28">
        <f t="shared" ref="AB60" si="95">AB59+AB49+AB40</f>
        <v>695587.826666223</v>
      </c>
      <c r="AC60" s="28">
        <f t="shared" ref="AC60" si="96">AC59+AC49+AC40</f>
        <v>897507.96</v>
      </c>
      <c r="AD60" s="45">
        <f t="shared" si="7"/>
        <v>2007101.5899995563</v>
      </c>
      <c r="AE60" s="28">
        <f>AE59+AE49+AE40</f>
        <v>418028.6</v>
      </c>
      <c r="AF60" s="28">
        <f t="shared" ref="AF60:AG60" si="97">AF59+AF49+AF40</f>
        <v>715712.92333299271</v>
      </c>
      <c r="AG60" s="28">
        <f t="shared" si="97"/>
        <v>899317.42300000007</v>
      </c>
      <c r="AH60" s="45">
        <f t="shared" si="8"/>
        <v>2033058.9463329925</v>
      </c>
      <c r="AI60" s="28">
        <f>AI59+AI49+AI40</f>
        <v>417086.4</v>
      </c>
      <c r="AJ60" s="28">
        <f>AJ59+AJ49+AJ40</f>
        <v>703274.37333333259</v>
      </c>
      <c r="AK60" s="28">
        <f>AK59+AK49+AK40</f>
        <v>923410.17999999993</v>
      </c>
      <c r="AL60" s="45">
        <f t="shared" si="80"/>
        <v>2043770.9533333324</v>
      </c>
      <c r="AM60" s="28">
        <f>AM59+AM49+AM40</f>
        <v>419567.91666666669</v>
      </c>
      <c r="AN60" s="28">
        <f>AN59+AN49+AN40</f>
        <v>744671.58000002662</v>
      </c>
      <c r="AO60" s="28">
        <f>AO59+AO49+AO40</f>
        <v>919890.74</v>
      </c>
      <c r="AP60" s="45">
        <f t="shared" si="10"/>
        <v>2084130.2366666934</v>
      </c>
      <c r="AQ60" s="28">
        <f>AQ59+AQ49+AQ40</f>
        <v>418478.15</v>
      </c>
      <c r="AR60" s="28">
        <f>AR59+AR49+AR40</f>
        <v>720768.56333333999</v>
      </c>
      <c r="AS60" s="28">
        <f>AS59+AS49+AS40</f>
        <v>911783.20000000007</v>
      </c>
      <c r="AT60" s="45">
        <f t="shared" si="11"/>
        <v>2051029.9133333401</v>
      </c>
      <c r="AU60" s="28">
        <f>AU59+AU49+AU40</f>
        <v>418417.98333333334</v>
      </c>
      <c r="AV60" s="29">
        <f>AV59+AV49+AV40</f>
        <v>721596.93666666653</v>
      </c>
      <c r="AW60" s="29">
        <f>AW59+AW49+AW40</f>
        <v>890401.83333300008</v>
      </c>
      <c r="AX60" s="45">
        <f t="shared" si="12"/>
        <v>2030416.753333</v>
      </c>
      <c r="AY60" s="15">
        <f t="shared" si="13"/>
        <v>4977622.4466666663</v>
      </c>
      <c r="AZ60" s="15">
        <f t="shared" si="14"/>
        <v>8256945.3866659561</v>
      </c>
      <c r="BA60" s="15">
        <f t="shared" si="15"/>
        <v>10372918.966333</v>
      </c>
      <c r="BB60" s="45">
        <f t="shared" si="16"/>
        <v>23607486.799665622</v>
      </c>
      <c r="BD60" s="44">
        <f t="shared" si="50"/>
        <v>13365079.996666264</v>
      </c>
    </row>
    <row r="61" spans="1:56" outlineLevel="1" x14ac:dyDescent="0.3">
      <c r="A61" s="10" t="s">
        <v>84</v>
      </c>
      <c r="B61" s="11" t="s">
        <v>85</v>
      </c>
      <c r="C61" s="16">
        <v>38889.47</v>
      </c>
      <c r="D61" s="17"/>
      <c r="E61" s="16">
        <v>43416.7</v>
      </c>
      <c r="F61" s="45">
        <f t="shared" si="1"/>
        <v>82306.17</v>
      </c>
      <c r="G61" s="16">
        <v>23941.81</v>
      </c>
      <c r="H61" s="17"/>
      <c r="I61" s="16">
        <v>62307.77</v>
      </c>
      <c r="J61" s="45">
        <f t="shared" si="2"/>
        <v>86249.58</v>
      </c>
      <c r="K61" s="16">
        <v>32147.439999999999</v>
      </c>
      <c r="L61" s="17"/>
      <c r="M61" s="16">
        <v>63032.49</v>
      </c>
      <c r="N61" s="86">
        <f t="shared" si="3"/>
        <v>95179.93</v>
      </c>
      <c r="O61" s="16">
        <v>42462.400000000001</v>
      </c>
      <c r="P61" s="87"/>
      <c r="Q61" s="16">
        <v>70479.19</v>
      </c>
      <c r="R61" s="86">
        <f t="shared" si="4"/>
        <v>112941.59</v>
      </c>
      <c r="S61" s="16">
        <v>43075.33</v>
      </c>
      <c r="T61" s="87"/>
      <c r="U61" s="16">
        <v>59331.93</v>
      </c>
      <c r="V61" s="86">
        <f t="shared" si="5"/>
        <v>102407.26000000001</v>
      </c>
      <c r="W61" s="16">
        <v>39239</v>
      </c>
      <c r="X61" s="17"/>
      <c r="Y61" s="16">
        <v>46121</v>
      </c>
      <c r="Z61" s="45">
        <f t="shared" si="6"/>
        <v>85360</v>
      </c>
      <c r="AA61" s="16">
        <v>36287</v>
      </c>
      <c r="AB61" s="17"/>
      <c r="AC61" s="17">
        <v>46994</v>
      </c>
      <c r="AD61" s="45">
        <f t="shared" si="7"/>
        <v>83281</v>
      </c>
      <c r="AE61" s="16">
        <v>42734</v>
      </c>
      <c r="AF61" s="17"/>
      <c r="AG61" s="16">
        <v>63279</v>
      </c>
      <c r="AH61" s="45">
        <f t="shared" si="8"/>
        <v>106013</v>
      </c>
      <c r="AI61" s="16">
        <v>46844</v>
      </c>
      <c r="AJ61" s="17"/>
      <c r="AK61" s="16">
        <v>45036</v>
      </c>
      <c r="AL61" s="45">
        <f t="shared" si="9"/>
        <v>91880</v>
      </c>
      <c r="AM61" s="246">
        <v>26561</v>
      </c>
      <c r="AN61" s="243"/>
      <c r="AO61" s="246">
        <v>55267.53</v>
      </c>
      <c r="AP61" s="45">
        <f t="shared" si="10"/>
        <v>81828.53</v>
      </c>
      <c r="AQ61" s="54"/>
      <c r="AR61" s="12"/>
      <c r="AS61" s="54"/>
      <c r="AT61" s="45">
        <f t="shared" si="11"/>
        <v>0</v>
      </c>
      <c r="AU61" s="54"/>
      <c r="AV61" s="12"/>
      <c r="AW61" s="54"/>
      <c r="AX61" s="45">
        <f t="shared" si="12"/>
        <v>0</v>
      </c>
      <c r="AY61" s="15">
        <f t="shared" si="13"/>
        <v>372181.45000000007</v>
      </c>
      <c r="AZ61" s="15">
        <f t="shared" si="14"/>
        <v>0</v>
      </c>
      <c r="BA61" s="15">
        <f t="shared" si="15"/>
        <v>555265.61</v>
      </c>
      <c r="BB61" s="45">
        <f t="shared" si="16"/>
        <v>927447.06</v>
      </c>
      <c r="BD61" s="44">
        <f t="shared" si="50"/>
        <v>647725.53</v>
      </c>
    </row>
    <row r="62" spans="1:56" outlineLevel="1" x14ac:dyDescent="0.3">
      <c r="A62" s="10" t="s">
        <v>84</v>
      </c>
      <c r="B62" s="11" t="s">
        <v>86</v>
      </c>
      <c r="C62" s="16">
        <v>43263</v>
      </c>
      <c r="D62" s="17"/>
      <c r="E62" s="16">
        <v>21243</v>
      </c>
      <c r="F62" s="45">
        <f t="shared" si="1"/>
        <v>64506</v>
      </c>
      <c r="G62" s="16">
        <v>44738</v>
      </c>
      <c r="H62" s="17"/>
      <c r="I62" s="16">
        <v>22870</v>
      </c>
      <c r="J62" s="45">
        <f t="shared" si="2"/>
        <v>67608</v>
      </c>
      <c r="K62" s="16">
        <v>46402</v>
      </c>
      <c r="L62" s="17"/>
      <c r="M62" s="16">
        <v>24931</v>
      </c>
      <c r="N62" s="86">
        <f t="shared" si="3"/>
        <v>71333</v>
      </c>
      <c r="O62" s="16">
        <v>48579</v>
      </c>
      <c r="P62" s="87"/>
      <c r="Q62" s="16">
        <v>30624</v>
      </c>
      <c r="R62" s="86">
        <f t="shared" si="4"/>
        <v>79203</v>
      </c>
      <c r="S62" s="16">
        <v>46977</v>
      </c>
      <c r="T62" s="87"/>
      <c r="U62" s="16">
        <v>31943</v>
      </c>
      <c r="V62" s="86">
        <f t="shared" si="5"/>
        <v>78920</v>
      </c>
      <c r="W62" s="16">
        <v>44462</v>
      </c>
      <c r="X62" s="17"/>
      <c r="Y62" s="16">
        <v>38464</v>
      </c>
      <c r="Z62" s="45">
        <f t="shared" si="6"/>
        <v>82926</v>
      </c>
      <c r="AA62" s="16">
        <v>48694</v>
      </c>
      <c r="AB62" s="17"/>
      <c r="AC62" s="17">
        <v>32743</v>
      </c>
      <c r="AD62" s="45">
        <f t="shared" si="7"/>
        <v>81437</v>
      </c>
      <c r="AE62" s="16">
        <v>45034</v>
      </c>
      <c r="AF62" s="17"/>
      <c r="AG62" s="16">
        <v>28774</v>
      </c>
      <c r="AH62" s="45">
        <f t="shared" si="8"/>
        <v>73808</v>
      </c>
      <c r="AI62" s="16">
        <v>51244</v>
      </c>
      <c r="AJ62" s="17"/>
      <c r="AK62" s="16">
        <v>28733</v>
      </c>
      <c r="AL62" s="45">
        <f t="shared" si="9"/>
        <v>79977</v>
      </c>
      <c r="AM62" s="246">
        <v>42628</v>
      </c>
      <c r="AN62" s="243"/>
      <c r="AO62" s="246">
        <v>24693</v>
      </c>
      <c r="AP62" s="45">
        <f t="shared" si="10"/>
        <v>67321</v>
      </c>
      <c r="AQ62" s="246">
        <v>41634</v>
      </c>
      <c r="AR62" s="16"/>
      <c r="AS62" s="246">
        <v>25217</v>
      </c>
      <c r="AT62" s="45">
        <f t="shared" si="11"/>
        <v>66851</v>
      </c>
      <c r="AU62" s="246">
        <v>45381</v>
      </c>
      <c r="AV62" s="16"/>
      <c r="AW62" s="246">
        <v>22885</v>
      </c>
      <c r="AX62" s="45">
        <f t="shared" si="12"/>
        <v>68266</v>
      </c>
      <c r="AY62" s="15">
        <f t="shared" si="13"/>
        <v>549036</v>
      </c>
      <c r="AZ62" s="15">
        <f t="shared" si="14"/>
        <v>0</v>
      </c>
      <c r="BA62" s="15">
        <f t="shared" si="15"/>
        <v>333120</v>
      </c>
      <c r="BB62" s="45">
        <f t="shared" si="16"/>
        <v>882156</v>
      </c>
      <c r="BD62" s="44">
        <f t="shared" si="50"/>
        <v>525933</v>
      </c>
    </row>
    <row r="63" spans="1:56" outlineLevel="1" x14ac:dyDescent="0.3">
      <c r="A63" s="10" t="s">
        <v>84</v>
      </c>
      <c r="B63" s="11" t="s">
        <v>87</v>
      </c>
      <c r="C63" s="16">
        <v>10661.5</v>
      </c>
      <c r="D63" s="17"/>
      <c r="E63" s="16">
        <v>29255</v>
      </c>
      <c r="F63" s="45">
        <f t="shared" si="1"/>
        <v>39916.5</v>
      </c>
      <c r="G63" s="16">
        <v>15056</v>
      </c>
      <c r="H63" s="17"/>
      <c r="I63" s="16">
        <v>29767</v>
      </c>
      <c r="J63" s="45">
        <f t="shared" si="2"/>
        <v>44823</v>
      </c>
      <c r="K63" s="16">
        <v>18698</v>
      </c>
      <c r="L63" s="17"/>
      <c r="M63" s="16">
        <v>39750</v>
      </c>
      <c r="N63" s="86">
        <f t="shared" si="3"/>
        <v>58448</v>
      </c>
      <c r="O63" s="16">
        <v>20055</v>
      </c>
      <c r="P63" s="87"/>
      <c r="Q63" s="16">
        <v>31745</v>
      </c>
      <c r="R63" s="86">
        <f t="shared" si="4"/>
        <v>51800</v>
      </c>
      <c r="S63" s="16">
        <v>20058</v>
      </c>
      <c r="T63" s="87"/>
      <c r="U63" s="16">
        <v>29459</v>
      </c>
      <c r="V63" s="86">
        <f t="shared" si="5"/>
        <v>49517</v>
      </c>
      <c r="W63" s="16">
        <v>17818</v>
      </c>
      <c r="X63" s="17"/>
      <c r="Y63" s="16">
        <v>28635</v>
      </c>
      <c r="Z63" s="45">
        <f t="shared" si="6"/>
        <v>46453</v>
      </c>
      <c r="AA63" s="16">
        <v>15186</v>
      </c>
      <c r="AB63" s="17"/>
      <c r="AC63" s="17">
        <v>27980</v>
      </c>
      <c r="AD63" s="45">
        <f t="shared" si="7"/>
        <v>43166</v>
      </c>
      <c r="AE63" s="16">
        <v>14261</v>
      </c>
      <c r="AF63" s="17"/>
      <c r="AG63" s="16">
        <v>25255</v>
      </c>
      <c r="AH63" s="45">
        <f t="shared" si="8"/>
        <v>39516</v>
      </c>
      <c r="AI63" s="16">
        <v>16270</v>
      </c>
      <c r="AJ63" s="17"/>
      <c r="AK63" s="16">
        <v>26458</v>
      </c>
      <c r="AL63" s="45">
        <f t="shared" si="9"/>
        <v>42728</v>
      </c>
      <c r="AM63" s="246">
        <v>15881</v>
      </c>
      <c r="AN63" s="243"/>
      <c r="AO63" s="246">
        <v>15472</v>
      </c>
      <c r="AP63" s="45">
        <f t="shared" si="10"/>
        <v>31353</v>
      </c>
      <c r="AQ63" s="54"/>
      <c r="AR63" s="12"/>
      <c r="AS63" s="54"/>
      <c r="AT63" s="45">
        <f t="shared" si="11"/>
        <v>0</v>
      </c>
      <c r="AU63" s="54"/>
      <c r="AV63" s="12"/>
      <c r="AW63" s="54"/>
      <c r="AX63" s="45">
        <f t="shared" si="12"/>
        <v>0</v>
      </c>
      <c r="AY63" s="15">
        <f t="shared" si="13"/>
        <v>163944.5</v>
      </c>
      <c r="AZ63" s="15">
        <f t="shared" si="14"/>
        <v>0</v>
      </c>
      <c r="BA63" s="15">
        <f t="shared" si="15"/>
        <v>283776</v>
      </c>
      <c r="BB63" s="45">
        <f t="shared" si="16"/>
        <v>447720.5</v>
      </c>
      <c r="BD63" s="44">
        <f t="shared" si="50"/>
        <v>334123.5</v>
      </c>
    </row>
    <row r="64" spans="1:56" outlineLevel="1" x14ac:dyDescent="0.3">
      <c r="A64" s="10" t="s">
        <v>84</v>
      </c>
      <c r="B64" s="11" t="s">
        <v>88</v>
      </c>
      <c r="C64" s="16">
        <v>2227</v>
      </c>
      <c r="D64" s="17"/>
      <c r="E64" s="16">
        <v>11262</v>
      </c>
      <c r="F64" s="45">
        <f t="shared" si="1"/>
        <v>13489</v>
      </c>
      <c r="G64" s="16">
        <v>2432</v>
      </c>
      <c r="H64" s="17"/>
      <c r="I64" s="16">
        <v>23098</v>
      </c>
      <c r="J64" s="45">
        <f t="shared" si="2"/>
        <v>25530</v>
      </c>
      <c r="K64" s="16">
        <v>7899</v>
      </c>
      <c r="L64" s="17"/>
      <c r="M64" s="16">
        <v>14853.8</v>
      </c>
      <c r="N64" s="86">
        <f t="shared" si="3"/>
        <v>22752.799999999999</v>
      </c>
      <c r="O64" s="16">
        <v>17580.5</v>
      </c>
      <c r="P64" s="87"/>
      <c r="Q64" s="16">
        <v>16284.2</v>
      </c>
      <c r="R64" s="86">
        <f t="shared" si="4"/>
        <v>33864.699999999997</v>
      </c>
      <c r="S64" s="16">
        <v>14622</v>
      </c>
      <c r="T64" s="87"/>
      <c r="U64" s="16">
        <v>13385</v>
      </c>
      <c r="V64" s="86">
        <f t="shared" si="5"/>
        <v>28007</v>
      </c>
      <c r="W64" s="16">
        <v>3837.5</v>
      </c>
      <c r="X64" s="17"/>
      <c r="Y64" s="16">
        <v>12607.8</v>
      </c>
      <c r="Z64" s="45">
        <f t="shared" si="6"/>
        <v>16445.3</v>
      </c>
      <c r="AA64" s="16">
        <v>2792</v>
      </c>
      <c r="AB64" s="17"/>
      <c r="AC64" s="17">
        <v>12561</v>
      </c>
      <c r="AD64" s="45">
        <f t="shared" si="7"/>
        <v>15353</v>
      </c>
      <c r="AE64" s="16">
        <v>4908</v>
      </c>
      <c r="AF64" s="17"/>
      <c r="AG64" s="16">
        <v>16677</v>
      </c>
      <c r="AH64" s="45">
        <f t="shared" si="8"/>
        <v>21585</v>
      </c>
      <c r="AI64" s="16">
        <v>5898.5</v>
      </c>
      <c r="AJ64" s="17"/>
      <c r="AK64" s="16">
        <v>15141.2</v>
      </c>
      <c r="AL64" s="45">
        <f t="shared" si="9"/>
        <v>21039.7</v>
      </c>
      <c r="AM64" s="246">
        <v>2392</v>
      </c>
      <c r="AN64" s="243"/>
      <c r="AO64" s="246">
        <v>15589</v>
      </c>
      <c r="AP64" s="45">
        <f t="shared" si="10"/>
        <v>17981</v>
      </c>
      <c r="AQ64" s="54"/>
      <c r="AR64" s="12"/>
      <c r="AS64" s="54"/>
      <c r="AT64" s="45">
        <f t="shared" si="11"/>
        <v>0</v>
      </c>
      <c r="AU64" s="54"/>
      <c r="AV64" s="12"/>
      <c r="AW64" s="54"/>
      <c r="AX64" s="45">
        <f t="shared" si="12"/>
        <v>0</v>
      </c>
      <c r="AY64" s="15">
        <f t="shared" si="13"/>
        <v>64588.5</v>
      </c>
      <c r="AZ64" s="15">
        <f t="shared" si="14"/>
        <v>0</v>
      </c>
      <c r="BA64" s="15">
        <f t="shared" si="15"/>
        <v>151459</v>
      </c>
      <c r="BB64" s="45">
        <f t="shared" si="16"/>
        <v>216047.5</v>
      </c>
      <c r="BD64" s="44">
        <f t="shared" si="50"/>
        <v>155441.79999999999</v>
      </c>
    </row>
    <row r="65" spans="1:56" outlineLevel="1" x14ac:dyDescent="0.3">
      <c r="A65" s="10" t="s">
        <v>84</v>
      </c>
      <c r="B65" s="11" t="s">
        <v>89</v>
      </c>
      <c r="C65" s="16">
        <v>7707</v>
      </c>
      <c r="D65" s="17"/>
      <c r="E65" s="16">
        <v>48796</v>
      </c>
      <c r="F65" s="45">
        <f t="shared" si="1"/>
        <v>56503</v>
      </c>
      <c r="G65" s="16">
        <v>8074</v>
      </c>
      <c r="H65" s="17"/>
      <c r="I65" s="16">
        <v>27993</v>
      </c>
      <c r="J65" s="45">
        <f t="shared" si="2"/>
        <v>36067</v>
      </c>
      <c r="K65" s="16">
        <v>10097</v>
      </c>
      <c r="L65" s="17"/>
      <c r="M65" s="16">
        <v>61616.5</v>
      </c>
      <c r="N65" s="86">
        <f t="shared" si="3"/>
        <v>71713.5</v>
      </c>
      <c r="O65" s="16">
        <v>10216</v>
      </c>
      <c r="P65" s="87"/>
      <c r="Q65" s="16">
        <v>61964</v>
      </c>
      <c r="R65" s="86">
        <f t="shared" si="4"/>
        <v>72180</v>
      </c>
      <c r="S65" s="16">
        <v>11330</v>
      </c>
      <c r="T65" s="87"/>
      <c r="U65" s="16">
        <v>37235</v>
      </c>
      <c r="V65" s="86">
        <f t="shared" si="5"/>
        <v>48565</v>
      </c>
      <c r="W65" s="87">
        <v>11086</v>
      </c>
      <c r="X65" s="17"/>
      <c r="Y65" s="16">
        <v>55428.5</v>
      </c>
      <c r="Z65" s="45">
        <f t="shared" si="6"/>
        <v>66514.5</v>
      </c>
      <c r="AA65" s="16">
        <v>12727</v>
      </c>
      <c r="AB65" s="17"/>
      <c r="AC65" s="17">
        <v>57774</v>
      </c>
      <c r="AD65" s="45">
        <f t="shared" si="7"/>
        <v>70501</v>
      </c>
      <c r="AE65" s="16">
        <v>11247</v>
      </c>
      <c r="AF65" s="17"/>
      <c r="AG65" s="16">
        <v>57498</v>
      </c>
      <c r="AH65" s="45">
        <f t="shared" si="8"/>
        <v>68745</v>
      </c>
      <c r="AI65" s="16">
        <v>10814</v>
      </c>
      <c r="AJ65" s="17"/>
      <c r="AK65" s="16">
        <v>53558.2</v>
      </c>
      <c r="AL65" s="45">
        <f t="shared" si="9"/>
        <v>64372.2</v>
      </c>
      <c r="AM65" s="246">
        <v>9389</v>
      </c>
      <c r="AN65" s="243"/>
      <c r="AO65" s="246">
        <v>36643</v>
      </c>
      <c r="AP65" s="45">
        <f t="shared" si="10"/>
        <v>46032</v>
      </c>
      <c r="AQ65" s="246">
        <v>5157</v>
      </c>
      <c r="AR65" s="46"/>
      <c r="AS65" s="246">
        <v>43510</v>
      </c>
      <c r="AT65" s="45">
        <f t="shared" si="11"/>
        <v>48667</v>
      </c>
      <c r="AU65" s="246">
        <v>21107</v>
      </c>
      <c r="AV65" s="46"/>
      <c r="AW65" s="246">
        <v>44545</v>
      </c>
      <c r="AX65" s="45">
        <f t="shared" si="12"/>
        <v>65652</v>
      </c>
      <c r="AY65" s="15">
        <f t="shared" si="13"/>
        <v>128951</v>
      </c>
      <c r="AZ65" s="15">
        <f t="shared" si="14"/>
        <v>0</v>
      </c>
      <c r="BA65" s="15">
        <f t="shared" si="15"/>
        <v>586561.19999999995</v>
      </c>
      <c r="BB65" s="45">
        <f t="shared" si="16"/>
        <v>715512.2</v>
      </c>
      <c r="BD65" s="44">
        <f t="shared" si="50"/>
        <v>422044</v>
      </c>
    </row>
    <row r="66" spans="1:56" outlineLevel="1" x14ac:dyDescent="0.3">
      <c r="A66" s="10" t="s">
        <v>84</v>
      </c>
      <c r="B66" s="11" t="s">
        <v>119</v>
      </c>
      <c r="C66" s="16">
        <v>2592</v>
      </c>
      <c r="D66" s="17"/>
      <c r="E66" s="16">
        <v>36352</v>
      </c>
      <c r="F66" s="45">
        <f t="shared" si="1"/>
        <v>38944</v>
      </c>
      <c r="G66" s="16">
        <v>2320</v>
      </c>
      <c r="H66" s="17"/>
      <c r="I66" s="16">
        <v>19228</v>
      </c>
      <c r="J66" s="45">
        <f t="shared" si="2"/>
        <v>21548</v>
      </c>
      <c r="K66" s="16">
        <v>2612</v>
      </c>
      <c r="L66" s="17"/>
      <c r="M66" s="16">
        <v>22132</v>
      </c>
      <c r="N66" s="86">
        <f t="shared" si="3"/>
        <v>24744</v>
      </c>
      <c r="O66" s="16">
        <v>2792</v>
      </c>
      <c r="P66" s="87"/>
      <c r="Q66" s="16">
        <v>24276</v>
      </c>
      <c r="R66" s="86">
        <f t="shared" si="4"/>
        <v>27068</v>
      </c>
      <c r="S66" s="16">
        <v>2792</v>
      </c>
      <c r="T66" s="87"/>
      <c r="U66" s="16">
        <v>57276</v>
      </c>
      <c r="V66" s="86">
        <f t="shared" si="5"/>
        <v>60068</v>
      </c>
      <c r="W66" s="87">
        <v>2792</v>
      </c>
      <c r="X66" s="17"/>
      <c r="Y66" s="16">
        <v>57664</v>
      </c>
      <c r="Z66" s="45">
        <f t="shared" si="6"/>
        <v>60456</v>
      </c>
      <c r="AA66" s="16">
        <v>2792</v>
      </c>
      <c r="AB66" s="17"/>
      <c r="AC66" s="17">
        <v>49648</v>
      </c>
      <c r="AD66" s="45">
        <f t="shared" si="7"/>
        <v>52440</v>
      </c>
      <c r="AE66" s="16">
        <v>2792</v>
      </c>
      <c r="AF66" s="17"/>
      <c r="AG66" s="16">
        <v>44760</v>
      </c>
      <c r="AH66" s="45">
        <f t="shared" si="8"/>
        <v>47552</v>
      </c>
      <c r="AI66" s="16">
        <v>2792</v>
      </c>
      <c r="AJ66" s="17"/>
      <c r="AK66" s="16">
        <v>41524</v>
      </c>
      <c r="AL66" s="45">
        <f t="shared" si="9"/>
        <v>44316</v>
      </c>
      <c r="AM66" s="246">
        <v>2792</v>
      </c>
      <c r="AN66" s="243"/>
      <c r="AO66" s="246">
        <v>14760</v>
      </c>
      <c r="AP66" s="45">
        <f t="shared" si="10"/>
        <v>17552</v>
      </c>
      <c r="AQ66" s="46">
        <v>0</v>
      </c>
      <c r="AR66" s="46"/>
      <c r="AS66" s="246">
        <v>2096</v>
      </c>
      <c r="AT66" s="45">
        <f t="shared" si="11"/>
        <v>2096</v>
      </c>
      <c r="AU66" s="46">
        <v>0</v>
      </c>
      <c r="AV66" s="46"/>
      <c r="AW66" s="246">
        <v>1184</v>
      </c>
      <c r="AX66" s="45">
        <f t="shared" si="12"/>
        <v>1184</v>
      </c>
      <c r="AY66" s="15">
        <f t="shared" si="13"/>
        <v>27068</v>
      </c>
      <c r="AZ66" s="15">
        <f t="shared" si="14"/>
        <v>0</v>
      </c>
      <c r="BA66" s="15">
        <f t="shared" si="15"/>
        <v>370900</v>
      </c>
      <c r="BB66" s="45">
        <f t="shared" si="16"/>
        <v>397968</v>
      </c>
      <c r="BD66" s="44">
        <f t="shared" si="50"/>
        <v>285268</v>
      </c>
    </row>
    <row r="67" spans="1:56" outlineLevel="1" x14ac:dyDescent="0.3">
      <c r="A67" s="10" t="s">
        <v>84</v>
      </c>
      <c r="B67" s="11" t="s">
        <v>120</v>
      </c>
      <c r="C67" s="16">
        <v>2171</v>
      </c>
      <c r="D67" s="17"/>
      <c r="E67" s="16">
        <v>2290</v>
      </c>
      <c r="F67" s="45">
        <f t="shared" si="1"/>
        <v>4461</v>
      </c>
      <c r="G67" s="16">
        <v>2705</v>
      </c>
      <c r="H67" s="17"/>
      <c r="I67" s="16">
        <v>2280</v>
      </c>
      <c r="J67" s="45">
        <f t="shared" si="2"/>
        <v>4985</v>
      </c>
      <c r="K67" s="16">
        <v>2649</v>
      </c>
      <c r="L67" s="17"/>
      <c r="M67" s="16">
        <v>2113</v>
      </c>
      <c r="N67" s="86">
        <f t="shared" si="3"/>
        <v>4762</v>
      </c>
      <c r="O67" s="16">
        <v>2673</v>
      </c>
      <c r="P67" s="87"/>
      <c r="Q67" s="16">
        <v>2327</v>
      </c>
      <c r="R67" s="86">
        <f t="shared" si="4"/>
        <v>5000</v>
      </c>
      <c r="S67" s="16">
        <v>2638</v>
      </c>
      <c r="T67" s="87"/>
      <c r="U67" s="16">
        <v>2472</v>
      </c>
      <c r="V67" s="86">
        <f t="shared" si="5"/>
        <v>5110</v>
      </c>
      <c r="W67" s="87">
        <v>2490</v>
      </c>
      <c r="X67" s="17"/>
      <c r="Y67" s="16">
        <v>2531</v>
      </c>
      <c r="Z67" s="45">
        <f t="shared" si="6"/>
        <v>5021</v>
      </c>
      <c r="AA67" s="16">
        <v>2621</v>
      </c>
      <c r="AB67" s="17"/>
      <c r="AC67" s="17">
        <v>2445</v>
      </c>
      <c r="AD67" s="45">
        <f t="shared" si="7"/>
        <v>5066</v>
      </c>
      <c r="AE67" s="16">
        <v>2401</v>
      </c>
      <c r="AF67" s="17"/>
      <c r="AG67" s="16">
        <v>2193</v>
      </c>
      <c r="AH67" s="45">
        <f t="shared" si="8"/>
        <v>4594</v>
      </c>
      <c r="AI67" s="16">
        <v>2515</v>
      </c>
      <c r="AJ67" s="17"/>
      <c r="AK67" s="16">
        <v>2328</v>
      </c>
      <c r="AL67" s="45">
        <f t="shared" si="9"/>
        <v>4843</v>
      </c>
      <c r="AM67" s="246">
        <v>2355</v>
      </c>
      <c r="AN67" s="243"/>
      <c r="AO67" s="246">
        <v>2206</v>
      </c>
      <c r="AP67" s="45">
        <f t="shared" si="10"/>
        <v>4561</v>
      </c>
      <c r="AQ67" s="246">
        <v>1107</v>
      </c>
      <c r="AR67" s="46"/>
      <c r="AS67" s="246">
        <v>1601</v>
      </c>
      <c r="AT67" s="45">
        <f t="shared" si="11"/>
        <v>2708</v>
      </c>
      <c r="AU67" s="246">
        <v>1015</v>
      </c>
      <c r="AV67" s="46"/>
      <c r="AW67" s="246">
        <v>1696</v>
      </c>
      <c r="AX67" s="45">
        <f t="shared" si="12"/>
        <v>2711</v>
      </c>
      <c r="AY67" s="15">
        <f t="shared" si="13"/>
        <v>27340</v>
      </c>
      <c r="AZ67" s="15">
        <f t="shared" si="14"/>
        <v>0</v>
      </c>
      <c r="BA67" s="15">
        <f t="shared" si="15"/>
        <v>26482</v>
      </c>
      <c r="BB67" s="45">
        <f t="shared" si="16"/>
        <v>53822</v>
      </c>
      <c r="BD67" s="44">
        <f t="shared" si="50"/>
        <v>34405</v>
      </c>
    </row>
    <row r="68" spans="1:56" outlineLevel="1" x14ac:dyDescent="0.3">
      <c r="A68" s="10" t="s">
        <v>84</v>
      </c>
      <c r="B68" s="11" t="s">
        <v>92</v>
      </c>
      <c r="C68" s="16">
        <v>14520</v>
      </c>
      <c r="D68" s="17"/>
      <c r="E68" s="16">
        <v>5224</v>
      </c>
      <c r="F68" s="45">
        <f t="shared" si="1"/>
        <v>19744</v>
      </c>
      <c r="G68" s="16">
        <v>14120</v>
      </c>
      <c r="H68" s="17"/>
      <c r="I68" s="16">
        <v>4728</v>
      </c>
      <c r="J68" s="45">
        <f t="shared" si="2"/>
        <v>18848</v>
      </c>
      <c r="K68" s="16">
        <v>32800</v>
      </c>
      <c r="L68" s="17"/>
      <c r="M68" s="16">
        <v>5600</v>
      </c>
      <c r="N68" s="86">
        <f t="shared" si="3"/>
        <v>38400</v>
      </c>
      <c r="O68" s="16">
        <v>37312</v>
      </c>
      <c r="P68" s="87"/>
      <c r="Q68" s="16">
        <v>5984</v>
      </c>
      <c r="R68" s="86">
        <f t="shared" si="4"/>
        <v>43296</v>
      </c>
      <c r="S68" s="16">
        <v>35952</v>
      </c>
      <c r="T68" s="87"/>
      <c r="U68" s="16">
        <v>6048</v>
      </c>
      <c r="V68" s="86">
        <f t="shared" si="5"/>
        <v>42000</v>
      </c>
      <c r="W68" s="87">
        <v>32528</v>
      </c>
      <c r="X68" s="17"/>
      <c r="Y68" s="16">
        <v>5320</v>
      </c>
      <c r="Z68" s="45">
        <f t="shared" si="6"/>
        <v>37848</v>
      </c>
      <c r="AA68" s="16">
        <v>42504</v>
      </c>
      <c r="AB68" s="17"/>
      <c r="AC68" s="17">
        <v>6898</v>
      </c>
      <c r="AD68" s="45">
        <f t="shared" si="7"/>
        <v>49402</v>
      </c>
      <c r="AE68" s="16">
        <v>38808</v>
      </c>
      <c r="AF68" s="17"/>
      <c r="AG68" s="16">
        <v>6048</v>
      </c>
      <c r="AH68" s="45">
        <f t="shared" si="8"/>
        <v>44856</v>
      </c>
      <c r="AI68" s="16">
        <v>35720</v>
      </c>
      <c r="AJ68" s="17"/>
      <c r="AK68" s="16">
        <v>5472</v>
      </c>
      <c r="AL68" s="45">
        <f t="shared" si="9"/>
        <v>41192</v>
      </c>
      <c r="AM68" s="246">
        <v>44712</v>
      </c>
      <c r="AN68" s="243"/>
      <c r="AO68" s="246">
        <v>5336</v>
      </c>
      <c r="AP68" s="45">
        <f t="shared" si="10"/>
        <v>50048</v>
      </c>
      <c r="AQ68" s="246">
        <v>28896</v>
      </c>
      <c r="AR68" s="46"/>
      <c r="AS68" s="246">
        <v>18816</v>
      </c>
      <c r="AT68" s="45">
        <f t="shared" si="11"/>
        <v>47712</v>
      </c>
      <c r="AU68" s="246">
        <v>26040</v>
      </c>
      <c r="AV68" s="46"/>
      <c r="AW68" s="246">
        <v>18144</v>
      </c>
      <c r="AX68" s="45">
        <f t="shared" si="12"/>
        <v>44184</v>
      </c>
      <c r="AY68" s="15">
        <f t="shared" si="13"/>
        <v>383912</v>
      </c>
      <c r="AZ68" s="15">
        <f t="shared" si="14"/>
        <v>0</v>
      </c>
      <c r="BA68" s="15">
        <f t="shared" si="15"/>
        <v>93618</v>
      </c>
      <c r="BB68" s="45">
        <f t="shared" si="16"/>
        <v>477530</v>
      </c>
      <c r="BD68" s="44">
        <f t="shared" si="50"/>
        <v>249538</v>
      </c>
    </row>
    <row r="69" spans="1:56" s="19" customFormat="1" x14ac:dyDescent="0.3">
      <c r="A69" s="333" t="s">
        <v>93</v>
      </c>
      <c r="B69" s="334"/>
      <c r="C69" s="49">
        <f>SUM(C61:C68)</f>
        <v>122030.97</v>
      </c>
      <c r="D69" s="49">
        <f t="shared" ref="D69:E69" si="98">SUM(D61:D68)</f>
        <v>0</v>
      </c>
      <c r="E69" s="49">
        <f t="shared" si="98"/>
        <v>197838.7</v>
      </c>
      <c r="F69" s="45">
        <f t="shared" si="1"/>
        <v>319869.67000000004</v>
      </c>
      <c r="G69" s="49">
        <f>SUM(G61:G68)</f>
        <v>113386.81</v>
      </c>
      <c r="H69" s="49">
        <f t="shared" ref="H69" si="99">SUM(H61:H68)</f>
        <v>0</v>
      </c>
      <c r="I69" s="49">
        <f t="shared" ref="I69" si="100">SUM(I61:I68)</f>
        <v>192271.77</v>
      </c>
      <c r="J69" s="45">
        <f t="shared" si="2"/>
        <v>305658.57999999996</v>
      </c>
      <c r="K69" s="49">
        <f>SUM(K61:K68)</f>
        <v>153304.44</v>
      </c>
      <c r="L69" s="49">
        <f t="shared" ref="L69" si="101">SUM(L61:L68)</f>
        <v>0</v>
      </c>
      <c r="M69" s="88">
        <f t="shared" ref="M69" si="102">SUM(M61:M68)</f>
        <v>234028.78999999998</v>
      </c>
      <c r="N69" s="86">
        <f t="shared" si="3"/>
        <v>387333.23</v>
      </c>
      <c r="O69" s="88">
        <f>SUM(O61:O68)</f>
        <v>181669.9</v>
      </c>
      <c r="P69" s="88">
        <f t="shared" ref="P69" si="103">SUM(P61:P68)</f>
        <v>0</v>
      </c>
      <c r="Q69" s="88">
        <f t="shared" ref="Q69" si="104">SUM(Q61:Q68)</f>
        <v>243683.39</v>
      </c>
      <c r="R69" s="86">
        <f t="shared" si="4"/>
        <v>425353.29000000004</v>
      </c>
      <c r="S69" s="88">
        <f>SUM(S61:S68)</f>
        <v>177444.33000000002</v>
      </c>
      <c r="T69" s="88">
        <f t="shared" ref="T69" si="105">SUM(T61:T68)</f>
        <v>0</v>
      </c>
      <c r="U69" s="88">
        <f t="shared" ref="U69" si="106">SUM(U61:U68)</f>
        <v>237149.93</v>
      </c>
      <c r="V69" s="86">
        <f t="shared" si="5"/>
        <v>414594.26</v>
      </c>
      <c r="W69" s="88">
        <f>SUM(W61:W68)</f>
        <v>154252.5</v>
      </c>
      <c r="X69" s="49">
        <f t="shared" ref="X69" si="107">SUM(X61:X68)</f>
        <v>0</v>
      </c>
      <c r="Y69" s="49">
        <f t="shared" ref="Y69" si="108">SUM(Y61:Y68)</f>
        <v>246771.3</v>
      </c>
      <c r="Z69" s="45">
        <f t="shared" si="6"/>
        <v>401023.8</v>
      </c>
      <c r="AA69" s="88">
        <f>SUM(AA61:AA68)</f>
        <v>163603</v>
      </c>
      <c r="AB69" s="49">
        <f t="shared" ref="AB69:AC69" si="109">SUM(AB61:AB68)</f>
        <v>0</v>
      </c>
      <c r="AC69" s="49">
        <f t="shared" si="109"/>
        <v>237043</v>
      </c>
      <c r="AD69" s="45">
        <f t="shared" si="7"/>
        <v>400646</v>
      </c>
      <c r="AE69" s="88">
        <f>SUM(AE61:AE68)</f>
        <v>162185</v>
      </c>
      <c r="AF69" s="49">
        <f t="shared" ref="AF69:AG69" si="110">SUM(AF61:AF68)</f>
        <v>0</v>
      </c>
      <c r="AG69" s="49">
        <f t="shared" si="110"/>
        <v>244484</v>
      </c>
      <c r="AH69" s="45">
        <f t="shared" si="8"/>
        <v>406669</v>
      </c>
      <c r="AI69" s="88">
        <f>SUM(AI61:AI68)</f>
        <v>172097.5</v>
      </c>
      <c r="AJ69" s="49">
        <f t="shared" ref="AJ69:AK69" si="111">SUM(AJ61:AJ68)</f>
        <v>0</v>
      </c>
      <c r="AK69" s="49">
        <f t="shared" si="111"/>
        <v>218250.4</v>
      </c>
      <c r="AL69" s="45">
        <f t="shared" si="9"/>
        <v>390347.9</v>
      </c>
      <c r="AM69" s="88">
        <f>SUM(AM61:AM68)</f>
        <v>146710</v>
      </c>
      <c r="AN69" s="49">
        <f t="shared" ref="AN69:AO69" si="112">SUM(AN61:AN68)</f>
        <v>0</v>
      </c>
      <c r="AO69" s="49">
        <f t="shared" si="112"/>
        <v>169966.53</v>
      </c>
      <c r="AP69" s="45">
        <f t="shared" si="10"/>
        <v>316676.53000000003</v>
      </c>
      <c r="AQ69" s="88">
        <f>SUM(AQ61:AQ68)</f>
        <v>76794</v>
      </c>
      <c r="AR69" s="49">
        <f t="shared" ref="AR69:AS69" si="113">SUM(AR61:AR68)</f>
        <v>0</v>
      </c>
      <c r="AS69" s="49">
        <f t="shared" si="113"/>
        <v>91240</v>
      </c>
      <c r="AT69" s="45">
        <f t="shared" si="11"/>
        <v>168034</v>
      </c>
      <c r="AU69" s="88">
        <f>SUM(AU61:AU68)</f>
        <v>93543</v>
      </c>
      <c r="AV69" s="49">
        <f>SUM(AV61:AV68)</f>
        <v>0</v>
      </c>
      <c r="AW69" s="49">
        <f>SUM(AW61:AW68)</f>
        <v>88454</v>
      </c>
      <c r="AX69" s="45">
        <f t="shared" si="12"/>
        <v>181997</v>
      </c>
      <c r="AY69" s="15">
        <f t="shared" si="13"/>
        <v>1717021.45</v>
      </c>
      <c r="AZ69" s="15">
        <f t="shared" si="14"/>
        <v>0</v>
      </c>
      <c r="BA69" s="15">
        <f t="shared" si="15"/>
        <v>2401181.8100000005</v>
      </c>
      <c r="BB69" s="45">
        <f t="shared" si="16"/>
        <v>4118203.2600000002</v>
      </c>
    </row>
    <row r="70" spans="1:56" s="30" customFormat="1" x14ac:dyDescent="0.3">
      <c r="A70" s="327" t="s">
        <v>94</v>
      </c>
      <c r="B70" s="328"/>
      <c r="C70" s="50">
        <f>C69+C60</f>
        <v>533687.72</v>
      </c>
      <c r="D70" s="50">
        <f t="shared" ref="D70:F70" si="114">D69+D60</f>
        <v>622500.33666666632</v>
      </c>
      <c r="E70" s="50">
        <f t="shared" si="114"/>
        <v>991778.28</v>
      </c>
      <c r="F70" s="50">
        <f t="shared" si="114"/>
        <v>2147966.3366666664</v>
      </c>
      <c r="G70" s="50">
        <f>G69+G60</f>
        <v>523668.81333333335</v>
      </c>
      <c r="H70" s="50">
        <f t="shared" ref="H70" si="115">H69+H60</f>
        <v>607406.39000001363</v>
      </c>
      <c r="I70" s="50">
        <f t="shared" ref="I70:J70" si="116">I69+I60</f>
        <v>971918.42999999993</v>
      </c>
      <c r="J70" s="50">
        <f t="shared" si="116"/>
        <v>2102993.6333333468</v>
      </c>
      <c r="K70" s="50">
        <f>K69+K60</f>
        <v>565201.90666666673</v>
      </c>
      <c r="L70" s="50">
        <f t="shared" ref="L70" si="117">L69+L60</f>
        <v>615801.33333334606</v>
      </c>
      <c r="M70" s="91">
        <f t="shared" ref="M70:N70" si="118">M69+M60</f>
        <v>1039975.8799999999</v>
      </c>
      <c r="N70" s="91">
        <f t="shared" si="118"/>
        <v>2220979.1200000127</v>
      </c>
      <c r="O70" s="91">
        <f>O69+O60</f>
        <v>594548.04666666663</v>
      </c>
      <c r="P70" s="91">
        <f t="shared" ref="P70" si="119">P69+P60</f>
        <v>725271.92666667001</v>
      </c>
      <c r="Q70" s="91">
        <f t="shared" ref="Q70:R70" si="120">Q69+Q60</f>
        <v>1073833.3399999999</v>
      </c>
      <c r="R70" s="91">
        <f t="shared" si="120"/>
        <v>2393653.3133333367</v>
      </c>
      <c r="S70" s="91">
        <f>S69+S60</f>
        <v>590794.72666666668</v>
      </c>
      <c r="T70" s="91">
        <f t="shared" ref="T70" si="121">T69+T60</f>
        <v>732080.85000000999</v>
      </c>
      <c r="U70" s="91">
        <f t="shared" ref="U70:V70" si="122">U69+U60</f>
        <v>1066284.8199999998</v>
      </c>
      <c r="V70" s="91">
        <f t="shared" si="122"/>
        <v>2389160.3966666767</v>
      </c>
      <c r="W70" s="153">
        <f>W69+W60</f>
        <v>566225.33000000007</v>
      </c>
      <c r="X70" s="154">
        <f t="shared" ref="X70" si="123">X69+X60</f>
        <v>652272.34666666936</v>
      </c>
      <c r="Y70" s="154">
        <f t="shared" ref="Y70" si="124">Y69+Y60</f>
        <v>1138560.76</v>
      </c>
      <c r="Z70" s="45">
        <f t="shared" si="6"/>
        <v>2357058.4366666693</v>
      </c>
      <c r="AA70" s="50">
        <f>AA69+AA60</f>
        <v>577608.80333333334</v>
      </c>
      <c r="AB70" s="50">
        <f t="shared" ref="AB70" si="125">AB69+AB60</f>
        <v>695587.826666223</v>
      </c>
      <c r="AC70" s="50">
        <f t="shared" ref="AC70" si="126">AC69+AC60</f>
        <v>1134550.96</v>
      </c>
      <c r="AD70" s="45">
        <f t="shared" si="7"/>
        <v>2407747.5899995565</v>
      </c>
      <c r="AE70" s="50">
        <f>AE69+AE60</f>
        <v>580213.6</v>
      </c>
      <c r="AF70" s="50">
        <f t="shared" ref="AF70" si="127">AF69+AF60</f>
        <v>715712.92333299271</v>
      </c>
      <c r="AG70" s="50">
        <f>AG69+AG60</f>
        <v>1143801.423</v>
      </c>
      <c r="AH70" s="45">
        <f t="shared" si="8"/>
        <v>2439727.9463329925</v>
      </c>
      <c r="AI70" s="50">
        <f>AI69+AI60</f>
        <v>589183.9</v>
      </c>
      <c r="AJ70" s="50">
        <f t="shared" ref="AJ70" si="128">AJ69+AJ60</f>
        <v>703274.37333333259</v>
      </c>
      <c r="AK70" s="50">
        <f>AK69+AK60</f>
        <v>1141660.5799999998</v>
      </c>
      <c r="AL70" s="45">
        <f t="shared" si="9"/>
        <v>2434118.8533333326</v>
      </c>
      <c r="AM70" s="50">
        <f>AM69+AM60</f>
        <v>566277.91666666674</v>
      </c>
      <c r="AN70" s="50">
        <f t="shared" ref="AN70" si="129">AN69+AN60</f>
        <v>744671.58000002662</v>
      </c>
      <c r="AO70" s="50">
        <f>AO69+AO60</f>
        <v>1089857.27</v>
      </c>
      <c r="AP70" s="45">
        <f t="shared" si="10"/>
        <v>2400806.7666666936</v>
      </c>
      <c r="AQ70" s="50">
        <f>AQ69+AQ60</f>
        <v>495272.15</v>
      </c>
      <c r="AR70" s="50">
        <f t="shared" ref="AR70" si="130">AR69+AR60</f>
        <v>720768.56333333999</v>
      </c>
      <c r="AS70" s="50">
        <f>AS69+AS60</f>
        <v>1003023.2000000001</v>
      </c>
      <c r="AT70" s="45">
        <f t="shared" si="11"/>
        <v>2219063.9133333401</v>
      </c>
      <c r="AU70" s="29">
        <f>AU69+AU60</f>
        <v>511960.98333333334</v>
      </c>
      <c r="AV70" s="29">
        <f>AV69+AV60</f>
        <v>721596.93666666653</v>
      </c>
      <c r="AW70" s="29">
        <f>AW69+AW60</f>
        <v>978855.83333300008</v>
      </c>
      <c r="AX70" s="45">
        <f t="shared" si="12"/>
        <v>2212413.753333</v>
      </c>
      <c r="AY70" s="15">
        <f t="shared" si="13"/>
        <v>6694643.8966666665</v>
      </c>
      <c r="AZ70" s="15">
        <f t="shared" si="14"/>
        <v>8256945.3866659561</v>
      </c>
      <c r="BA70" s="15">
        <f t="shared" si="15"/>
        <v>12774100.776332999</v>
      </c>
      <c r="BB70" s="45">
        <f t="shared" si="16"/>
        <v>27725690.059665624</v>
      </c>
    </row>
    <row r="71" spans="1:56" outlineLevel="1" x14ac:dyDescent="0.3">
      <c r="A71" s="10" t="s">
        <v>95</v>
      </c>
      <c r="B71" s="4" t="s">
        <v>96</v>
      </c>
      <c r="C71" s="16">
        <v>10618</v>
      </c>
      <c r="D71" s="17"/>
      <c r="E71" s="16">
        <v>10800</v>
      </c>
      <c r="F71" s="45">
        <f t="shared" ref="F71:F77" si="131">SUM(C71:E71)</f>
        <v>21418</v>
      </c>
      <c r="G71" s="16">
        <v>52277</v>
      </c>
      <c r="H71" s="17"/>
      <c r="I71" s="16">
        <v>33748</v>
      </c>
      <c r="J71" s="45">
        <f t="shared" ref="J71:J77" si="132">SUM(G71:I71)</f>
        <v>86025</v>
      </c>
      <c r="K71" s="16">
        <v>52277</v>
      </c>
      <c r="L71" s="17"/>
      <c r="M71" s="16">
        <v>33748</v>
      </c>
      <c r="N71" s="86">
        <f t="shared" ref="N71:N77" si="133">SUM(K71:M71)</f>
        <v>86025</v>
      </c>
      <c r="O71" s="16">
        <v>58171</v>
      </c>
      <c r="P71" s="87"/>
      <c r="Q71" s="16">
        <v>43251</v>
      </c>
      <c r="R71" s="86">
        <f t="shared" ref="R71:R77" si="134">SUM(O71:Q71)</f>
        <v>101422</v>
      </c>
      <c r="S71" s="16">
        <v>60952</v>
      </c>
      <c r="T71" s="87"/>
      <c r="U71" s="16">
        <v>46439</v>
      </c>
      <c r="V71" s="151">
        <f t="shared" ref="V71:V77" si="135">SUM(S71:U71)</f>
        <v>107391</v>
      </c>
      <c r="W71" s="16">
        <v>55337</v>
      </c>
      <c r="X71" s="157"/>
      <c r="Y71" s="16">
        <v>38787</v>
      </c>
      <c r="Z71" s="152">
        <f t="shared" ref="Z71:Z79" si="136">SUM(W71:Y71)</f>
        <v>94124</v>
      </c>
      <c r="AA71" s="17"/>
      <c r="AB71" s="17"/>
      <c r="AC71" s="17"/>
      <c r="AD71" s="45">
        <f t="shared" ref="AD71:AD79" si="137">SUM(AA71:AC71)</f>
        <v>0</v>
      </c>
      <c r="AE71" s="17"/>
      <c r="AF71" s="17"/>
      <c r="AG71" s="17"/>
      <c r="AH71" s="45">
        <f t="shared" ref="AH71:AH77" si="138">SUM(AE71:AG71)</f>
        <v>0</v>
      </c>
      <c r="AI71" s="17"/>
      <c r="AJ71" s="17"/>
      <c r="AK71" s="17"/>
      <c r="AL71" s="45">
        <f t="shared" ref="AL71:AL79" si="139">SUM(AI71:AK71)</f>
        <v>0</v>
      </c>
      <c r="AM71" s="17"/>
      <c r="AN71" s="17"/>
      <c r="AO71" s="17"/>
      <c r="AP71" s="45">
        <f t="shared" ref="AP71:AP79" si="140">SUM(AM71:AO71)</f>
        <v>0</v>
      </c>
      <c r="AQ71" s="17"/>
      <c r="AR71" s="17"/>
      <c r="AS71" s="17"/>
      <c r="AT71" s="45">
        <f t="shared" ref="AT71:AT79" si="141">SUM(AQ71:AS71)</f>
        <v>0</v>
      </c>
      <c r="AU71" s="17"/>
      <c r="AV71" s="17"/>
      <c r="AW71" s="17"/>
      <c r="AX71" s="45">
        <f t="shared" ref="AX71:AX79" si="142">SUM(AU71:AW71)</f>
        <v>0</v>
      </c>
      <c r="AY71" s="15">
        <f t="shared" ref="AY71:AY79" si="143">SUM(AU71,AQ71,AM71,AI71,AE71,AA71,W71,S71,O71,K71,G71,C71)</f>
        <v>289632</v>
      </c>
      <c r="AZ71" s="15">
        <f t="shared" ref="AZ71:AZ79" si="144">SUM(AV71,AR71,AN71,AJ71,AF71,AB71,X71,T71,P71,L71,H71,D71)</f>
        <v>0</v>
      </c>
      <c r="BA71" s="15">
        <f t="shared" ref="BA71:BA79" si="145">SUM(AW71,AS71,AO71,AK71,AG71,AC71,Y71,U71,Q71,M71,I71,E71)</f>
        <v>206773</v>
      </c>
      <c r="BB71" s="45">
        <f t="shared" ref="BB71:BB79" si="146">SUM(AX71,AT71,AP71,AL71,AH71,AD71,Z71,V71,R71,N71,J71,F71)</f>
        <v>496405</v>
      </c>
    </row>
    <row r="72" spans="1:56" outlineLevel="1" x14ac:dyDescent="0.3">
      <c r="A72" s="10" t="s">
        <v>95</v>
      </c>
      <c r="B72" s="13" t="s">
        <v>97</v>
      </c>
      <c r="C72" s="16">
        <v>10618</v>
      </c>
      <c r="D72" s="17"/>
      <c r="E72" s="16">
        <v>10800</v>
      </c>
      <c r="F72" s="45">
        <f t="shared" si="131"/>
        <v>21418</v>
      </c>
      <c r="G72" s="16">
        <v>9994</v>
      </c>
      <c r="H72" s="17"/>
      <c r="I72" s="16">
        <v>14132</v>
      </c>
      <c r="J72" s="45">
        <f t="shared" si="132"/>
        <v>24126</v>
      </c>
      <c r="K72" s="16">
        <v>8472</v>
      </c>
      <c r="L72" s="17"/>
      <c r="M72" s="16">
        <v>8352</v>
      </c>
      <c r="N72" s="86">
        <f t="shared" si="133"/>
        <v>16824</v>
      </c>
      <c r="O72" s="16">
        <v>9622</v>
      </c>
      <c r="P72" s="87"/>
      <c r="Q72" s="16">
        <v>1106</v>
      </c>
      <c r="R72" s="86">
        <f t="shared" si="134"/>
        <v>10728</v>
      </c>
      <c r="S72" s="16">
        <v>12005</v>
      </c>
      <c r="T72" s="87"/>
      <c r="U72" s="16">
        <v>10083</v>
      </c>
      <c r="V72" s="151">
        <f t="shared" si="135"/>
        <v>22088</v>
      </c>
      <c r="W72" s="16">
        <v>9867</v>
      </c>
      <c r="X72" s="157"/>
      <c r="Y72" s="16">
        <v>10611</v>
      </c>
      <c r="Z72" s="152">
        <f t="shared" si="136"/>
        <v>20478</v>
      </c>
      <c r="AA72" s="17"/>
      <c r="AB72" s="17"/>
      <c r="AC72" s="17"/>
      <c r="AD72" s="45">
        <f t="shared" si="137"/>
        <v>0</v>
      </c>
      <c r="AE72" s="17"/>
      <c r="AF72" s="17"/>
      <c r="AG72" s="17"/>
      <c r="AH72" s="45">
        <f t="shared" si="138"/>
        <v>0</v>
      </c>
      <c r="AI72" s="17"/>
      <c r="AJ72" s="17"/>
      <c r="AK72" s="17"/>
      <c r="AL72" s="45">
        <f t="shared" si="139"/>
        <v>0</v>
      </c>
      <c r="AM72" s="17"/>
      <c r="AN72" s="17"/>
      <c r="AO72" s="17"/>
      <c r="AP72" s="45">
        <f t="shared" si="140"/>
        <v>0</v>
      </c>
      <c r="AQ72" s="17"/>
      <c r="AR72" s="17"/>
      <c r="AS72" s="17"/>
      <c r="AT72" s="45">
        <f t="shared" si="141"/>
        <v>0</v>
      </c>
      <c r="AU72" s="17"/>
      <c r="AV72" s="17"/>
      <c r="AW72" s="17"/>
      <c r="AX72" s="45">
        <f t="shared" si="142"/>
        <v>0</v>
      </c>
      <c r="AY72" s="15">
        <f>SUM(AU72,AQ72,AM72,AI72,AE72,AA72,W72,S73,O72,K72,G72,C72)</f>
        <v>99060</v>
      </c>
      <c r="AZ72" s="15">
        <f t="shared" si="144"/>
        <v>0</v>
      </c>
      <c r="BA72" s="15">
        <f t="shared" si="145"/>
        <v>55084</v>
      </c>
      <c r="BB72" s="45">
        <f t="shared" si="146"/>
        <v>115662</v>
      </c>
    </row>
    <row r="73" spans="1:56" outlineLevel="1" x14ac:dyDescent="0.3">
      <c r="A73" s="10" t="s">
        <v>95</v>
      </c>
      <c r="B73" s="4" t="s">
        <v>98</v>
      </c>
      <c r="C73" s="16">
        <v>58081</v>
      </c>
      <c r="D73" s="17"/>
      <c r="E73" s="16">
        <v>17902</v>
      </c>
      <c r="F73" s="45">
        <f t="shared" si="131"/>
        <v>75983</v>
      </c>
      <c r="G73" s="16">
        <v>56207</v>
      </c>
      <c r="H73" s="17"/>
      <c r="I73" s="16">
        <v>16472</v>
      </c>
      <c r="J73" s="45">
        <f t="shared" si="132"/>
        <v>72679</v>
      </c>
      <c r="K73" s="16">
        <v>51856</v>
      </c>
      <c r="L73" s="17"/>
      <c r="M73" s="16">
        <v>18500</v>
      </c>
      <c r="N73" s="86">
        <f t="shared" si="133"/>
        <v>70356</v>
      </c>
      <c r="O73" s="16">
        <v>51106</v>
      </c>
      <c r="P73" s="87"/>
      <c r="Q73" s="16">
        <v>20026</v>
      </c>
      <c r="R73" s="86">
        <f t="shared" si="134"/>
        <v>71132</v>
      </c>
      <c r="S73" s="16">
        <v>50487</v>
      </c>
      <c r="T73" s="87"/>
      <c r="U73" s="16">
        <v>17762</v>
      </c>
      <c r="V73" s="151">
        <f>SUM(S73:U73)</f>
        <v>68249</v>
      </c>
      <c r="W73" s="16">
        <v>50063</v>
      </c>
      <c r="X73" s="157"/>
      <c r="Y73" s="16">
        <v>16198</v>
      </c>
      <c r="Z73" s="152">
        <f t="shared" si="136"/>
        <v>66261</v>
      </c>
      <c r="AA73" s="17"/>
      <c r="AB73" s="17"/>
      <c r="AC73" s="17"/>
      <c r="AD73" s="45">
        <f t="shared" si="137"/>
        <v>0</v>
      </c>
      <c r="AE73" s="17"/>
      <c r="AF73" s="17"/>
      <c r="AG73" s="17"/>
      <c r="AH73" s="45">
        <f t="shared" si="138"/>
        <v>0</v>
      </c>
      <c r="AI73" s="17"/>
      <c r="AJ73" s="17"/>
      <c r="AK73" s="17"/>
      <c r="AL73" s="45">
        <f t="shared" si="139"/>
        <v>0</v>
      </c>
      <c r="AM73" s="17"/>
      <c r="AN73" s="17"/>
      <c r="AO73" s="17"/>
      <c r="AP73" s="45">
        <f t="shared" si="140"/>
        <v>0</v>
      </c>
      <c r="AQ73" s="17"/>
      <c r="AR73" s="17"/>
      <c r="AS73" s="17"/>
      <c r="AT73" s="45">
        <f t="shared" si="141"/>
        <v>0</v>
      </c>
      <c r="AU73" s="17"/>
      <c r="AV73" s="17"/>
      <c r="AW73" s="17"/>
      <c r="AX73" s="45">
        <f t="shared" si="142"/>
        <v>0</v>
      </c>
      <c r="AY73" s="15">
        <f>SUM(AU73,AQ73,AM73,AI73,AE73,AA73,W73,S74,O73,K73,G73,C73)</f>
        <v>364579</v>
      </c>
      <c r="AZ73" s="15">
        <f t="shared" si="144"/>
        <v>0</v>
      </c>
      <c r="BA73" s="15">
        <f t="shared" si="145"/>
        <v>106860</v>
      </c>
      <c r="BB73" s="45">
        <f t="shared" si="146"/>
        <v>424660</v>
      </c>
    </row>
    <row r="74" spans="1:56" outlineLevel="1" x14ac:dyDescent="0.3">
      <c r="A74" s="10" t="s">
        <v>95</v>
      </c>
      <c r="B74" s="13" t="s">
        <v>99</v>
      </c>
      <c r="C74" s="16">
        <v>85204</v>
      </c>
      <c r="D74" s="17"/>
      <c r="E74" s="16">
        <v>21680</v>
      </c>
      <c r="F74" s="45">
        <f t="shared" si="131"/>
        <v>106884</v>
      </c>
      <c r="G74" s="16">
        <v>80366</v>
      </c>
      <c r="H74" s="17"/>
      <c r="I74" s="16">
        <v>17920</v>
      </c>
      <c r="J74" s="45">
        <f t="shared" si="132"/>
        <v>98286</v>
      </c>
      <c r="K74" s="16">
        <v>83720</v>
      </c>
      <c r="L74" s="17"/>
      <c r="M74" s="16">
        <v>16420</v>
      </c>
      <c r="N74" s="86">
        <f t="shared" si="133"/>
        <v>100140</v>
      </c>
      <c r="O74" s="16">
        <v>90207</v>
      </c>
      <c r="P74" s="87"/>
      <c r="Q74" s="16">
        <v>9505</v>
      </c>
      <c r="R74" s="86">
        <f t="shared" si="134"/>
        <v>99712</v>
      </c>
      <c r="S74" s="16">
        <v>97266</v>
      </c>
      <c r="T74" s="87"/>
      <c r="U74" s="16">
        <v>10236</v>
      </c>
      <c r="V74" s="151">
        <f t="shared" si="135"/>
        <v>107502</v>
      </c>
      <c r="W74" s="16">
        <v>97266</v>
      </c>
      <c r="X74" s="157"/>
      <c r="Y74" s="16">
        <v>10236</v>
      </c>
      <c r="Z74" s="152">
        <f t="shared" si="136"/>
        <v>107502</v>
      </c>
      <c r="AA74" s="17"/>
      <c r="AB74" s="17"/>
      <c r="AC74" s="17"/>
      <c r="AD74" s="45">
        <f t="shared" si="137"/>
        <v>0</v>
      </c>
      <c r="AE74" s="17"/>
      <c r="AF74" s="17"/>
      <c r="AG74" s="17"/>
      <c r="AH74" s="45">
        <f t="shared" si="138"/>
        <v>0</v>
      </c>
      <c r="AI74" s="17"/>
      <c r="AJ74" s="17"/>
      <c r="AK74" s="17"/>
      <c r="AL74" s="45">
        <f t="shared" si="139"/>
        <v>0</v>
      </c>
      <c r="AM74" s="17"/>
      <c r="AN74" s="17"/>
      <c r="AO74" s="17"/>
      <c r="AP74" s="45">
        <f t="shared" si="140"/>
        <v>0</v>
      </c>
      <c r="AQ74" s="17"/>
      <c r="AR74" s="17"/>
      <c r="AS74" s="17"/>
      <c r="AT74" s="45">
        <f t="shared" si="141"/>
        <v>0</v>
      </c>
      <c r="AU74" s="17"/>
      <c r="AV74" s="17"/>
      <c r="AW74" s="17"/>
      <c r="AX74" s="45">
        <f t="shared" si="142"/>
        <v>0</v>
      </c>
      <c r="AY74" s="15">
        <f t="shared" si="143"/>
        <v>534029</v>
      </c>
      <c r="AZ74" s="15">
        <f t="shared" si="144"/>
        <v>0</v>
      </c>
      <c r="BA74" s="15">
        <f t="shared" si="145"/>
        <v>85997</v>
      </c>
      <c r="BB74" s="45">
        <f t="shared" si="146"/>
        <v>620026</v>
      </c>
    </row>
    <row r="75" spans="1:56" outlineLevel="1" x14ac:dyDescent="0.3">
      <c r="A75" s="10" t="s">
        <v>95</v>
      </c>
      <c r="B75" s="13" t="s">
        <v>100</v>
      </c>
      <c r="C75" s="16">
        <v>2640</v>
      </c>
      <c r="D75" s="17"/>
      <c r="E75" s="16">
        <v>119602</v>
      </c>
      <c r="F75" s="45">
        <f t="shared" si="131"/>
        <v>122242</v>
      </c>
      <c r="G75" s="16">
        <v>2640</v>
      </c>
      <c r="H75" s="17"/>
      <c r="I75" s="16">
        <v>74254</v>
      </c>
      <c r="J75" s="45">
        <f t="shared" si="132"/>
        <v>76894</v>
      </c>
      <c r="K75" s="16">
        <v>2640</v>
      </c>
      <c r="L75" s="17"/>
      <c r="M75" s="16">
        <v>73795</v>
      </c>
      <c r="N75" s="86">
        <f t="shared" si="133"/>
        <v>76435</v>
      </c>
      <c r="O75" s="16">
        <v>2640</v>
      </c>
      <c r="P75" s="87"/>
      <c r="Q75" s="16">
        <v>32328</v>
      </c>
      <c r="R75" s="86">
        <f t="shared" si="134"/>
        <v>34968</v>
      </c>
      <c r="S75" s="16">
        <v>2640</v>
      </c>
      <c r="T75" s="87"/>
      <c r="U75" s="16">
        <v>38071</v>
      </c>
      <c r="V75" s="151">
        <f t="shared" si="135"/>
        <v>40711</v>
      </c>
      <c r="W75" s="16">
        <v>2640</v>
      </c>
      <c r="X75" s="157"/>
      <c r="Y75" s="16">
        <v>38071</v>
      </c>
      <c r="Z75" s="152">
        <f t="shared" si="136"/>
        <v>40711</v>
      </c>
      <c r="AA75" s="17"/>
      <c r="AB75" s="17"/>
      <c r="AC75" s="17"/>
      <c r="AD75" s="45">
        <f t="shared" si="137"/>
        <v>0</v>
      </c>
      <c r="AE75" s="17"/>
      <c r="AF75" s="17"/>
      <c r="AG75" s="17"/>
      <c r="AH75" s="45">
        <f t="shared" si="138"/>
        <v>0</v>
      </c>
      <c r="AI75" s="17"/>
      <c r="AJ75" s="17"/>
      <c r="AK75" s="17"/>
      <c r="AL75" s="45">
        <f t="shared" si="139"/>
        <v>0</v>
      </c>
      <c r="AM75" s="17"/>
      <c r="AN75" s="17"/>
      <c r="AO75" s="17"/>
      <c r="AP75" s="45">
        <f t="shared" si="140"/>
        <v>0</v>
      </c>
      <c r="AQ75" s="17"/>
      <c r="AR75" s="17"/>
      <c r="AS75" s="17"/>
      <c r="AT75" s="45">
        <f t="shared" si="141"/>
        <v>0</v>
      </c>
      <c r="AU75" s="17"/>
      <c r="AV75" s="17"/>
      <c r="AW75" s="17"/>
      <c r="AX75" s="45">
        <f t="shared" si="142"/>
        <v>0</v>
      </c>
      <c r="AY75" s="15">
        <f t="shared" si="143"/>
        <v>15840</v>
      </c>
      <c r="AZ75" s="15">
        <f t="shared" si="144"/>
        <v>0</v>
      </c>
      <c r="BA75" s="15">
        <f t="shared" si="145"/>
        <v>376121</v>
      </c>
      <c r="BB75" s="45">
        <f t="shared" si="146"/>
        <v>391961</v>
      </c>
    </row>
    <row r="76" spans="1:56" outlineLevel="1" x14ac:dyDescent="0.3">
      <c r="A76" s="10" t="s">
        <v>95</v>
      </c>
      <c r="B76" s="14" t="s">
        <v>101</v>
      </c>
      <c r="C76" s="47">
        <f>SUM(C74:C75)</f>
        <v>87844</v>
      </c>
      <c r="D76" s="47">
        <f t="shared" ref="D76:E76" si="147">SUM(D74:D75)</f>
        <v>0</v>
      </c>
      <c r="E76" s="47">
        <f t="shared" si="147"/>
        <v>141282</v>
      </c>
      <c r="F76" s="45">
        <f t="shared" si="131"/>
        <v>229126</v>
      </c>
      <c r="G76" s="47">
        <f>SUM(G74:G75)</f>
        <v>83006</v>
      </c>
      <c r="H76" s="47">
        <f t="shared" ref="H76" si="148">SUM(H74:H75)</f>
        <v>0</v>
      </c>
      <c r="I76" s="47">
        <f t="shared" ref="I76" si="149">SUM(I74:I75)</f>
        <v>92174</v>
      </c>
      <c r="J76" s="45">
        <f t="shared" si="132"/>
        <v>175180</v>
      </c>
      <c r="K76" s="47">
        <f>SUM(K74:K75)</f>
        <v>86360</v>
      </c>
      <c r="L76" s="47">
        <f t="shared" ref="L76" si="150">SUM(L74:L75)</f>
        <v>0</v>
      </c>
      <c r="M76" s="92">
        <f t="shared" ref="M76" si="151">SUM(M74:M75)</f>
        <v>90215</v>
      </c>
      <c r="N76" s="86">
        <f t="shared" si="133"/>
        <v>176575</v>
      </c>
      <c r="O76" s="92">
        <f>SUM(O74:O75)</f>
        <v>92847</v>
      </c>
      <c r="P76" s="92">
        <f t="shared" ref="P76" si="152">SUM(P74:P75)</f>
        <v>0</v>
      </c>
      <c r="Q76" s="92">
        <f t="shared" ref="Q76" si="153">SUM(Q74:Q75)</f>
        <v>41833</v>
      </c>
      <c r="R76" s="86">
        <f t="shared" si="134"/>
        <v>134680</v>
      </c>
      <c r="S76" s="16">
        <f>SUM(S74:S75)</f>
        <v>99906</v>
      </c>
      <c r="T76" s="92">
        <f t="shared" ref="T76" si="154">SUM(T74:T75)</f>
        <v>0</v>
      </c>
      <c r="U76" s="16">
        <f t="shared" ref="U76" si="155">SUM(U74:U75)</f>
        <v>48307</v>
      </c>
      <c r="V76" s="86">
        <f t="shared" si="135"/>
        <v>148213</v>
      </c>
      <c r="W76" s="155">
        <f>SUM(W74:W75)</f>
        <v>99906</v>
      </c>
      <c r="X76" s="156">
        <f t="shared" ref="X76" si="156">SUM(X74:X75)</f>
        <v>0</v>
      </c>
      <c r="Y76" s="159">
        <f t="shared" ref="Y76" si="157">SUM(Y74:Y75)</f>
        <v>48307</v>
      </c>
      <c r="Z76" s="45">
        <f t="shared" si="136"/>
        <v>148213</v>
      </c>
      <c r="AA76" s="17"/>
      <c r="AB76" s="17"/>
      <c r="AC76" s="17"/>
      <c r="AD76" s="45">
        <f t="shared" si="137"/>
        <v>0</v>
      </c>
      <c r="AE76" s="17"/>
      <c r="AF76" s="17"/>
      <c r="AG76" s="17"/>
      <c r="AH76" s="45">
        <f t="shared" si="138"/>
        <v>0</v>
      </c>
      <c r="AI76" s="17"/>
      <c r="AJ76" s="17"/>
      <c r="AK76" s="17"/>
      <c r="AL76" s="45">
        <f t="shared" si="139"/>
        <v>0</v>
      </c>
      <c r="AM76" s="17"/>
      <c r="AN76" s="17"/>
      <c r="AO76" s="17"/>
      <c r="AP76" s="45">
        <f t="shared" si="140"/>
        <v>0</v>
      </c>
      <c r="AQ76" s="17"/>
      <c r="AR76" s="17"/>
      <c r="AS76" s="17"/>
      <c r="AT76" s="45">
        <f t="shared" si="141"/>
        <v>0</v>
      </c>
      <c r="AU76" s="17"/>
      <c r="AV76" s="17"/>
      <c r="AW76" s="17"/>
      <c r="AX76" s="45">
        <f t="shared" si="142"/>
        <v>0</v>
      </c>
      <c r="AY76" s="15">
        <f t="shared" si="143"/>
        <v>549869</v>
      </c>
      <c r="AZ76" s="15">
        <f t="shared" si="144"/>
        <v>0</v>
      </c>
      <c r="BA76" s="15">
        <f t="shared" si="145"/>
        <v>462118</v>
      </c>
      <c r="BB76" s="45">
        <f t="shared" si="146"/>
        <v>1011987</v>
      </c>
    </row>
    <row r="77" spans="1:56" s="19" customFormat="1" x14ac:dyDescent="0.3">
      <c r="A77" s="329" t="s">
        <v>102</v>
      </c>
      <c r="B77" s="330"/>
      <c r="C77" s="49">
        <f>C71+C72+C73+C76</f>
        <v>167161</v>
      </c>
      <c r="D77" s="49">
        <f t="shared" ref="D77:E77" si="158">D71+D72+D73+D76</f>
        <v>0</v>
      </c>
      <c r="E77" s="49">
        <f t="shared" si="158"/>
        <v>180784</v>
      </c>
      <c r="F77" s="45">
        <f t="shared" si="131"/>
        <v>347945</v>
      </c>
      <c r="G77" s="49">
        <f>G71+G72+G73+G76</f>
        <v>201484</v>
      </c>
      <c r="H77" s="49">
        <f t="shared" ref="H77" si="159">H71+H72+H73+H76</f>
        <v>0</v>
      </c>
      <c r="I77" s="49">
        <f t="shared" ref="I77" si="160">I71+I72+I73+I76</f>
        <v>156526</v>
      </c>
      <c r="J77" s="45">
        <f t="shared" si="132"/>
        <v>358010</v>
      </c>
      <c r="K77" s="49">
        <f>K71+K72+K73+K76</f>
        <v>198965</v>
      </c>
      <c r="L77" s="49">
        <f t="shared" ref="L77" si="161">L71+L72+L73+L76</f>
        <v>0</v>
      </c>
      <c r="M77" s="88">
        <f t="shared" ref="M77" si="162">M71+M72+M73+M76</f>
        <v>150815</v>
      </c>
      <c r="N77" s="86">
        <f t="shared" si="133"/>
        <v>349780</v>
      </c>
      <c r="O77" s="88">
        <f>O71+O72+O73+O76</f>
        <v>211746</v>
      </c>
      <c r="P77" s="88">
        <f t="shared" ref="P77" si="163">P71+P72+P73+P76</f>
        <v>0</v>
      </c>
      <c r="Q77" s="88">
        <f t="shared" ref="Q77" si="164">Q71+Q72+Q73+Q76</f>
        <v>106216</v>
      </c>
      <c r="R77" s="86">
        <f t="shared" si="134"/>
        <v>317962</v>
      </c>
      <c r="S77" s="88">
        <f>S71+S72+S73+S76</f>
        <v>223350</v>
      </c>
      <c r="T77" s="88">
        <f t="shared" ref="T77" si="165">T71+T72+T73+T76</f>
        <v>0</v>
      </c>
      <c r="U77" s="88">
        <f>U71+U72+U73+U76</f>
        <v>122591</v>
      </c>
      <c r="V77" s="86">
        <f t="shared" si="135"/>
        <v>345941</v>
      </c>
      <c r="W77" s="88">
        <f>W71+W72+W73+W76</f>
        <v>215173</v>
      </c>
      <c r="X77" s="48">
        <f t="shared" ref="X77" si="166">X71+X72+X73+X76</f>
        <v>0</v>
      </c>
      <c r="Y77" s="48">
        <f t="shared" ref="Y77" si="167">Y71+Y72+Y73+Y76</f>
        <v>113903</v>
      </c>
      <c r="Z77" s="45">
        <f t="shared" si="136"/>
        <v>329076</v>
      </c>
      <c r="AA77" s="88">
        <f>AA71+AA72+AA73+AA76</f>
        <v>0</v>
      </c>
      <c r="AB77" s="48">
        <f t="shared" ref="AB77:AC77" si="168">AB71+AB72+AB73+AB76</f>
        <v>0</v>
      </c>
      <c r="AC77" s="48">
        <f t="shared" si="168"/>
        <v>0</v>
      </c>
      <c r="AD77" s="45">
        <f t="shared" si="137"/>
        <v>0</v>
      </c>
      <c r="AE77" s="18"/>
      <c r="AF77" s="18"/>
      <c r="AG77" s="18"/>
      <c r="AH77" s="45">
        <f t="shared" si="138"/>
        <v>0</v>
      </c>
      <c r="AI77" s="18"/>
      <c r="AJ77" s="18"/>
      <c r="AK77" s="18"/>
      <c r="AL77" s="45">
        <f t="shared" si="139"/>
        <v>0</v>
      </c>
      <c r="AM77" s="18"/>
      <c r="AN77" s="18"/>
      <c r="AO77" s="18"/>
      <c r="AP77" s="45">
        <f t="shared" si="140"/>
        <v>0</v>
      </c>
      <c r="AQ77" s="18"/>
      <c r="AR77" s="18"/>
      <c r="AS77" s="18"/>
      <c r="AT77" s="45">
        <f t="shared" si="141"/>
        <v>0</v>
      </c>
      <c r="AU77" s="18"/>
      <c r="AV77" s="18"/>
      <c r="AW77" s="18"/>
      <c r="AX77" s="45">
        <f t="shared" si="142"/>
        <v>0</v>
      </c>
      <c r="AY77" s="15">
        <f t="shared" si="143"/>
        <v>1217879</v>
      </c>
      <c r="AZ77" s="15">
        <f t="shared" si="144"/>
        <v>0</v>
      </c>
      <c r="BA77" s="15">
        <f t="shared" si="145"/>
        <v>830835</v>
      </c>
      <c r="BB77" s="45">
        <f t="shared" si="146"/>
        <v>2048714</v>
      </c>
    </row>
    <row r="78" spans="1:56" s="19" customFormat="1" x14ac:dyDescent="0.3">
      <c r="A78" s="240"/>
      <c r="B78" s="241"/>
      <c r="C78" s="49"/>
      <c r="D78" s="49"/>
      <c r="E78" s="49"/>
      <c r="F78" s="45"/>
      <c r="G78" s="49"/>
      <c r="H78" s="49"/>
      <c r="I78" s="49"/>
      <c r="J78" s="45"/>
      <c r="K78" s="49"/>
      <c r="L78" s="49"/>
      <c r="M78" s="88"/>
      <c r="N78" s="86"/>
      <c r="O78" s="88"/>
      <c r="P78" s="88"/>
      <c r="Q78" s="88"/>
      <c r="R78" s="86"/>
      <c r="S78" s="88"/>
      <c r="T78" s="88"/>
      <c r="U78" s="88"/>
      <c r="V78" s="86"/>
      <c r="W78" s="88"/>
      <c r="X78" s="48"/>
      <c r="Y78" s="48"/>
      <c r="Z78" s="45"/>
      <c r="AA78" s="88"/>
      <c r="AB78" s="48"/>
      <c r="AC78" s="48"/>
      <c r="AD78" s="45"/>
      <c r="AE78" s="18"/>
      <c r="AF78" s="18"/>
      <c r="AG78" s="18"/>
      <c r="AH78" s="45"/>
      <c r="AI78" s="18"/>
      <c r="AJ78" s="18"/>
      <c r="AK78" s="18"/>
      <c r="AL78" s="45"/>
      <c r="AM78" s="18"/>
      <c r="AN78" s="18"/>
      <c r="AO78" s="18"/>
      <c r="AP78" s="45"/>
      <c r="AQ78" s="18"/>
      <c r="AR78" s="18"/>
      <c r="AS78" s="18"/>
      <c r="AT78" s="45"/>
      <c r="AU78" s="18"/>
      <c r="AV78" s="18"/>
      <c r="AW78" s="18"/>
      <c r="AX78" s="45"/>
      <c r="AY78" s="15"/>
      <c r="AZ78" s="15"/>
      <c r="BA78" s="15"/>
      <c r="BB78" s="45"/>
    </row>
    <row r="79" spans="1:56" s="32" customFormat="1" x14ac:dyDescent="0.3">
      <c r="A79" s="331" t="s">
        <v>116</v>
      </c>
      <c r="B79" s="332"/>
      <c r="C79" s="51">
        <f>C70+C77</f>
        <v>700848.72</v>
      </c>
      <c r="D79" s="51">
        <f t="shared" ref="D79:F79" si="169">D70+D77</f>
        <v>622500.33666666632</v>
      </c>
      <c r="E79" s="51">
        <f t="shared" si="169"/>
        <v>1172562.28</v>
      </c>
      <c r="F79" s="51">
        <f t="shared" si="169"/>
        <v>2495911.3366666664</v>
      </c>
      <c r="G79" s="51">
        <f>G70+G77</f>
        <v>725152.81333333335</v>
      </c>
      <c r="H79" s="51">
        <f t="shared" ref="H79" si="170">H70+H77</f>
        <v>607406.39000001363</v>
      </c>
      <c r="I79" s="51">
        <f t="shared" ref="I79:J79" si="171">I70+I77</f>
        <v>1128444.43</v>
      </c>
      <c r="J79" s="51">
        <f t="shared" si="171"/>
        <v>2461003.6333333468</v>
      </c>
      <c r="K79" s="51">
        <f>K70+K77</f>
        <v>764166.90666666673</v>
      </c>
      <c r="L79" s="51">
        <f t="shared" ref="L79" si="172">L70+L77</f>
        <v>615801.33333334606</v>
      </c>
      <c r="M79" s="93">
        <f t="shared" ref="M79:N79" si="173">M70+M77</f>
        <v>1190790.8799999999</v>
      </c>
      <c r="N79" s="93">
        <f t="shared" si="173"/>
        <v>2570759.1200000127</v>
      </c>
      <c r="O79" s="93">
        <f>O70+O77</f>
        <v>806294.04666666663</v>
      </c>
      <c r="P79" s="93">
        <f t="shared" ref="P79" si="174">P70+P77</f>
        <v>725271.92666667001</v>
      </c>
      <c r="Q79" s="93">
        <f t="shared" ref="Q79:R79" si="175">Q70+Q77</f>
        <v>1180049.3399999999</v>
      </c>
      <c r="R79" s="93">
        <f t="shared" si="175"/>
        <v>2711615.3133333367</v>
      </c>
      <c r="S79" s="93">
        <f>S70+S77</f>
        <v>814144.72666666668</v>
      </c>
      <c r="T79" s="93">
        <f t="shared" ref="T79" si="176">T70+T77</f>
        <v>732080.85000000999</v>
      </c>
      <c r="U79" s="93">
        <f t="shared" ref="U79:V79" si="177">U70+U77</f>
        <v>1188875.8199999998</v>
      </c>
      <c r="V79" s="93">
        <f t="shared" si="177"/>
        <v>2735101.3966666767</v>
      </c>
      <c r="W79" s="93">
        <f>W70+W77</f>
        <v>781398.33000000007</v>
      </c>
      <c r="X79" s="51">
        <f t="shared" ref="X79" si="178">X70+X77</f>
        <v>652272.34666666936</v>
      </c>
      <c r="Y79" s="51">
        <f t="shared" ref="Y79" si="179">Y70+Y77</f>
        <v>1252463.76</v>
      </c>
      <c r="Z79" s="45">
        <f t="shared" si="136"/>
        <v>2686134.4366666693</v>
      </c>
      <c r="AA79" s="51">
        <f>AA70+AA77</f>
        <v>577608.80333333334</v>
      </c>
      <c r="AB79" s="51">
        <f t="shared" ref="AB79" si="180">AB70+AB77</f>
        <v>695587.826666223</v>
      </c>
      <c r="AC79" s="51">
        <f t="shared" ref="AC79" si="181">AC70+AC77</f>
        <v>1134550.96</v>
      </c>
      <c r="AD79" s="45">
        <f t="shared" si="137"/>
        <v>2407747.5899995565</v>
      </c>
      <c r="AE79" s="51">
        <f>AE70+AE77</f>
        <v>580213.6</v>
      </c>
      <c r="AF79" s="51">
        <f t="shared" ref="AF79:AG79" si="182">AF70+AF77</f>
        <v>715712.92333299271</v>
      </c>
      <c r="AG79" s="51">
        <f t="shared" si="182"/>
        <v>1143801.423</v>
      </c>
      <c r="AH79" s="45">
        <f>SUM(AE79:AG79)</f>
        <v>2439727.9463329925</v>
      </c>
      <c r="AI79" s="51">
        <f>AI70+AI77</f>
        <v>589183.9</v>
      </c>
      <c r="AJ79" s="51">
        <f t="shared" ref="AJ79:AK79" si="183">AJ70+AJ77</f>
        <v>703274.37333333259</v>
      </c>
      <c r="AK79" s="51">
        <f t="shared" si="183"/>
        <v>1141660.5799999998</v>
      </c>
      <c r="AL79" s="45">
        <f t="shared" si="139"/>
        <v>2434118.8533333326</v>
      </c>
      <c r="AM79" s="51">
        <f>AM70+AM77</f>
        <v>566277.91666666674</v>
      </c>
      <c r="AN79" s="51">
        <f t="shared" ref="AN79:AO79" si="184">AN70+AN77</f>
        <v>744671.58000002662</v>
      </c>
      <c r="AO79" s="51">
        <f t="shared" si="184"/>
        <v>1089857.27</v>
      </c>
      <c r="AP79" s="45">
        <f t="shared" si="140"/>
        <v>2400806.7666666936</v>
      </c>
      <c r="AQ79" s="51">
        <f>AQ70+AQ77</f>
        <v>495272.15</v>
      </c>
      <c r="AR79" s="51">
        <f t="shared" ref="AR79:AS79" si="185">AR70+AR77</f>
        <v>720768.56333333999</v>
      </c>
      <c r="AS79" s="51">
        <f t="shared" si="185"/>
        <v>1003023.2000000001</v>
      </c>
      <c r="AT79" s="45">
        <f t="shared" si="141"/>
        <v>2219063.9133333401</v>
      </c>
      <c r="AU79" s="31">
        <f>AU70+AU77</f>
        <v>511960.98333333334</v>
      </c>
      <c r="AV79" s="31">
        <f>AV70+AV77</f>
        <v>721596.93666666653</v>
      </c>
      <c r="AW79" s="31">
        <f>AW70+AW77</f>
        <v>978855.83333300008</v>
      </c>
      <c r="AX79" s="45">
        <f t="shared" si="142"/>
        <v>2212413.753333</v>
      </c>
      <c r="AY79" s="15">
        <f t="shared" si="143"/>
        <v>7912522.8966666665</v>
      </c>
      <c r="AZ79" s="15">
        <f t="shared" si="144"/>
        <v>8256945.3866659561</v>
      </c>
      <c r="BA79" s="15">
        <f t="shared" si="145"/>
        <v>13604935.776332999</v>
      </c>
      <c r="BB79" s="45">
        <f t="shared" si="146"/>
        <v>29774404.059665624</v>
      </c>
    </row>
    <row r="82" spans="1:58" x14ac:dyDescent="0.3">
      <c r="A82" s="17" t="s">
        <v>105</v>
      </c>
      <c r="B82" s="53" t="s">
        <v>106</v>
      </c>
      <c r="C82" s="47">
        <f t="shared" ref="C82:AH82" si="186">C12</f>
        <v>58800</v>
      </c>
      <c r="D82" s="47">
        <f t="shared" si="186"/>
        <v>295160.08999999997</v>
      </c>
      <c r="E82" s="47">
        <f t="shared" si="186"/>
        <v>102572</v>
      </c>
      <c r="F82" s="47">
        <f t="shared" si="186"/>
        <v>456532.08999999997</v>
      </c>
      <c r="G82" s="47">
        <f t="shared" si="186"/>
        <v>58800</v>
      </c>
      <c r="H82" s="47">
        <f t="shared" si="186"/>
        <v>281257.71999999997</v>
      </c>
      <c r="I82" s="47">
        <f t="shared" si="186"/>
        <v>102572</v>
      </c>
      <c r="J82" s="47">
        <f t="shared" si="186"/>
        <v>442629.72</v>
      </c>
      <c r="K82" s="47">
        <f t="shared" si="186"/>
        <v>58800</v>
      </c>
      <c r="L82" s="47">
        <f t="shared" si="186"/>
        <v>291107.14</v>
      </c>
      <c r="M82" s="92">
        <f t="shared" si="186"/>
        <v>102572</v>
      </c>
      <c r="N82" s="92">
        <f t="shared" si="186"/>
        <v>452479.14</v>
      </c>
      <c r="O82" s="92">
        <f t="shared" si="186"/>
        <v>58800</v>
      </c>
      <c r="P82" s="92">
        <f t="shared" si="186"/>
        <v>309403.68</v>
      </c>
      <c r="Q82" s="92">
        <f t="shared" si="186"/>
        <v>102572</v>
      </c>
      <c r="R82" s="92">
        <f t="shared" si="186"/>
        <v>470775.68</v>
      </c>
      <c r="S82" s="92">
        <f t="shared" si="186"/>
        <v>58800</v>
      </c>
      <c r="T82" s="92">
        <f t="shared" si="186"/>
        <v>298504.2</v>
      </c>
      <c r="U82" s="92">
        <f t="shared" si="186"/>
        <v>105552</v>
      </c>
      <c r="V82" s="92">
        <f t="shared" si="186"/>
        <v>462856.2</v>
      </c>
      <c r="W82" s="92">
        <f t="shared" si="186"/>
        <v>58800</v>
      </c>
      <c r="X82" s="47">
        <f t="shared" si="186"/>
        <v>275875.7</v>
      </c>
      <c r="Y82" s="47">
        <f t="shared" si="186"/>
        <v>110250</v>
      </c>
      <c r="Z82" s="47">
        <f t="shared" si="186"/>
        <v>444925.7</v>
      </c>
      <c r="AA82" s="47">
        <f t="shared" si="186"/>
        <v>58800</v>
      </c>
      <c r="AB82" s="47">
        <f t="shared" si="186"/>
        <v>287117.5</v>
      </c>
      <c r="AC82" s="47">
        <f t="shared" si="186"/>
        <v>106940</v>
      </c>
      <c r="AD82" s="47">
        <f t="shared" si="186"/>
        <v>452857.5</v>
      </c>
      <c r="AE82" s="47">
        <f t="shared" si="186"/>
        <v>58800</v>
      </c>
      <c r="AF82" s="47">
        <f t="shared" si="186"/>
        <v>282159.5</v>
      </c>
      <c r="AG82" s="47">
        <f t="shared" si="186"/>
        <v>106940</v>
      </c>
      <c r="AH82" s="47">
        <f t="shared" si="186"/>
        <v>447899.5</v>
      </c>
      <c r="AI82" s="47">
        <f t="shared" ref="AI82:BB82" si="187">AI12</f>
        <v>58800</v>
      </c>
      <c r="AJ82" s="47">
        <f t="shared" si="187"/>
        <v>293342.53999999998</v>
      </c>
      <c r="AK82" s="47">
        <f t="shared" si="187"/>
        <v>106940</v>
      </c>
      <c r="AL82" s="47">
        <f t="shared" si="187"/>
        <v>459082.54</v>
      </c>
      <c r="AM82" s="47">
        <f t="shared" si="187"/>
        <v>58800</v>
      </c>
      <c r="AN82" s="47">
        <f t="shared" si="187"/>
        <v>301943.5</v>
      </c>
      <c r="AO82" s="47">
        <f t="shared" si="187"/>
        <v>106020</v>
      </c>
      <c r="AP82" s="47">
        <f t="shared" si="187"/>
        <v>466763.5</v>
      </c>
      <c r="AQ82" s="47">
        <f t="shared" si="187"/>
        <v>58800</v>
      </c>
      <c r="AR82" s="47">
        <f t="shared" si="187"/>
        <v>273559</v>
      </c>
      <c r="AS82" s="47">
        <f t="shared" si="187"/>
        <v>106297</v>
      </c>
      <c r="AT82" s="47">
        <f t="shared" si="187"/>
        <v>438656</v>
      </c>
      <c r="AU82" s="47">
        <f t="shared" si="187"/>
        <v>58800</v>
      </c>
      <c r="AV82" s="47">
        <f t="shared" si="187"/>
        <v>272177.75</v>
      </c>
      <c r="AW82" s="47">
        <f t="shared" si="187"/>
        <v>105007</v>
      </c>
      <c r="AX82" s="47">
        <f t="shared" si="187"/>
        <v>435984.75</v>
      </c>
      <c r="AY82" s="47">
        <f t="shared" si="187"/>
        <v>705600</v>
      </c>
      <c r="AZ82" s="47">
        <f t="shared" si="187"/>
        <v>3461608.3200000003</v>
      </c>
      <c r="BA82" s="47">
        <f t="shared" si="187"/>
        <v>1264234</v>
      </c>
      <c r="BB82" s="47">
        <f t="shared" si="187"/>
        <v>5431442.3200000003</v>
      </c>
      <c r="BC82" s="17"/>
      <c r="BD82" s="17"/>
    </row>
    <row r="83" spans="1:58" x14ac:dyDescent="0.3">
      <c r="A83" s="17" t="s">
        <v>105</v>
      </c>
      <c r="B83" s="53" t="s">
        <v>108</v>
      </c>
      <c r="C83" s="47">
        <f t="shared" ref="C83:AH83" si="188">C13+C23+C32</f>
        <v>25000</v>
      </c>
      <c r="D83" s="47">
        <f t="shared" si="188"/>
        <v>122368.15666666668</v>
      </c>
      <c r="E83" s="47">
        <f t="shared" si="188"/>
        <v>218160.47</v>
      </c>
      <c r="F83" s="47">
        <f t="shared" si="188"/>
        <v>365528.62666666665</v>
      </c>
      <c r="G83" s="47">
        <f t="shared" si="188"/>
        <v>25000</v>
      </c>
      <c r="H83" s="47">
        <f t="shared" si="188"/>
        <v>120257.78666666668</v>
      </c>
      <c r="I83" s="47">
        <f t="shared" si="188"/>
        <v>217737.16999999998</v>
      </c>
      <c r="J83" s="47">
        <f t="shared" si="188"/>
        <v>362994.95666666672</v>
      </c>
      <c r="K83" s="47">
        <f t="shared" si="188"/>
        <v>25000</v>
      </c>
      <c r="L83" s="47">
        <f t="shared" si="188"/>
        <v>125514.66</v>
      </c>
      <c r="M83" s="92">
        <f t="shared" si="188"/>
        <v>219267.47</v>
      </c>
      <c r="N83" s="92">
        <f t="shared" si="188"/>
        <v>369782.13</v>
      </c>
      <c r="O83" s="92">
        <f t="shared" si="188"/>
        <v>25000</v>
      </c>
      <c r="P83" s="92">
        <f t="shared" si="188"/>
        <v>200313.53999999998</v>
      </c>
      <c r="Q83" s="92">
        <f t="shared" si="188"/>
        <v>224385</v>
      </c>
      <c r="R83" s="92">
        <f t="shared" si="188"/>
        <v>449698.54</v>
      </c>
      <c r="S83" s="92">
        <f t="shared" si="188"/>
        <v>25000</v>
      </c>
      <c r="T83" s="92">
        <f t="shared" si="188"/>
        <v>221809.8</v>
      </c>
      <c r="U83" s="92">
        <f t="shared" si="188"/>
        <v>221886</v>
      </c>
      <c r="V83" s="92">
        <f t="shared" si="188"/>
        <v>468695.8</v>
      </c>
      <c r="W83" s="92">
        <f t="shared" si="188"/>
        <v>24200</v>
      </c>
      <c r="X83" s="47">
        <f t="shared" si="188"/>
        <v>149032.04999999999</v>
      </c>
      <c r="Y83" s="47">
        <f t="shared" si="188"/>
        <v>288104.5</v>
      </c>
      <c r="Z83" s="47">
        <f t="shared" si="188"/>
        <v>461336.55</v>
      </c>
      <c r="AA83" s="47">
        <f t="shared" si="188"/>
        <v>25592</v>
      </c>
      <c r="AB83" s="47">
        <f t="shared" si="188"/>
        <v>149630.5</v>
      </c>
      <c r="AC83" s="47">
        <f t="shared" si="188"/>
        <v>286517.5</v>
      </c>
      <c r="AD83" s="47">
        <f t="shared" si="188"/>
        <v>461740</v>
      </c>
      <c r="AE83" s="47">
        <f t="shared" si="188"/>
        <v>25392</v>
      </c>
      <c r="AF83" s="47">
        <f t="shared" si="188"/>
        <v>155829</v>
      </c>
      <c r="AG83" s="47">
        <f t="shared" si="188"/>
        <v>287606.55300000001</v>
      </c>
      <c r="AH83" s="47">
        <f t="shared" si="188"/>
        <v>468827.55300000001</v>
      </c>
      <c r="AI83" s="47">
        <f t="shared" ref="AI83:BB83" si="189">AI13+AI23+AI32</f>
        <v>24000</v>
      </c>
      <c r="AJ83" s="47">
        <f t="shared" si="189"/>
        <v>152790</v>
      </c>
      <c r="AK83" s="47">
        <f t="shared" si="189"/>
        <v>289604.36</v>
      </c>
      <c r="AL83" s="47">
        <f t="shared" si="189"/>
        <v>466394.36</v>
      </c>
      <c r="AM83" s="47">
        <f t="shared" si="189"/>
        <v>25392</v>
      </c>
      <c r="AN83" s="47">
        <f t="shared" si="189"/>
        <v>170555.5</v>
      </c>
      <c r="AO83" s="47">
        <f t="shared" si="189"/>
        <v>291909.5</v>
      </c>
      <c r="AP83" s="47">
        <f t="shared" si="189"/>
        <v>487857</v>
      </c>
      <c r="AQ83" s="47">
        <f t="shared" si="189"/>
        <v>25392</v>
      </c>
      <c r="AR83" s="47">
        <f t="shared" si="189"/>
        <v>172596</v>
      </c>
      <c r="AS83" s="47">
        <f t="shared" si="189"/>
        <v>291909.5</v>
      </c>
      <c r="AT83" s="47">
        <f t="shared" si="189"/>
        <v>489897.5</v>
      </c>
      <c r="AU83" s="47">
        <f t="shared" si="189"/>
        <v>25392</v>
      </c>
      <c r="AV83" s="47">
        <f t="shared" si="189"/>
        <v>172623</v>
      </c>
      <c r="AW83" s="47">
        <f t="shared" si="189"/>
        <v>298390.5</v>
      </c>
      <c r="AX83" s="47">
        <f t="shared" si="189"/>
        <v>496405.5</v>
      </c>
      <c r="AY83" s="47">
        <f t="shared" si="189"/>
        <v>300360</v>
      </c>
      <c r="AZ83" s="47">
        <f t="shared" si="189"/>
        <v>1913319.9933333332</v>
      </c>
      <c r="BA83" s="47">
        <f t="shared" si="189"/>
        <v>3135478.523</v>
      </c>
      <c r="BB83" s="47">
        <f t="shared" si="189"/>
        <v>5349158.5163333332</v>
      </c>
      <c r="BC83" s="17"/>
      <c r="BD83" s="17"/>
    </row>
    <row r="84" spans="1:58" x14ac:dyDescent="0.3">
      <c r="A84" s="17" t="s">
        <v>105</v>
      </c>
      <c r="B84" s="53" t="s">
        <v>62</v>
      </c>
      <c r="C84" s="47">
        <f t="shared" ref="C84:AH84" si="190">C40</f>
        <v>391400</v>
      </c>
      <c r="D84" s="47">
        <f t="shared" si="190"/>
        <v>417528.24666666664</v>
      </c>
      <c r="E84" s="47">
        <f t="shared" si="190"/>
        <v>454401.47</v>
      </c>
      <c r="F84" s="47">
        <f t="shared" si="190"/>
        <v>1263329.7166666666</v>
      </c>
      <c r="G84" s="47">
        <f t="shared" si="190"/>
        <v>391400</v>
      </c>
      <c r="H84" s="47">
        <f t="shared" si="190"/>
        <v>401515.50666666665</v>
      </c>
      <c r="I84" s="47">
        <f t="shared" si="190"/>
        <v>447679.17</v>
      </c>
      <c r="J84" s="47">
        <f t="shared" si="190"/>
        <v>1240594.6766666665</v>
      </c>
      <c r="K84" s="47">
        <f t="shared" si="190"/>
        <v>391400</v>
      </c>
      <c r="L84" s="47">
        <f t="shared" si="190"/>
        <v>416621.80000000005</v>
      </c>
      <c r="M84" s="92">
        <f t="shared" si="190"/>
        <v>455133.47</v>
      </c>
      <c r="N84" s="92">
        <f t="shared" si="190"/>
        <v>1263155.27</v>
      </c>
      <c r="O84" s="92">
        <f t="shared" si="190"/>
        <v>391400</v>
      </c>
      <c r="P84" s="92">
        <f t="shared" si="190"/>
        <v>509717.22</v>
      </c>
      <c r="Q84" s="92">
        <f t="shared" si="190"/>
        <v>457657</v>
      </c>
      <c r="R84" s="92">
        <f t="shared" si="190"/>
        <v>1358774.22</v>
      </c>
      <c r="S84" s="92">
        <f t="shared" si="190"/>
        <v>391400</v>
      </c>
      <c r="T84" s="92">
        <f t="shared" si="190"/>
        <v>520314</v>
      </c>
      <c r="U84" s="92">
        <f t="shared" si="190"/>
        <v>460138</v>
      </c>
      <c r="V84" s="92">
        <f t="shared" si="190"/>
        <v>1371852</v>
      </c>
      <c r="W84" s="92">
        <f t="shared" si="190"/>
        <v>390600</v>
      </c>
      <c r="X84" s="47">
        <f t="shared" si="190"/>
        <v>424907.75</v>
      </c>
      <c r="Y84" s="47">
        <f t="shared" si="190"/>
        <v>531164.5</v>
      </c>
      <c r="Z84" s="47">
        <f t="shared" si="190"/>
        <v>1346672.25</v>
      </c>
      <c r="AA84" s="47">
        <f t="shared" si="190"/>
        <v>391992</v>
      </c>
      <c r="AB84" s="47">
        <f t="shared" si="190"/>
        <v>436748</v>
      </c>
      <c r="AC84" s="47">
        <f t="shared" si="190"/>
        <v>528076.5</v>
      </c>
      <c r="AD84" s="47">
        <f t="shared" si="190"/>
        <v>1356816.5</v>
      </c>
      <c r="AE84" s="47">
        <f t="shared" si="190"/>
        <v>391792</v>
      </c>
      <c r="AF84" s="47">
        <f t="shared" si="190"/>
        <v>437988.5</v>
      </c>
      <c r="AG84" s="47">
        <f t="shared" si="190"/>
        <v>530088.55300000007</v>
      </c>
      <c r="AH84" s="47">
        <f t="shared" si="190"/>
        <v>1359869.0530000001</v>
      </c>
      <c r="AI84" s="47">
        <f t="shared" ref="AI84:BB84" si="191">AI40</f>
        <v>390400</v>
      </c>
      <c r="AJ84" s="47">
        <f t="shared" si="191"/>
        <v>446132.54</v>
      </c>
      <c r="AK84" s="47">
        <f t="shared" si="191"/>
        <v>554797.90999999992</v>
      </c>
      <c r="AL84" s="47">
        <f t="shared" si="191"/>
        <v>1391330.45</v>
      </c>
      <c r="AM84" s="47">
        <f t="shared" si="191"/>
        <v>391792</v>
      </c>
      <c r="AN84" s="47">
        <f t="shared" si="191"/>
        <v>472499</v>
      </c>
      <c r="AO84" s="47">
        <f t="shared" si="191"/>
        <v>556183.05000000005</v>
      </c>
      <c r="AP84" s="47">
        <f t="shared" si="191"/>
        <v>1420474.05</v>
      </c>
      <c r="AQ84" s="47">
        <f t="shared" si="191"/>
        <v>391792</v>
      </c>
      <c r="AR84" s="47">
        <f t="shared" si="191"/>
        <v>446155</v>
      </c>
      <c r="AS84" s="47">
        <f t="shared" si="191"/>
        <v>556460.05000000005</v>
      </c>
      <c r="AT84" s="47">
        <f t="shared" si="191"/>
        <v>1394407.05</v>
      </c>
      <c r="AU84" s="47">
        <f t="shared" si="191"/>
        <v>391792</v>
      </c>
      <c r="AV84" s="47">
        <f t="shared" si="191"/>
        <v>444800.75</v>
      </c>
      <c r="AW84" s="47">
        <f t="shared" si="191"/>
        <v>563778.5</v>
      </c>
      <c r="AX84" s="47">
        <f t="shared" si="191"/>
        <v>1400371.25</v>
      </c>
      <c r="AY84" s="47">
        <f t="shared" si="191"/>
        <v>4697160</v>
      </c>
      <c r="AZ84" s="47">
        <f t="shared" si="191"/>
        <v>5374928.3133333335</v>
      </c>
      <c r="BA84" s="47">
        <f t="shared" si="191"/>
        <v>6095558.1729999995</v>
      </c>
      <c r="BB84" s="47">
        <f t="shared" si="191"/>
        <v>16167646.486333333</v>
      </c>
      <c r="BC84" s="17"/>
      <c r="BD84" s="17"/>
    </row>
    <row r="85" spans="1:58" x14ac:dyDescent="0.3"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</row>
    <row r="86" spans="1:58" x14ac:dyDescent="0.3">
      <c r="A86" s="17" t="s">
        <v>110</v>
      </c>
      <c r="B86" s="53" t="s">
        <v>106</v>
      </c>
      <c r="C86" s="47">
        <f t="shared" ref="C86:AH86" si="192">C12+C41+C44+C47+C50+C51+C52+C53+C54</f>
        <v>78704.75</v>
      </c>
      <c r="D86" s="47">
        <f t="shared" si="192"/>
        <v>457461.87666666636</v>
      </c>
      <c r="E86" s="47">
        <f t="shared" si="192"/>
        <v>302385.09000000003</v>
      </c>
      <c r="F86" s="47">
        <f t="shared" si="192"/>
        <v>838551.71666666633</v>
      </c>
      <c r="G86" s="47">
        <f t="shared" si="192"/>
        <v>77341.253333333327</v>
      </c>
      <c r="H86" s="47">
        <f t="shared" si="192"/>
        <v>447194.38333333324</v>
      </c>
      <c r="I86" s="47">
        <f t="shared" si="192"/>
        <v>301553.01</v>
      </c>
      <c r="J86" s="47">
        <f t="shared" si="192"/>
        <v>826088.64666666673</v>
      </c>
      <c r="K86" s="47">
        <f t="shared" si="192"/>
        <v>78989.066666666666</v>
      </c>
      <c r="L86" s="47">
        <f t="shared" si="192"/>
        <v>452617.05333332968</v>
      </c>
      <c r="M86" s="92">
        <f t="shared" si="192"/>
        <v>311626.19</v>
      </c>
      <c r="N86" s="92">
        <f t="shared" si="192"/>
        <v>843232.30999999633</v>
      </c>
      <c r="O86" s="92">
        <f t="shared" si="192"/>
        <v>79910.346666666665</v>
      </c>
      <c r="P86" s="92">
        <f t="shared" si="192"/>
        <v>486101.01666667004</v>
      </c>
      <c r="Q86" s="92">
        <f t="shared" si="192"/>
        <v>330196.8</v>
      </c>
      <c r="R86" s="92">
        <f t="shared" si="192"/>
        <v>896208.16333333659</v>
      </c>
      <c r="S86" s="92">
        <f t="shared" si="192"/>
        <v>80391.966666666674</v>
      </c>
      <c r="T86" s="92">
        <f t="shared" si="192"/>
        <v>469939.04000000999</v>
      </c>
      <c r="U86" s="92">
        <f t="shared" si="192"/>
        <v>329638.51</v>
      </c>
      <c r="V86" s="92">
        <f t="shared" si="192"/>
        <v>879969.51666667673</v>
      </c>
      <c r="W86" s="92">
        <f t="shared" si="192"/>
        <v>80008.130000000019</v>
      </c>
      <c r="X86" s="47">
        <f t="shared" si="192"/>
        <v>464881.8466666633</v>
      </c>
      <c r="Y86" s="47">
        <f t="shared" si="192"/>
        <v>330691.44</v>
      </c>
      <c r="Z86" s="47">
        <f t="shared" si="192"/>
        <v>875581.41666666325</v>
      </c>
      <c r="AA86" s="47">
        <f t="shared" si="192"/>
        <v>80625.103333333333</v>
      </c>
      <c r="AB86" s="47">
        <f t="shared" si="192"/>
        <v>506500.81000000297</v>
      </c>
      <c r="AC86" s="47">
        <f t="shared" si="192"/>
        <v>334981.24</v>
      </c>
      <c r="AD86" s="47">
        <f t="shared" si="192"/>
        <v>922107.15333333646</v>
      </c>
      <c r="AE86" s="47">
        <f t="shared" si="192"/>
        <v>84847.9</v>
      </c>
      <c r="AF86" s="47">
        <f t="shared" si="192"/>
        <v>512373.54333333333</v>
      </c>
      <c r="AG86" s="47">
        <f t="shared" si="192"/>
        <v>342853.55</v>
      </c>
      <c r="AH86" s="47">
        <f t="shared" si="192"/>
        <v>940074.99333333329</v>
      </c>
      <c r="AI86" s="47">
        <f t="shared" ref="AI86:BB86" si="193">AI12+AI41+AI44+AI47+AI50+AI51+AI52+AI53+AI54</f>
        <v>85305.7</v>
      </c>
      <c r="AJ86" s="47">
        <f t="shared" si="193"/>
        <v>503216.66333333327</v>
      </c>
      <c r="AK86" s="47">
        <f t="shared" si="193"/>
        <v>330184.75</v>
      </c>
      <c r="AL86" s="47">
        <f t="shared" si="193"/>
        <v>918707.1133333334</v>
      </c>
      <c r="AM86" s="47">
        <f t="shared" si="193"/>
        <v>86387.216666666674</v>
      </c>
      <c r="AN86" s="47">
        <f t="shared" si="193"/>
        <v>525460.72333336994</v>
      </c>
      <c r="AO86" s="47">
        <f t="shared" si="193"/>
        <v>327834.87</v>
      </c>
      <c r="AP86" s="47">
        <f t="shared" si="193"/>
        <v>939682.81000003661</v>
      </c>
      <c r="AQ86" s="47">
        <f t="shared" si="193"/>
        <v>85297.45</v>
      </c>
      <c r="AR86" s="47">
        <f t="shared" si="193"/>
        <v>499106.7433333334</v>
      </c>
      <c r="AS86" s="47">
        <f t="shared" si="193"/>
        <v>327222.23000000004</v>
      </c>
      <c r="AT86" s="47">
        <f t="shared" si="193"/>
        <v>911626.42333333346</v>
      </c>
      <c r="AU86" s="47">
        <f t="shared" si="193"/>
        <v>85237.283333333326</v>
      </c>
      <c r="AV86" s="47">
        <f t="shared" si="193"/>
        <v>499883.87333333323</v>
      </c>
      <c r="AW86" s="47">
        <f t="shared" si="193"/>
        <v>293149.58</v>
      </c>
      <c r="AX86" s="47">
        <f t="shared" si="193"/>
        <v>878270.73666666658</v>
      </c>
      <c r="AY86" s="47">
        <f t="shared" si="193"/>
        <v>983046.16666666674</v>
      </c>
      <c r="AZ86" s="47">
        <f t="shared" si="193"/>
        <v>5824737.5733333798</v>
      </c>
      <c r="BA86" s="47">
        <f t="shared" si="193"/>
        <v>3862317.2600000007</v>
      </c>
      <c r="BB86" s="47">
        <f t="shared" si="193"/>
        <v>10670101.000000047</v>
      </c>
      <c r="BC86" s="17"/>
      <c r="BD86" s="17"/>
    </row>
    <row r="87" spans="1:58" x14ac:dyDescent="0.3">
      <c r="A87" s="17" t="s">
        <v>110</v>
      </c>
      <c r="B87" s="53" t="s">
        <v>108</v>
      </c>
      <c r="C87" s="47">
        <f t="shared" ref="C87:AH87" si="194">C13+C23+C32+C42+C43+C45+C46+C48+C55+C56</f>
        <v>25352</v>
      </c>
      <c r="D87" s="47">
        <f t="shared" si="194"/>
        <v>165038.46000000002</v>
      </c>
      <c r="E87" s="47">
        <f t="shared" si="194"/>
        <v>257541.49</v>
      </c>
      <c r="F87" s="47">
        <f t="shared" si="194"/>
        <v>447931.95</v>
      </c>
      <c r="G87" s="47">
        <f t="shared" si="194"/>
        <v>25340.75</v>
      </c>
      <c r="H87" s="47">
        <f t="shared" si="194"/>
        <v>160212.00666668033</v>
      </c>
      <c r="I87" s="47">
        <f t="shared" si="194"/>
        <v>252719.65</v>
      </c>
      <c r="J87" s="47">
        <f t="shared" si="194"/>
        <v>438272.40666668036</v>
      </c>
      <c r="K87" s="47">
        <f t="shared" si="194"/>
        <v>25308.400000000001</v>
      </c>
      <c r="L87" s="47">
        <f t="shared" si="194"/>
        <v>163184.28000001633</v>
      </c>
      <c r="M87" s="92">
        <f t="shared" si="194"/>
        <v>261846.90000000002</v>
      </c>
      <c r="N87" s="92">
        <f t="shared" si="194"/>
        <v>450339.58000001637</v>
      </c>
      <c r="O87" s="92">
        <f t="shared" si="194"/>
        <v>25367.8</v>
      </c>
      <c r="P87" s="92">
        <f t="shared" si="194"/>
        <v>239170.91</v>
      </c>
      <c r="Q87" s="92">
        <f t="shared" si="194"/>
        <v>270589.15000000002</v>
      </c>
      <c r="R87" s="92">
        <f t="shared" si="194"/>
        <v>535127.86</v>
      </c>
      <c r="S87" s="92">
        <f t="shared" si="194"/>
        <v>25358.43</v>
      </c>
      <c r="T87" s="92">
        <f t="shared" si="194"/>
        <v>262141.81</v>
      </c>
      <c r="U87" s="92">
        <f t="shared" si="194"/>
        <v>267472.38</v>
      </c>
      <c r="V87" s="92">
        <f t="shared" si="194"/>
        <v>554972.62</v>
      </c>
      <c r="W87" s="92">
        <f t="shared" si="194"/>
        <v>24364.7</v>
      </c>
      <c r="X87" s="47">
        <f t="shared" si="194"/>
        <v>187390.50000000602</v>
      </c>
      <c r="Y87" s="47">
        <f t="shared" si="194"/>
        <v>329768.01999999996</v>
      </c>
      <c r="Z87" s="47">
        <f t="shared" si="194"/>
        <v>541523.22000000603</v>
      </c>
      <c r="AA87" s="47">
        <f t="shared" si="194"/>
        <v>25780.7</v>
      </c>
      <c r="AB87" s="47">
        <f t="shared" si="194"/>
        <v>189087.01666622001</v>
      </c>
      <c r="AC87" s="47">
        <f t="shared" si="194"/>
        <v>330159.71999999997</v>
      </c>
      <c r="AD87" s="47">
        <f t="shared" si="194"/>
        <v>545027.43666621996</v>
      </c>
      <c r="AE87" s="47">
        <f t="shared" si="194"/>
        <v>25580.7</v>
      </c>
      <c r="AF87" s="47">
        <f t="shared" si="194"/>
        <v>203339.37999965934</v>
      </c>
      <c r="AG87" s="47">
        <f t="shared" si="194"/>
        <v>323957.87300000002</v>
      </c>
      <c r="AH87" s="47">
        <f t="shared" si="194"/>
        <v>552877.95299965935</v>
      </c>
      <c r="AI87" s="47">
        <f t="shared" ref="AI87:BB87" si="195">AI13+AI23+AI32+AI42+AI43+AI45+AI46+AI48+AI55+AI56</f>
        <v>24180.7</v>
      </c>
      <c r="AJ87" s="47">
        <f t="shared" si="195"/>
        <v>200057.70999999932</v>
      </c>
      <c r="AK87" s="47">
        <f t="shared" si="195"/>
        <v>338611.87999999995</v>
      </c>
      <c r="AL87" s="47">
        <f t="shared" si="195"/>
        <v>562850.28999999934</v>
      </c>
      <c r="AM87" s="47">
        <f t="shared" si="195"/>
        <v>25580.7</v>
      </c>
      <c r="AN87" s="47">
        <f t="shared" si="195"/>
        <v>219210.85666665668</v>
      </c>
      <c r="AO87" s="47">
        <f t="shared" si="195"/>
        <v>336798.31999999995</v>
      </c>
      <c r="AP87" s="47">
        <f t="shared" si="195"/>
        <v>581589.8766666567</v>
      </c>
      <c r="AQ87" s="47">
        <f t="shared" si="195"/>
        <v>25580.7</v>
      </c>
      <c r="AR87" s="47">
        <f t="shared" si="195"/>
        <v>221661.82000000667</v>
      </c>
      <c r="AS87" s="47">
        <f t="shared" si="195"/>
        <v>329923.42</v>
      </c>
      <c r="AT87" s="47">
        <f t="shared" si="195"/>
        <v>577165.9400000067</v>
      </c>
      <c r="AU87" s="47">
        <f t="shared" si="195"/>
        <v>25580.7</v>
      </c>
      <c r="AV87" s="47">
        <f t="shared" si="195"/>
        <v>221713.06333333332</v>
      </c>
      <c r="AW87" s="47">
        <f t="shared" si="195"/>
        <v>339931.253333</v>
      </c>
      <c r="AX87" s="47">
        <f t="shared" si="195"/>
        <v>587225.01666633342</v>
      </c>
      <c r="AY87" s="47">
        <f t="shared" si="195"/>
        <v>303376.28000000003</v>
      </c>
      <c r="AZ87" s="47">
        <f t="shared" si="195"/>
        <v>2432207.8133325777</v>
      </c>
      <c r="BA87" s="47">
        <f t="shared" si="195"/>
        <v>3639320.0563329998</v>
      </c>
      <c r="BB87" s="47">
        <f t="shared" si="195"/>
        <v>6374904.1496655783</v>
      </c>
      <c r="BC87" s="17"/>
      <c r="BD87" s="17"/>
    </row>
    <row r="88" spans="1:58" x14ac:dyDescent="0.3">
      <c r="A88" s="17" t="s">
        <v>110</v>
      </c>
      <c r="B88" s="53" t="s">
        <v>112</v>
      </c>
      <c r="C88" s="47">
        <f t="shared" ref="C88:AH88" si="196">C60</f>
        <v>411656.75</v>
      </c>
      <c r="D88" s="47">
        <f t="shared" si="196"/>
        <v>622500.33666666632</v>
      </c>
      <c r="E88" s="47">
        <f t="shared" si="196"/>
        <v>793939.58</v>
      </c>
      <c r="F88" s="47">
        <f t="shared" si="196"/>
        <v>1828096.6666666663</v>
      </c>
      <c r="G88" s="47">
        <f t="shared" si="196"/>
        <v>410282.00333333336</v>
      </c>
      <c r="H88" s="47">
        <f t="shared" si="196"/>
        <v>607406.39000001363</v>
      </c>
      <c r="I88" s="47">
        <f t="shared" si="196"/>
        <v>779646.65999999992</v>
      </c>
      <c r="J88" s="47">
        <f t="shared" si="196"/>
        <v>1797335.0533333467</v>
      </c>
      <c r="K88" s="47">
        <f t="shared" si="196"/>
        <v>411897.46666666667</v>
      </c>
      <c r="L88" s="47">
        <f t="shared" si="196"/>
        <v>615801.33333334606</v>
      </c>
      <c r="M88" s="92">
        <f t="shared" si="196"/>
        <v>805947.09</v>
      </c>
      <c r="N88" s="92">
        <f t="shared" si="196"/>
        <v>1833645.8900000127</v>
      </c>
      <c r="O88" s="92">
        <f t="shared" si="196"/>
        <v>412878.14666666667</v>
      </c>
      <c r="P88" s="92">
        <f t="shared" si="196"/>
        <v>725271.92666667001</v>
      </c>
      <c r="Q88" s="92">
        <f t="shared" si="196"/>
        <v>830149.95</v>
      </c>
      <c r="R88" s="92">
        <f t="shared" si="196"/>
        <v>1968300.0233333367</v>
      </c>
      <c r="S88" s="92">
        <f t="shared" si="196"/>
        <v>413350.39666666667</v>
      </c>
      <c r="T88" s="92">
        <f t="shared" si="196"/>
        <v>732080.85000000999</v>
      </c>
      <c r="U88" s="92">
        <f t="shared" si="196"/>
        <v>829134.8899999999</v>
      </c>
      <c r="V88" s="92">
        <f t="shared" si="196"/>
        <v>1974566.1366666765</v>
      </c>
      <c r="W88" s="92">
        <f t="shared" si="196"/>
        <v>411972.83</v>
      </c>
      <c r="X88" s="47">
        <f t="shared" si="196"/>
        <v>652272.34666666936</v>
      </c>
      <c r="Y88" s="47">
        <f t="shared" si="196"/>
        <v>891789.46</v>
      </c>
      <c r="Z88" s="47">
        <f t="shared" si="196"/>
        <v>1956034.6366666693</v>
      </c>
      <c r="AA88" s="47">
        <f t="shared" si="196"/>
        <v>414005.80333333334</v>
      </c>
      <c r="AB88" s="47">
        <f t="shared" si="196"/>
        <v>695587.826666223</v>
      </c>
      <c r="AC88" s="47">
        <f t="shared" si="196"/>
        <v>897507.96</v>
      </c>
      <c r="AD88" s="47">
        <f t="shared" si="196"/>
        <v>2007101.5899995563</v>
      </c>
      <c r="AE88" s="47">
        <f t="shared" si="196"/>
        <v>418028.6</v>
      </c>
      <c r="AF88" s="47">
        <f t="shared" si="196"/>
        <v>715712.92333299271</v>
      </c>
      <c r="AG88" s="47">
        <f t="shared" si="196"/>
        <v>899317.42300000007</v>
      </c>
      <c r="AH88" s="47">
        <f t="shared" si="196"/>
        <v>2033058.9463329925</v>
      </c>
      <c r="AI88" s="47">
        <f t="shared" ref="AI88:BB88" si="197">AI60</f>
        <v>417086.4</v>
      </c>
      <c r="AJ88" s="47">
        <f t="shared" si="197"/>
        <v>703274.37333333259</v>
      </c>
      <c r="AK88" s="47">
        <f t="shared" si="197"/>
        <v>923410.17999999993</v>
      </c>
      <c r="AL88" s="47">
        <f t="shared" si="197"/>
        <v>2043770.9533333324</v>
      </c>
      <c r="AM88" s="47">
        <f t="shared" si="197"/>
        <v>419567.91666666669</v>
      </c>
      <c r="AN88" s="47">
        <f t="shared" si="197"/>
        <v>744671.58000002662</v>
      </c>
      <c r="AO88" s="47">
        <f t="shared" si="197"/>
        <v>919890.74</v>
      </c>
      <c r="AP88" s="47">
        <f t="shared" si="197"/>
        <v>2084130.2366666934</v>
      </c>
      <c r="AQ88" s="47">
        <f t="shared" si="197"/>
        <v>418478.15</v>
      </c>
      <c r="AR88" s="47">
        <f t="shared" si="197"/>
        <v>720768.56333333999</v>
      </c>
      <c r="AS88" s="47">
        <f t="shared" si="197"/>
        <v>911783.20000000007</v>
      </c>
      <c r="AT88" s="47">
        <f t="shared" si="197"/>
        <v>2051029.9133333401</v>
      </c>
      <c r="AU88" s="47">
        <f t="shared" si="197"/>
        <v>418417.98333333334</v>
      </c>
      <c r="AV88" s="47">
        <f t="shared" si="197"/>
        <v>721596.93666666653</v>
      </c>
      <c r="AW88" s="47">
        <f t="shared" si="197"/>
        <v>890401.83333300008</v>
      </c>
      <c r="AX88" s="47">
        <f t="shared" si="197"/>
        <v>2030416.753333</v>
      </c>
      <c r="AY88" s="47">
        <f t="shared" si="197"/>
        <v>4977622.4466666663</v>
      </c>
      <c r="AZ88" s="47">
        <f t="shared" si="197"/>
        <v>8256945.3866659561</v>
      </c>
      <c r="BA88" s="47">
        <f t="shared" si="197"/>
        <v>10372918.966333</v>
      </c>
      <c r="BB88" s="47">
        <f t="shared" si="197"/>
        <v>23607486.799665622</v>
      </c>
      <c r="BC88" s="17"/>
      <c r="BD88" s="17"/>
    </row>
    <row r="89" spans="1:58" x14ac:dyDescent="0.3"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</row>
    <row r="90" spans="1:58" x14ac:dyDescent="0.3">
      <c r="A90" s="17" t="s">
        <v>113</v>
      </c>
      <c r="B90" s="53" t="s">
        <v>106</v>
      </c>
      <c r="C90" s="47">
        <f t="shared" ref="C90:AH90" si="198">C86+C61+C62+C63+C64</f>
        <v>173745.72</v>
      </c>
      <c r="D90" s="47">
        <f t="shared" si="198"/>
        <v>457461.87666666636</v>
      </c>
      <c r="E90" s="47">
        <f t="shared" si="198"/>
        <v>407561.79000000004</v>
      </c>
      <c r="F90" s="47">
        <f t="shared" si="198"/>
        <v>1038769.3866666664</v>
      </c>
      <c r="G90" s="47">
        <f t="shared" si="198"/>
        <v>163509.06333333332</v>
      </c>
      <c r="H90" s="47">
        <f t="shared" si="198"/>
        <v>447194.38333333324</v>
      </c>
      <c r="I90" s="47">
        <f t="shared" si="198"/>
        <v>439595.78</v>
      </c>
      <c r="J90" s="47">
        <f t="shared" si="198"/>
        <v>1050299.2266666666</v>
      </c>
      <c r="K90" s="47">
        <f t="shared" si="198"/>
        <v>184135.50666666665</v>
      </c>
      <c r="L90" s="47">
        <f t="shared" si="198"/>
        <v>452617.05333332968</v>
      </c>
      <c r="M90" s="92">
        <f t="shared" si="198"/>
        <v>454193.48</v>
      </c>
      <c r="N90" s="92">
        <f t="shared" si="198"/>
        <v>1090946.0399999963</v>
      </c>
      <c r="O90" s="92">
        <f t="shared" si="198"/>
        <v>208587.24666666667</v>
      </c>
      <c r="P90" s="92">
        <f t="shared" si="198"/>
        <v>486101.01666667004</v>
      </c>
      <c r="Q90" s="92">
        <f t="shared" si="198"/>
        <v>479329.19</v>
      </c>
      <c r="R90" s="92">
        <f t="shared" si="198"/>
        <v>1174017.4533333366</v>
      </c>
      <c r="S90" s="92">
        <f t="shared" si="198"/>
        <v>205124.29666666669</v>
      </c>
      <c r="T90" s="92">
        <f t="shared" si="198"/>
        <v>469939.04000000999</v>
      </c>
      <c r="U90" s="92">
        <f t="shared" si="198"/>
        <v>463757.44</v>
      </c>
      <c r="V90" s="92">
        <f t="shared" si="198"/>
        <v>1138820.7766666766</v>
      </c>
      <c r="W90" s="92">
        <f t="shared" si="198"/>
        <v>185364.63</v>
      </c>
      <c r="X90" s="47">
        <f t="shared" si="198"/>
        <v>464881.8466666633</v>
      </c>
      <c r="Y90" s="47">
        <f t="shared" si="198"/>
        <v>456519.24</v>
      </c>
      <c r="Z90" s="47">
        <f t="shared" si="198"/>
        <v>1106765.7166666633</v>
      </c>
      <c r="AA90" s="47">
        <f t="shared" si="198"/>
        <v>183584.10333333333</v>
      </c>
      <c r="AB90" s="47">
        <f t="shared" si="198"/>
        <v>506500.81000000297</v>
      </c>
      <c r="AC90" s="47">
        <f t="shared" si="198"/>
        <v>455259.24</v>
      </c>
      <c r="AD90" s="47">
        <f t="shared" si="198"/>
        <v>1145344.1533333366</v>
      </c>
      <c r="AE90" s="47">
        <f t="shared" si="198"/>
        <v>191784.9</v>
      </c>
      <c r="AF90" s="47">
        <f t="shared" si="198"/>
        <v>512373.54333333333</v>
      </c>
      <c r="AG90" s="47">
        <f t="shared" si="198"/>
        <v>476838.55</v>
      </c>
      <c r="AH90" s="47">
        <f t="shared" si="198"/>
        <v>1180996.9933333332</v>
      </c>
      <c r="AI90" s="47">
        <f t="shared" ref="AI90:BB90" si="199">AI86+AI61+AI62+AI63+AI64</f>
        <v>205562.2</v>
      </c>
      <c r="AJ90" s="47">
        <f t="shared" si="199"/>
        <v>503216.66333333327</v>
      </c>
      <c r="AK90" s="47">
        <f t="shared" si="199"/>
        <v>445552.95</v>
      </c>
      <c r="AL90" s="47">
        <f t="shared" si="199"/>
        <v>1154331.8133333332</v>
      </c>
      <c r="AM90" s="47">
        <f t="shared" si="199"/>
        <v>173849.21666666667</v>
      </c>
      <c r="AN90" s="47">
        <f t="shared" si="199"/>
        <v>525460.72333336994</v>
      </c>
      <c r="AO90" s="47">
        <f t="shared" si="199"/>
        <v>438856.4</v>
      </c>
      <c r="AP90" s="47">
        <f t="shared" si="199"/>
        <v>1138166.3400000366</v>
      </c>
      <c r="AQ90" s="47">
        <f t="shared" si="199"/>
        <v>126931.45</v>
      </c>
      <c r="AR90" s="47">
        <f t="shared" si="199"/>
        <v>499106.7433333334</v>
      </c>
      <c r="AS90" s="47">
        <f t="shared" si="199"/>
        <v>352439.23000000004</v>
      </c>
      <c r="AT90" s="47">
        <f t="shared" si="199"/>
        <v>978477.42333333346</v>
      </c>
      <c r="AU90" s="47">
        <f t="shared" si="199"/>
        <v>130618.28333333333</v>
      </c>
      <c r="AV90" s="47">
        <f t="shared" si="199"/>
        <v>499883.87333333323</v>
      </c>
      <c r="AW90" s="47">
        <f t="shared" si="199"/>
        <v>316034.58</v>
      </c>
      <c r="AX90" s="47">
        <f t="shared" si="199"/>
        <v>946536.73666666658</v>
      </c>
      <c r="AY90" s="47">
        <f t="shared" si="199"/>
        <v>2132796.6166666667</v>
      </c>
      <c r="AZ90" s="47">
        <f t="shared" si="199"/>
        <v>5824737.5733333798</v>
      </c>
      <c r="BA90" s="47">
        <f t="shared" si="199"/>
        <v>5185937.870000001</v>
      </c>
      <c r="BB90" s="47">
        <f t="shared" si="199"/>
        <v>13143472.060000047</v>
      </c>
      <c r="BC90" s="17"/>
      <c r="BD90" s="17"/>
    </row>
    <row r="91" spans="1:58" x14ac:dyDescent="0.3">
      <c r="A91" s="17" t="s">
        <v>113</v>
      </c>
      <c r="B91" s="53" t="s">
        <v>108</v>
      </c>
      <c r="C91" s="47">
        <f t="shared" ref="C91:AH91" si="200">C87+C65+C66+C67</f>
        <v>37822</v>
      </c>
      <c r="D91" s="47">
        <f t="shared" si="200"/>
        <v>165038.46000000002</v>
      </c>
      <c r="E91" s="47">
        <f t="shared" si="200"/>
        <v>344979.49</v>
      </c>
      <c r="F91" s="47">
        <f t="shared" si="200"/>
        <v>547839.94999999995</v>
      </c>
      <c r="G91" s="47">
        <f t="shared" si="200"/>
        <v>38439.75</v>
      </c>
      <c r="H91" s="47">
        <f t="shared" si="200"/>
        <v>160212.00666668033</v>
      </c>
      <c r="I91" s="47">
        <f t="shared" si="200"/>
        <v>302220.65000000002</v>
      </c>
      <c r="J91" s="47">
        <f t="shared" si="200"/>
        <v>500872.40666668036</v>
      </c>
      <c r="K91" s="47">
        <f t="shared" si="200"/>
        <v>40666.400000000001</v>
      </c>
      <c r="L91" s="47">
        <f t="shared" si="200"/>
        <v>163184.28000001633</v>
      </c>
      <c r="M91" s="92">
        <f t="shared" si="200"/>
        <v>347708.4</v>
      </c>
      <c r="N91" s="92">
        <f t="shared" si="200"/>
        <v>551559.08000001637</v>
      </c>
      <c r="O91" s="92">
        <f t="shared" si="200"/>
        <v>41048.800000000003</v>
      </c>
      <c r="P91" s="92">
        <f t="shared" si="200"/>
        <v>239170.91</v>
      </c>
      <c r="Q91" s="92">
        <f t="shared" si="200"/>
        <v>359156.15</v>
      </c>
      <c r="R91" s="92">
        <f t="shared" si="200"/>
        <v>639375.86</v>
      </c>
      <c r="S91" s="92">
        <f t="shared" si="200"/>
        <v>42118.43</v>
      </c>
      <c r="T91" s="92">
        <f t="shared" si="200"/>
        <v>262141.81</v>
      </c>
      <c r="U91" s="92">
        <f t="shared" si="200"/>
        <v>364455.38</v>
      </c>
      <c r="V91" s="92">
        <f t="shared" si="200"/>
        <v>668715.62</v>
      </c>
      <c r="W91" s="92">
        <f t="shared" si="200"/>
        <v>40732.699999999997</v>
      </c>
      <c r="X91" s="47">
        <f t="shared" si="200"/>
        <v>187390.50000000602</v>
      </c>
      <c r="Y91" s="47">
        <f t="shared" si="200"/>
        <v>445391.51999999996</v>
      </c>
      <c r="Z91" s="47">
        <f t="shared" si="200"/>
        <v>673514.72000000603</v>
      </c>
      <c r="AA91" s="47">
        <f t="shared" si="200"/>
        <v>43920.7</v>
      </c>
      <c r="AB91" s="47">
        <f t="shared" si="200"/>
        <v>189087.01666622001</v>
      </c>
      <c r="AC91" s="47">
        <f t="shared" si="200"/>
        <v>440026.72</v>
      </c>
      <c r="AD91" s="47">
        <f t="shared" si="200"/>
        <v>673034.43666621996</v>
      </c>
      <c r="AE91" s="47">
        <f t="shared" si="200"/>
        <v>42020.7</v>
      </c>
      <c r="AF91" s="47">
        <f t="shared" si="200"/>
        <v>203339.37999965934</v>
      </c>
      <c r="AG91" s="47">
        <f t="shared" si="200"/>
        <v>428408.87300000002</v>
      </c>
      <c r="AH91" s="47">
        <f t="shared" si="200"/>
        <v>673768.95299965935</v>
      </c>
      <c r="AI91" s="47">
        <f t="shared" ref="AI91:BB91" si="201">AI87+AI65+AI66+AI67</f>
        <v>40301.699999999997</v>
      </c>
      <c r="AJ91" s="47">
        <f t="shared" si="201"/>
        <v>200057.70999999932</v>
      </c>
      <c r="AK91" s="47">
        <f t="shared" si="201"/>
        <v>436022.07999999996</v>
      </c>
      <c r="AL91" s="47">
        <f t="shared" si="201"/>
        <v>676381.48999999929</v>
      </c>
      <c r="AM91" s="47">
        <f t="shared" si="201"/>
        <v>40116.699999999997</v>
      </c>
      <c r="AN91" s="47">
        <f t="shared" si="201"/>
        <v>219210.85666665668</v>
      </c>
      <c r="AO91" s="47">
        <f t="shared" si="201"/>
        <v>390407.31999999995</v>
      </c>
      <c r="AP91" s="47">
        <f t="shared" si="201"/>
        <v>649734.8766666567</v>
      </c>
      <c r="AQ91" s="47">
        <f t="shared" si="201"/>
        <v>31844.7</v>
      </c>
      <c r="AR91" s="47">
        <f t="shared" si="201"/>
        <v>221661.82000000667</v>
      </c>
      <c r="AS91" s="47">
        <f t="shared" si="201"/>
        <v>377130.42</v>
      </c>
      <c r="AT91" s="47">
        <f t="shared" si="201"/>
        <v>630636.9400000067</v>
      </c>
      <c r="AU91" s="47">
        <f t="shared" si="201"/>
        <v>47702.7</v>
      </c>
      <c r="AV91" s="47">
        <f t="shared" si="201"/>
        <v>221713.06333333332</v>
      </c>
      <c r="AW91" s="47">
        <f t="shared" si="201"/>
        <v>387356.253333</v>
      </c>
      <c r="AX91" s="47">
        <f t="shared" si="201"/>
        <v>656772.01666633342</v>
      </c>
      <c r="AY91" s="47">
        <f t="shared" si="201"/>
        <v>486735.28</v>
      </c>
      <c r="AZ91" s="47">
        <f t="shared" si="201"/>
        <v>2432207.8133325777</v>
      </c>
      <c r="BA91" s="47">
        <f t="shared" si="201"/>
        <v>4623263.256333</v>
      </c>
      <c r="BB91" s="47">
        <f t="shared" si="201"/>
        <v>7542206.3496655785</v>
      </c>
      <c r="BC91" s="17"/>
      <c r="BD91" s="17"/>
    </row>
    <row r="92" spans="1:58" s="145" customFormat="1" x14ac:dyDescent="0.3">
      <c r="A92" s="144" t="s">
        <v>113</v>
      </c>
      <c r="B92" s="144" t="s">
        <v>114</v>
      </c>
      <c r="C92" s="47">
        <f t="shared" ref="C92:AH92" si="202">C12+C13+C23+C31+C32+C49+C50+C51+C52+C53+C54+C55+C56+C61+C62+C63+C64+C65+C66+C67</f>
        <v>211567.72</v>
      </c>
      <c r="D92" s="47">
        <f t="shared" si="202"/>
        <v>622500.3366666662</v>
      </c>
      <c r="E92" s="47">
        <f t="shared" si="202"/>
        <v>770510.28</v>
      </c>
      <c r="F92" s="47">
        <f t="shared" si="202"/>
        <v>1604578.3366666662</v>
      </c>
      <c r="G92" s="47">
        <f t="shared" si="202"/>
        <v>201948.81333333332</v>
      </c>
      <c r="H92" s="47">
        <f t="shared" si="202"/>
        <v>607406.39000001375</v>
      </c>
      <c r="I92" s="47">
        <f t="shared" si="202"/>
        <v>753486.42999999993</v>
      </c>
      <c r="J92" s="47">
        <f t="shared" si="202"/>
        <v>1562841.633333347</v>
      </c>
      <c r="K92" s="47">
        <f t="shared" si="202"/>
        <v>224801.90666666668</v>
      </c>
      <c r="L92" s="47">
        <f t="shared" si="202"/>
        <v>615801.33333334606</v>
      </c>
      <c r="M92" s="47">
        <f t="shared" si="202"/>
        <v>819495.88</v>
      </c>
      <c r="N92" s="47">
        <f t="shared" si="202"/>
        <v>1660099.1200000125</v>
      </c>
      <c r="O92" s="47">
        <f t="shared" si="202"/>
        <v>249636.04666666666</v>
      </c>
      <c r="P92" s="47">
        <f t="shared" si="202"/>
        <v>725271.92666667001</v>
      </c>
      <c r="Q92" s="47">
        <f t="shared" si="202"/>
        <v>853485.34000000008</v>
      </c>
      <c r="R92" s="47">
        <f t="shared" si="202"/>
        <v>1828393.3133333367</v>
      </c>
      <c r="S92" s="47">
        <f t="shared" si="202"/>
        <v>247242.72666666668</v>
      </c>
      <c r="T92" s="47">
        <f t="shared" si="202"/>
        <v>732080.85000000987</v>
      </c>
      <c r="U92" s="47">
        <f t="shared" si="202"/>
        <v>845212.82</v>
      </c>
      <c r="V92" s="47">
        <f t="shared" si="202"/>
        <v>1824536.396666677</v>
      </c>
      <c r="W92" s="47">
        <f t="shared" si="202"/>
        <v>226097.33000000002</v>
      </c>
      <c r="X92" s="47">
        <f t="shared" si="202"/>
        <v>652272.34666666936</v>
      </c>
      <c r="Y92" s="47">
        <f t="shared" si="202"/>
        <v>919020.76000000013</v>
      </c>
      <c r="Z92" s="47">
        <f t="shared" si="202"/>
        <v>1797390.4366666696</v>
      </c>
      <c r="AA92" s="47">
        <f t="shared" si="202"/>
        <v>227504.80333333334</v>
      </c>
      <c r="AB92" s="47">
        <f t="shared" si="202"/>
        <v>695587.82666622312</v>
      </c>
      <c r="AC92" s="47">
        <f t="shared" si="202"/>
        <v>914204.95999999985</v>
      </c>
      <c r="AD92" s="47">
        <f t="shared" si="202"/>
        <v>1837297.5899995563</v>
      </c>
      <c r="AE92" s="47">
        <f t="shared" si="202"/>
        <v>233805.6</v>
      </c>
      <c r="AF92" s="47">
        <f t="shared" si="202"/>
        <v>715712.92333299259</v>
      </c>
      <c r="AG92" s="47">
        <f t="shared" si="202"/>
        <v>925089.42300000007</v>
      </c>
      <c r="AH92" s="47">
        <f t="shared" si="202"/>
        <v>1874607.946332993</v>
      </c>
      <c r="AI92" s="47">
        <f t="shared" ref="AI92:BB92" si="203">AI12+AI13+AI23+AI31+AI32+AI49+AI50+AI51+AI52+AI53+AI54+AI55+AI56+AI61+AI62+AI63+AI64+AI65+AI66+AI67</f>
        <v>245863.9</v>
      </c>
      <c r="AJ92" s="47">
        <f t="shared" si="203"/>
        <v>703274.37333333271</v>
      </c>
      <c r="AK92" s="47">
        <f t="shared" si="203"/>
        <v>924128.57999999984</v>
      </c>
      <c r="AL92" s="47">
        <f t="shared" si="203"/>
        <v>1873266.8533333326</v>
      </c>
      <c r="AM92" s="47">
        <f t="shared" si="203"/>
        <v>213965.91666666669</v>
      </c>
      <c r="AN92" s="47">
        <f t="shared" si="203"/>
        <v>744671.58000002662</v>
      </c>
      <c r="AO92" s="47">
        <f t="shared" si="203"/>
        <v>871817.27</v>
      </c>
      <c r="AP92" s="47">
        <f t="shared" si="203"/>
        <v>1830454.7666666931</v>
      </c>
      <c r="AQ92" s="47">
        <f t="shared" si="203"/>
        <v>158776.15</v>
      </c>
      <c r="AR92" s="47">
        <f t="shared" si="203"/>
        <v>720768.56333333999</v>
      </c>
      <c r="AS92" s="47">
        <f t="shared" si="203"/>
        <v>772123.2</v>
      </c>
      <c r="AT92" s="47">
        <f t="shared" si="203"/>
        <v>1651667.9133333398</v>
      </c>
      <c r="AU92" s="47">
        <f t="shared" si="203"/>
        <v>178320.98333333334</v>
      </c>
      <c r="AV92" s="47">
        <f t="shared" si="203"/>
        <v>721596.93666666676</v>
      </c>
      <c r="AW92" s="47">
        <f t="shared" si="203"/>
        <v>748071.83333299996</v>
      </c>
      <c r="AX92" s="47">
        <f t="shared" si="203"/>
        <v>1647989.7533329998</v>
      </c>
      <c r="AY92" s="47">
        <f t="shared" si="203"/>
        <v>2619531.8966666665</v>
      </c>
      <c r="AZ92" s="47">
        <f t="shared" si="203"/>
        <v>8256945.386665958</v>
      </c>
      <c r="BA92" s="47">
        <f t="shared" si="203"/>
        <v>10116646.776332999</v>
      </c>
      <c r="BB92" s="47">
        <f t="shared" si="203"/>
        <v>20993124.05966562</v>
      </c>
      <c r="BC92" s="165"/>
      <c r="BD92" s="161"/>
      <c r="BE92" s="161"/>
      <c r="BF92" s="161"/>
    </row>
    <row r="93" spans="1:58" x14ac:dyDescent="0.3">
      <c r="A93" s="17" t="s">
        <v>113</v>
      </c>
      <c r="B93" s="53" t="s">
        <v>115</v>
      </c>
      <c r="C93" s="47">
        <f t="shared" ref="C93:AH93" si="204">C70</f>
        <v>533687.72</v>
      </c>
      <c r="D93" s="47">
        <f t="shared" si="204"/>
        <v>622500.33666666632</v>
      </c>
      <c r="E93" s="47">
        <f t="shared" si="204"/>
        <v>991778.28</v>
      </c>
      <c r="F93" s="47">
        <f t="shared" si="204"/>
        <v>2147966.3366666664</v>
      </c>
      <c r="G93" s="47">
        <f t="shared" si="204"/>
        <v>523668.81333333335</v>
      </c>
      <c r="H93" s="47">
        <f t="shared" si="204"/>
        <v>607406.39000001363</v>
      </c>
      <c r="I93" s="47">
        <f t="shared" si="204"/>
        <v>971918.42999999993</v>
      </c>
      <c r="J93" s="47">
        <f t="shared" si="204"/>
        <v>2102993.6333333468</v>
      </c>
      <c r="K93" s="47">
        <f t="shared" si="204"/>
        <v>565201.90666666673</v>
      </c>
      <c r="L93" s="47">
        <f t="shared" si="204"/>
        <v>615801.33333334606</v>
      </c>
      <c r="M93" s="92">
        <f t="shared" si="204"/>
        <v>1039975.8799999999</v>
      </c>
      <c r="N93" s="92">
        <f t="shared" si="204"/>
        <v>2220979.1200000127</v>
      </c>
      <c r="O93" s="92">
        <f t="shared" si="204"/>
        <v>594548.04666666663</v>
      </c>
      <c r="P93" s="92">
        <f t="shared" si="204"/>
        <v>725271.92666667001</v>
      </c>
      <c r="Q93" s="92">
        <f t="shared" si="204"/>
        <v>1073833.3399999999</v>
      </c>
      <c r="R93" s="92">
        <f t="shared" si="204"/>
        <v>2393653.3133333367</v>
      </c>
      <c r="S93" s="92">
        <f t="shared" si="204"/>
        <v>590794.72666666668</v>
      </c>
      <c r="T93" s="92">
        <f t="shared" si="204"/>
        <v>732080.85000000999</v>
      </c>
      <c r="U93" s="92">
        <f t="shared" si="204"/>
        <v>1066284.8199999998</v>
      </c>
      <c r="V93" s="92">
        <f t="shared" si="204"/>
        <v>2389160.3966666767</v>
      </c>
      <c r="W93" s="92">
        <f t="shared" si="204"/>
        <v>566225.33000000007</v>
      </c>
      <c r="X93" s="47">
        <f t="shared" si="204"/>
        <v>652272.34666666936</v>
      </c>
      <c r="Y93" s="47">
        <f t="shared" si="204"/>
        <v>1138560.76</v>
      </c>
      <c r="Z93" s="47">
        <f t="shared" si="204"/>
        <v>2357058.4366666693</v>
      </c>
      <c r="AA93" s="47">
        <f t="shared" si="204"/>
        <v>577608.80333333334</v>
      </c>
      <c r="AB93" s="47">
        <f t="shared" si="204"/>
        <v>695587.826666223</v>
      </c>
      <c r="AC93" s="47">
        <f t="shared" si="204"/>
        <v>1134550.96</v>
      </c>
      <c r="AD93" s="47">
        <f t="shared" si="204"/>
        <v>2407747.5899995565</v>
      </c>
      <c r="AE93" s="47">
        <f t="shared" si="204"/>
        <v>580213.6</v>
      </c>
      <c r="AF93" s="47">
        <f t="shared" si="204"/>
        <v>715712.92333299271</v>
      </c>
      <c r="AG93" s="47">
        <f t="shared" si="204"/>
        <v>1143801.423</v>
      </c>
      <c r="AH93" s="47">
        <f t="shared" si="204"/>
        <v>2439727.9463329925</v>
      </c>
      <c r="AI93" s="47">
        <f t="shared" ref="AI93:BB93" si="205">AI70</f>
        <v>589183.9</v>
      </c>
      <c r="AJ93" s="47">
        <f t="shared" si="205"/>
        <v>703274.37333333259</v>
      </c>
      <c r="AK93" s="47">
        <f t="shared" si="205"/>
        <v>1141660.5799999998</v>
      </c>
      <c r="AL93" s="47">
        <f t="shared" si="205"/>
        <v>2434118.8533333326</v>
      </c>
      <c r="AM93" s="47">
        <f t="shared" si="205"/>
        <v>566277.91666666674</v>
      </c>
      <c r="AN93" s="47">
        <f t="shared" si="205"/>
        <v>744671.58000002662</v>
      </c>
      <c r="AO93" s="47">
        <f t="shared" si="205"/>
        <v>1089857.27</v>
      </c>
      <c r="AP93" s="47">
        <f t="shared" si="205"/>
        <v>2400806.7666666936</v>
      </c>
      <c r="AQ93" s="47">
        <f t="shared" si="205"/>
        <v>495272.15</v>
      </c>
      <c r="AR93" s="47">
        <f t="shared" si="205"/>
        <v>720768.56333333999</v>
      </c>
      <c r="AS93" s="47">
        <f t="shared" si="205"/>
        <v>1003023.2000000001</v>
      </c>
      <c r="AT93" s="47">
        <f t="shared" si="205"/>
        <v>2219063.9133333401</v>
      </c>
      <c r="AU93" s="47">
        <f t="shared" si="205"/>
        <v>511960.98333333334</v>
      </c>
      <c r="AV93" s="47">
        <f t="shared" si="205"/>
        <v>721596.93666666653</v>
      </c>
      <c r="AW93" s="47">
        <f t="shared" si="205"/>
        <v>978855.83333300008</v>
      </c>
      <c r="AX93" s="47">
        <f t="shared" si="205"/>
        <v>2212413.753333</v>
      </c>
      <c r="AY93" s="47">
        <f t="shared" si="205"/>
        <v>6694643.8966666665</v>
      </c>
      <c r="AZ93" s="47">
        <f t="shared" si="205"/>
        <v>8256945.3866659561</v>
      </c>
      <c r="BA93" s="47">
        <f t="shared" si="205"/>
        <v>12774100.776332999</v>
      </c>
      <c r="BB93" s="47">
        <f t="shared" si="205"/>
        <v>27725690.059665624</v>
      </c>
      <c r="BC93" s="17"/>
      <c r="BD93" s="17"/>
    </row>
    <row r="94" spans="1:58" x14ac:dyDescent="0.3"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</row>
    <row r="95" spans="1:58" x14ac:dyDescent="0.3">
      <c r="A95" s="17" t="s">
        <v>116</v>
      </c>
      <c r="B95" s="53" t="s">
        <v>117</v>
      </c>
      <c r="C95" s="47">
        <f t="shared" ref="C95:AH95" si="206">C79</f>
        <v>700848.72</v>
      </c>
      <c r="D95" s="47">
        <f t="shared" si="206"/>
        <v>622500.33666666632</v>
      </c>
      <c r="E95" s="47">
        <f t="shared" si="206"/>
        <v>1172562.28</v>
      </c>
      <c r="F95" s="47">
        <f t="shared" si="206"/>
        <v>2495911.3366666664</v>
      </c>
      <c r="G95" s="47">
        <f t="shared" si="206"/>
        <v>725152.81333333335</v>
      </c>
      <c r="H95" s="47">
        <f t="shared" si="206"/>
        <v>607406.39000001363</v>
      </c>
      <c r="I95" s="47">
        <f t="shared" si="206"/>
        <v>1128444.43</v>
      </c>
      <c r="J95" s="47">
        <f t="shared" si="206"/>
        <v>2461003.6333333468</v>
      </c>
      <c r="K95" s="47">
        <f t="shared" si="206"/>
        <v>764166.90666666673</v>
      </c>
      <c r="L95" s="47">
        <f t="shared" si="206"/>
        <v>615801.33333334606</v>
      </c>
      <c r="M95" s="92">
        <f t="shared" si="206"/>
        <v>1190790.8799999999</v>
      </c>
      <c r="N95" s="92">
        <f t="shared" si="206"/>
        <v>2570759.1200000127</v>
      </c>
      <c r="O95" s="92">
        <f t="shared" si="206"/>
        <v>806294.04666666663</v>
      </c>
      <c r="P95" s="92">
        <f t="shared" si="206"/>
        <v>725271.92666667001</v>
      </c>
      <c r="Q95" s="92">
        <f t="shared" si="206"/>
        <v>1180049.3399999999</v>
      </c>
      <c r="R95" s="92">
        <f t="shared" si="206"/>
        <v>2711615.3133333367</v>
      </c>
      <c r="S95" s="92">
        <f t="shared" si="206"/>
        <v>814144.72666666668</v>
      </c>
      <c r="T95" s="92">
        <f t="shared" si="206"/>
        <v>732080.85000000999</v>
      </c>
      <c r="U95" s="92">
        <f t="shared" si="206"/>
        <v>1188875.8199999998</v>
      </c>
      <c r="V95" s="92">
        <f t="shared" si="206"/>
        <v>2735101.3966666767</v>
      </c>
      <c r="W95" s="92">
        <f t="shared" si="206"/>
        <v>781398.33000000007</v>
      </c>
      <c r="X95" s="47">
        <f t="shared" si="206"/>
        <v>652272.34666666936</v>
      </c>
      <c r="Y95" s="47">
        <f t="shared" si="206"/>
        <v>1252463.76</v>
      </c>
      <c r="Z95" s="47">
        <f t="shared" si="206"/>
        <v>2686134.4366666693</v>
      </c>
      <c r="AA95" s="47">
        <f t="shared" si="206"/>
        <v>577608.80333333334</v>
      </c>
      <c r="AB95" s="47">
        <f t="shared" si="206"/>
        <v>695587.826666223</v>
      </c>
      <c r="AC95" s="47">
        <f t="shared" si="206"/>
        <v>1134550.96</v>
      </c>
      <c r="AD95" s="47">
        <f t="shared" si="206"/>
        <v>2407747.5899995565</v>
      </c>
      <c r="AE95" s="47">
        <f t="shared" si="206"/>
        <v>580213.6</v>
      </c>
      <c r="AF95" s="47">
        <f t="shared" si="206"/>
        <v>715712.92333299271</v>
      </c>
      <c r="AG95" s="47">
        <f t="shared" si="206"/>
        <v>1143801.423</v>
      </c>
      <c r="AH95" s="47">
        <f t="shared" si="206"/>
        <v>2439727.9463329925</v>
      </c>
      <c r="AI95" s="47">
        <f t="shared" ref="AI95:BB95" si="207">AI79</f>
        <v>589183.9</v>
      </c>
      <c r="AJ95" s="47">
        <f t="shared" si="207"/>
        <v>703274.37333333259</v>
      </c>
      <c r="AK95" s="47">
        <f t="shared" si="207"/>
        <v>1141660.5799999998</v>
      </c>
      <c r="AL95" s="47">
        <f t="shared" si="207"/>
        <v>2434118.8533333326</v>
      </c>
      <c r="AM95" s="47">
        <f t="shared" si="207"/>
        <v>566277.91666666674</v>
      </c>
      <c r="AN95" s="47">
        <f t="shared" si="207"/>
        <v>744671.58000002662</v>
      </c>
      <c r="AO95" s="47">
        <f t="shared" si="207"/>
        <v>1089857.27</v>
      </c>
      <c r="AP95" s="47">
        <f t="shared" si="207"/>
        <v>2400806.7666666936</v>
      </c>
      <c r="AQ95" s="47">
        <f t="shared" si="207"/>
        <v>495272.15</v>
      </c>
      <c r="AR95" s="47">
        <f t="shared" si="207"/>
        <v>720768.56333333999</v>
      </c>
      <c r="AS95" s="47">
        <f t="shared" si="207"/>
        <v>1003023.2000000001</v>
      </c>
      <c r="AT95" s="47">
        <f t="shared" si="207"/>
        <v>2219063.9133333401</v>
      </c>
      <c r="AU95" s="47">
        <f t="shared" si="207"/>
        <v>511960.98333333334</v>
      </c>
      <c r="AV95" s="47">
        <f t="shared" si="207"/>
        <v>721596.93666666653</v>
      </c>
      <c r="AW95" s="47">
        <f t="shared" si="207"/>
        <v>978855.83333300008</v>
      </c>
      <c r="AX95" s="47">
        <f t="shared" si="207"/>
        <v>2212413.753333</v>
      </c>
      <c r="AY95" s="47">
        <f t="shared" si="207"/>
        <v>7912522.8966666665</v>
      </c>
      <c r="AZ95" s="47">
        <f t="shared" si="207"/>
        <v>8256945.3866659561</v>
      </c>
      <c r="BA95" s="47">
        <f t="shared" si="207"/>
        <v>13604935.776332999</v>
      </c>
      <c r="BB95" s="47">
        <f t="shared" si="207"/>
        <v>29774404.059665624</v>
      </c>
      <c r="BC95" s="17"/>
      <c r="BD95" s="17"/>
    </row>
    <row r="97" spans="3:55" x14ac:dyDescent="0.3">
      <c r="AX97" s="44"/>
    </row>
    <row r="98" spans="3:55" x14ac:dyDescent="0.3">
      <c r="C98" s="16">
        <v>14131.223333333301</v>
      </c>
      <c r="D98" s="16">
        <v>2640</v>
      </c>
      <c r="E98" s="44">
        <f>C98-D98</f>
        <v>11491.223333333301</v>
      </c>
      <c r="G98" s="16">
        <v>18247.523333333334</v>
      </c>
      <c r="H98" s="16">
        <v>2520</v>
      </c>
      <c r="I98" s="44">
        <f>G98-H98</f>
        <v>15727.523333333334</v>
      </c>
      <c r="K98" s="16">
        <v>17410.91</v>
      </c>
      <c r="L98" s="16">
        <v>2584</v>
      </c>
      <c r="M98" s="101">
        <f>K98-L98</f>
        <v>14826.91</v>
      </c>
      <c r="O98" s="16">
        <v>19852.32</v>
      </c>
      <c r="P98" s="16">
        <v>2640</v>
      </c>
      <c r="Q98" s="101">
        <f>O98-P98</f>
        <v>17212.32</v>
      </c>
      <c r="S98" s="85">
        <v>26657.439999999999</v>
      </c>
      <c r="T98" s="16">
        <v>2640</v>
      </c>
      <c r="U98" s="101">
        <f>S98-T98</f>
        <v>24017.439999999999</v>
      </c>
      <c r="V98" s="101">
        <f>U98-9265</f>
        <v>14752.439999999999</v>
      </c>
      <c r="AX98" s="44"/>
    </row>
    <row r="99" spans="3:55" x14ac:dyDescent="0.3">
      <c r="C99" s="16">
        <v>622.34</v>
      </c>
      <c r="D99" s="16">
        <v>176</v>
      </c>
      <c r="E99" s="44">
        <f t="shared" ref="E99:E100" si="208">C99-D99</f>
        <v>446.34000000000003</v>
      </c>
      <c r="G99" s="16">
        <v>720.98</v>
      </c>
      <c r="H99" s="16">
        <v>168</v>
      </c>
      <c r="I99" s="44">
        <f t="shared" ref="I99:I100" si="209">G99-H99</f>
        <v>552.98</v>
      </c>
      <c r="K99" s="16">
        <v>680.66000000000008</v>
      </c>
      <c r="L99" s="16">
        <v>152</v>
      </c>
      <c r="M99" s="101">
        <f t="shared" ref="M99:M100" si="210">K99-L99</f>
        <v>528.66000000000008</v>
      </c>
      <c r="O99" s="16">
        <v>820.64</v>
      </c>
      <c r="P99" s="16">
        <v>176</v>
      </c>
      <c r="Q99" s="101">
        <f t="shared" ref="Q99:Q100" si="211">O99-P99</f>
        <v>644.64</v>
      </c>
      <c r="S99" s="85">
        <v>840.41</v>
      </c>
      <c r="T99" s="16">
        <v>176</v>
      </c>
      <c r="U99" s="101">
        <f t="shared" ref="U99:U100" si="212">S99-T99</f>
        <v>664.41</v>
      </c>
      <c r="AX99" s="44"/>
      <c r="BA99">
        <v>17951280.256666735</v>
      </c>
      <c r="BB99">
        <f>BA99/8</f>
        <v>2243910.0320833419</v>
      </c>
      <c r="BC99">
        <f>BB99*12</f>
        <v>26926920.385000102</v>
      </c>
    </row>
    <row r="100" spans="3:55" x14ac:dyDescent="0.3">
      <c r="C100" s="16">
        <v>466.09</v>
      </c>
      <c r="D100" s="16">
        <v>176</v>
      </c>
      <c r="E100" s="44">
        <f t="shared" si="208"/>
        <v>290.08999999999997</v>
      </c>
      <c r="G100" s="16">
        <v>581.49</v>
      </c>
      <c r="H100" s="16">
        <v>168</v>
      </c>
      <c r="I100" s="44">
        <f t="shared" si="209"/>
        <v>413.49</v>
      </c>
      <c r="K100" s="16">
        <v>557.04999999999995</v>
      </c>
      <c r="L100" s="16">
        <v>152</v>
      </c>
      <c r="M100" s="101">
        <f t="shared" si="210"/>
        <v>405.04999999999995</v>
      </c>
      <c r="O100" s="16">
        <v>531.68000000000006</v>
      </c>
      <c r="P100" s="16">
        <v>176</v>
      </c>
      <c r="Q100" s="101">
        <f t="shared" si="211"/>
        <v>355.68000000000006</v>
      </c>
      <c r="S100" s="85">
        <v>508.9</v>
      </c>
      <c r="T100" s="16">
        <v>176</v>
      </c>
      <c r="U100" s="101">
        <f t="shared" si="212"/>
        <v>332.9</v>
      </c>
    </row>
    <row r="101" spans="3:55" x14ac:dyDescent="0.3">
      <c r="BB101">
        <f>1800/BC99</f>
        <v>6.6847599883821361E-5</v>
      </c>
      <c r="BC101">
        <f>BB101*1000000</f>
        <v>66.84759988382136</v>
      </c>
    </row>
    <row r="105" spans="3:55" x14ac:dyDescent="0.3">
      <c r="BA105">
        <v>8573208.6400000378</v>
      </c>
      <c r="BB105">
        <f>BA105/8</f>
        <v>1071651.0800000047</v>
      </c>
      <c r="BC105">
        <f>BB105*12</f>
        <v>12859812.960000057</v>
      </c>
    </row>
    <row r="107" spans="3:55" x14ac:dyDescent="0.3">
      <c r="BB107">
        <f>989/BC105</f>
        <v>7.6906250742234401E-5</v>
      </c>
      <c r="BC107">
        <f>BB107*1000000</f>
        <v>76.906250742234405</v>
      </c>
    </row>
    <row r="109" spans="3:55" x14ac:dyDescent="0.3">
      <c r="BA109">
        <v>5230899.9196666963</v>
      </c>
      <c r="BB109">
        <f>BA109/8</f>
        <v>653862.48995833704</v>
      </c>
      <c r="BC109">
        <f>BB109*12</f>
        <v>7846349.8795000445</v>
      </c>
    </row>
    <row r="111" spans="3:55" x14ac:dyDescent="0.3">
      <c r="BB111">
        <f>115/BC109</f>
        <v>1.4656496557776187E-5</v>
      </c>
      <c r="BC111">
        <f>BB111*1000000</f>
        <v>14.656496557776187</v>
      </c>
    </row>
  </sheetData>
  <autoFilter ref="A4:BF77" xr:uid="{00000000-0001-0000-0200-000000000000}"/>
  <mergeCells count="21">
    <mergeCell ref="A70:B70"/>
    <mergeCell ref="A77:B77"/>
    <mergeCell ref="A79:B79"/>
    <mergeCell ref="A69:B69"/>
    <mergeCell ref="A60:B60"/>
    <mergeCell ref="AY3:BB3"/>
    <mergeCell ref="A40:B40"/>
    <mergeCell ref="A49:B49"/>
    <mergeCell ref="A59:B59"/>
    <mergeCell ref="AQ3:AT3"/>
    <mergeCell ref="AU3:AX3"/>
    <mergeCell ref="AA3:AD3"/>
    <mergeCell ref="AE3:AH3"/>
    <mergeCell ref="AI3:AL3"/>
    <mergeCell ref="AM3:AP3"/>
    <mergeCell ref="C3:F3"/>
    <mergeCell ref="G3:J3"/>
    <mergeCell ref="K3:N3"/>
    <mergeCell ref="O3:R3"/>
    <mergeCell ref="S3:V3"/>
    <mergeCell ref="W3:Z3"/>
  </mergeCells>
  <pageMargins left="0.7" right="0.7" top="0.75" bottom="0.75" header="0.3" footer="0.3"/>
  <ignoredErrors>
    <ignoredError sqref="AY23:BA23 D12:E12 G12:I12 K12:M12 C40:E40 C49:E49 D23 H23 L23 G40:I40 K40:M40 O40:R40 W40:Y40 K49:M49 T49:U49 AA49:AC49 K59:M59 G59:I60 C60:F60 C59 O59 J60:Y60 S12:U12 O12:Q12 U9 AY5:BA10 T40:U40 Y9:Y10 X12:Y12 W59:Y59 S59 AA59:AC60 AY12:BA12 AY11 AA12:AC12 AC10 AG10 AA13 AE12:AG12 AB23 AF23 AA32 AE32 AE40:AG40 AE59:AG60 AY44 BA44 AE49:AG49 AY79:BA79 AU92:BB92 D92:P92 AM12:AO12 AK10 AO10 AM13:AN13 AI12:AK12 AJ23 AM59:AO60 AI59:AK60 AY45:BA77 AM49:AO49 AY14:BA21 AZ13:BA13 AE13:AF13 AY25:BA43 AY24:AZ24" unlockedFormula="1"/>
    <ignoredError sqref="C76 E76 G76 I76 K76 M76:M77 O76:Q77 S76 U76 T23 Z45:Z46 W23 V45:V46" formulaRange="1"/>
    <ignoredError sqref="F12 J12 AA40:AC40 J40 G49:J49 O49:S49 W49:Y49 Z60 AL12" formula="1" unlockedFormula="1"/>
    <ignoredError sqref="F76 J76 N76:N77 R76:R77 Z59" formula="1" formulaRange="1"/>
    <ignoredError sqref="F77 J77 J69 F69 F40 Z40 N40 F49 N49 V49 Z49 V40 V12 AD12 Z12 AD22 Z22 AH22 AD40 AD69:AD70 Z69:Z70 V69 AD79 AD59:AD60 AD49 Z79 AH12 AL22 AP22 AL59:AL60 AH59:AH60 AH69:AH70 AL69:AL70 Z77 AI49:AL49" formula="1"/>
    <ignoredError sqref="C23 G23 K23 X23 AA23 AE23 AM23:AN23 AI23" formulaRange="1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7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6" sqref="D16"/>
    </sheetView>
  </sheetViews>
  <sheetFormatPr baseColWidth="10" defaultColWidth="11.44140625" defaultRowHeight="14.4" outlineLevelRow="2" x14ac:dyDescent="0.3"/>
  <cols>
    <col min="1" max="1" width="18.5546875" customWidth="1"/>
    <col min="2" max="2" width="36.109375" customWidth="1"/>
    <col min="3" max="3" width="15.44140625" customWidth="1"/>
    <col min="4" max="4" width="16.5546875" customWidth="1"/>
    <col min="5" max="5" width="33.88671875" customWidth="1"/>
  </cols>
  <sheetData>
    <row r="2" spans="1:8" x14ac:dyDescent="0.3">
      <c r="A2" s="20" t="s">
        <v>141</v>
      </c>
      <c r="G2" s="169" t="s">
        <v>142</v>
      </c>
      <c r="H2" s="148">
        <f ca="1">TODAY()</f>
        <v>46252</v>
      </c>
    </row>
    <row r="3" spans="1:8" x14ac:dyDescent="0.3">
      <c r="A3" s="158"/>
      <c r="B3" s="14"/>
      <c r="C3" s="342" t="s">
        <v>122</v>
      </c>
      <c r="D3" s="343"/>
      <c r="E3" s="343"/>
    </row>
    <row r="4" spans="1:8" ht="45" customHeight="1" thickBot="1" x14ac:dyDescent="0.35">
      <c r="A4" s="142" t="s">
        <v>20</v>
      </c>
      <c r="B4" s="143" t="s">
        <v>21</v>
      </c>
      <c r="C4" s="21" t="s">
        <v>143</v>
      </c>
      <c r="D4" s="21" t="s">
        <v>141</v>
      </c>
      <c r="E4" s="21" t="s">
        <v>144</v>
      </c>
    </row>
    <row r="5" spans="1:8" outlineLevel="2" x14ac:dyDescent="0.3">
      <c r="A5" s="1" t="s">
        <v>25</v>
      </c>
      <c r="B5" s="2" t="s">
        <v>26</v>
      </c>
      <c r="C5" s="166">
        <v>45434</v>
      </c>
      <c r="D5" s="15">
        <f t="shared" ref="D5:D44" ca="1" si="0">$H$2-C5</f>
        <v>818</v>
      </c>
      <c r="E5" s="170" t="s">
        <v>145</v>
      </c>
    </row>
    <row r="6" spans="1:8" outlineLevel="2" x14ac:dyDescent="0.3">
      <c r="A6" s="3" t="s">
        <v>25</v>
      </c>
      <c r="B6" s="4" t="s">
        <v>27</v>
      </c>
      <c r="C6" s="299">
        <v>45462</v>
      </c>
      <c r="D6" s="147">
        <f t="shared" ca="1" si="0"/>
        <v>790</v>
      </c>
      <c r="E6" s="300" t="s">
        <v>146</v>
      </c>
    </row>
    <row r="7" spans="1:8" outlineLevel="2" x14ac:dyDescent="0.3">
      <c r="A7" s="3" t="s">
        <v>25</v>
      </c>
      <c r="B7" s="4" t="s">
        <v>28</v>
      </c>
      <c r="C7" s="299">
        <v>45577</v>
      </c>
      <c r="D7" s="147">
        <f ca="1">$H$2-C7</f>
        <v>675</v>
      </c>
      <c r="E7" s="300" t="s">
        <v>147</v>
      </c>
    </row>
    <row r="8" spans="1:8" ht="22.8" outlineLevel="2" x14ac:dyDescent="0.3">
      <c r="A8" s="3" t="s">
        <v>25</v>
      </c>
      <c r="B8" s="4" t="s">
        <v>30</v>
      </c>
      <c r="C8" s="299">
        <v>45569</v>
      </c>
      <c r="D8" s="147">
        <f t="shared" ca="1" si="0"/>
        <v>683</v>
      </c>
      <c r="E8" s="301" t="s">
        <v>148</v>
      </c>
    </row>
    <row r="9" spans="1:8" ht="22.8" outlineLevel="2" x14ac:dyDescent="0.3">
      <c r="A9" s="3" t="s">
        <v>25</v>
      </c>
      <c r="B9" s="4" t="s">
        <v>149</v>
      </c>
      <c r="C9" s="299">
        <v>45614</v>
      </c>
      <c r="D9" s="147">
        <f ca="1">$H$2-C9</f>
        <v>638</v>
      </c>
      <c r="E9" s="301" t="s">
        <v>150</v>
      </c>
    </row>
    <row r="10" spans="1:8" ht="22.8" outlineLevel="2" x14ac:dyDescent="0.3">
      <c r="A10" s="312" t="s">
        <v>25</v>
      </c>
      <c r="B10" s="313" t="s">
        <v>151</v>
      </c>
      <c r="C10" s="314">
        <v>45689</v>
      </c>
      <c r="D10" s="315">
        <f t="shared" ca="1" si="0"/>
        <v>563</v>
      </c>
      <c r="E10" s="317" t="s">
        <v>152</v>
      </c>
    </row>
    <row r="11" spans="1:8" outlineLevel="2" x14ac:dyDescent="0.3">
      <c r="A11" s="312" t="s">
        <v>25</v>
      </c>
      <c r="B11" s="313" t="s">
        <v>153</v>
      </c>
      <c r="C11" s="314">
        <v>45545</v>
      </c>
      <c r="D11" s="315">
        <f t="shared" ref="D11:D16" ca="1" si="1">$H$2-C11</f>
        <v>707</v>
      </c>
      <c r="E11" s="316" t="s">
        <v>154</v>
      </c>
    </row>
    <row r="12" spans="1:8" outlineLevel="2" x14ac:dyDescent="0.3">
      <c r="A12" s="312" t="s">
        <v>25</v>
      </c>
      <c r="B12" s="313" t="s">
        <v>155</v>
      </c>
      <c r="C12" s="314">
        <v>44939</v>
      </c>
      <c r="D12" s="315">
        <f t="shared" ca="1" si="1"/>
        <v>1313</v>
      </c>
      <c r="E12" s="316" t="s">
        <v>156</v>
      </c>
    </row>
    <row r="13" spans="1:8" outlineLevel="2" x14ac:dyDescent="0.3">
      <c r="A13" s="3" t="s">
        <v>25</v>
      </c>
      <c r="B13" s="5" t="s">
        <v>157</v>
      </c>
      <c r="C13" s="166">
        <v>45694</v>
      </c>
      <c r="D13" s="315">
        <f t="shared" ca="1" si="1"/>
        <v>558</v>
      </c>
      <c r="E13" s="185" t="s">
        <v>158</v>
      </c>
    </row>
    <row r="14" spans="1:8" outlineLevel="2" x14ac:dyDescent="0.3">
      <c r="A14" s="3" t="s">
        <v>25</v>
      </c>
      <c r="B14" s="5" t="s">
        <v>159</v>
      </c>
      <c r="C14" s="166">
        <v>44992</v>
      </c>
      <c r="D14" s="15">
        <f t="shared" ca="1" si="1"/>
        <v>1260</v>
      </c>
      <c r="E14" s="170" t="s">
        <v>160</v>
      </c>
    </row>
    <row r="15" spans="1:8" outlineLevel="2" x14ac:dyDescent="0.3">
      <c r="A15" s="3" t="s">
        <v>25</v>
      </c>
      <c r="B15" s="4" t="s">
        <v>161</v>
      </c>
      <c r="C15" s="166">
        <v>45293</v>
      </c>
      <c r="D15" s="15">
        <f t="shared" ca="1" si="1"/>
        <v>959</v>
      </c>
      <c r="E15" s="170" t="s">
        <v>162</v>
      </c>
    </row>
    <row r="16" spans="1:8" s="145" customFormat="1" outlineLevel="2" x14ac:dyDescent="0.3">
      <c r="A16" s="312" t="s">
        <v>25</v>
      </c>
      <c r="B16" s="313" t="s">
        <v>163</v>
      </c>
      <c r="C16" s="314">
        <v>44445</v>
      </c>
      <c r="D16" s="315">
        <f t="shared" ca="1" si="1"/>
        <v>1807</v>
      </c>
      <c r="E16" s="316" t="s">
        <v>164</v>
      </c>
    </row>
    <row r="17" spans="1:5" outlineLevel="2" x14ac:dyDescent="0.3">
      <c r="A17" s="10" t="s">
        <v>25</v>
      </c>
      <c r="B17" s="5" t="s">
        <v>165</v>
      </c>
      <c r="C17" s="166">
        <v>45591</v>
      </c>
      <c r="D17" s="15">
        <f t="shared" ref="D17" ca="1" si="2">$H$2-C17</f>
        <v>661</v>
      </c>
      <c r="E17" s="170" t="s">
        <v>166</v>
      </c>
    </row>
    <row r="18" spans="1:5" outlineLevel="2" x14ac:dyDescent="0.3">
      <c r="A18" s="3" t="s">
        <v>25</v>
      </c>
      <c r="B18" s="4" t="s">
        <v>32</v>
      </c>
      <c r="C18" s="166">
        <v>45367</v>
      </c>
      <c r="D18" s="15">
        <f t="shared" ca="1" si="0"/>
        <v>885</v>
      </c>
      <c r="E18" s="170" t="s">
        <v>167</v>
      </c>
    </row>
    <row r="19" spans="1:5" outlineLevel="2" x14ac:dyDescent="0.3">
      <c r="A19" s="3" t="s">
        <v>25</v>
      </c>
      <c r="B19" s="5" t="s">
        <v>33</v>
      </c>
      <c r="C19" s="166">
        <v>45433</v>
      </c>
      <c r="D19" s="15">
        <f ca="1">$H$2-C19</f>
        <v>819</v>
      </c>
      <c r="E19" s="170" t="s">
        <v>146</v>
      </c>
    </row>
    <row r="20" spans="1:5" s="19" customFormat="1" outlineLevel="1" x14ac:dyDescent="0.3">
      <c r="A20" s="6" t="s">
        <v>25</v>
      </c>
      <c r="B20" s="7" t="s">
        <v>34</v>
      </c>
      <c r="C20" s="166">
        <v>45462</v>
      </c>
      <c r="D20" s="15">
        <f t="shared" ca="1" si="0"/>
        <v>790</v>
      </c>
      <c r="E20" s="170" t="s">
        <v>168</v>
      </c>
    </row>
    <row r="21" spans="1:5" s="19" customFormat="1" outlineLevel="1" x14ac:dyDescent="0.3">
      <c r="A21" s="6" t="s">
        <v>25</v>
      </c>
      <c r="B21" s="7" t="s">
        <v>35</v>
      </c>
      <c r="C21" s="166">
        <v>45286</v>
      </c>
      <c r="D21" s="15">
        <f t="shared" ca="1" si="0"/>
        <v>966</v>
      </c>
      <c r="E21" s="170"/>
    </row>
    <row r="22" spans="1:5" outlineLevel="2" x14ac:dyDescent="0.3">
      <c r="A22" s="3" t="s">
        <v>25</v>
      </c>
      <c r="B22" s="4" t="s">
        <v>36</v>
      </c>
      <c r="C22" s="166">
        <v>45026</v>
      </c>
      <c r="D22" s="15">
        <f t="shared" ca="1" si="0"/>
        <v>1226</v>
      </c>
      <c r="E22" s="170"/>
    </row>
    <row r="23" spans="1:5" outlineLevel="2" x14ac:dyDescent="0.3">
      <c r="A23" s="3" t="s">
        <v>25</v>
      </c>
      <c r="B23" s="4" t="s">
        <v>37</v>
      </c>
      <c r="C23" s="166">
        <v>45260</v>
      </c>
      <c r="D23" s="15">
        <f t="shared" ca="1" si="0"/>
        <v>992</v>
      </c>
      <c r="E23" s="170"/>
    </row>
    <row r="24" spans="1:5" outlineLevel="2" x14ac:dyDescent="0.3">
      <c r="A24" s="3" t="s">
        <v>25</v>
      </c>
      <c r="B24" s="8" t="s">
        <v>38</v>
      </c>
      <c r="C24" s="166">
        <v>45097</v>
      </c>
      <c r="D24" s="15">
        <f t="shared" ca="1" si="0"/>
        <v>1155</v>
      </c>
      <c r="E24" s="170"/>
    </row>
    <row r="25" spans="1:5" outlineLevel="2" x14ac:dyDescent="0.3">
      <c r="A25" s="3" t="s">
        <v>25</v>
      </c>
      <c r="B25" s="4" t="s">
        <v>39</v>
      </c>
      <c r="C25" s="166">
        <v>43829</v>
      </c>
      <c r="D25" s="15">
        <f t="shared" ca="1" si="0"/>
        <v>2423</v>
      </c>
      <c r="E25" s="170"/>
    </row>
    <row r="26" spans="1:5" outlineLevel="2" x14ac:dyDescent="0.3">
      <c r="A26" s="3" t="s">
        <v>25</v>
      </c>
      <c r="B26" s="4" t="s">
        <v>40</v>
      </c>
      <c r="C26" s="166">
        <v>45286</v>
      </c>
      <c r="D26" s="15">
        <f ca="1">$H$2-C26</f>
        <v>966</v>
      </c>
      <c r="E26" s="170"/>
    </row>
    <row r="27" spans="1:5" outlineLevel="2" x14ac:dyDescent="0.3">
      <c r="A27" s="3" t="s">
        <v>25</v>
      </c>
      <c r="B27" s="5" t="s">
        <v>41</v>
      </c>
      <c r="C27" s="166"/>
      <c r="D27" s="15">
        <f t="shared" ca="1" si="0"/>
        <v>46252</v>
      </c>
      <c r="E27" s="170"/>
    </row>
    <row r="28" spans="1:5" outlineLevel="2" x14ac:dyDescent="0.3">
      <c r="A28" s="3" t="s">
        <v>25</v>
      </c>
      <c r="B28" s="5" t="s">
        <v>42</v>
      </c>
      <c r="C28" s="166">
        <v>45129</v>
      </c>
      <c r="D28" s="15">
        <f t="shared" ca="1" si="0"/>
        <v>1123</v>
      </c>
      <c r="E28" s="170"/>
    </row>
    <row r="29" spans="1:5" outlineLevel="2" x14ac:dyDescent="0.3">
      <c r="A29" s="3" t="s">
        <v>25</v>
      </c>
      <c r="B29" s="4" t="s">
        <v>43</v>
      </c>
      <c r="C29" s="166">
        <v>45213</v>
      </c>
      <c r="D29" s="15">
        <f t="shared" ca="1" si="0"/>
        <v>1039</v>
      </c>
      <c r="E29" s="170"/>
    </row>
    <row r="30" spans="1:5" outlineLevel="2" x14ac:dyDescent="0.3">
      <c r="A30" s="3" t="s">
        <v>25</v>
      </c>
      <c r="B30" s="4" t="s">
        <v>44</v>
      </c>
      <c r="C30" s="166">
        <v>44967</v>
      </c>
      <c r="D30" s="15">
        <f t="shared" ca="1" si="0"/>
        <v>1285</v>
      </c>
      <c r="E30" s="170"/>
    </row>
    <row r="31" spans="1:5" s="19" customFormat="1" outlineLevel="1" x14ac:dyDescent="0.3">
      <c r="A31" s="6" t="s">
        <v>25</v>
      </c>
      <c r="B31" s="7" t="s">
        <v>45</v>
      </c>
      <c r="C31" s="166"/>
      <c r="D31" s="15">
        <f t="shared" ca="1" si="0"/>
        <v>46252</v>
      </c>
      <c r="E31" s="170"/>
    </row>
    <row r="32" spans="1:5" outlineLevel="2" x14ac:dyDescent="0.3">
      <c r="A32" s="3" t="s">
        <v>25</v>
      </c>
      <c r="B32" s="9" t="s">
        <v>46</v>
      </c>
      <c r="C32" s="166">
        <v>45173</v>
      </c>
      <c r="D32" s="15">
        <f t="shared" ca="1" si="0"/>
        <v>1079</v>
      </c>
      <c r="E32" s="170"/>
    </row>
    <row r="33" spans="1:5" outlineLevel="2" x14ac:dyDescent="0.3">
      <c r="A33" s="3" t="s">
        <v>25</v>
      </c>
      <c r="B33" s="9" t="s">
        <v>47</v>
      </c>
      <c r="C33" s="166"/>
      <c r="D33" s="15">
        <f t="shared" ca="1" si="0"/>
        <v>46252</v>
      </c>
      <c r="E33" s="170"/>
    </row>
    <row r="34" spans="1:5" outlineLevel="2" x14ac:dyDescent="0.3">
      <c r="A34" s="3" t="s">
        <v>25</v>
      </c>
      <c r="B34" s="9" t="s">
        <v>48</v>
      </c>
      <c r="C34" s="166">
        <v>45485</v>
      </c>
      <c r="D34" s="15">
        <f t="shared" ca="1" si="0"/>
        <v>767</v>
      </c>
      <c r="E34" s="170"/>
    </row>
    <row r="35" spans="1:5" outlineLevel="2" x14ac:dyDescent="0.3">
      <c r="A35" s="3" t="s">
        <v>25</v>
      </c>
      <c r="B35" s="9" t="s">
        <v>49</v>
      </c>
      <c r="C35" s="166"/>
      <c r="D35" s="15">
        <f t="shared" ca="1" si="0"/>
        <v>46252</v>
      </c>
      <c r="E35" s="170"/>
    </row>
    <row r="36" spans="1:5" outlineLevel="2" x14ac:dyDescent="0.3">
      <c r="A36" s="3" t="s">
        <v>25</v>
      </c>
      <c r="B36" s="9" t="s">
        <v>50</v>
      </c>
      <c r="C36" s="166">
        <v>43752</v>
      </c>
      <c r="D36" s="15">
        <f t="shared" ca="1" si="0"/>
        <v>2500</v>
      </c>
      <c r="E36" s="170"/>
    </row>
    <row r="37" spans="1:5" outlineLevel="2" x14ac:dyDescent="0.3">
      <c r="A37" s="3" t="s">
        <v>25</v>
      </c>
      <c r="B37" s="52" t="s">
        <v>80</v>
      </c>
      <c r="C37" s="166">
        <v>45525</v>
      </c>
      <c r="D37" s="15">
        <f t="shared" ca="1" si="0"/>
        <v>727</v>
      </c>
      <c r="E37" s="170" t="s">
        <v>169</v>
      </c>
    </row>
    <row r="38" spans="1:5" outlineLevel="2" x14ac:dyDescent="0.3">
      <c r="A38" s="3" t="s">
        <v>25</v>
      </c>
      <c r="B38" s="52" t="s">
        <v>81</v>
      </c>
      <c r="C38" s="166">
        <v>45518</v>
      </c>
      <c r="D38" s="15">
        <f t="shared" ca="1" si="0"/>
        <v>734</v>
      </c>
      <c r="E38" s="170" t="s">
        <v>170</v>
      </c>
    </row>
    <row r="39" spans="1:5" outlineLevel="2" x14ac:dyDescent="0.3">
      <c r="A39" s="3" t="s">
        <v>25</v>
      </c>
      <c r="B39" s="52" t="s">
        <v>53</v>
      </c>
      <c r="C39" s="166"/>
      <c r="D39" s="15">
        <f t="shared" ca="1" si="0"/>
        <v>46252</v>
      </c>
      <c r="E39" s="170"/>
    </row>
    <row r="40" spans="1:5" s="19" customFormat="1" outlineLevel="1" x14ac:dyDescent="0.3">
      <c r="A40" s="6" t="s">
        <v>25</v>
      </c>
      <c r="B40" s="7" t="s">
        <v>54</v>
      </c>
      <c r="C40" s="166">
        <v>45462</v>
      </c>
      <c r="D40" s="15">
        <f t="shared" ca="1" si="0"/>
        <v>790</v>
      </c>
      <c r="E40" s="170" t="s">
        <v>171</v>
      </c>
    </row>
    <row r="41" spans="1:5" outlineLevel="2" x14ac:dyDescent="0.3">
      <c r="A41" s="3" t="s">
        <v>25</v>
      </c>
      <c r="B41" s="4" t="s">
        <v>55</v>
      </c>
      <c r="C41" s="166">
        <v>45462</v>
      </c>
      <c r="D41" s="15">
        <f t="shared" ca="1" si="0"/>
        <v>790</v>
      </c>
      <c r="E41" s="170" t="s">
        <v>172</v>
      </c>
    </row>
    <row r="42" spans="1:5" outlineLevel="2" x14ac:dyDescent="0.3">
      <c r="A42" s="3" t="s">
        <v>25</v>
      </c>
      <c r="B42" s="4" t="s">
        <v>56</v>
      </c>
      <c r="C42" s="166"/>
      <c r="D42" s="15">
        <f t="shared" ca="1" si="0"/>
        <v>46252</v>
      </c>
      <c r="E42" s="170"/>
    </row>
    <row r="43" spans="1:5" outlineLevel="2" x14ac:dyDescent="0.3">
      <c r="A43" s="3" t="s">
        <v>25</v>
      </c>
      <c r="B43" s="4" t="s">
        <v>57</v>
      </c>
      <c r="C43" s="166"/>
      <c r="D43" s="15">
        <f t="shared" ca="1" si="0"/>
        <v>46252</v>
      </c>
      <c r="E43" s="170"/>
    </row>
    <row r="44" spans="1:5" ht="22.8" outlineLevel="2" x14ac:dyDescent="0.3">
      <c r="A44" s="3" t="s">
        <v>25</v>
      </c>
      <c r="B44" s="4" t="s">
        <v>58</v>
      </c>
      <c r="C44" s="166">
        <v>44901</v>
      </c>
      <c r="D44" s="15">
        <f t="shared" ca="1" si="0"/>
        <v>1351</v>
      </c>
      <c r="E44" s="182" t="s">
        <v>173</v>
      </c>
    </row>
    <row r="45" spans="1:5" outlineLevel="2" x14ac:dyDescent="0.3">
      <c r="A45" s="3" t="s">
        <v>25</v>
      </c>
      <c r="B45" s="4" t="s">
        <v>59</v>
      </c>
      <c r="C45" s="166"/>
      <c r="D45" s="15">
        <f t="shared" ref="D45:D76" ca="1" si="3">$H$2-C45</f>
        <v>46252</v>
      </c>
      <c r="E45" s="170"/>
    </row>
    <row r="46" spans="1:5" outlineLevel="2" x14ac:dyDescent="0.3">
      <c r="A46" s="3" t="s">
        <v>25</v>
      </c>
      <c r="B46" s="4" t="s">
        <v>60</v>
      </c>
      <c r="C46" s="166"/>
      <c r="D46" s="15">
        <f t="shared" ca="1" si="3"/>
        <v>46252</v>
      </c>
      <c r="E46" s="170"/>
    </row>
    <row r="47" spans="1:5" outlineLevel="2" x14ac:dyDescent="0.3">
      <c r="A47" s="3" t="s">
        <v>25</v>
      </c>
      <c r="B47" s="4" t="s">
        <v>61</v>
      </c>
      <c r="C47" s="166"/>
      <c r="D47" s="15">
        <f t="shared" ca="1" si="3"/>
        <v>46252</v>
      </c>
      <c r="E47" s="170"/>
    </row>
    <row r="48" spans="1:5" s="24" customFormat="1" x14ac:dyDescent="0.3">
      <c r="A48" s="172" t="s">
        <v>118</v>
      </c>
      <c r="B48" s="172" t="s">
        <v>118</v>
      </c>
      <c r="C48" s="166">
        <v>45463</v>
      </c>
      <c r="D48" s="15">
        <f t="shared" ca="1" si="3"/>
        <v>789</v>
      </c>
      <c r="E48" s="170" t="s">
        <v>174</v>
      </c>
    </row>
    <row r="49" spans="1:8" outlineLevel="2" x14ac:dyDescent="0.3">
      <c r="A49" s="10" t="s">
        <v>63</v>
      </c>
      <c r="B49" s="4" t="s">
        <v>64</v>
      </c>
      <c r="C49" s="166">
        <v>45581</v>
      </c>
      <c r="D49" s="15">
        <f t="shared" ca="1" si="3"/>
        <v>671</v>
      </c>
      <c r="E49" s="170" t="s">
        <v>175</v>
      </c>
    </row>
    <row r="50" spans="1:8" outlineLevel="2" x14ac:dyDescent="0.3">
      <c r="A50" s="10" t="s">
        <v>63</v>
      </c>
      <c r="B50" s="4" t="s">
        <v>65</v>
      </c>
      <c r="C50" s="166">
        <v>41454</v>
      </c>
      <c r="D50" s="15">
        <f t="shared" ca="1" si="3"/>
        <v>4798</v>
      </c>
      <c r="E50" s="170"/>
    </row>
    <row r="51" spans="1:8" outlineLevel="2" x14ac:dyDescent="0.3">
      <c r="A51" s="10" t="s">
        <v>63</v>
      </c>
      <c r="B51" s="4" t="s">
        <v>66</v>
      </c>
      <c r="C51" s="166">
        <v>41163</v>
      </c>
      <c r="D51" s="15">
        <f t="shared" ca="1" si="3"/>
        <v>5089</v>
      </c>
      <c r="E51" s="170"/>
    </row>
    <row r="52" spans="1:8" outlineLevel="2" x14ac:dyDescent="0.3">
      <c r="A52" s="10" t="s">
        <v>63</v>
      </c>
      <c r="B52" s="5" t="s">
        <v>176</v>
      </c>
      <c r="C52" s="166">
        <v>44708</v>
      </c>
      <c r="D52" s="15">
        <f t="shared" ca="1" si="3"/>
        <v>1544</v>
      </c>
      <c r="E52" s="170"/>
    </row>
    <row r="53" spans="1:8" outlineLevel="2" x14ac:dyDescent="0.3">
      <c r="A53" s="10" t="s">
        <v>63</v>
      </c>
      <c r="B53" s="5" t="s">
        <v>177</v>
      </c>
      <c r="C53" s="166">
        <v>45324</v>
      </c>
      <c r="D53" s="15">
        <f t="shared" ca="1" si="3"/>
        <v>928</v>
      </c>
      <c r="E53" s="170" t="s">
        <v>178</v>
      </c>
    </row>
    <row r="54" spans="1:8" outlineLevel="2" x14ac:dyDescent="0.3">
      <c r="A54" s="10" t="s">
        <v>63</v>
      </c>
      <c r="B54" s="5" t="s">
        <v>68</v>
      </c>
      <c r="C54" s="166"/>
      <c r="D54" s="15">
        <f t="shared" ca="1" si="3"/>
        <v>46252</v>
      </c>
      <c r="E54" s="170"/>
    </row>
    <row r="55" spans="1:8" outlineLevel="2" x14ac:dyDescent="0.3">
      <c r="A55" s="10" t="s">
        <v>63</v>
      </c>
      <c r="B55" s="5" t="s">
        <v>69</v>
      </c>
      <c r="C55" s="166"/>
      <c r="D55" s="15">
        <f t="shared" ca="1" si="3"/>
        <v>46252</v>
      </c>
      <c r="E55" s="170"/>
    </row>
    <row r="56" spans="1:8" outlineLevel="2" x14ac:dyDescent="0.3">
      <c r="A56" s="10" t="s">
        <v>63</v>
      </c>
      <c r="B56" s="4" t="s">
        <v>70</v>
      </c>
      <c r="C56" s="166">
        <v>44647</v>
      </c>
      <c r="D56" s="15">
        <f t="shared" ca="1" si="3"/>
        <v>1605</v>
      </c>
      <c r="E56" s="170"/>
    </row>
    <row r="57" spans="1:8" outlineLevel="2" x14ac:dyDescent="0.3">
      <c r="A57" s="10" t="s">
        <v>63</v>
      </c>
      <c r="B57" s="4" t="s">
        <v>71</v>
      </c>
      <c r="C57" s="166"/>
      <c r="D57" s="15">
        <f t="shared" ca="1" si="3"/>
        <v>46252</v>
      </c>
      <c r="E57" s="170"/>
    </row>
    <row r="58" spans="1:8" s="27" customFormat="1" outlineLevel="1" x14ac:dyDescent="0.3">
      <c r="A58" s="173" t="s">
        <v>63</v>
      </c>
      <c r="B58" s="173" t="s">
        <v>63</v>
      </c>
      <c r="C58" s="166">
        <v>45581</v>
      </c>
      <c r="D58" s="15">
        <f t="shared" ca="1" si="3"/>
        <v>671</v>
      </c>
      <c r="E58" s="170" t="s">
        <v>179</v>
      </c>
    </row>
    <row r="59" spans="1:8" outlineLevel="2" x14ac:dyDescent="0.3">
      <c r="A59" s="10" t="s">
        <v>72</v>
      </c>
      <c r="B59" s="5" t="s">
        <v>73</v>
      </c>
      <c r="C59" s="166">
        <v>45493</v>
      </c>
      <c r="D59" s="15">
        <f t="shared" ca="1" si="3"/>
        <v>759</v>
      </c>
      <c r="E59" s="170" t="s">
        <v>180</v>
      </c>
    </row>
    <row r="60" spans="1:8" outlineLevel="2" x14ac:dyDescent="0.3">
      <c r="A60" s="10" t="s">
        <v>72</v>
      </c>
      <c r="B60" s="5" t="s">
        <v>181</v>
      </c>
      <c r="C60" s="166">
        <v>44733</v>
      </c>
      <c r="D60" s="15">
        <f t="shared" ca="1" si="3"/>
        <v>1519</v>
      </c>
      <c r="E60" s="170"/>
      <c r="F60" s="171"/>
      <c r="H60" s="15"/>
    </row>
    <row r="61" spans="1:8" outlineLevel="2" x14ac:dyDescent="0.3">
      <c r="A61" s="10" t="s">
        <v>72</v>
      </c>
      <c r="B61" s="5" t="s">
        <v>182</v>
      </c>
      <c r="C61" s="166">
        <v>44377</v>
      </c>
      <c r="D61" s="15">
        <f t="shared" ca="1" si="3"/>
        <v>1875</v>
      </c>
      <c r="E61" s="170"/>
      <c r="F61" s="171"/>
      <c r="H61" s="15"/>
    </row>
    <row r="62" spans="1:8" outlineLevel="2" x14ac:dyDescent="0.3">
      <c r="A62" s="10" t="s">
        <v>72</v>
      </c>
      <c r="B62" s="5" t="s">
        <v>75</v>
      </c>
      <c r="C62" s="166">
        <v>45479</v>
      </c>
      <c r="D62" s="15">
        <f t="shared" ca="1" si="3"/>
        <v>773</v>
      </c>
      <c r="E62" s="170" t="s">
        <v>183</v>
      </c>
    </row>
    <row r="63" spans="1:8" outlineLevel="2" x14ac:dyDescent="0.3">
      <c r="A63" s="10" t="s">
        <v>72</v>
      </c>
      <c r="B63" s="5" t="s">
        <v>76</v>
      </c>
      <c r="C63" s="166">
        <v>45563</v>
      </c>
      <c r="D63" s="15">
        <f t="shared" ca="1" si="3"/>
        <v>689</v>
      </c>
      <c r="E63" s="170"/>
    </row>
    <row r="64" spans="1:8" outlineLevel="2" x14ac:dyDescent="0.3">
      <c r="A64" s="10" t="s">
        <v>72</v>
      </c>
      <c r="B64" s="5" t="s">
        <v>77</v>
      </c>
      <c r="C64" s="166">
        <v>45508</v>
      </c>
      <c r="D64" s="15">
        <f t="shared" ca="1" si="3"/>
        <v>744</v>
      </c>
      <c r="E64" s="170"/>
    </row>
    <row r="65" spans="1:5" outlineLevel="2" x14ac:dyDescent="0.3">
      <c r="A65" s="10" t="s">
        <v>72</v>
      </c>
      <c r="B65" s="5" t="s">
        <v>78</v>
      </c>
      <c r="C65" s="166"/>
      <c r="D65" s="15">
        <f t="shared" ca="1" si="3"/>
        <v>46252</v>
      </c>
      <c r="E65" s="170"/>
    </row>
    <row r="66" spans="1:5" outlineLevel="2" x14ac:dyDescent="0.3">
      <c r="A66" s="10" t="s">
        <v>72</v>
      </c>
      <c r="B66" s="5" t="s">
        <v>79</v>
      </c>
      <c r="C66" s="166">
        <v>45539</v>
      </c>
      <c r="D66" s="15">
        <f t="shared" ca="1" si="3"/>
        <v>713</v>
      </c>
      <c r="E66" s="170"/>
    </row>
    <row r="67" spans="1:5" outlineLevel="2" x14ac:dyDescent="0.3">
      <c r="A67" s="10" t="s">
        <v>72</v>
      </c>
      <c r="B67" s="5" t="s">
        <v>80</v>
      </c>
      <c r="C67" s="166"/>
      <c r="D67" s="15">
        <f t="shared" ca="1" si="3"/>
        <v>46252</v>
      </c>
      <c r="E67" s="170"/>
    </row>
    <row r="68" spans="1:5" outlineLevel="2" x14ac:dyDescent="0.3">
      <c r="A68" s="10" t="s">
        <v>72</v>
      </c>
      <c r="B68" s="5" t="s">
        <v>81</v>
      </c>
      <c r="C68" s="166">
        <v>45463</v>
      </c>
      <c r="D68" s="15">
        <f t="shared" ca="1" si="3"/>
        <v>789</v>
      </c>
      <c r="E68" s="170" t="s">
        <v>184</v>
      </c>
    </row>
    <row r="69" spans="1:5" s="27" customFormat="1" outlineLevel="1" x14ac:dyDescent="0.3">
      <c r="A69" s="174" t="s">
        <v>82</v>
      </c>
      <c r="B69" s="174" t="s">
        <v>82</v>
      </c>
      <c r="C69" s="166">
        <v>45479</v>
      </c>
      <c r="D69" s="15">
        <f t="shared" ca="1" si="3"/>
        <v>773</v>
      </c>
      <c r="E69" s="170" t="s">
        <v>185</v>
      </c>
    </row>
    <row r="70" spans="1:5" s="30" customFormat="1" x14ac:dyDescent="0.3">
      <c r="A70" s="175" t="s">
        <v>83</v>
      </c>
      <c r="B70" s="175" t="s">
        <v>83</v>
      </c>
      <c r="C70" s="166">
        <v>45479</v>
      </c>
      <c r="D70" s="15">
        <f t="shared" ca="1" si="3"/>
        <v>773</v>
      </c>
      <c r="E70" s="170" t="s">
        <v>185</v>
      </c>
    </row>
    <row r="71" spans="1:5" outlineLevel="1" x14ac:dyDescent="0.3">
      <c r="A71" s="10" t="s">
        <v>84</v>
      </c>
      <c r="B71" s="11" t="s">
        <v>85</v>
      </c>
      <c r="C71" s="166">
        <v>45580</v>
      </c>
      <c r="D71" s="15">
        <f t="shared" ca="1" si="3"/>
        <v>672</v>
      </c>
      <c r="E71" s="170" t="s">
        <v>186</v>
      </c>
    </row>
    <row r="72" spans="1:5" outlineLevel="1" x14ac:dyDescent="0.3">
      <c r="A72" s="10" t="s">
        <v>84</v>
      </c>
      <c r="B72" s="11" t="s">
        <v>86</v>
      </c>
      <c r="C72" s="166">
        <v>45502</v>
      </c>
      <c r="D72" s="15">
        <f t="shared" ca="1" si="3"/>
        <v>750</v>
      </c>
      <c r="E72" s="170" t="s">
        <v>187</v>
      </c>
    </row>
    <row r="73" spans="1:5" outlineLevel="1" x14ac:dyDescent="0.3">
      <c r="A73" s="10" t="s">
        <v>84</v>
      </c>
      <c r="B73" s="11" t="s">
        <v>87</v>
      </c>
      <c r="C73" s="166">
        <v>45387</v>
      </c>
      <c r="D73" s="15">
        <f t="shared" ca="1" si="3"/>
        <v>865</v>
      </c>
      <c r="E73" s="170" t="s">
        <v>188</v>
      </c>
    </row>
    <row r="74" spans="1:5" outlineLevel="1" x14ac:dyDescent="0.3">
      <c r="A74" s="10" t="s">
        <v>84</v>
      </c>
      <c r="B74" s="11" t="s">
        <v>88</v>
      </c>
      <c r="C74" s="166"/>
      <c r="D74" s="15">
        <f t="shared" ca="1" si="3"/>
        <v>46252</v>
      </c>
      <c r="E74" s="170"/>
    </row>
    <row r="75" spans="1:5" outlineLevel="1" x14ac:dyDescent="0.3">
      <c r="A75" s="10" t="s">
        <v>84</v>
      </c>
      <c r="B75" s="11" t="s">
        <v>89</v>
      </c>
      <c r="C75" s="166">
        <v>45469</v>
      </c>
      <c r="D75" s="15">
        <f t="shared" ca="1" si="3"/>
        <v>783</v>
      </c>
      <c r="E75" s="170" t="s">
        <v>189</v>
      </c>
    </row>
    <row r="76" spans="1:5" outlineLevel="1" x14ac:dyDescent="0.3">
      <c r="A76" s="10" t="s">
        <v>84</v>
      </c>
      <c r="B76" s="11" t="s">
        <v>119</v>
      </c>
      <c r="C76" s="166"/>
      <c r="D76" s="15">
        <f t="shared" ca="1" si="3"/>
        <v>46252</v>
      </c>
      <c r="E76" s="170"/>
    </row>
    <row r="77" spans="1:5" outlineLevel="1" x14ac:dyDescent="0.3">
      <c r="A77" s="10" t="s">
        <v>84</v>
      </c>
      <c r="B77" s="11" t="s">
        <v>120</v>
      </c>
      <c r="C77" s="166">
        <v>45277</v>
      </c>
      <c r="D77" s="15">
        <f t="shared" ref="D77:D88" ca="1" si="4">$H$2-C77</f>
        <v>975</v>
      </c>
      <c r="E77" s="170" t="s">
        <v>190</v>
      </c>
    </row>
    <row r="78" spans="1:5" outlineLevel="1" x14ac:dyDescent="0.3">
      <c r="A78" s="10" t="s">
        <v>84</v>
      </c>
      <c r="B78" s="11" t="s">
        <v>92</v>
      </c>
      <c r="C78" s="166"/>
      <c r="D78" s="15">
        <f t="shared" ca="1" si="4"/>
        <v>46252</v>
      </c>
      <c r="E78" s="170"/>
    </row>
    <row r="79" spans="1:5" s="19" customFormat="1" x14ac:dyDescent="0.3">
      <c r="A79" s="176" t="s">
        <v>93</v>
      </c>
      <c r="B79" s="176" t="s">
        <v>93</v>
      </c>
      <c r="C79" s="166">
        <f>C71</f>
        <v>45580</v>
      </c>
      <c r="D79" s="15">
        <f ca="1">D71</f>
        <v>672</v>
      </c>
      <c r="E79" s="170" t="str">
        <f>E71</f>
        <v>Golpe en el Torax por bandeja</v>
      </c>
    </row>
    <row r="80" spans="1:5" s="30" customFormat="1" x14ac:dyDescent="0.3">
      <c r="A80" s="177" t="s">
        <v>94</v>
      </c>
      <c r="B80" s="177" t="s">
        <v>94</v>
      </c>
      <c r="C80" s="166">
        <v>45479</v>
      </c>
      <c r="D80" s="15">
        <f t="shared" ca="1" si="4"/>
        <v>773</v>
      </c>
      <c r="E80" s="170" t="s">
        <v>185</v>
      </c>
    </row>
    <row r="81" spans="1:5" outlineLevel="1" x14ac:dyDescent="0.3">
      <c r="A81" s="10" t="s">
        <v>95</v>
      </c>
      <c r="B81" s="4" t="s">
        <v>96</v>
      </c>
      <c r="C81" s="166">
        <v>45392</v>
      </c>
      <c r="D81" s="15">
        <f t="shared" ca="1" si="4"/>
        <v>860</v>
      </c>
      <c r="E81" s="170" t="s">
        <v>191</v>
      </c>
    </row>
    <row r="82" spans="1:5" outlineLevel="1" x14ac:dyDescent="0.3">
      <c r="A82" s="10" t="s">
        <v>95</v>
      </c>
      <c r="B82" s="13" t="s">
        <v>97</v>
      </c>
      <c r="C82" s="166">
        <v>45247</v>
      </c>
      <c r="D82" s="15">
        <f t="shared" ca="1" si="4"/>
        <v>1005</v>
      </c>
      <c r="E82" s="170"/>
    </row>
    <row r="83" spans="1:5" outlineLevel="1" x14ac:dyDescent="0.3">
      <c r="A83" s="10" t="s">
        <v>95</v>
      </c>
      <c r="B83" s="4" t="s">
        <v>98</v>
      </c>
      <c r="C83" s="166">
        <v>45295</v>
      </c>
      <c r="D83" s="15">
        <f t="shared" ca="1" si="4"/>
        <v>957</v>
      </c>
      <c r="E83" s="170"/>
    </row>
    <row r="84" spans="1:5" outlineLevel="1" x14ac:dyDescent="0.3">
      <c r="A84" s="10" t="s">
        <v>95</v>
      </c>
      <c r="B84" s="13" t="s">
        <v>99</v>
      </c>
      <c r="C84" s="166"/>
      <c r="D84" s="15">
        <f t="shared" ca="1" si="4"/>
        <v>46252</v>
      </c>
      <c r="E84" s="170"/>
    </row>
    <row r="85" spans="1:5" outlineLevel="1" x14ac:dyDescent="0.3">
      <c r="A85" s="10" t="s">
        <v>95</v>
      </c>
      <c r="B85" s="13" t="s">
        <v>100</v>
      </c>
      <c r="C85" s="166">
        <v>45349</v>
      </c>
      <c r="D85" s="15">
        <f t="shared" ca="1" si="4"/>
        <v>903</v>
      </c>
      <c r="E85" s="170"/>
    </row>
    <row r="86" spans="1:5" outlineLevel="1" x14ac:dyDescent="0.3">
      <c r="A86" s="10" t="s">
        <v>95</v>
      </c>
      <c r="B86" s="14" t="s">
        <v>101</v>
      </c>
      <c r="C86" s="166">
        <v>45349</v>
      </c>
      <c r="D86" s="15">
        <f t="shared" ca="1" si="4"/>
        <v>903</v>
      </c>
      <c r="E86" s="170"/>
    </row>
    <row r="87" spans="1:5" s="19" customFormat="1" x14ac:dyDescent="0.3">
      <c r="A87" s="178" t="s">
        <v>102</v>
      </c>
      <c r="B87" s="178" t="s">
        <v>102</v>
      </c>
      <c r="C87" s="166">
        <v>45392</v>
      </c>
      <c r="D87" s="15">
        <f t="shared" ca="1" si="4"/>
        <v>860</v>
      </c>
      <c r="E87" s="170" t="s">
        <v>191</v>
      </c>
    </row>
    <row r="88" spans="1:5" s="32" customFormat="1" x14ac:dyDescent="0.3">
      <c r="A88" s="179" t="s">
        <v>116</v>
      </c>
      <c r="B88" s="179" t="s">
        <v>116</v>
      </c>
      <c r="C88" s="180"/>
      <c r="D88" s="15">
        <f t="shared" ca="1" si="4"/>
        <v>46252</v>
      </c>
      <c r="E88" s="170" t="s">
        <v>192</v>
      </c>
    </row>
    <row r="89" spans="1:5" x14ac:dyDescent="0.3">
      <c r="C89" s="148"/>
    </row>
    <row r="90" spans="1:5" x14ac:dyDescent="0.3">
      <c r="C90" s="148"/>
    </row>
    <row r="91" spans="1:5" x14ac:dyDescent="0.3">
      <c r="A91" s="17" t="s">
        <v>105</v>
      </c>
      <c r="B91" s="53" t="s">
        <v>106</v>
      </c>
      <c r="C91" s="167">
        <f>C20</f>
        <v>45462</v>
      </c>
      <c r="D91" s="15">
        <f t="shared" ref="D91:D93" ca="1" si="5">$H$2-C91</f>
        <v>790</v>
      </c>
      <c r="E91" s="47" t="str">
        <f t="shared" ref="E91" si="6">E20</f>
        <v>MCA - caída de escalera</v>
      </c>
    </row>
    <row r="92" spans="1:5" x14ac:dyDescent="0.3">
      <c r="A92" s="17" t="s">
        <v>105</v>
      </c>
      <c r="B92" s="53" t="s">
        <v>108</v>
      </c>
      <c r="C92" s="167">
        <f>C21+C31+C40</f>
        <v>90748</v>
      </c>
      <c r="D92" s="15">
        <f t="shared" ca="1" si="5"/>
        <v>-44496</v>
      </c>
      <c r="E92" s="47" t="e">
        <f t="shared" ref="E92" si="7">E21+E31+E40</f>
        <v>#VALUE!</v>
      </c>
    </row>
    <row r="93" spans="1:5" x14ac:dyDescent="0.3">
      <c r="A93" s="17" t="s">
        <v>105</v>
      </c>
      <c r="B93" s="53" t="s">
        <v>62</v>
      </c>
      <c r="C93" s="167">
        <f>C48</f>
        <v>45463</v>
      </c>
      <c r="D93" s="15">
        <f t="shared" ca="1" si="5"/>
        <v>789</v>
      </c>
      <c r="E93" s="47" t="str">
        <f t="shared" ref="E93" si="8">E48</f>
        <v>Caida de Escalera</v>
      </c>
    </row>
    <row r="94" spans="1:5" x14ac:dyDescent="0.3">
      <c r="C94" s="168"/>
      <c r="D94" s="17"/>
      <c r="E94" s="17"/>
    </row>
    <row r="95" spans="1:5" x14ac:dyDescent="0.3">
      <c r="A95" s="17" t="s">
        <v>110</v>
      </c>
      <c r="B95" s="53" t="s">
        <v>106</v>
      </c>
      <c r="C95" s="167">
        <f>C20+C49+C52+C56+C59+C60+C62+C63+C64</f>
        <v>407174</v>
      </c>
      <c r="D95" s="15">
        <f t="shared" ref="D95:D97" ca="1" si="9">$H$2-C95</f>
        <v>-360922</v>
      </c>
      <c r="E95" s="47" t="e">
        <f t="shared" ref="E95" si="10">E20+E49+E52+E56+E59+E60+E62+E63+E64</f>
        <v>#VALUE!</v>
      </c>
    </row>
    <row r="96" spans="1:5" x14ac:dyDescent="0.3">
      <c r="A96" s="17" t="s">
        <v>110</v>
      </c>
      <c r="B96" s="53" t="s">
        <v>108</v>
      </c>
      <c r="C96" s="167">
        <f>C21+C31+C40+C50+C51+C54+C55+C57+C65+C66</f>
        <v>218904</v>
      </c>
      <c r="D96" s="15">
        <f t="shared" ca="1" si="9"/>
        <v>-172652</v>
      </c>
      <c r="E96" s="47" t="e">
        <f t="shared" ref="E96" si="11">E21+E31+E40+E50+E51+E54+E55+E57+E65+E66</f>
        <v>#VALUE!</v>
      </c>
    </row>
    <row r="97" spans="1:5" x14ac:dyDescent="0.3">
      <c r="A97" s="17" t="s">
        <v>110</v>
      </c>
      <c r="B97" s="53" t="s">
        <v>112</v>
      </c>
      <c r="C97" s="167">
        <f>C70</f>
        <v>45479</v>
      </c>
      <c r="D97" s="15">
        <f t="shared" ca="1" si="9"/>
        <v>773</v>
      </c>
      <c r="E97" s="47" t="str">
        <f t="shared" ref="E97" si="12">E70</f>
        <v>L2 Golpe con Traspaleta</v>
      </c>
    </row>
    <row r="98" spans="1:5" x14ac:dyDescent="0.3">
      <c r="C98" s="168"/>
      <c r="D98" s="17"/>
      <c r="E98" s="17"/>
    </row>
    <row r="99" spans="1:5" x14ac:dyDescent="0.3">
      <c r="A99" s="17" t="s">
        <v>113</v>
      </c>
      <c r="B99" s="53" t="s">
        <v>106</v>
      </c>
      <c r="C99" s="167">
        <f>C95+C71+C72+C73+C74</f>
        <v>543643</v>
      </c>
      <c r="D99" s="15">
        <f t="shared" ref="D99:D101" ca="1" si="13">$H$2-C99</f>
        <v>-497391</v>
      </c>
      <c r="E99" s="47" t="e">
        <f t="shared" ref="E99" si="14">E95+E71+E72+E73+E74</f>
        <v>#VALUE!</v>
      </c>
    </row>
    <row r="100" spans="1:5" x14ac:dyDescent="0.3">
      <c r="A100" s="17" t="s">
        <v>113</v>
      </c>
      <c r="B100" s="53" t="s">
        <v>108</v>
      </c>
      <c r="C100" s="167">
        <f>C96+C75+C76+C77</f>
        <v>309650</v>
      </c>
      <c r="D100" s="15">
        <f t="shared" ca="1" si="13"/>
        <v>-263398</v>
      </c>
      <c r="E100" s="47" t="e">
        <f t="shared" ref="E100" si="15">E96+E75+E76+E77</f>
        <v>#VALUE!</v>
      </c>
    </row>
    <row r="101" spans="1:5" x14ac:dyDescent="0.3">
      <c r="A101" s="17" t="s">
        <v>113</v>
      </c>
      <c r="B101" s="53" t="s">
        <v>115</v>
      </c>
      <c r="C101" s="167">
        <f>C80</f>
        <v>45479</v>
      </c>
      <c r="D101" s="15">
        <f t="shared" ca="1" si="13"/>
        <v>773</v>
      </c>
      <c r="E101" s="47" t="str">
        <f t="shared" ref="E101" si="16">E80</f>
        <v>L2 Golpe con Traspaleta</v>
      </c>
    </row>
    <row r="102" spans="1:5" x14ac:dyDescent="0.3">
      <c r="C102" s="168"/>
      <c r="D102" s="17"/>
      <c r="E102" s="17"/>
    </row>
    <row r="103" spans="1:5" x14ac:dyDescent="0.3">
      <c r="A103" s="17" t="s">
        <v>116</v>
      </c>
      <c r="B103" s="53" t="s">
        <v>117</v>
      </c>
      <c r="C103" s="167">
        <f>C88</f>
        <v>0</v>
      </c>
      <c r="D103" s="15">
        <f t="shared" ref="D103" ca="1" si="17">$H$2-C103</f>
        <v>46252</v>
      </c>
      <c r="E103" s="47" t="str">
        <f t="shared" ref="E103" si="18">E88</f>
        <v>ITDC L2 Golpe con Traspaleta</v>
      </c>
    </row>
    <row r="104" spans="1:5" x14ac:dyDescent="0.3">
      <c r="C104" s="148"/>
    </row>
    <row r="107" spans="1:5" ht="29.4" customHeight="1" thickBot="1" x14ac:dyDescent="0.35">
      <c r="A107" s="142" t="s">
        <v>20</v>
      </c>
      <c r="B107" s="143" t="s">
        <v>21</v>
      </c>
      <c r="C107" s="184" t="s">
        <v>143</v>
      </c>
      <c r="D107" s="33" t="s">
        <v>141</v>
      </c>
      <c r="E107" s="21" t="s">
        <v>144</v>
      </c>
    </row>
    <row r="108" spans="1:5" hidden="1" x14ac:dyDescent="0.3">
      <c r="A108" s="1" t="s">
        <v>25</v>
      </c>
      <c r="B108" s="183" t="s">
        <v>41</v>
      </c>
      <c r="C108" s="166"/>
      <c r="D108" s="15">
        <f t="shared" ref="D108:D139" ca="1" si="19">$H$2-C108</f>
        <v>46252</v>
      </c>
      <c r="E108" s="170"/>
    </row>
    <row r="109" spans="1:5" hidden="1" x14ac:dyDescent="0.3">
      <c r="A109" s="3" t="s">
        <v>25</v>
      </c>
      <c r="B109" s="9" t="s">
        <v>47</v>
      </c>
      <c r="C109" s="166"/>
      <c r="D109" s="15">
        <f t="shared" ca="1" si="19"/>
        <v>46252</v>
      </c>
      <c r="E109" s="170"/>
    </row>
    <row r="110" spans="1:5" hidden="1" x14ac:dyDescent="0.3">
      <c r="A110" s="3" t="s">
        <v>25</v>
      </c>
      <c r="B110" s="9" t="s">
        <v>49</v>
      </c>
      <c r="C110" s="166"/>
      <c r="D110" s="15">
        <f t="shared" ca="1" si="19"/>
        <v>46252</v>
      </c>
      <c r="E110" s="170"/>
    </row>
    <row r="111" spans="1:5" hidden="1" x14ac:dyDescent="0.3">
      <c r="A111" s="3" t="s">
        <v>25</v>
      </c>
      <c r="B111" s="52" t="s">
        <v>53</v>
      </c>
      <c r="C111" s="166"/>
      <c r="D111" s="15">
        <f t="shared" ca="1" si="19"/>
        <v>46252</v>
      </c>
      <c r="E111" s="170"/>
    </row>
    <row r="112" spans="1:5" hidden="1" x14ac:dyDescent="0.3">
      <c r="A112" s="3" t="s">
        <v>25</v>
      </c>
      <c r="B112" s="4" t="s">
        <v>56</v>
      </c>
      <c r="C112" s="166"/>
      <c r="D112" s="15">
        <f t="shared" ca="1" si="19"/>
        <v>46252</v>
      </c>
      <c r="E112" s="170"/>
    </row>
    <row r="113" spans="1:5" hidden="1" x14ac:dyDescent="0.3">
      <c r="A113" s="3" t="s">
        <v>25</v>
      </c>
      <c r="B113" s="4" t="s">
        <v>57</v>
      </c>
      <c r="C113" s="166"/>
      <c r="D113" s="15">
        <f t="shared" ca="1" si="19"/>
        <v>46252</v>
      </c>
      <c r="E113" s="170"/>
    </row>
    <row r="114" spans="1:5" hidden="1" x14ac:dyDescent="0.3">
      <c r="A114" s="3" t="s">
        <v>25</v>
      </c>
      <c r="B114" s="4" t="s">
        <v>59</v>
      </c>
      <c r="C114" s="166"/>
      <c r="D114" s="15">
        <f t="shared" ca="1" si="19"/>
        <v>46252</v>
      </c>
      <c r="E114" s="170"/>
    </row>
    <row r="115" spans="1:5" hidden="1" x14ac:dyDescent="0.3">
      <c r="A115" s="3" t="s">
        <v>25</v>
      </c>
      <c r="B115" s="4" t="s">
        <v>60</v>
      </c>
      <c r="C115" s="166"/>
      <c r="D115" s="15">
        <f t="shared" ca="1" si="19"/>
        <v>46252</v>
      </c>
      <c r="E115" s="170"/>
    </row>
    <row r="116" spans="1:5" hidden="1" x14ac:dyDescent="0.3">
      <c r="A116" s="3" t="s">
        <v>25</v>
      </c>
      <c r="B116" s="4" t="s">
        <v>61</v>
      </c>
      <c r="C116" s="166"/>
      <c r="D116" s="15">
        <f t="shared" ca="1" si="19"/>
        <v>46252</v>
      </c>
      <c r="E116" s="185"/>
    </row>
    <row r="117" spans="1:5" hidden="1" x14ac:dyDescent="0.3">
      <c r="A117" s="10" t="s">
        <v>63</v>
      </c>
      <c r="B117" s="5" t="s">
        <v>68</v>
      </c>
      <c r="C117" s="166"/>
      <c r="D117" s="15">
        <f t="shared" ca="1" si="19"/>
        <v>46252</v>
      </c>
      <c r="E117" s="170"/>
    </row>
    <row r="118" spans="1:5" hidden="1" x14ac:dyDescent="0.3">
      <c r="A118" s="10" t="s">
        <v>63</v>
      </c>
      <c r="B118" s="5" t="s">
        <v>69</v>
      </c>
      <c r="C118" s="166"/>
      <c r="D118" s="15">
        <f t="shared" ca="1" si="19"/>
        <v>46252</v>
      </c>
      <c r="E118" s="170"/>
    </row>
    <row r="119" spans="1:5" hidden="1" x14ac:dyDescent="0.3">
      <c r="A119" s="10" t="s">
        <v>63</v>
      </c>
      <c r="B119" s="4" t="s">
        <v>71</v>
      </c>
      <c r="C119" s="166"/>
      <c r="D119" s="15">
        <f t="shared" ca="1" si="19"/>
        <v>46252</v>
      </c>
      <c r="E119" s="170"/>
    </row>
    <row r="120" spans="1:5" hidden="1" x14ac:dyDescent="0.3">
      <c r="A120" s="10" t="s">
        <v>72</v>
      </c>
      <c r="B120" s="5" t="s">
        <v>78</v>
      </c>
      <c r="C120" s="166"/>
      <c r="D120" s="15">
        <f t="shared" ca="1" si="19"/>
        <v>46252</v>
      </c>
      <c r="E120" s="170"/>
    </row>
    <row r="121" spans="1:5" hidden="1" x14ac:dyDescent="0.3">
      <c r="A121" s="10" t="s">
        <v>84</v>
      </c>
      <c r="B121" s="11" t="s">
        <v>193</v>
      </c>
      <c r="C121" s="166"/>
      <c r="D121" s="15">
        <f t="shared" ca="1" si="19"/>
        <v>46252</v>
      </c>
      <c r="E121" s="170"/>
    </row>
    <row r="122" spans="1:5" hidden="1" x14ac:dyDescent="0.3">
      <c r="A122" s="10" t="s">
        <v>84</v>
      </c>
      <c r="B122" s="11" t="s">
        <v>90</v>
      </c>
      <c r="C122" s="166"/>
      <c r="D122" s="15">
        <f t="shared" ca="1" si="19"/>
        <v>46252</v>
      </c>
      <c r="E122" s="170"/>
    </row>
    <row r="123" spans="1:5" hidden="1" x14ac:dyDescent="0.3">
      <c r="A123" s="10" t="s">
        <v>84</v>
      </c>
      <c r="B123" s="11" t="s">
        <v>91</v>
      </c>
      <c r="C123" s="166"/>
      <c r="D123" s="15">
        <f t="shared" ca="1" si="19"/>
        <v>46252</v>
      </c>
      <c r="E123" s="170"/>
    </row>
    <row r="124" spans="1:5" hidden="1" x14ac:dyDescent="0.3">
      <c r="A124" s="10" t="s">
        <v>84</v>
      </c>
      <c r="B124" s="186" t="s">
        <v>92</v>
      </c>
      <c r="C124" s="166"/>
      <c r="D124" s="15">
        <f t="shared" ca="1" si="19"/>
        <v>46252</v>
      </c>
      <c r="E124" s="170"/>
    </row>
    <row r="125" spans="1:5" hidden="1" x14ac:dyDescent="0.3">
      <c r="A125" s="10" t="s">
        <v>63</v>
      </c>
      <c r="B125" s="4" t="s">
        <v>66</v>
      </c>
      <c r="C125" s="166">
        <v>41163</v>
      </c>
      <c r="D125" s="15">
        <f t="shared" ca="1" si="19"/>
        <v>5089</v>
      </c>
      <c r="E125" s="170"/>
    </row>
    <row r="126" spans="1:5" hidden="1" x14ac:dyDescent="0.3">
      <c r="A126" s="10" t="s">
        <v>63</v>
      </c>
      <c r="B126" s="4" t="s">
        <v>65</v>
      </c>
      <c r="C126" s="166">
        <v>41454</v>
      </c>
      <c r="D126" s="15">
        <f t="shared" ca="1" si="19"/>
        <v>4798</v>
      </c>
      <c r="E126" s="170"/>
    </row>
    <row r="127" spans="1:5" hidden="1" x14ac:dyDescent="0.3">
      <c r="A127" s="187" t="s">
        <v>25</v>
      </c>
      <c r="B127" s="188" t="s">
        <v>50</v>
      </c>
      <c r="C127" s="189">
        <v>43752</v>
      </c>
      <c r="D127" s="190">
        <f t="shared" ca="1" si="19"/>
        <v>2500</v>
      </c>
      <c r="E127" s="170"/>
    </row>
    <row r="128" spans="1:5" hidden="1" x14ac:dyDescent="0.3">
      <c r="A128" s="187" t="s">
        <v>25</v>
      </c>
      <c r="B128" s="191" t="s">
        <v>39</v>
      </c>
      <c r="C128" s="189">
        <v>43829</v>
      </c>
      <c r="D128" s="190">
        <f t="shared" ca="1" si="19"/>
        <v>2423</v>
      </c>
      <c r="E128" s="170"/>
    </row>
    <row r="129" spans="1:5" hidden="1" x14ac:dyDescent="0.3">
      <c r="A129" s="187" t="s">
        <v>72</v>
      </c>
      <c r="B129" s="191" t="s">
        <v>194</v>
      </c>
      <c r="C129" s="189">
        <v>44377</v>
      </c>
      <c r="D129" s="190">
        <f t="shared" ca="1" si="19"/>
        <v>1875</v>
      </c>
      <c r="E129" s="170"/>
    </row>
    <row r="130" spans="1:5" hidden="1" x14ac:dyDescent="0.3">
      <c r="A130" s="187" t="s">
        <v>25</v>
      </c>
      <c r="B130" s="191" t="s">
        <v>163</v>
      </c>
      <c r="C130" s="189">
        <v>44445</v>
      </c>
      <c r="D130" s="190">
        <f t="shared" ca="1" si="19"/>
        <v>1807</v>
      </c>
      <c r="E130" s="170" t="s">
        <v>164</v>
      </c>
    </row>
    <row r="131" spans="1:5" ht="22.8" hidden="1" x14ac:dyDescent="0.3">
      <c r="A131" s="187" t="s">
        <v>25</v>
      </c>
      <c r="B131" s="191" t="s">
        <v>149</v>
      </c>
      <c r="C131" s="189">
        <v>44492</v>
      </c>
      <c r="D131" s="190">
        <f t="shared" ca="1" si="19"/>
        <v>1760</v>
      </c>
      <c r="E131" s="182" t="s">
        <v>195</v>
      </c>
    </row>
    <row r="132" spans="1:5" ht="22.8" hidden="1" x14ac:dyDescent="0.3">
      <c r="A132" s="192" t="s">
        <v>25</v>
      </c>
      <c r="B132" s="193" t="s">
        <v>30</v>
      </c>
      <c r="C132" s="194">
        <v>44548</v>
      </c>
      <c r="D132" s="195">
        <f t="shared" ca="1" si="19"/>
        <v>1704</v>
      </c>
      <c r="E132" s="182" t="s">
        <v>196</v>
      </c>
    </row>
    <row r="133" spans="1:5" hidden="1" x14ac:dyDescent="0.3">
      <c r="A133" s="192" t="s">
        <v>63</v>
      </c>
      <c r="B133" s="193" t="s">
        <v>70</v>
      </c>
      <c r="C133" s="194">
        <v>44647</v>
      </c>
      <c r="D133" s="195">
        <f t="shared" ca="1" si="19"/>
        <v>1605</v>
      </c>
      <c r="E133" s="170"/>
    </row>
    <row r="134" spans="1:5" hidden="1" x14ac:dyDescent="0.3">
      <c r="A134" s="192" t="s">
        <v>63</v>
      </c>
      <c r="B134" s="193" t="s">
        <v>176</v>
      </c>
      <c r="C134" s="194">
        <v>44708</v>
      </c>
      <c r="D134" s="195">
        <f t="shared" ca="1" si="19"/>
        <v>1544</v>
      </c>
      <c r="E134" s="170"/>
    </row>
    <row r="135" spans="1:5" hidden="1" x14ac:dyDescent="0.3">
      <c r="A135" s="192" t="s">
        <v>72</v>
      </c>
      <c r="B135" s="193" t="s">
        <v>197</v>
      </c>
      <c r="C135" s="194">
        <v>44733</v>
      </c>
      <c r="D135" s="195">
        <f t="shared" ca="1" si="19"/>
        <v>1519</v>
      </c>
      <c r="E135" s="170"/>
    </row>
    <row r="136" spans="1:5" hidden="1" x14ac:dyDescent="0.3">
      <c r="A136" s="192" t="s">
        <v>25</v>
      </c>
      <c r="B136" s="193" t="s">
        <v>151</v>
      </c>
      <c r="C136" s="194">
        <v>44776</v>
      </c>
      <c r="D136" s="195">
        <f t="shared" ca="1" si="19"/>
        <v>1476</v>
      </c>
      <c r="E136" s="170" t="s">
        <v>198</v>
      </c>
    </row>
    <row r="137" spans="1:5" hidden="1" x14ac:dyDescent="0.3">
      <c r="A137" s="192" t="s">
        <v>25</v>
      </c>
      <c r="B137" s="193" t="s">
        <v>157</v>
      </c>
      <c r="C137" s="194">
        <v>44872</v>
      </c>
      <c r="D137" s="195">
        <f t="shared" ca="1" si="19"/>
        <v>1380</v>
      </c>
      <c r="E137" s="170" t="s">
        <v>158</v>
      </c>
    </row>
    <row r="138" spans="1:5" ht="22.8" hidden="1" x14ac:dyDescent="0.3">
      <c r="A138" s="192" t="s">
        <v>25</v>
      </c>
      <c r="B138" s="193" t="s">
        <v>58</v>
      </c>
      <c r="C138" s="194">
        <v>44901</v>
      </c>
      <c r="D138" s="195">
        <f t="shared" ca="1" si="19"/>
        <v>1351</v>
      </c>
      <c r="E138" s="182" t="s">
        <v>173</v>
      </c>
    </row>
    <row r="139" spans="1:5" hidden="1" x14ac:dyDescent="0.3">
      <c r="A139" s="192" t="s">
        <v>25</v>
      </c>
      <c r="B139" s="193" t="s">
        <v>155</v>
      </c>
      <c r="C139" s="194">
        <v>44939</v>
      </c>
      <c r="D139" s="195">
        <f t="shared" ca="1" si="19"/>
        <v>1313</v>
      </c>
      <c r="E139" s="170" t="s">
        <v>156</v>
      </c>
    </row>
    <row r="140" spans="1:5" hidden="1" x14ac:dyDescent="0.3">
      <c r="A140" s="192" t="s">
        <v>25</v>
      </c>
      <c r="B140" s="193" t="s">
        <v>44</v>
      </c>
      <c r="C140" s="194">
        <v>44967</v>
      </c>
      <c r="D140" s="195">
        <f t="shared" ref="D140:D171" ca="1" si="20">$H$2-C140</f>
        <v>1285</v>
      </c>
      <c r="E140" s="170"/>
    </row>
    <row r="141" spans="1:5" hidden="1" x14ac:dyDescent="0.3">
      <c r="A141" s="192" t="s">
        <v>63</v>
      </c>
      <c r="B141" s="193" t="s">
        <v>64</v>
      </c>
      <c r="C141" s="194">
        <v>44985</v>
      </c>
      <c r="D141" s="195">
        <f t="shared" ca="1" si="20"/>
        <v>1267</v>
      </c>
      <c r="E141" s="170" t="s">
        <v>179</v>
      </c>
    </row>
    <row r="142" spans="1:5" hidden="1" x14ac:dyDescent="0.3">
      <c r="A142" s="192" t="s">
        <v>25</v>
      </c>
      <c r="B142" s="193" t="s">
        <v>159</v>
      </c>
      <c r="C142" s="194">
        <v>44992</v>
      </c>
      <c r="D142" s="195">
        <f t="shared" ca="1" si="20"/>
        <v>1260</v>
      </c>
      <c r="E142" s="170" t="s">
        <v>160</v>
      </c>
    </row>
    <row r="143" spans="1:5" x14ac:dyDescent="0.3">
      <c r="A143" s="3" t="s">
        <v>25</v>
      </c>
      <c r="B143" s="4" t="s">
        <v>36</v>
      </c>
      <c r="C143" s="166">
        <v>45026</v>
      </c>
      <c r="D143" s="15">
        <f t="shared" ca="1" si="20"/>
        <v>1226</v>
      </c>
      <c r="E143" s="170"/>
    </row>
    <row r="144" spans="1:5" x14ac:dyDescent="0.3">
      <c r="A144" s="3" t="s">
        <v>25</v>
      </c>
      <c r="B144" s="4" t="s">
        <v>38</v>
      </c>
      <c r="C144" s="166">
        <v>45097</v>
      </c>
      <c r="D144" s="15">
        <f t="shared" ca="1" si="20"/>
        <v>1155</v>
      </c>
      <c r="E144" s="170"/>
    </row>
    <row r="145" spans="1:5" x14ac:dyDescent="0.3">
      <c r="A145" s="3" t="s">
        <v>25</v>
      </c>
      <c r="B145" s="5" t="s">
        <v>42</v>
      </c>
      <c r="C145" s="166">
        <v>45129</v>
      </c>
      <c r="D145" s="15">
        <f t="shared" ca="1" si="20"/>
        <v>1123</v>
      </c>
      <c r="E145" s="170"/>
    </row>
    <row r="146" spans="1:5" x14ac:dyDescent="0.3">
      <c r="A146" s="10" t="s">
        <v>72</v>
      </c>
      <c r="B146" s="5" t="s">
        <v>77</v>
      </c>
      <c r="C146" s="166">
        <v>45140</v>
      </c>
      <c r="D146" s="15">
        <f t="shared" ca="1" si="20"/>
        <v>1112</v>
      </c>
      <c r="E146" s="170"/>
    </row>
    <row r="147" spans="1:5" x14ac:dyDescent="0.3">
      <c r="A147" s="10" t="s">
        <v>72</v>
      </c>
      <c r="B147" s="5" t="s">
        <v>79</v>
      </c>
      <c r="C147" s="166">
        <v>45161</v>
      </c>
      <c r="D147" s="15">
        <f t="shared" ca="1" si="20"/>
        <v>1091</v>
      </c>
      <c r="E147" s="170"/>
    </row>
    <row r="148" spans="1:5" x14ac:dyDescent="0.3">
      <c r="A148" s="3" t="s">
        <v>25</v>
      </c>
      <c r="B148" s="9" t="s">
        <v>46</v>
      </c>
      <c r="C148" s="166">
        <v>45173</v>
      </c>
      <c r="D148" s="15">
        <f t="shared" ca="1" si="20"/>
        <v>1079</v>
      </c>
      <c r="E148" s="170"/>
    </row>
    <row r="149" spans="1:5" x14ac:dyDescent="0.3">
      <c r="A149" s="3" t="s">
        <v>25</v>
      </c>
      <c r="B149" s="4" t="s">
        <v>43</v>
      </c>
      <c r="C149" s="166">
        <v>45213</v>
      </c>
      <c r="D149" s="15">
        <f t="shared" ca="1" si="20"/>
        <v>1039</v>
      </c>
      <c r="E149" s="170"/>
    </row>
    <row r="150" spans="1:5" x14ac:dyDescent="0.3">
      <c r="A150" s="3" t="s">
        <v>25</v>
      </c>
      <c r="B150" s="4" t="s">
        <v>153</v>
      </c>
      <c r="C150" s="166">
        <v>45254</v>
      </c>
      <c r="D150" s="15">
        <f t="shared" ca="1" si="20"/>
        <v>998</v>
      </c>
      <c r="E150" s="170" t="s">
        <v>199</v>
      </c>
    </row>
    <row r="151" spans="1:5" x14ac:dyDescent="0.3">
      <c r="A151" s="3" t="s">
        <v>25</v>
      </c>
      <c r="B151" s="4" t="s">
        <v>37</v>
      </c>
      <c r="C151" s="166">
        <v>45260</v>
      </c>
      <c r="D151" s="15">
        <f t="shared" ca="1" si="20"/>
        <v>992</v>
      </c>
      <c r="E151" s="170"/>
    </row>
    <row r="152" spans="1:5" x14ac:dyDescent="0.3">
      <c r="A152" s="10" t="s">
        <v>84</v>
      </c>
      <c r="B152" s="11" t="s">
        <v>200</v>
      </c>
      <c r="C152" s="166">
        <v>45277</v>
      </c>
      <c r="D152" s="15">
        <f t="shared" ca="1" si="20"/>
        <v>975</v>
      </c>
      <c r="E152" s="170"/>
    </row>
    <row r="153" spans="1:5" x14ac:dyDescent="0.3">
      <c r="A153" s="3" t="s">
        <v>25</v>
      </c>
      <c r="B153" s="4" t="s">
        <v>40</v>
      </c>
      <c r="C153" s="166">
        <v>45286</v>
      </c>
      <c r="D153" s="15">
        <f t="shared" ca="1" si="20"/>
        <v>966</v>
      </c>
      <c r="E153" s="170"/>
    </row>
    <row r="154" spans="1:5" x14ac:dyDescent="0.3">
      <c r="A154" s="3" t="s">
        <v>25</v>
      </c>
      <c r="B154" s="4" t="s">
        <v>161</v>
      </c>
      <c r="C154" s="166">
        <v>45293</v>
      </c>
      <c r="D154" s="15">
        <f t="shared" ca="1" si="20"/>
        <v>959</v>
      </c>
      <c r="E154" s="170" t="s">
        <v>162</v>
      </c>
    </row>
    <row r="155" spans="1:5" x14ac:dyDescent="0.3">
      <c r="A155" s="10" t="s">
        <v>63</v>
      </c>
      <c r="B155" s="5" t="s">
        <v>177</v>
      </c>
      <c r="C155" s="166">
        <v>45324</v>
      </c>
      <c r="D155" s="15">
        <f t="shared" ca="1" si="20"/>
        <v>928</v>
      </c>
      <c r="E155" s="170" t="s">
        <v>178</v>
      </c>
    </row>
    <row r="156" spans="1:5" x14ac:dyDescent="0.3">
      <c r="A156" s="3" t="s">
        <v>25</v>
      </c>
      <c r="B156" s="4" t="s">
        <v>32</v>
      </c>
      <c r="C156" s="166">
        <v>45367</v>
      </c>
      <c r="D156" s="15">
        <f t="shared" ca="1" si="20"/>
        <v>885</v>
      </c>
      <c r="E156" s="170" t="s">
        <v>167</v>
      </c>
    </row>
    <row r="157" spans="1:5" x14ac:dyDescent="0.3">
      <c r="A157" s="3" t="s">
        <v>25</v>
      </c>
      <c r="B157" s="4" t="s">
        <v>28</v>
      </c>
      <c r="C157" s="166">
        <v>45378</v>
      </c>
      <c r="D157" s="15">
        <f t="shared" ca="1" si="20"/>
        <v>874</v>
      </c>
      <c r="E157" s="170" t="s">
        <v>201</v>
      </c>
    </row>
    <row r="158" spans="1:5" x14ac:dyDescent="0.3">
      <c r="A158" s="10" t="s">
        <v>84</v>
      </c>
      <c r="B158" s="11" t="s">
        <v>202</v>
      </c>
      <c r="C158" s="166">
        <v>45387</v>
      </c>
      <c r="D158" s="15">
        <f t="shared" ca="1" si="20"/>
        <v>865</v>
      </c>
      <c r="E158" s="170" t="s">
        <v>203</v>
      </c>
    </row>
    <row r="159" spans="1:5" x14ac:dyDescent="0.3">
      <c r="A159" s="3" t="s">
        <v>25</v>
      </c>
      <c r="B159" s="4" t="s">
        <v>81</v>
      </c>
      <c r="C159" s="166">
        <v>45391</v>
      </c>
      <c r="D159" s="15">
        <f t="shared" ca="1" si="20"/>
        <v>861</v>
      </c>
      <c r="E159" s="170" t="s">
        <v>204</v>
      </c>
    </row>
    <row r="160" spans="1:5" x14ac:dyDescent="0.3">
      <c r="A160" s="3" t="s">
        <v>25</v>
      </c>
      <c r="B160" s="5" t="s">
        <v>33</v>
      </c>
      <c r="C160" s="166">
        <v>45433</v>
      </c>
      <c r="D160" s="15">
        <f t="shared" ca="1" si="20"/>
        <v>819</v>
      </c>
      <c r="E160" s="170" t="s">
        <v>146</v>
      </c>
    </row>
    <row r="161" spans="1:5" x14ac:dyDescent="0.3">
      <c r="A161" s="3" t="s">
        <v>25</v>
      </c>
      <c r="B161" s="4" t="s">
        <v>26</v>
      </c>
      <c r="C161" s="166">
        <v>45434</v>
      </c>
      <c r="D161" s="15">
        <f t="shared" ca="1" si="20"/>
        <v>818</v>
      </c>
      <c r="E161" s="170" t="s">
        <v>145</v>
      </c>
    </row>
    <row r="162" spans="1:5" x14ac:dyDescent="0.3">
      <c r="A162" s="3" t="s">
        <v>25</v>
      </c>
      <c r="B162" s="4" t="s">
        <v>27</v>
      </c>
      <c r="C162" s="166">
        <v>45462</v>
      </c>
      <c r="D162" s="15">
        <f t="shared" ca="1" si="20"/>
        <v>790</v>
      </c>
      <c r="E162" s="170" t="s">
        <v>146</v>
      </c>
    </row>
    <row r="163" spans="1:5" x14ac:dyDescent="0.3">
      <c r="A163" s="3" t="s">
        <v>25</v>
      </c>
      <c r="B163" s="4" t="s">
        <v>55</v>
      </c>
      <c r="C163" s="166">
        <v>45462</v>
      </c>
      <c r="D163" s="15">
        <f t="shared" ca="1" si="20"/>
        <v>790</v>
      </c>
      <c r="E163" s="170" t="s">
        <v>172</v>
      </c>
    </row>
    <row r="164" spans="1:5" x14ac:dyDescent="0.3">
      <c r="A164" s="3" t="s">
        <v>25</v>
      </c>
      <c r="B164" s="4" t="s">
        <v>80</v>
      </c>
      <c r="C164" s="166">
        <v>45463</v>
      </c>
      <c r="D164" s="15">
        <f t="shared" ca="1" si="20"/>
        <v>789</v>
      </c>
      <c r="E164" s="170" t="s">
        <v>174</v>
      </c>
    </row>
    <row r="165" spans="1:5" x14ac:dyDescent="0.3">
      <c r="A165" s="10" t="s">
        <v>72</v>
      </c>
      <c r="B165" s="5" t="s">
        <v>76</v>
      </c>
      <c r="C165" s="166">
        <v>45463</v>
      </c>
      <c r="D165" s="15">
        <f t="shared" ca="1" si="20"/>
        <v>789</v>
      </c>
      <c r="E165" s="170" t="s">
        <v>205</v>
      </c>
    </row>
    <row r="166" spans="1:5" x14ac:dyDescent="0.3">
      <c r="A166" s="10" t="s">
        <v>72</v>
      </c>
      <c r="B166" s="5" t="s">
        <v>80</v>
      </c>
      <c r="C166" s="166">
        <v>45463</v>
      </c>
      <c r="D166" s="15">
        <f t="shared" ca="1" si="20"/>
        <v>789</v>
      </c>
      <c r="E166" s="170" t="s">
        <v>206</v>
      </c>
    </row>
    <row r="167" spans="1:5" x14ac:dyDescent="0.3">
      <c r="A167" s="10" t="s">
        <v>72</v>
      </c>
      <c r="B167" s="5" t="s">
        <v>81</v>
      </c>
      <c r="C167" s="166">
        <v>45463</v>
      </c>
      <c r="D167" s="15">
        <f t="shared" ca="1" si="20"/>
        <v>789</v>
      </c>
      <c r="E167" s="170" t="s">
        <v>184</v>
      </c>
    </row>
    <row r="168" spans="1:5" x14ac:dyDescent="0.3">
      <c r="A168" s="10" t="s">
        <v>84</v>
      </c>
      <c r="B168" s="11" t="s">
        <v>207</v>
      </c>
      <c r="C168" s="166">
        <v>45469</v>
      </c>
      <c r="D168" s="15">
        <f t="shared" ca="1" si="20"/>
        <v>783</v>
      </c>
      <c r="E168" s="170" t="s">
        <v>189</v>
      </c>
    </row>
    <row r="169" spans="1:5" x14ac:dyDescent="0.3">
      <c r="A169" s="10" t="s">
        <v>72</v>
      </c>
      <c r="B169" s="5" t="s">
        <v>73</v>
      </c>
      <c r="C169" s="166">
        <v>45475</v>
      </c>
      <c r="D169" s="15">
        <f t="shared" ca="1" si="20"/>
        <v>777</v>
      </c>
      <c r="E169" s="170" t="s">
        <v>180</v>
      </c>
    </row>
    <row r="170" spans="1:5" x14ac:dyDescent="0.3">
      <c r="A170" s="10" t="s">
        <v>72</v>
      </c>
      <c r="B170" s="5" t="s">
        <v>75</v>
      </c>
      <c r="C170" s="166">
        <v>45479</v>
      </c>
      <c r="D170" s="15">
        <f t="shared" ca="1" si="20"/>
        <v>773</v>
      </c>
      <c r="E170" s="170" t="s">
        <v>208</v>
      </c>
    </row>
    <row r="171" spans="1:5" x14ac:dyDescent="0.3">
      <c r="A171" s="3" t="s">
        <v>25</v>
      </c>
      <c r="B171" s="9" t="s">
        <v>48</v>
      </c>
      <c r="C171" s="166">
        <v>45485</v>
      </c>
      <c r="D171" s="15">
        <f t="shared" ca="1" si="20"/>
        <v>767</v>
      </c>
      <c r="E171" s="170"/>
    </row>
  </sheetData>
  <autoFilter ref="A107:E107" xr:uid="{00000000-0009-0000-0000-000004000000}">
    <sortState xmlns:xlrd2="http://schemas.microsoft.com/office/spreadsheetml/2017/richdata2" ref="A108:E171">
      <sortCondition descending="1" ref="D107"/>
    </sortState>
  </autoFilter>
  <mergeCells count="1">
    <mergeCell ref="C3:E3"/>
  </mergeCells>
  <pageMargins left="0.7" right="0.7" top="0.75" bottom="0.75" header="0.3" footer="0.3"/>
  <ignoredErrors>
    <ignoredError sqref="D18 D5:D6 D11:D16 D125:D171 D19:D25 D27:D78 D8 D80:D88 D10" unlockedFormula="1"/>
    <ignoredError sqref="D91:E103" formula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186D-D476-417C-AEB8-FBAA1703BEB4}">
  <dimension ref="C2:P14"/>
  <sheetViews>
    <sheetView topLeftCell="B1" workbookViewId="0">
      <selection activeCell="H7" sqref="H7"/>
    </sheetView>
  </sheetViews>
  <sheetFormatPr baseColWidth="10" defaultColWidth="11.44140625" defaultRowHeight="14.4" x14ac:dyDescent="0.3"/>
  <cols>
    <col min="3" max="3" width="19.44140625" customWidth="1"/>
    <col min="4" max="4" width="13.44140625" customWidth="1"/>
    <col min="5" max="5" width="14.88671875" customWidth="1"/>
    <col min="6" max="7" width="9.5546875" customWidth="1"/>
    <col min="8" max="8" width="8.109375" customWidth="1"/>
    <col min="9" max="9" width="8.5546875" customWidth="1"/>
    <col min="12" max="12" width="14.5546875" bestFit="1" customWidth="1"/>
  </cols>
  <sheetData>
    <row r="2" spans="3:16" x14ac:dyDescent="0.3">
      <c r="C2" s="20" t="s">
        <v>209</v>
      </c>
    </row>
    <row r="4" spans="3:16" x14ac:dyDescent="0.3">
      <c r="D4" s="216" t="s">
        <v>210</v>
      </c>
      <c r="E4" s="216" t="s">
        <v>211</v>
      </c>
      <c r="F4" s="216" t="s">
        <v>212</v>
      </c>
      <c r="G4" s="216" t="s">
        <v>213</v>
      </c>
      <c r="H4" s="216" t="s">
        <v>17</v>
      </c>
      <c r="I4" s="216" t="s">
        <v>18</v>
      </c>
      <c r="K4" s="216" t="s">
        <v>210</v>
      </c>
      <c r="L4" s="216" t="s">
        <v>211</v>
      </c>
      <c r="M4" s="216" t="s">
        <v>212</v>
      </c>
      <c r="N4" s="216" t="s">
        <v>213</v>
      </c>
      <c r="O4" s="216" t="s">
        <v>17</v>
      </c>
      <c r="P4" s="216" t="s">
        <v>18</v>
      </c>
    </row>
    <row r="5" spans="3:16" x14ac:dyDescent="0.3">
      <c r="C5" t="s">
        <v>214</v>
      </c>
      <c r="D5" s="217">
        <v>9682972.903333379</v>
      </c>
      <c r="E5" s="218">
        <f>(D5/9)*12</f>
        <v>12910630.537777837</v>
      </c>
      <c r="F5" s="216">
        <v>40</v>
      </c>
      <c r="G5" s="216">
        <v>1125</v>
      </c>
      <c r="H5" s="219">
        <f>(F5/E5)*1000000</f>
        <v>3.0982220336145372</v>
      </c>
      <c r="I5" s="219">
        <f>(G5/E5)*1000000</f>
        <v>87.137494695408861</v>
      </c>
      <c r="K5" s="217">
        <v>9682972.903333379</v>
      </c>
      <c r="L5" s="218">
        <f>(K5/9)*12</f>
        <v>12910630.537777837</v>
      </c>
      <c r="M5" s="216">
        <v>40</v>
      </c>
      <c r="N5" s="216">
        <v>1125</v>
      </c>
      <c r="O5" s="219">
        <f>(M5/L5)*1000000</f>
        <v>3.0982220336145372</v>
      </c>
      <c r="P5" s="219">
        <f>(N5/L5)*1000000</f>
        <v>87.137494695408861</v>
      </c>
    </row>
    <row r="6" spans="3:16" x14ac:dyDescent="0.3">
      <c r="C6" t="s">
        <v>215</v>
      </c>
      <c r="D6" s="217">
        <v>5926426.1493333634</v>
      </c>
      <c r="E6" s="218">
        <f t="shared" ref="E6:E7" si="0">(D6/9)*12</f>
        <v>7901901.5324444845</v>
      </c>
      <c r="F6" s="216">
        <v>7</v>
      </c>
      <c r="G6" s="216">
        <v>137</v>
      </c>
      <c r="H6" s="219">
        <f>(F6/E6)*1000000</f>
        <v>0.88586272193580751</v>
      </c>
      <c r="I6" s="219">
        <f t="shared" ref="I6:I7" si="1">(G6/E6)*1000000</f>
        <v>17.337598986457948</v>
      </c>
      <c r="K6" s="217">
        <v>5926426.1493333634</v>
      </c>
      <c r="L6" s="218">
        <f t="shared" ref="L6:L7" si="2">(K6/9)*12</f>
        <v>7901901.5324444845</v>
      </c>
      <c r="M6" s="216">
        <v>7</v>
      </c>
      <c r="N6" s="216">
        <v>137</v>
      </c>
      <c r="O6" s="219">
        <f t="shared" ref="O6:O7" si="3">(M6/L6)*1000000</f>
        <v>0.88586272193580751</v>
      </c>
      <c r="P6" s="219">
        <f t="shared" ref="P6:P7" si="4">(N6/L6)*1000000</f>
        <v>17.337598986457948</v>
      </c>
    </row>
    <row r="7" spans="3:16" x14ac:dyDescent="0.3">
      <c r="C7" t="s">
        <v>216</v>
      </c>
      <c r="D7" s="217">
        <v>20306466.602666743</v>
      </c>
      <c r="E7" s="218">
        <f t="shared" si="0"/>
        <v>27075288.803555656</v>
      </c>
      <c r="F7" s="216">
        <v>57</v>
      </c>
      <c r="G7" s="216">
        <v>1374</v>
      </c>
      <c r="H7" s="219">
        <f t="shared" ref="H7" si="5">(F7/E7)*1000000</f>
        <v>2.1052407017174453</v>
      </c>
      <c r="I7" s="219">
        <f t="shared" si="1"/>
        <v>50.747381125609998</v>
      </c>
      <c r="K7" s="217">
        <v>20306466.602666743</v>
      </c>
      <c r="L7" s="218">
        <f t="shared" si="2"/>
        <v>27075288.803555656</v>
      </c>
      <c r="M7" s="216">
        <v>57</v>
      </c>
      <c r="N7" s="216">
        <v>1374</v>
      </c>
      <c r="O7" s="219">
        <f t="shared" si="3"/>
        <v>2.1052407017174453</v>
      </c>
      <c r="P7" s="219">
        <f t="shared" si="4"/>
        <v>50.747381125609998</v>
      </c>
    </row>
    <row r="10" spans="3:16" x14ac:dyDescent="0.3">
      <c r="C10" t="s">
        <v>217</v>
      </c>
    </row>
    <row r="11" spans="3:16" x14ac:dyDescent="0.3">
      <c r="D11" s="216" t="s">
        <v>210</v>
      </c>
      <c r="E11" s="216" t="s">
        <v>211</v>
      </c>
      <c r="F11" s="216" t="s">
        <v>212</v>
      </c>
      <c r="G11" s="216" t="s">
        <v>213</v>
      </c>
      <c r="H11" s="216" t="s">
        <v>17</v>
      </c>
      <c r="I11" s="216" t="s">
        <v>18</v>
      </c>
    </row>
    <row r="12" spans="3:16" x14ac:dyDescent="0.3">
      <c r="C12" t="s">
        <v>214</v>
      </c>
      <c r="D12" s="217">
        <v>9682972.903333379</v>
      </c>
      <c r="E12" s="218">
        <f>(D12/9)*12</f>
        <v>12910630.537777837</v>
      </c>
      <c r="F12" s="216">
        <v>34</v>
      </c>
      <c r="G12">
        <v>887</v>
      </c>
      <c r="H12" s="219">
        <f>(F12/E12)*1000000</f>
        <v>2.6334887285723569</v>
      </c>
      <c r="I12" s="219">
        <f>(G12/E12)*1000000</f>
        <v>68.703073595402358</v>
      </c>
    </row>
    <row r="13" spans="3:16" x14ac:dyDescent="0.3">
      <c r="C13" t="s">
        <v>215</v>
      </c>
      <c r="D13" s="217">
        <v>5926426.1493333634</v>
      </c>
      <c r="E13" s="218">
        <f t="shared" ref="E13:E14" si="6">(D13/9)*12</f>
        <v>7901901.5324444845</v>
      </c>
    </row>
    <row r="14" spans="3:16" x14ac:dyDescent="0.3">
      <c r="C14" t="s">
        <v>216</v>
      </c>
      <c r="D14" s="217">
        <v>20306466.602666743</v>
      </c>
      <c r="E14" s="218">
        <f t="shared" si="6"/>
        <v>27075288.803555656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5CC2-6E35-4BF3-9694-2FB792273D68}">
  <dimension ref="B1:N1048576"/>
  <sheetViews>
    <sheetView workbookViewId="0">
      <selection activeCell="B12" sqref="B12"/>
    </sheetView>
  </sheetViews>
  <sheetFormatPr baseColWidth="10" defaultColWidth="11.44140625" defaultRowHeight="14.4" x14ac:dyDescent="0.3"/>
  <cols>
    <col min="2" max="2" width="15" style="220" customWidth="1"/>
    <col min="3" max="3" width="17.109375" customWidth="1"/>
    <col min="4" max="4" width="23.44140625" customWidth="1"/>
    <col min="5" max="5" width="8" customWidth="1"/>
    <col min="6" max="8" width="9.109375" customWidth="1"/>
    <col min="9" max="9" width="10.109375" customWidth="1"/>
    <col min="10" max="10" width="11.5546875" customWidth="1"/>
    <col min="11" max="14" width="11.44140625" style="36"/>
  </cols>
  <sheetData>
    <row r="1" spans="2:10" s="36" customFormat="1" x14ac:dyDescent="0.3">
      <c r="B1" s="225"/>
      <c r="F1"/>
      <c r="H1"/>
      <c r="J1"/>
    </row>
    <row r="2" spans="2:10" s="36" customFormat="1" x14ac:dyDescent="0.3">
      <c r="B2" s="225"/>
      <c r="F2"/>
      <c r="H2"/>
      <c r="J2"/>
    </row>
    <row r="3" spans="2:10" s="36" customFormat="1" x14ac:dyDescent="0.3">
      <c r="B3" s="225"/>
      <c r="E3" s="226" t="s">
        <v>218</v>
      </c>
      <c r="F3" s="226" t="s">
        <v>219</v>
      </c>
      <c r="G3" s="226" t="s">
        <v>220</v>
      </c>
      <c r="H3" s="226" t="s">
        <v>220</v>
      </c>
    </row>
    <row r="4" spans="2:10" x14ac:dyDescent="0.3">
      <c r="B4" s="221" t="s">
        <v>221</v>
      </c>
      <c r="C4" s="222" t="s">
        <v>20</v>
      </c>
      <c r="D4" s="223" t="s">
        <v>21</v>
      </c>
      <c r="E4" s="224" t="s">
        <v>17</v>
      </c>
      <c r="F4" s="224" t="s">
        <v>18</v>
      </c>
      <c r="G4" s="224" t="s">
        <v>17</v>
      </c>
      <c r="H4" s="224" t="s">
        <v>18</v>
      </c>
      <c r="I4" s="221" t="s">
        <v>222</v>
      </c>
      <c r="J4" s="221" t="s">
        <v>223</v>
      </c>
    </row>
    <row r="5" spans="2:10" s="36" customFormat="1" x14ac:dyDescent="0.3">
      <c r="B5" s="225" t="s">
        <v>214</v>
      </c>
      <c r="C5" s="282" t="s">
        <v>25</v>
      </c>
      <c r="D5" s="277" t="s">
        <v>32</v>
      </c>
      <c r="E5" s="227">
        <v>5.1820318228574243</v>
      </c>
      <c r="F5" s="227">
        <v>378.28832306859198</v>
      </c>
      <c r="G5" s="123">
        <v>7.4660139047753988</v>
      </c>
      <c r="H5" s="123">
        <v>99.546852063672006</v>
      </c>
      <c r="I5" s="279"/>
      <c r="J5" s="278"/>
    </row>
    <row r="6" spans="2:10" s="36" customFormat="1" x14ac:dyDescent="0.3">
      <c r="B6" s="225" t="s">
        <v>214</v>
      </c>
      <c r="C6" s="275" t="s">
        <v>25</v>
      </c>
      <c r="D6" s="277" t="s">
        <v>30</v>
      </c>
      <c r="E6" s="227">
        <v>7.7352183200910698</v>
      </c>
      <c r="F6" s="227">
        <v>260.41901677639936</v>
      </c>
      <c r="G6" s="123">
        <v>0</v>
      </c>
      <c r="H6" s="123">
        <v>0</v>
      </c>
      <c r="I6" s="278"/>
      <c r="J6" s="278"/>
    </row>
    <row r="7" spans="2:10" s="36" customFormat="1" x14ac:dyDescent="0.3">
      <c r="B7" s="225" t="s">
        <v>214</v>
      </c>
      <c r="C7" s="274" t="s">
        <v>72</v>
      </c>
      <c r="D7" s="277" t="s">
        <v>73</v>
      </c>
      <c r="E7" s="227">
        <v>8.0268879770296504</v>
      </c>
      <c r="F7" s="227">
        <v>248.83352728791917</v>
      </c>
      <c r="G7" s="123">
        <v>3.6832111354374928</v>
      </c>
      <c r="H7" s="123">
        <v>142.0667152240176</v>
      </c>
      <c r="I7" s="278"/>
      <c r="J7" s="278"/>
    </row>
    <row r="8" spans="2:10" s="36" customFormat="1" x14ac:dyDescent="0.3">
      <c r="B8" s="225" t="s">
        <v>214</v>
      </c>
      <c r="C8" s="275" t="s">
        <v>25</v>
      </c>
      <c r="D8" s="276" t="s">
        <v>33</v>
      </c>
      <c r="E8" s="227">
        <v>4.2546158398156422</v>
      </c>
      <c r="F8" s="227">
        <v>192.87591807164245</v>
      </c>
      <c r="G8" s="123">
        <v>3.9376626377721351</v>
      </c>
      <c r="H8" s="123">
        <v>88.597409349873047</v>
      </c>
      <c r="I8" s="278"/>
      <c r="J8" s="278"/>
    </row>
    <row r="9" spans="2:10" s="36" customFormat="1" x14ac:dyDescent="0.3">
      <c r="B9" s="225" t="s">
        <v>214</v>
      </c>
      <c r="C9" s="275" t="s">
        <v>25</v>
      </c>
      <c r="D9" s="277" t="s">
        <v>31</v>
      </c>
      <c r="E9" s="227">
        <v>3.9204950487507961</v>
      </c>
      <c r="F9" s="227">
        <v>173.62192358753526</v>
      </c>
      <c r="G9" s="123">
        <v>2.4177655025904348</v>
      </c>
      <c r="H9" s="123">
        <v>20.8532274598425</v>
      </c>
      <c r="I9" s="278"/>
      <c r="J9" s="278"/>
    </row>
    <row r="10" spans="2:10" s="36" customFormat="1" x14ac:dyDescent="0.3">
      <c r="B10" s="225" t="s">
        <v>214</v>
      </c>
      <c r="C10" s="274" t="s">
        <v>72</v>
      </c>
      <c r="D10" s="277" t="s">
        <v>77</v>
      </c>
      <c r="E10" s="227">
        <v>11.299291818768477</v>
      </c>
      <c r="F10" s="227">
        <v>152.5404395533744</v>
      </c>
      <c r="G10" s="123">
        <v>4.2353855450284712</v>
      </c>
      <c r="H10" s="123">
        <v>127.06156635085414</v>
      </c>
      <c r="I10" s="278"/>
      <c r="J10" s="278"/>
    </row>
    <row r="11" spans="2:10" s="36" customFormat="1" x14ac:dyDescent="0.3">
      <c r="B11" s="225" t="s">
        <v>214</v>
      </c>
      <c r="C11" s="274" t="s">
        <v>72</v>
      </c>
      <c r="D11" s="276" t="s">
        <v>76</v>
      </c>
      <c r="E11" s="227">
        <v>5.3830017723233148</v>
      </c>
      <c r="F11" s="227">
        <v>126.50054164959791</v>
      </c>
      <c r="G11" s="123">
        <v>2.1949885980141386</v>
      </c>
      <c r="H11" s="123">
        <v>62.713959943261102</v>
      </c>
      <c r="I11" s="278"/>
      <c r="J11" s="278"/>
    </row>
    <row r="12" spans="2:10" s="36" customFormat="1" x14ac:dyDescent="0.3">
      <c r="B12" s="225" t="s">
        <v>215</v>
      </c>
      <c r="C12" s="275" t="s">
        <v>25</v>
      </c>
      <c r="D12" s="277" t="s">
        <v>224</v>
      </c>
      <c r="E12" s="227">
        <v>16.796334367987527</v>
      </c>
      <c r="F12" s="227">
        <v>2519.4501551981293</v>
      </c>
      <c r="G12" s="123">
        <v>0</v>
      </c>
      <c r="H12" s="123">
        <v>0</v>
      </c>
      <c r="I12" s="278"/>
      <c r="J12" s="278"/>
    </row>
    <row r="13" spans="2:10" s="36" customFormat="1" x14ac:dyDescent="0.3">
      <c r="B13" s="225" t="s">
        <v>215</v>
      </c>
      <c r="C13" s="275" t="s">
        <v>25</v>
      </c>
      <c r="D13" s="277" t="s">
        <v>39</v>
      </c>
      <c r="E13" s="227">
        <v>4.0287595417140984</v>
      </c>
      <c r="F13" s="227">
        <v>70.503291979996732</v>
      </c>
      <c r="G13" s="123">
        <v>0</v>
      </c>
      <c r="H13" s="123">
        <v>0</v>
      </c>
      <c r="I13" s="278"/>
      <c r="J13" s="278"/>
    </row>
    <row r="14" spans="2:10" s="36" customFormat="1" x14ac:dyDescent="0.3">
      <c r="B14" s="225" t="s">
        <v>215</v>
      </c>
      <c r="C14" s="274" t="s">
        <v>84</v>
      </c>
      <c r="D14" s="280" t="s">
        <v>225</v>
      </c>
      <c r="E14" s="227">
        <v>2.29</v>
      </c>
      <c r="F14" s="227">
        <v>26.75</v>
      </c>
      <c r="G14" s="123">
        <v>1.25</v>
      </c>
      <c r="H14" s="123">
        <v>37.5</v>
      </c>
      <c r="I14" s="278"/>
      <c r="J14" s="279"/>
    </row>
    <row r="15" spans="2:10" s="36" customFormat="1" x14ac:dyDescent="0.3">
      <c r="B15" s="225" t="s">
        <v>215</v>
      </c>
      <c r="C15" s="274" t="s">
        <v>72</v>
      </c>
      <c r="D15" s="277" t="s">
        <v>226</v>
      </c>
      <c r="E15" s="227">
        <v>3.0097297640892466</v>
      </c>
      <c r="F15" s="227">
        <v>30.09729764089246</v>
      </c>
      <c r="G15" s="123">
        <v>0</v>
      </c>
      <c r="H15" s="123">
        <v>2.31786063804382</v>
      </c>
      <c r="I15" s="278"/>
      <c r="J15" s="278"/>
    </row>
    <row r="16" spans="2:10" s="36" customFormat="1" x14ac:dyDescent="0.3">
      <c r="B16" s="225" t="s">
        <v>215</v>
      </c>
      <c r="C16" s="275" t="s">
        <v>25</v>
      </c>
      <c r="D16" s="281" t="s">
        <v>48</v>
      </c>
      <c r="E16" s="227">
        <v>14.657670114476403</v>
      </c>
      <c r="F16" s="227">
        <v>29.315340228952806</v>
      </c>
      <c r="G16" s="123">
        <v>0</v>
      </c>
      <c r="H16" s="123">
        <v>0</v>
      </c>
      <c r="I16" s="278"/>
      <c r="J16" s="278"/>
    </row>
    <row r="17" spans="2:10" s="36" customFormat="1" x14ac:dyDescent="0.3">
      <c r="B17" s="225" t="s">
        <v>215</v>
      </c>
      <c r="C17" s="275" t="s">
        <v>25</v>
      </c>
      <c r="D17" s="277" t="s">
        <v>38</v>
      </c>
      <c r="E17" s="227">
        <v>2.5818376504701117</v>
      </c>
      <c r="F17" s="227">
        <v>7.7455129514103342</v>
      </c>
      <c r="G17" s="123">
        <v>0</v>
      </c>
      <c r="H17" s="123">
        <v>0</v>
      </c>
      <c r="I17" s="278"/>
      <c r="J17" s="278"/>
    </row>
    <row r="18" spans="2:10" s="36" customFormat="1" x14ac:dyDescent="0.3">
      <c r="B18" s="225" t="s">
        <v>215</v>
      </c>
      <c r="C18" s="274" t="s">
        <v>72</v>
      </c>
      <c r="D18" s="277" t="s">
        <v>79</v>
      </c>
      <c r="E18" s="227">
        <v>1.134796237746476</v>
      </c>
      <c r="F18" s="227">
        <v>4.539184950985903</v>
      </c>
      <c r="G18" s="123">
        <v>2.7</v>
      </c>
      <c r="H18" s="123">
        <v>95.774348124106027</v>
      </c>
      <c r="I18" s="279"/>
      <c r="J18" s="279"/>
    </row>
    <row r="19" spans="2:10" s="36" customFormat="1" x14ac:dyDescent="0.3">
      <c r="B19" s="225" t="s">
        <v>215</v>
      </c>
      <c r="C19" s="275" t="s">
        <v>25</v>
      </c>
      <c r="D19" s="277" t="s">
        <v>36</v>
      </c>
      <c r="E19" s="227">
        <v>0</v>
      </c>
      <c r="F19" s="227">
        <v>0</v>
      </c>
      <c r="G19" s="123">
        <v>0</v>
      </c>
      <c r="H19" s="123">
        <v>0</v>
      </c>
      <c r="I19" s="279"/>
      <c r="J19" s="279"/>
    </row>
    <row r="20" spans="2:10" s="36" customFormat="1" x14ac:dyDescent="0.3">
      <c r="B20" s="225" t="s">
        <v>215</v>
      </c>
      <c r="C20" s="275" t="s">
        <v>25</v>
      </c>
      <c r="D20" s="277" t="s">
        <v>37</v>
      </c>
      <c r="E20" s="227">
        <v>0</v>
      </c>
      <c r="F20" s="227">
        <v>0</v>
      </c>
      <c r="G20" s="123">
        <v>0</v>
      </c>
      <c r="H20" s="123">
        <v>0</v>
      </c>
      <c r="I20" s="279"/>
      <c r="J20" s="279"/>
    </row>
    <row r="21" spans="2:10" s="36" customFormat="1" x14ac:dyDescent="0.3">
      <c r="B21" s="225" t="s">
        <v>215</v>
      </c>
      <c r="C21" s="275" t="s">
        <v>25</v>
      </c>
      <c r="D21" s="277" t="s">
        <v>40</v>
      </c>
      <c r="E21" s="227">
        <v>0</v>
      </c>
      <c r="F21" s="227">
        <v>0</v>
      </c>
      <c r="G21" s="123">
        <v>0</v>
      </c>
      <c r="H21" s="123">
        <v>0</v>
      </c>
      <c r="I21" s="279"/>
      <c r="J21" s="279"/>
    </row>
    <row r="22" spans="2:10" s="36" customFormat="1" x14ac:dyDescent="0.3">
      <c r="B22" s="225" t="s">
        <v>215</v>
      </c>
      <c r="C22" s="275" t="s">
        <v>25</v>
      </c>
      <c r="D22" s="277" t="s">
        <v>41</v>
      </c>
      <c r="E22" s="227">
        <v>0</v>
      </c>
      <c r="F22" s="227">
        <v>0</v>
      </c>
      <c r="G22" s="123">
        <v>0</v>
      </c>
      <c r="H22" s="123">
        <v>0</v>
      </c>
      <c r="I22" s="279"/>
      <c r="J22" s="279"/>
    </row>
    <row r="23" spans="2:10" s="36" customFormat="1" x14ac:dyDescent="0.3">
      <c r="B23" s="225" t="s">
        <v>215</v>
      </c>
      <c r="C23" s="275" t="s">
        <v>25</v>
      </c>
      <c r="D23" s="277" t="s">
        <v>42</v>
      </c>
      <c r="E23" s="227">
        <v>0</v>
      </c>
      <c r="F23" s="227">
        <v>0</v>
      </c>
      <c r="G23" s="123">
        <v>0</v>
      </c>
      <c r="H23" s="123">
        <v>0</v>
      </c>
      <c r="I23" s="279"/>
      <c r="J23" s="279"/>
    </row>
    <row r="24" spans="2:10" s="36" customFormat="1" x14ac:dyDescent="0.3">
      <c r="B24" s="225" t="s">
        <v>215</v>
      </c>
      <c r="C24" s="275" t="s">
        <v>25</v>
      </c>
      <c r="D24" s="277" t="s">
        <v>43</v>
      </c>
      <c r="E24" s="227">
        <v>0</v>
      </c>
      <c r="F24" s="227">
        <v>0</v>
      </c>
      <c r="G24" s="123">
        <v>0</v>
      </c>
      <c r="H24" s="123">
        <v>0</v>
      </c>
      <c r="I24" s="279"/>
      <c r="J24" s="279"/>
    </row>
    <row r="25" spans="2:10" s="36" customFormat="1" x14ac:dyDescent="0.3">
      <c r="B25" s="225" t="s">
        <v>215</v>
      </c>
      <c r="C25" s="275" t="s">
        <v>25</v>
      </c>
      <c r="D25" s="277" t="s">
        <v>44</v>
      </c>
      <c r="E25" s="227">
        <v>0</v>
      </c>
      <c r="F25" s="227">
        <v>0</v>
      </c>
      <c r="G25" s="123">
        <v>0</v>
      </c>
      <c r="H25" s="123">
        <v>0</v>
      </c>
      <c r="I25" s="279"/>
      <c r="J25" s="279"/>
    </row>
    <row r="26" spans="2:10" s="36" customFormat="1" x14ac:dyDescent="0.3">
      <c r="B26" s="225" t="s">
        <v>215</v>
      </c>
      <c r="C26" s="275" t="s">
        <v>25</v>
      </c>
      <c r="D26" s="281" t="s">
        <v>46</v>
      </c>
      <c r="E26" s="227">
        <v>0</v>
      </c>
      <c r="F26" s="227">
        <v>0</v>
      </c>
      <c r="G26" s="123">
        <v>0</v>
      </c>
      <c r="H26" s="123">
        <v>0</v>
      </c>
      <c r="I26" s="279"/>
      <c r="J26" s="279"/>
    </row>
    <row r="27" spans="2:10" s="36" customFormat="1" x14ac:dyDescent="0.3">
      <c r="B27" s="225" t="s">
        <v>215</v>
      </c>
      <c r="C27" s="275" t="s">
        <v>25</v>
      </c>
      <c r="D27" s="281" t="s">
        <v>47</v>
      </c>
      <c r="E27" s="227">
        <v>0</v>
      </c>
      <c r="F27" s="227">
        <v>0</v>
      </c>
      <c r="G27" s="123">
        <v>0</v>
      </c>
      <c r="H27" s="123">
        <v>0</v>
      </c>
      <c r="I27" s="279"/>
      <c r="J27" s="279"/>
    </row>
    <row r="28" spans="2:10" s="36" customFormat="1" x14ac:dyDescent="0.3">
      <c r="B28" s="225" t="s">
        <v>215</v>
      </c>
      <c r="C28" s="275" t="s">
        <v>25</v>
      </c>
      <c r="D28" s="281" t="s">
        <v>49</v>
      </c>
      <c r="E28" s="227">
        <v>0</v>
      </c>
      <c r="F28" s="227">
        <v>0</v>
      </c>
      <c r="G28" s="123">
        <v>0</v>
      </c>
      <c r="H28" s="123">
        <v>0</v>
      </c>
      <c r="I28" s="279"/>
      <c r="J28" s="279"/>
    </row>
    <row r="29" spans="2:10" s="36" customFormat="1" x14ac:dyDescent="0.3">
      <c r="B29" s="225" t="s">
        <v>215</v>
      </c>
      <c r="C29" s="275" t="s">
        <v>25</v>
      </c>
      <c r="D29" s="281" t="s">
        <v>50</v>
      </c>
      <c r="E29" s="227">
        <v>0</v>
      </c>
      <c r="F29" s="227">
        <v>0</v>
      </c>
      <c r="G29" s="123">
        <v>0</v>
      </c>
      <c r="H29" s="123">
        <v>0</v>
      </c>
      <c r="I29" s="279"/>
      <c r="J29" s="279"/>
    </row>
    <row r="30" spans="2:10" s="36" customFormat="1" x14ac:dyDescent="0.3">
      <c r="B30" s="225" t="s">
        <v>215</v>
      </c>
      <c r="C30" s="275" t="s">
        <v>25</v>
      </c>
      <c r="D30" s="277" t="s">
        <v>227</v>
      </c>
      <c r="E30" s="227">
        <v>0</v>
      </c>
      <c r="F30" s="227">
        <v>0</v>
      </c>
      <c r="G30" s="123">
        <v>0</v>
      </c>
      <c r="H30" s="123">
        <v>0</v>
      </c>
      <c r="I30" s="279"/>
      <c r="J30" s="279"/>
    </row>
    <row r="31" spans="2:10" s="36" customFormat="1" x14ac:dyDescent="0.3">
      <c r="B31" s="225" t="s">
        <v>215</v>
      </c>
      <c r="C31" s="275" t="s">
        <v>25</v>
      </c>
      <c r="D31" s="277" t="s">
        <v>228</v>
      </c>
      <c r="E31" s="227">
        <v>0</v>
      </c>
      <c r="F31" s="227">
        <v>0</v>
      </c>
      <c r="G31" s="123">
        <v>0</v>
      </c>
      <c r="H31" s="123">
        <v>0</v>
      </c>
      <c r="I31" s="279"/>
      <c r="J31" s="279"/>
    </row>
    <row r="32" spans="2:10" s="36" customFormat="1" x14ac:dyDescent="0.3">
      <c r="B32" s="225" t="s">
        <v>215</v>
      </c>
      <c r="C32" s="275" t="s">
        <v>25</v>
      </c>
      <c r="D32" s="277" t="s">
        <v>229</v>
      </c>
      <c r="E32" s="227">
        <v>0</v>
      </c>
      <c r="F32" s="227">
        <v>0</v>
      </c>
      <c r="G32" s="123">
        <v>0</v>
      </c>
      <c r="H32" s="123">
        <v>0</v>
      </c>
      <c r="I32" s="279"/>
      <c r="J32" s="279"/>
    </row>
    <row r="33" spans="2:10" s="36" customFormat="1" x14ac:dyDescent="0.3">
      <c r="B33" s="225" t="s">
        <v>214</v>
      </c>
      <c r="C33" s="274" t="s">
        <v>63</v>
      </c>
      <c r="D33" s="277" t="s">
        <v>64</v>
      </c>
      <c r="E33" s="227">
        <v>3.1807987815929057</v>
      </c>
      <c r="F33" s="227">
        <v>106.55675918336237</v>
      </c>
      <c r="G33" s="123">
        <v>1.25</v>
      </c>
      <c r="H33" s="123">
        <v>18.75</v>
      </c>
      <c r="I33" s="278"/>
      <c r="J33" s="278"/>
    </row>
    <row r="34" spans="2:10" s="36" customFormat="1" x14ac:dyDescent="0.3">
      <c r="B34" s="225" t="s">
        <v>215</v>
      </c>
      <c r="C34" s="275" t="s">
        <v>25</v>
      </c>
      <c r="D34" s="277" t="s">
        <v>230</v>
      </c>
      <c r="E34" s="227">
        <v>0</v>
      </c>
      <c r="F34" s="227">
        <v>0</v>
      </c>
      <c r="G34" s="123">
        <v>0</v>
      </c>
      <c r="H34" s="123">
        <v>0</v>
      </c>
      <c r="I34" s="279"/>
      <c r="J34" s="279"/>
    </row>
    <row r="35" spans="2:10" s="36" customFormat="1" x14ac:dyDescent="0.3">
      <c r="B35" s="225" t="s">
        <v>215</v>
      </c>
      <c r="C35" s="275" t="s">
        <v>25</v>
      </c>
      <c r="D35" s="277" t="s">
        <v>231</v>
      </c>
      <c r="E35" s="227">
        <v>0</v>
      </c>
      <c r="F35" s="227">
        <v>0</v>
      </c>
      <c r="G35" s="123">
        <v>0</v>
      </c>
      <c r="H35" s="123">
        <v>0</v>
      </c>
      <c r="I35" s="279"/>
      <c r="J35" s="279"/>
    </row>
    <row r="36" spans="2:10" s="36" customFormat="1" x14ac:dyDescent="0.3">
      <c r="B36" s="225" t="s">
        <v>214</v>
      </c>
      <c r="C36" s="275" t="s">
        <v>25</v>
      </c>
      <c r="D36" s="277" t="s">
        <v>28</v>
      </c>
      <c r="E36" s="227">
        <v>7.2614919403248654</v>
      </c>
      <c r="F36" s="227">
        <v>95.609643880944077</v>
      </c>
      <c r="G36" s="123">
        <v>7.833854884939595</v>
      </c>
      <c r="H36" s="123">
        <v>44.866623431926762</v>
      </c>
      <c r="I36" s="279"/>
      <c r="J36" s="278"/>
    </row>
    <row r="37" spans="2:10" s="36" customFormat="1" x14ac:dyDescent="0.3">
      <c r="B37" s="225" t="s">
        <v>215</v>
      </c>
      <c r="C37" s="275" t="s">
        <v>25</v>
      </c>
      <c r="D37" s="277" t="s">
        <v>232</v>
      </c>
      <c r="E37" s="227">
        <v>0</v>
      </c>
      <c r="F37" s="227">
        <v>0</v>
      </c>
      <c r="G37" s="123">
        <v>0</v>
      </c>
      <c r="H37" s="123">
        <v>0</v>
      </c>
      <c r="I37" s="279"/>
      <c r="J37" s="279"/>
    </row>
    <row r="38" spans="2:10" s="36" customFormat="1" x14ac:dyDescent="0.3">
      <c r="B38" s="225" t="s">
        <v>215</v>
      </c>
      <c r="C38" s="274" t="s">
        <v>63</v>
      </c>
      <c r="D38" s="277" t="s">
        <v>65</v>
      </c>
      <c r="E38" s="227">
        <v>0</v>
      </c>
      <c r="F38" s="227">
        <v>0</v>
      </c>
      <c r="G38" s="123">
        <v>0</v>
      </c>
      <c r="H38" s="123">
        <v>0</v>
      </c>
      <c r="I38" s="279"/>
      <c r="J38" s="279"/>
    </row>
    <row r="39" spans="2:10" s="36" customFormat="1" x14ac:dyDescent="0.3">
      <c r="B39" s="225" t="s">
        <v>214</v>
      </c>
      <c r="C39" s="275" t="s">
        <v>25</v>
      </c>
      <c r="D39" s="277" t="s">
        <v>27</v>
      </c>
      <c r="E39" s="227">
        <v>1.9830488980197274</v>
      </c>
      <c r="F39" s="227">
        <v>55.525369144552364</v>
      </c>
      <c r="G39" s="123">
        <v>13.169766673177874</v>
      </c>
      <c r="H39" s="123">
        <v>147.35403270688528</v>
      </c>
      <c r="I39" s="279"/>
      <c r="J39" s="279"/>
    </row>
    <row r="40" spans="2:10" s="36" customFormat="1" x14ac:dyDescent="0.3">
      <c r="B40" s="225" t="s">
        <v>215</v>
      </c>
      <c r="C40" s="274" t="s">
        <v>63</v>
      </c>
      <c r="D40" s="277" t="s">
        <v>66</v>
      </c>
      <c r="E40" s="227">
        <v>0</v>
      </c>
      <c r="F40" s="227">
        <v>0</v>
      </c>
      <c r="G40" s="123">
        <v>0</v>
      </c>
      <c r="H40" s="123">
        <v>0</v>
      </c>
      <c r="I40" s="279"/>
      <c r="J40" s="279"/>
    </row>
    <row r="41" spans="2:10" s="36" customFormat="1" x14ac:dyDescent="0.3">
      <c r="B41" s="225" t="s">
        <v>214</v>
      </c>
      <c r="C41" s="274" t="s">
        <v>72</v>
      </c>
      <c r="D41" s="276" t="s">
        <v>75</v>
      </c>
      <c r="E41" s="227">
        <v>3.6848991175954886</v>
      </c>
      <c r="F41" s="227">
        <v>54.352261984533456</v>
      </c>
      <c r="G41" s="123">
        <v>1.1120945675228922</v>
      </c>
      <c r="H41" s="123">
        <v>22.983287728806438</v>
      </c>
      <c r="I41" s="278"/>
      <c r="J41" s="278"/>
    </row>
    <row r="42" spans="2:10" s="36" customFormat="1" x14ac:dyDescent="0.3">
      <c r="B42" s="225" t="s">
        <v>214</v>
      </c>
      <c r="C42" s="274" t="s">
        <v>63</v>
      </c>
      <c r="D42" s="277" t="s">
        <v>67</v>
      </c>
      <c r="E42" s="227">
        <v>4.9555732854955332</v>
      </c>
      <c r="F42" s="227">
        <v>39.644586283964266</v>
      </c>
      <c r="G42" s="123">
        <v>0</v>
      </c>
      <c r="H42" s="123">
        <v>0</v>
      </c>
      <c r="I42" s="278"/>
      <c r="J42" s="278"/>
    </row>
    <row r="43" spans="2:10" s="36" customFormat="1" x14ac:dyDescent="0.3">
      <c r="B43" s="225" t="s">
        <v>214</v>
      </c>
      <c r="C43" s="275" t="s">
        <v>25</v>
      </c>
      <c r="D43" s="277" t="s">
        <v>26</v>
      </c>
      <c r="E43" s="227">
        <v>2.3930973500036492</v>
      </c>
      <c r="F43" s="227">
        <v>2.3930973500036492</v>
      </c>
      <c r="G43" s="123">
        <v>6.7726259476463815</v>
      </c>
      <c r="H43" s="123">
        <v>169.31564869115957</v>
      </c>
      <c r="I43" s="279"/>
      <c r="J43" s="279"/>
    </row>
    <row r="44" spans="2:10" s="36" customFormat="1" x14ac:dyDescent="0.3">
      <c r="B44" s="225" t="s">
        <v>214</v>
      </c>
      <c r="C44" s="274" t="s">
        <v>63</v>
      </c>
      <c r="D44" s="277" t="s">
        <v>70</v>
      </c>
      <c r="E44" s="227">
        <v>0</v>
      </c>
      <c r="F44" s="227">
        <v>0</v>
      </c>
      <c r="G44" s="123">
        <v>0</v>
      </c>
      <c r="H44" s="123">
        <v>0</v>
      </c>
      <c r="I44" s="279"/>
      <c r="J44" s="279"/>
    </row>
    <row r="45" spans="2:10" s="36" customFormat="1" x14ac:dyDescent="0.3">
      <c r="B45" s="225" t="s">
        <v>214</v>
      </c>
      <c r="C45" s="274" t="s">
        <v>72</v>
      </c>
      <c r="D45" s="277" t="s">
        <v>74</v>
      </c>
      <c r="E45" s="227">
        <v>0</v>
      </c>
      <c r="F45" s="227">
        <v>0</v>
      </c>
      <c r="G45" s="123">
        <v>2.7931830691288067</v>
      </c>
      <c r="H45" s="123">
        <v>13.965915345644035</v>
      </c>
      <c r="I45" s="279"/>
      <c r="J45" s="279"/>
    </row>
    <row r="46" spans="2:10" s="36" customFormat="1" x14ac:dyDescent="0.3">
      <c r="B46" s="225" t="s">
        <v>215</v>
      </c>
      <c r="C46" s="274" t="s">
        <v>63</v>
      </c>
      <c r="D46" s="277" t="s">
        <v>68</v>
      </c>
      <c r="E46" s="227">
        <v>0</v>
      </c>
      <c r="F46" s="227">
        <v>0</v>
      </c>
      <c r="G46" s="123">
        <v>0</v>
      </c>
      <c r="H46" s="123">
        <v>0</v>
      </c>
      <c r="I46" s="279"/>
      <c r="J46" s="279"/>
    </row>
    <row r="47" spans="2:10" s="36" customFormat="1" x14ac:dyDescent="0.3">
      <c r="B47" s="225" t="s">
        <v>215</v>
      </c>
      <c r="C47" s="274" t="s">
        <v>63</v>
      </c>
      <c r="D47" s="277" t="s">
        <v>69</v>
      </c>
      <c r="E47" s="227">
        <v>0</v>
      </c>
      <c r="F47" s="227">
        <v>0</v>
      </c>
      <c r="G47" s="123">
        <v>0</v>
      </c>
      <c r="H47" s="123">
        <v>0</v>
      </c>
      <c r="I47" s="279"/>
      <c r="J47" s="279"/>
    </row>
    <row r="48" spans="2:10" s="36" customFormat="1" x14ac:dyDescent="0.3">
      <c r="B48" s="225" t="s">
        <v>214</v>
      </c>
      <c r="C48" s="274" t="s">
        <v>84</v>
      </c>
      <c r="D48" s="280" t="s">
        <v>233</v>
      </c>
      <c r="E48" s="227">
        <v>1.1299999999999999</v>
      </c>
      <c r="F48" s="227">
        <v>34.01</v>
      </c>
      <c r="G48" s="123">
        <v>2.2200000000000002</v>
      </c>
      <c r="H48" s="123">
        <v>66.67</v>
      </c>
      <c r="I48" s="279"/>
      <c r="J48" s="279"/>
    </row>
    <row r="49" spans="2:10" s="36" customFormat="1" x14ac:dyDescent="0.3">
      <c r="B49" s="225" t="s">
        <v>215</v>
      </c>
      <c r="C49" s="274" t="s">
        <v>63</v>
      </c>
      <c r="D49" s="277" t="s">
        <v>71</v>
      </c>
      <c r="E49" s="227">
        <v>0</v>
      </c>
      <c r="F49" s="227">
        <v>0</v>
      </c>
      <c r="G49" s="123">
        <v>0</v>
      </c>
      <c r="H49" s="123">
        <v>0</v>
      </c>
      <c r="I49" s="279"/>
      <c r="J49" s="279"/>
    </row>
    <row r="50" spans="2:10" s="36" customFormat="1" x14ac:dyDescent="0.3">
      <c r="B50" s="225" t="s">
        <v>215</v>
      </c>
      <c r="C50" s="274" t="s">
        <v>84</v>
      </c>
      <c r="D50" s="280" t="s">
        <v>234</v>
      </c>
      <c r="E50" s="227">
        <v>0</v>
      </c>
      <c r="F50" s="227">
        <v>0</v>
      </c>
      <c r="G50" s="123">
        <v>0</v>
      </c>
      <c r="H50" s="123">
        <v>0</v>
      </c>
      <c r="I50" s="279"/>
      <c r="J50" s="279"/>
    </row>
    <row r="51" spans="2:10" s="36" customFormat="1" x14ac:dyDescent="0.3">
      <c r="B51" s="225" t="s">
        <v>215</v>
      </c>
      <c r="C51" s="274" t="s">
        <v>84</v>
      </c>
      <c r="D51" s="280" t="s">
        <v>235</v>
      </c>
      <c r="E51" s="227">
        <v>0</v>
      </c>
      <c r="F51" s="227">
        <v>0</v>
      </c>
      <c r="G51" s="123">
        <v>0</v>
      </c>
      <c r="H51" s="123">
        <v>0</v>
      </c>
      <c r="I51" s="279"/>
      <c r="J51" s="279"/>
    </row>
    <row r="52" spans="2:10" s="36" customFormat="1" x14ac:dyDescent="0.3">
      <c r="B52" s="225"/>
    </row>
    <row r="53" spans="2:10" s="36" customFormat="1" x14ac:dyDescent="0.3">
      <c r="B53" s="225"/>
    </row>
    <row r="1048576" spans="2:2" x14ac:dyDescent="0.3">
      <c r="B1048576" s="225" t="s">
        <v>215</v>
      </c>
    </row>
  </sheetData>
  <autoFilter ref="B4:J51" xr:uid="{04BC5CC2-6E35-4BF3-9694-2FB792273D68}">
    <sortState xmlns:xlrd2="http://schemas.microsoft.com/office/spreadsheetml/2017/richdata2" ref="B12:J51">
      <sortCondition descending="1" ref="F4:F5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BB43-64A9-4FA2-A13F-D15CFDA255C4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8fe145-c78a-49db-b01b-c0e7554ba85d">
      <Terms xmlns="http://schemas.microsoft.com/office/infopath/2007/PartnerControls"/>
    </lcf76f155ced4ddcb4097134ff3c332f>
    <TaxCatchAll xmlns="83e37528-d30e-4058-a9de-866c8a9428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9DACA816DC814BB2219E5FD4246BDC" ma:contentTypeVersion="17" ma:contentTypeDescription="Crear nuevo documento." ma:contentTypeScope="" ma:versionID="a94e9633f41dcb376914ff910ac7df6c">
  <xsd:schema xmlns:xsd="http://www.w3.org/2001/XMLSchema" xmlns:xs="http://www.w3.org/2001/XMLSchema" xmlns:p="http://schemas.microsoft.com/office/2006/metadata/properties" xmlns:ns2="f68fe145-c78a-49db-b01b-c0e7554ba85d" xmlns:ns3="83e37528-d30e-4058-a9de-866c8a9428eb" targetNamespace="http://schemas.microsoft.com/office/2006/metadata/properties" ma:root="true" ma:fieldsID="8f5deb7df442fa50cb44ce7fef2b24a7" ns2:_="" ns3:_="">
    <xsd:import namespace="f68fe145-c78a-49db-b01b-c0e7554ba85d"/>
    <xsd:import namespace="83e37528-d30e-4058-a9de-866c8a9428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fe145-c78a-49db-b01b-c0e7554ba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8d7a1ca-a630-45fb-8922-c7d008bf59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37528-d30e-4058-a9de-866c8a9428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d099aeb-f553-4c88-ab68-6fc49f0e5eb2}" ma:internalName="TaxCatchAll" ma:showField="CatchAllData" ma:web="83e37528-d30e-4058-a9de-866c8a9428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717D130-6AE2-4053-8C5A-B710FF454FE6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f68fe145-c78a-49db-b01b-c0e7554ba85d"/>
    <ds:schemaRef ds:uri="http://schemas.microsoft.com/office/infopath/2007/PartnerControls"/>
    <ds:schemaRef ds:uri="83e37528-d30e-4058-a9de-866c8a9428eb"/>
  </ds:schemaRefs>
</ds:datastoreItem>
</file>

<file path=customXml/itemProps2.xml><?xml version="1.0" encoding="utf-8"?>
<ds:datastoreItem xmlns:ds="http://schemas.openxmlformats.org/officeDocument/2006/customXml" ds:itemID="{89F30E8F-78C3-42D5-94CB-C1F67BACC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8fe145-c78a-49db-b01b-c0e7554ba85d"/>
    <ds:schemaRef ds:uri="83e37528-d30e-4058-a9de-866c8a942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317E2B-75E8-45F3-B8BE-156E398356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F2FA62-DB47-4CF2-B05D-AEE47A89DCD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INDICADORES</vt:lpstr>
      <vt:lpstr>Hoja2</vt:lpstr>
      <vt:lpstr>ACCIDENTES</vt:lpstr>
      <vt:lpstr>HH</vt:lpstr>
      <vt:lpstr>DÍAS SIN</vt:lpstr>
      <vt:lpstr>Proyección</vt:lpstr>
      <vt:lpstr>Hoja1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Mercedes Pretell Alvarez</dc:creator>
  <cp:keywords/>
  <dc:description/>
  <cp:lastModifiedBy>Gianella Arcela Ponte Carrasco</cp:lastModifiedBy>
  <cp:revision/>
  <dcterms:created xsi:type="dcterms:W3CDTF">2024-05-15T18:52:28Z</dcterms:created>
  <dcterms:modified xsi:type="dcterms:W3CDTF">2026-08-18T16:28:56Z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4a6fc3-496d-44ea-86a8-5b93f17e3566_Enabled">
    <vt:lpwstr>true</vt:lpwstr>
  </property>
  <property fmtid="{D5CDD505-2E9C-101B-9397-08002B2CF9AE}" pid="3" name="MSIP_Label_d64a6fc3-496d-44ea-86a8-5b93f17e3566_SetDate">
    <vt:lpwstr>2024-05-15T22:49:20Z</vt:lpwstr>
  </property>
  <property fmtid="{D5CDD505-2E9C-101B-9397-08002B2CF9AE}" pid="4" name="MSIP_Label_d64a6fc3-496d-44ea-86a8-5b93f17e3566_Method">
    <vt:lpwstr>Standard</vt:lpwstr>
  </property>
  <property fmtid="{D5CDD505-2E9C-101B-9397-08002B2CF9AE}" pid="5" name="MSIP_Label_d64a6fc3-496d-44ea-86a8-5b93f17e3566_Name">
    <vt:lpwstr>GRUPOALICORP_Uso-Interno</vt:lpwstr>
  </property>
  <property fmtid="{D5CDD505-2E9C-101B-9397-08002B2CF9AE}" pid="6" name="MSIP_Label_d64a6fc3-496d-44ea-86a8-5b93f17e3566_SiteId">
    <vt:lpwstr>3b16616d-f174-497a-a1ae-900d85106996</vt:lpwstr>
  </property>
  <property fmtid="{D5CDD505-2E9C-101B-9397-08002B2CF9AE}" pid="7" name="MSIP_Label_d64a6fc3-496d-44ea-86a8-5b93f17e3566_ActionId">
    <vt:lpwstr>d98dcb2e-f040-43b5-a51a-5fe0e3e0a80b</vt:lpwstr>
  </property>
  <property fmtid="{D5CDD505-2E9C-101B-9397-08002B2CF9AE}" pid="8" name="MSIP_Label_d64a6fc3-496d-44ea-86a8-5b93f17e3566_ContentBits">
    <vt:lpwstr>0</vt:lpwstr>
  </property>
  <property fmtid="{D5CDD505-2E9C-101B-9397-08002B2CF9AE}" pid="9" name="ContentTypeId">
    <vt:lpwstr>0x0101007F9DACA816DC814BB2219E5FD4246BDC</vt:lpwstr>
  </property>
  <property fmtid="{D5CDD505-2E9C-101B-9397-08002B2CF9AE}" pid="10" name="MediaServiceImageTags">
    <vt:lpwstr/>
  </property>
</Properties>
</file>