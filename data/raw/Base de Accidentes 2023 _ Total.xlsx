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tables/table1.xml" ContentType="application/vnd.openxmlformats-officedocument.spreadsheetml.table+xml"/>
  <Override PartName="/xl/pivotTables/pivotTable1.xml" ContentType="application/vnd.openxmlformats-officedocument.spreadsheetml.pivotTable+xml"/>
  <Override PartName="/xl/customProperty2.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customProperty3.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customProperty4.bin" ContentType="application/vnd.openxmlformats-officedocument.spreadsheetml.customProperty"/>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pivotTables/pivotTable4.xml" ContentType="application/vnd.openxmlformats-officedocument.spreadsheetml.pivotTable+xml"/>
  <Override PartName="/xl/customProperty5.bin" ContentType="application/vnd.openxmlformats-officedocument.spreadsheetml.customProperty"/>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ustomProperty6.bin" ContentType="application/vnd.openxmlformats-officedocument.spreadsheetml.customProperty"/>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customProperty7.bin" ContentType="application/vnd.openxmlformats-officedocument.spreadsheetml.customProperty"/>
  <Override PartName="/xl/customProperty8.bin" ContentType="application/vnd.openxmlformats-officedocument.spreadsheetml.customProperty"/>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ustomProperty9.bin" ContentType="application/vnd.openxmlformats-officedocument.spreadsheetml.customProperty"/>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customProperty10.bin" ContentType="application/vnd.openxmlformats-officedocument.spreadsheetml.customProperty"/>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ustomProperty11.bin" ContentType="application/vnd.openxmlformats-officedocument.spreadsheetml.customProperty"/>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pivotTables/pivotTable10.xml" ContentType="application/vnd.openxmlformats-officedocument.spreadsheetml.pivotTable+xml"/>
  <Override PartName="/xl/customProperty12.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gpontec\Descargas\"/>
    </mc:Choice>
  </mc:AlternateContent>
  <xr:revisionPtr revIDLastSave="0" documentId="8_{637BAC18-9D3A-494C-89DB-7B51FBC6FC1D}" xr6:coauthVersionLast="47" xr6:coauthVersionMax="47" xr10:uidLastSave="{00000000-0000-0000-0000-000000000000}"/>
  <bookViews>
    <workbookView xWindow="-108" yWindow="-108" windowWidth="23256" windowHeight="13896" firstSheet="8" activeTab="12" xr2:uid="{00000000-000D-0000-FFFF-FFFF00000000}"/>
  </bookViews>
  <sheets>
    <sheet name="Base" sheetId="1" r:id="rId1"/>
    <sheet name="Tipo" sheetId="13" r:id="rId2"/>
    <sheet name="Lesión" sheetId="14" r:id="rId3"/>
    <sheet name="Hoja2" sheetId="11" r:id="rId4"/>
    <sheet name="Detalle1" sheetId="16" r:id="rId5"/>
    <sheet name="Tipo Trabajador" sheetId="15" r:id="rId6"/>
    <sheet name="Gráficos" sheetId="10" r:id="rId7"/>
    <sheet name="Hoja1" sheetId="6" r:id="rId8"/>
    <sheet name="Hoja4" sheetId="5" r:id="rId9"/>
    <sheet name="Causas Inmediatas" sheetId="2" r:id="rId10"/>
    <sheet name="Causas Básicas1" sheetId="3" r:id="rId11"/>
    <sheet name="Causas Básicas2" sheetId="4" r:id="rId12"/>
    <sheet name="Resumen" sheetId="7" r:id="rId13"/>
  </sheets>
  <definedNames>
    <definedName name="_xlnm._FilterDatabase" localSheetId="0" hidden="1">Base!$H$316:$H$316</definedName>
    <definedName name="Z_140AD779_13CE_447C_9CD3_5F0532BEF1C0_.wvu.FilterData" localSheetId="0" hidden="1">Base!$A$1:$AM$74</definedName>
    <definedName name="Z_A9EB8B78_4448_4673_984E_F45C7FBF0F49_.wvu.FilterData" localSheetId="0" hidden="1">Base!$A$1:$AM$75</definedName>
    <definedName name="Z_CB099478_40AF_4959_9D50_3DB7DA20C1D7_.wvu.FilterData" localSheetId="0" hidden="1">Base!$A$1:$AM$45</definedName>
  </definedNames>
  <calcPr calcId="191028"/>
  <customWorkbookViews>
    <customWorkbookView name="Filtro 1" guid="{A9EB8B78-4448-4673-984E-F45C7FBF0F49}" maximized="1" windowWidth="0" windowHeight="0" activeSheetId="0"/>
    <customWorkbookView name="Filtro 2" guid="{CB099478-40AF-4959-9D50-3DB7DA20C1D7}" maximized="1" windowWidth="0" windowHeight="0" activeSheetId="0"/>
    <customWorkbookView name="Filtro 3" guid="{140AD779-13CE-447C-9CD3-5F0532BEF1C0}" maximized="1" windowWidth="0" windowHeight="0" activeSheetId="0"/>
  </customWorkbookViews>
  <pivotCaches>
    <pivotCache cacheId="0" r:id="rId14"/>
    <pivotCache cacheId="1" r:id="rId15"/>
    <pivotCache cacheId="2" r:id="rId16"/>
    <pivotCache cacheId="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25" roundtripDataSignature="AMtx7mjWcErs52hfaq3xHw4/r5EY1veVqw=="/>
    </ext>
  </extLst>
</workbook>
</file>

<file path=xl/calcChain.xml><?xml version="1.0" encoding="utf-8"?>
<calcChain xmlns="http://schemas.openxmlformats.org/spreadsheetml/2006/main">
  <c r="J3" i="1" l="1"/>
  <c r="J16" i="1"/>
  <c r="J8" i="1"/>
  <c r="J10" i="1"/>
  <c r="J11" i="1"/>
  <c r="J13" i="1"/>
  <c r="J14" i="1"/>
  <c r="J15" i="1"/>
  <c r="J17" i="1"/>
  <c r="J108" i="1"/>
  <c r="J84" i="1"/>
  <c r="J23" i="1"/>
  <c r="J18" i="1"/>
  <c r="J21" i="1"/>
  <c r="J22" i="1"/>
  <c r="J25" i="1"/>
  <c r="J26" i="1"/>
  <c r="J67" i="1"/>
  <c r="J27" i="1"/>
  <c r="J65" i="1"/>
  <c r="J32" i="1"/>
  <c r="J28" i="1"/>
  <c r="J29" i="1"/>
  <c r="J61" i="1"/>
  <c r="J73" i="1"/>
  <c r="J69" i="1"/>
  <c r="J31" i="1"/>
  <c r="J33" i="1"/>
  <c r="J34" i="1"/>
  <c r="J41" i="1"/>
  <c r="J42" i="1"/>
  <c r="J56" i="1"/>
  <c r="J35" i="1"/>
  <c r="J45" i="1"/>
  <c r="J36" i="1"/>
  <c r="J37" i="1"/>
  <c r="J39" i="1"/>
  <c r="J40" i="1"/>
  <c r="J50" i="1"/>
  <c r="J48" i="1"/>
  <c r="J52" i="1"/>
  <c r="J46" i="1"/>
  <c r="J43" i="1"/>
  <c r="J44" i="1"/>
  <c r="J49" i="1"/>
  <c r="J51" i="1"/>
  <c r="J53" i="1"/>
  <c r="J54" i="1"/>
  <c r="J55" i="1"/>
  <c r="J38" i="1"/>
  <c r="J62" i="1"/>
  <c r="J63" i="1"/>
  <c r="J57" i="1"/>
  <c r="J58" i="1"/>
  <c r="J66" i="1"/>
  <c r="J59" i="1"/>
  <c r="J60" i="1"/>
  <c r="J64" i="1"/>
  <c r="J68" i="1"/>
  <c r="J70" i="1"/>
  <c r="J71" i="1"/>
  <c r="J74" i="1"/>
  <c r="J75" i="1"/>
  <c r="J76" i="1"/>
  <c r="J79" i="1"/>
  <c r="J77" i="1"/>
  <c r="J82" i="1"/>
  <c r="J83" i="1"/>
  <c r="J87" i="1"/>
  <c r="J88" i="1"/>
  <c r="J89" i="1"/>
  <c r="J91" i="1"/>
  <c r="J86" i="1"/>
  <c r="J12" i="1"/>
  <c r="J9" i="1"/>
  <c r="J20" i="1"/>
  <c r="J92" i="1"/>
  <c r="J94" i="1"/>
  <c r="J95" i="1"/>
  <c r="J90" i="1"/>
  <c r="J96" i="1"/>
  <c r="J98" i="1"/>
  <c r="J93" i="1"/>
  <c r="J99" i="1"/>
  <c r="J100" i="1"/>
  <c r="J101" i="1"/>
  <c r="J97" i="1"/>
  <c r="J102" i="1"/>
  <c r="J103" i="1"/>
  <c r="J104" i="1"/>
  <c r="J105" i="1"/>
  <c r="J106" i="1"/>
  <c r="J107" i="1"/>
  <c r="J6" i="1"/>
  <c r="J2" i="1"/>
  <c r="J7" i="1"/>
  <c r="J5" i="1"/>
  <c r="J4"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alcChain>
</file>

<file path=xl/sharedStrings.xml><?xml version="1.0" encoding="utf-8"?>
<sst xmlns="http://schemas.openxmlformats.org/spreadsheetml/2006/main" count="2889" uniqueCount="1145">
  <si>
    <t>Item</t>
  </si>
  <si>
    <t>N° ROM</t>
  </si>
  <si>
    <t>PAIS</t>
  </si>
  <si>
    <t>SOCIEDAD</t>
  </si>
  <si>
    <t>Predio</t>
  </si>
  <si>
    <t>Planta</t>
  </si>
  <si>
    <t>Dirección</t>
  </si>
  <si>
    <t>Area</t>
  </si>
  <si>
    <t>Fecha</t>
  </si>
  <si>
    <t>Sem</t>
  </si>
  <si>
    <t>Día</t>
  </si>
  <si>
    <t>Mes</t>
  </si>
  <si>
    <t>Año</t>
  </si>
  <si>
    <t>Hora</t>
  </si>
  <si>
    <t>Turno</t>
  </si>
  <si>
    <t>Tipo de Trabajador</t>
  </si>
  <si>
    <t>EMPRESA</t>
  </si>
  <si>
    <t>APELLIDO PATERNO</t>
  </si>
  <si>
    <t>APELLIDO MATERNO</t>
  </si>
  <si>
    <t>NOMBRES</t>
  </si>
  <si>
    <t>SEXO</t>
  </si>
  <si>
    <t>Edad</t>
  </si>
  <si>
    <t>Puesto de Trabajo</t>
  </si>
  <si>
    <t>Fecha de Ingreso a Labores</t>
  </si>
  <si>
    <t>DESCRIPCION DEL ACCIDENTE</t>
  </si>
  <si>
    <t>Tipo de Contacto</t>
  </si>
  <si>
    <t>Parte del Cuerpo Afectada</t>
  </si>
  <si>
    <t>Parte del Cuerpo Afectada 2</t>
  </si>
  <si>
    <t>Actividad Realizada</t>
  </si>
  <si>
    <t>Proceso</t>
  </si>
  <si>
    <t>DIAGNOSTICO</t>
  </si>
  <si>
    <t>Lesión</t>
  </si>
  <si>
    <t>Dias de D.M.</t>
  </si>
  <si>
    <t xml:space="preserve">Cargo ANSI </t>
  </si>
  <si>
    <t>Dias DM Total Indicador</t>
  </si>
  <si>
    <t>Situación Actual</t>
  </si>
  <si>
    <t>Tiempo experiencia
(meses)</t>
  </si>
  <si>
    <t>Puesto</t>
  </si>
  <si>
    <t>Antigüedad</t>
  </si>
  <si>
    <t>FUENTE DE PELIGRO</t>
  </si>
  <si>
    <t>TIPO DE CONTRATO</t>
  </si>
  <si>
    <t>PERU</t>
  </si>
  <si>
    <t>INTRADEVCO INDUSTRIAL SA</t>
  </si>
  <si>
    <t>LURIN</t>
  </si>
  <si>
    <t>Lurin 4_Detergentes</t>
  </si>
  <si>
    <t>Producción</t>
  </si>
  <si>
    <t>Empacado</t>
  </si>
  <si>
    <t>2do turno</t>
  </si>
  <si>
    <t>Service</t>
  </si>
  <si>
    <t>CONSULTING</t>
  </si>
  <si>
    <t>VELASQUEZ</t>
  </si>
  <si>
    <t>POMATANTA</t>
  </si>
  <si>
    <t>CARLOS</t>
  </si>
  <si>
    <t>M</t>
  </si>
  <si>
    <t>OPERARIO DE PRODUCCIÓN</t>
  </si>
  <si>
    <t>El colaborador Carlos se encontraba realizando sus actividades en la zona de Empacado - Mezzanine. Siendo aproximadamente las 12:20am observa que las bolsas de detergente empiezan acumularse sobre la faja transportadora, por lo que el colaborador procede a apagar la máquina desde el botón de emergencia. En el transcurso del camino, se impacta la rodilla izquierda contra la esquina de la guarda de seguridad de la faja transportadora lo que genera una herida en la zona mencionada.</t>
  </si>
  <si>
    <t>Contacto con superficie cortante</t>
  </si>
  <si>
    <t>Rodilla</t>
  </si>
  <si>
    <t>RODILLA</t>
  </si>
  <si>
    <t>Operación de equipo</t>
  </si>
  <si>
    <t>Operación regular</t>
  </si>
  <si>
    <t>Herida de la rodilla</t>
  </si>
  <si>
    <t>Herida</t>
  </si>
  <si>
    <t>Laborando</t>
  </si>
  <si>
    <t>Puesto Regular</t>
  </si>
  <si>
    <t>&gt; 1 año</t>
  </si>
  <si>
    <t>BOLIVIA</t>
  </si>
  <si>
    <t>ALICORP BOLIVIA</t>
  </si>
  <si>
    <t>COCHABAMBA</t>
  </si>
  <si>
    <t>ALMACÉN PRODUCTO TERMINADO</t>
  </si>
  <si>
    <t>MAÑANA</t>
  </si>
  <si>
    <t>Tercero</t>
  </si>
  <si>
    <t>COMEL</t>
  </si>
  <si>
    <t>GUZMAN</t>
  </si>
  <si>
    <t>LUIS MIGUEL</t>
  </si>
  <si>
    <t>SOLDADOR</t>
  </si>
  <si>
    <t>En fecha 17 de diciembre de 2023, la empresa COMEL se encontraba desmontando racks en el almacén de insumos. La tarea se realizó liberando una parte de la estructura y descendiendo mediante el uso de cuerdas soportadas por dos personas.
El trabajador afectado se encontraba en el 3er nivel de un andamio tipo Layer, sosteniendo una cuerda para descender la estructura del rack. En paralelo, una segunda cuerda amarrada a la estructura pasaba sobre el andamio y era sostenida por una persona a nivel del piso. Finalizando la operación, esta segunda cuerda generó fuerza sobre el andamio, causando la caída del mismo y la persona que se encontraba anclada al andamio.
En el momento, se evidenció que el trabajador sufrió una lesión en el pie derecho y el mentón. 
Fue trasladado inmediatamente a la clínica El Carmen, donde fue atendido. Se le realizó una sutura de 7 puntos en la región del mentón y se le tomaron radiografías y tomografía. 
Al día siguiente, fue sometido a una intervención quirúrgica en la clínica Ávila, debido a una fractura en el hueso calcáneo del pie derecho.</t>
  </si>
  <si>
    <t>FRACTURA</t>
  </si>
  <si>
    <t>PIE</t>
  </si>
  <si>
    <t>DURANTE SU RUTINA DE TRABAJO</t>
  </si>
  <si>
    <t>Fractura</t>
  </si>
  <si>
    <t>4 AÑOS</t>
  </si>
  <si>
    <t>TRABAJO EN ALTURA</t>
  </si>
  <si>
    <t>TERCERO</t>
  </si>
  <si>
    <t>CHORRILLOS</t>
  </si>
  <si>
    <t>Chorrillos</t>
  </si>
  <si>
    <t>Destileria</t>
  </si>
  <si>
    <t>1er turno</t>
  </si>
  <si>
    <t>Propio</t>
  </si>
  <si>
    <t>INTRADEVCO INDUSTRIAL</t>
  </si>
  <si>
    <t xml:space="preserve">PEREA </t>
  </si>
  <si>
    <t xml:space="preserve">RUIZ </t>
  </si>
  <si>
    <t xml:space="preserve">GEORGE LUIS </t>
  </si>
  <si>
    <t xml:space="preserve">El trabajador se encontraba de apoyo desocupando materiales del almacén de mantenimiento, al manipular unas cajas del anaquel del área, no se percató que el rollo de empaquetadura se encontraba en la parte superior y este con el movimiento cayó impactando la nariz del colaborador, luego fue derivado al tópico y luego de la evaluación se le trasladó a la clínica Santa Marta del sur para su atención. </t>
  </si>
  <si>
    <t>Golpeado por</t>
  </si>
  <si>
    <t>Nariz</t>
  </si>
  <si>
    <t>NARIZ</t>
  </si>
  <si>
    <t>Traslado de materiales</t>
  </si>
  <si>
    <t>Apoyo a mantenimiento</t>
  </si>
  <si>
    <t>Herida en nariz</t>
  </si>
  <si>
    <t>Contusión</t>
  </si>
  <si>
    <t>Lurin 3_Sulfonación</t>
  </si>
  <si>
    <t>Administración</t>
  </si>
  <si>
    <t>Garita de vigilancia</t>
  </si>
  <si>
    <t>Tercero - Vigilancia</t>
  </si>
  <si>
    <t>J &amp; V Resguardo (Liderman)</t>
  </si>
  <si>
    <t>PANDURO</t>
  </si>
  <si>
    <t>PACHECO</t>
  </si>
  <si>
    <t>MAY LISBETH</t>
  </si>
  <si>
    <t>F</t>
  </si>
  <si>
    <t>Agente de seguridad</t>
  </si>
  <si>
    <t>Alrededor de las 4:50 pm, la colaboradora se encontraba cerrando una de las hojas del portón de acceso vehicular, cuando al retroceder el pie izquierdo, este ingresa en un orificio presente en la vereda, perdiendo el equilibrio y doblándose el tobillo. Posteriormente la colaboradora se para y continúa con el cierre del portón. La colaboradora reporta lo ocurrido vía whatsaap a su supervisor, toma un analgésico que traía consigo y continúa con sus actividades hasta finalizar el turno. A las 6:55 pm la colaboradora releva con el turno entrante y se acerca al predio Lurín N° 2 a reportar que el dolor se había incrementado significativamente. Se comunica el evento a Seguridad Industrial y se solicita la atención médica de Cardiomóvil. La colaboradora es trasladada a la clínica en donde diagnostican un Esguince y le otorgan 5 días de descanso médico.</t>
  </si>
  <si>
    <t>Caída al mismo nivel</t>
  </si>
  <si>
    <t>Pie</t>
  </si>
  <si>
    <t>Cierre de portón</t>
  </si>
  <si>
    <t>Esguince y torcedura de tobillo</t>
  </si>
  <si>
    <t>Esguince</t>
  </si>
  <si>
    <t>Reincorporado</t>
  </si>
  <si>
    <t>Intralab</t>
  </si>
  <si>
    <t xml:space="preserve">SANTISTEBAN </t>
  </si>
  <si>
    <t xml:space="preserve">MUGUERZA </t>
  </si>
  <si>
    <t xml:space="preserve">CESAR DANIEL </t>
  </si>
  <si>
    <t xml:space="preserve">El 20 de noviembre a las 15:18pm aproximadamente, el trabajador SANTISTEBAN MUGUERZA CESAR DANIEL se encontraba trasladando silica (sacos de 25 kg) del cuarto piso al primer piso. El trabajador Santisteban manifiesta que en el peldaño del último escalón de la escalera (del cuarto al tercer piso contando de arriba hacia abajo) pisa el filo del último peldaño con la mitad del pie (pisa en falso), ocasionando una torcedura en el tobillo del pie derecho, cayendo de costado al piso (en la zona de descanso entre el 4to y 3er piso), sintiendo dolor en todo el pie.  Se informo de manera inmediata de lo sucedido, al área médica, al área de seguridad y al área de producción. A las 3:24 pm es trasladado al tópico en donde se le administro una pastilla para el dolor y asimismo se ordenó la activación del SCTR. </t>
  </si>
  <si>
    <t>Caída a diferente nivel</t>
  </si>
  <si>
    <t>Traslado de sacos</t>
  </si>
  <si>
    <t>Continúa de DM</t>
  </si>
  <si>
    <t>&gt; 6 meses</t>
  </si>
  <si>
    <t>RRHH</t>
  </si>
  <si>
    <t>Comedor</t>
  </si>
  <si>
    <t>Tercero - Comedor</t>
  </si>
  <si>
    <t>RyO</t>
  </si>
  <si>
    <t>QUISPE</t>
  </si>
  <si>
    <t>DIAZ</t>
  </si>
  <si>
    <t>ROSA</t>
  </si>
  <si>
    <t>Ayudante de cocina</t>
  </si>
  <si>
    <t xml:space="preserve">La colaboradora de la empresa RyO, Rosa Quispe, en colaboración con su compañero Gerardo Reyes. Se encontraba moviendo la olla de refresco caliente, en dirección al piso, momento en el cual, a centímetros de la ubicación final, esta se le resbala y cae. Producto de ello el agua cliente salpica sobre la colaboradora, afectando gran parte de su brazo derecho. </t>
  </si>
  <si>
    <t>Contacto con superficie caliente caliente</t>
  </si>
  <si>
    <t>Brazo</t>
  </si>
  <si>
    <t>BRAZO</t>
  </si>
  <si>
    <t>Traslado de olla con agua caliente</t>
  </si>
  <si>
    <t>Quemadura de 2do grado</t>
  </si>
  <si>
    <t>Quemadura</t>
  </si>
  <si>
    <t>&lt; 6 meses</t>
  </si>
  <si>
    <t>ALICORP SAA</t>
  </si>
  <si>
    <t>CALLAO</t>
  </si>
  <si>
    <t>MOLINO CALLAO</t>
  </si>
  <si>
    <t>Mantenimiento</t>
  </si>
  <si>
    <t>AZOTEA</t>
  </si>
  <si>
    <t>NOCHE</t>
  </si>
  <si>
    <t>ALICORP</t>
  </si>
  <si>
    <t>SURICHAQUI</t>
  </si>
  <si>
    <t>CUMAPA</t>
  </si>
  <si>
    <t>MIGUEL ANGEL</t>
  </si>
  <si>
    <t>Mecánico de mantenimiento</t>
  </si>
  <si>
    <t xml:space="preserve">Esquince y torcedura de tobillo izquierdo a causa de caída mientras descendía de la escalera vertical ubicada en el 9 piso (azotea) del edificio del Molino Callao. El trabajador realizaba labores de mantenimiento del sistema de alimentación de agua del acondicionado de trigo. </t>
  </si>
  <si>
    <t>CAIDA A UN NIVEL BAJO</t>
  </si>
  <si>
    <t>ESGUINCE</t>
  </si>
  <si>
    <t>5 MESES</t>
  </si>
  <si>
    <t>ESCALERA VERTICAL</t>
  </si>
  <si>
    <t>CONTRATADO</t>
  </si>
  <si>
    <t>FERNANDEZ</t>
  </si>
  <si>
    <t xml:space="preserve"> FERNANDEZ</t>
  </si>
  <si>
    <t xml:space="preserve"> DAVID</t>
  </si>
  <si>
    <t xml:space="preserve">Siendo las 5:00 a.m. aproximadamente, el operador David Fernández se encontraba trabajando en la línea 08 de pasta dental precisamente en el horno de termoencongible, el operador nota que la lámina de termoencogible se había roto y no cubría la totalidad del pack, para corregir este problema el operador detiene el equipo y se coloca al costado del horno, se agacha para unir la lámina y en esa posición levanta la mano izquierda, abre la puerta lateral del horno e introduce la mano para jalar la lámina por dentro, en ese momento su mano roza con la cuchilla de corte que se encuentra a alta temperatura. Produciéndole una quemadura de segundo grado en dorso de 1er, 2do y 3er dedo de mano. </t>
  </si>
  <si>
    <t>Atrapado entre</t>
  </si>
  <si>
    <t>Mano izquierda</t>
  </si>
  <si>
    <t>MANO</t>
  </si>
  <si>
    <t>Colocacion de film</t>
  </si>
  <si>
    <t>Continúa en DM</t>
  </si>
  <si>
    <t>Apoyo</t>
  </si>
  <si>
    <t>ESCALERA DE ACCESO AL EDIFICIO DE LIMPIEZA - 6 PISO</t>
  </si>
  <si>
    <t>RODRIGUEZ</t>
  </si>
  <si>
    <t>CORPUS</t>
  </si>
  <si>
    <t>JUAN CARLOS</t>
  </si>
  <si>
    <t xml:space="preserve">Contusión del hombro y del brazo izquierdo producto del golpe sufrido por la caída del trabajador que resbala descendiendo por las escaleras del 6 piso del edificio del Molino Callao. Debido a las condiciones ambientales en el momento del accidente, la zona se encontraba humedecida. </t>
  </si>
  <si>
    <t>TRASLADANDOSE</t>
  </si>
  <si>
    <t>CONTUSIÓN</t>
  </si>
  <si>
    <t>3 AÑOS</t>
  </si>
  <si>
    <t>ESCALERA</t>
  </si>
  <si>
    <t>ESTABLE</t>
  </si>
  <si>
    <t>COPSA</t>
  </si>
  <si>
    <t>ACEITES</t>
  </si>
  <si>
    <t xml:space="preserve">PEREZ </t>
  </si>
  <si>
    <t>DÍAZ</t>
  </si>
  <si>
    <t>FERNANDO</t>
  </si>
  <si>
    <t xml:space="preserve">Policontusión en la cabeza y zona cervical debido al golpe causado por la caída de la puerta enrollable del almacén de preformas de SMI. El trabajador colocó una varilla para sostener la puerta enrollable y poder trasladar una stocka con baldes y tapas, no obstante la varilla cede y deja caer el peso de la puerta sobre la cabeza del trabajador. </t>
  </si>
  <si>
    <t>GOLPEADO POR</t>
  </si>
  <si>
    <t>CABEZA</t>
  </si>
  <si>
    <t>2 MESES</t>
  </si>
  <si>
    <t>Puerta enrollable</t>
  </si>
  <si>
    <t>Plasticos</t>
  </si>
  <si>
    <t>PEREA</t>
  </si>
  <si>
    <t xml:space="preserve"> RUIZ</t>
  </si>
  <si>
    <t xml:space="preserve"> GEORGE LUIS</t>
  </si>
  <si>
    <t>Operario</t>
  </si>
  <si>
    <t>Aproximadamente a las 7:25 am el colaborador George Perea ingresa a las instalaciones y se dirige a los vestuarios del área de plásticos (ubicado en un 2do piso) para colocarse su uniforme de trabajo e iniciar sus labores. Al subir por la escalera, el colaborador se dobla el tobillo izquierdo en uno de los escalones. El trabajador no informó de forma inmediata lo sucedido.
Aproximadamente a las 2:50 pm, el colaborador acude al tópico y manifiesta lo ocurrido, en ese momento es atendido y evaluado en el tópico. 
Luego de la evaluación médica, el trabajador es evacuado a la clínica San Pablo para recibir atención especializada.</t>
  </si>
  <si>
    <t>Caída a mismo nivel</t>
  </si>
  <si>
    <t>Tobillo izquierdo</t>
  </si>
  <si>
    <t>TOBILLO</t>
  </si>
  <si>
    <t>Ascenso por escaleras</t>
  </si>
  <si>
    <t>Transito en planta</t>
  </si>
  <si>
    <t>Esguince y torcedura de tobillo izquierdo</t>
  </si>
  <si>
    <t>MARGARINAS</t>
  </si>
  <si>
    <t>HURTADO</t>
  </si>
  <si>
    <t>CHURA</t>
  </si>
  <si>
    <t>ABIGAIL</t>
  </si>
  <si>
    <t>APRENDIZ SENATI</t>
  </si>
  <si>
    <t xml:space="preserve">Quemadura en dorso de mano derecha a causa de roce con la mordaza caliente de sellado de la máquina llenadora de potes – etapa de sellado. </t>
  </si>
  <si>
    <t>CONTACTO CON</t>
  </si>
  <si>
    <t>QUEMADURA</t>
  </si>
  <si>
    <t>1 MES Y 11 DÍAS</t>
  </si>
  <si>
    <t>SUPERFICIE CALIENTE</t>
  </si>
  <si>
    <t>SENATI</t>
  </si>
  <si>
    <t>DESARROLLO</t>
  </si>
  <si>
    <t>DESARROLLO TECNOLÓGICO</t>
  </si>
  <si>
    <t>PANIFICACIÓN</t>
  </si>
  <si>
    <t>TARDE</t>
  </si>
  <si>
    <t>COLLAHUA</t>
  </si>
  <si>
    <t>SANCHEZ</t>
  </si>
  <si>
    <t>JESSICA</t>
  </si>
  <si>
    <t>ASISTENTE DE DESARROLLO DE PRODUCTO</t>
  </si>
  <si>
    <t xml:space="preserve">Quemadura del hombro y miembro superior a causa de contacto con la bandeja caliente del horno mientras la trabajadora se encontraba retirando 02 kekes recién horneados en la zona de horneado y cocción. </t>
  </si>
  <si>
    <t>24 AÑOS</t>
  </si>
  <si>
    <t>HORNO</t>
  </si>
  <si>
    <t>EMPLEADO</t>
  </si>
  <si>
    <t>GALLETERIA</t>
  </si>
  <si>
    <t>PRODUCCION</t>
  </si>
  <si>
    <t>SARAVIA</t>
  </si>
  <si>
    <t>LOJA</t>
  </si>
  <si>
    <t>GREICI</t>
  </si>
  <si>
    <t xml:space="preserve">Inflamación de la córnea a causa de proyección de partículas de galleta que se liberaron mientras realizaban el desatoro de la línea. Cabe resaltar que la trabajadora reportó el evento al día siguiente. </t>
  </si>
  <si>
    <t>OJOS</t>
  </si>
  <si>
    <t>INFLAMACIÓN</t>
  </si>
  <si>
    <t>Queratoconjuntivitis</t>
  </si>
  <si>
    <t>16  días</t>
  </si>
  <si>
    <t>PARTÍCULAS DE GALLETA</t>
  </si>
  <si>
    <t>DON FELIPE</t>
  </si>
  <si>
    <t>JESIEL ABEDNEGO MAMANI MAFA</t>
  </si>
  <si>
    <t>AYUDANTE DE SILOS</t>
  </si>
  <si>
    <t xml:space="preserve">Fractura expuesta del 1er dedo de mano izquierda, trauma de mano izquierda y ruptura de tendón dedo índice, el colaborador realizaba la limpieza del sistema de válvulas de descarga de la torre 6, aproximando una manguera de aire comprimido a las ventanillas de limpieza de estas válvulas </t>
  </si>
  <si>
    <t>Por confirmar</t>
  </si>
  <si>
    <t>9AÑOS</t>
  </si>
  <si>
    <t>MANGUERA</t>
  </si>
  <si>
    <t>TORRES</t>
  </si>
  <si>
    <t>JESÚS</t>
  </si>
  <si>
    <t xml:space="preserve">Contusión en el dedo pulgar derecho a causa de impacto con la pared. El trabajador se encontraba ejerciendo fuerza para arrancar strech film en los baldes anidados y producto de la inercia del movimiento su dedo golpea la pared contigua. Cabe resaltar que el reporte lo realiza en el trascurso del día. </t>
  </si>
  <si>
    <t>GOLPEADO CONTRA</t>
  </si>
  <si>
    <t>27 dias</t>
  </si>
  <si>
    <t>PARED</t>
  </si>
  <si>
    <t>Seguridad Industrial</t>
  </si>
  <si>
    <t>SEGURIDAD INDUSTRIAL</t>
  </si>
  <si>
    <t>BURGOS</t>
  </si>
  <si>
    <t>VILLAFANA</t>
  </si>
  <si>
    <t>YOEL FRANCIS</t>
  </si>
  <si>
    <t>INSPECTOR DE SEGURIDAD</t>
  </si>
  <si>
    <t xml:space="preserve">Desgarro muscular en la pierna izquierda a causa de caída en la escalera de emergencia del edificio despacho a Granel. </t>
  </si>
  <si>
    <t>PIERNA</t>
  </si>
  <si>
    <t>DESGARRO MUSCULAR</t>
  </si>
  <si>
    <t>Desgarro Muscular</t>
  </si>
  <si>
    <t>8 AÑOS</t>
  </si>
  <si>
    <t>ESCALERA DE EMERGENCIA</t>
  </si>
  <si>
    <t>ITD23107</t>
  </si>
  <si>
    <t>Lurin 4_CD1/CD2</t>
  </si>
  <si>
    <t>Distribución</t>
  </si>
  <si>
    <t>Tercero - CEVA</t>
  </si>
  <si>
    <t>CEVA LOGISTICS</t>
  </si>
  <si>
    <t>Días</t>
  </si>
  <si>
    <t>Alarcon</t>
  </si>
  <si>
    <t>Pol Brandon</t>
  </si>
  <si>
    <t>Auxiliar de almacén</t>
  </si>
  <si>
    <t xml:space="preserve">Un colaborador se percata que la batería del equipo que operaba (transpaleta eléctrica doble), se encontraba con el nivel de carga eléctrica baja, por lo que se dirige a la sala de baterías para realizar el cambio por una batería con nivel de carga eléctrica alta. Al llegar a la sala de baterías procede a realizar el cambio, para lo cual, el colaborador retira la batería descargada, seguidamente, desplaza el equipo hacia la zona donde se ubica la batería cargada y posiciona el equipo de manera que la batería cargada esté alineada con su ubicación en el transpaleta; luego, el colaborador posiciona las manos en el borde de la batería y jala la batería para desplazarla hasta su posición final, sin embargo el seguro que traba la batería, que inicialmente estaba colocada en posición vertical (posición de apertura), regresa a su ubicación inicial (posición de cierre), por lo que el pulgar de la mano derecha del colaborador, es aprisionada con el borde del seguro de la batería del equipo y la propia batería, generando una lesión; posteriormente el colaborador es auxiliado, y es atendido por el personal médico del tópico, finalmente es evacuado a un centro de salud.  </t>
  </si>
  <si>
    <t>Mano derecha</t>
  </si>
  <si>
    <t>Cambio de batería</t>
  </si>
  <si>
    <t>Fractura de primera falange de segundo dedo de mano derecha</t>
  </si>
  <si>
    <t>Continua en DM</t>
  </si>
  <si>
    <t>3 meses</t>
  </si>
  <si>
    <t>ILU23097</t>
  </si>
  <si>
    <t>Lurin 2_Principal</t>
  </si>
  <si>
    <t>Flexografía</t>
  </si>
  <si>
    <t>1r turno</t>
  </si>
  <si>
    <t>Guerra</t>
  </si>
  <si>
    <t>Ishuiza</t>
  </si>
  <si>
    <t>Edinson</t>
  </si>
  <si>
    <t>Impresor</t>
  </si>
  <si>
    <t>El colaborador se encontraba imprimiendo pentalaminado de pasta dental, cuando se percata de que uno de los bordes presentaba manchas de tinta, por lo que procede a detener la máquina para identificar el punto que originaba las manchas.
Encontrándose la máquina detenida, el operador inicia la limpieza de uno de los rodillos de impresión. En ese momento, mueve con la mano izquierda la manivela del tambor principal mientras que con la mano derecha limpiaba el rodillo con un trapo con solvente.
Durante esta actividad, el dedo índice de la mano derecha entra en contacto con el punto de rozamiento del tambor principal con el rodillo de impresión. Producto de esto, la primera falange del dedo índice sufre un aplastamiento entre ambas superficies.
Inmediatamente, el colaborador retira su dedo del punto de contacto y reporta lo ocurrido. El colaborador es atendido por el médico de la ambulancia y derivado a la clínica, en donde le realizan estudios complementarios descartando fracturas.</t>
  </si>
  <si>
    <t>Limpieza de rodillo</t>
  </si>
  <si>
    <t>Limpieza del equipo</t>
  </si>
  <si>
    <t>Traimatismo por aplastamiento del dedo índice</t>
  </si>
  <si>
    <t>1.5 meses</t>
  </si>
  <si>
    <t>Puesto regular</t>
  </si>
  <si>
    <t>REFINERIA</t>
  </si>
  <si>
    <t>VELAZCO</t>
  </si>
  <si>
    <t>JARA</t>
  </si>
  <si>
    <t>KEVIN GABRIEL</t>
  </si>
  <si>
    <t>Esguince del ligamento entre el hueso grande y ganchoso de la mano derecha, producto de una caída que sufre el trabajador al descender las escaleras en el área del Desodorizador 4 - primer piso, cuando se retiraba luego de atender trabajos de emergencia por contaminación de ácidos grasos de palma con agua.</t>
  </si>
  <si>
    <t>3 MESES</t>
  </si>
  <si>
    <t>ESCALERAS</t>
  </si>
  <si>
    <t>APT MSR</t>
  </si>
  <si>
    <t>APT</t>
  </si>
  <si>
    <t>IOLSA</t>
  </si>
  <si>
    <t>VILLAR</t>
  </si>
  <si>
    <t>OBLITAS</t>
  </si>
  <si>
    <t>JESUS</t>
  </si>
  <si>
    <t>Estibador</t>
  </si>
  <si>
    <t xml:space="preserve">Traumatismo en la pierna derecha a causa de caída de pallet mientras se encontraba trasladando dicho objeto dentro de un furgón. </t>
  </si>
  <si>
    <t>12 AÑOS</t>
  </si>
  <si>
    <t>PALLET</t>
  </si>
  <si>
    <t>ECUADOR</t>
  </si>
  <si>
    <t>VITAPRO</t>
  </si>
  <si>
    <t>INBALNOR</t>
  </si>
  <si>
    <t>REYES</t>
  </si>
  <si>
    <t>MORAN</t>
  </si>
  <si>
    <t>FRANCISCO SEGUNDO</t>
  </si>
  <si>
    <t>AUXILIAR DE PRODUCCIÓN</t>
  </si>
  <si>
    <t xml:space="preserve">Luxación de hombro derecho a causa de realizar un movimiento brusco mientras trasladaba sacos de calcio en el área de tolva de Microingredientes – Planta 1. El trabajador al notar que un saco se trabó realiza una maniobra brusca que le causa dolor en el hombro, pese a ello, continua realizando el traslado de sacos de calcio hasta que dicho dolor se intensifica. </t>
  </si>
  <si>
    <t>SOBREESFUERZO</t>
  </si>
  <si>
    <t>Luxación</t>
  </si>
  <si>
    <t>5 AÑOS</t>
  </si>
  <si>
    <t>SACOS DE CALCIO</t>
  </si>
  <si>
    <t>ILU23106</t>
  </si>
  <si>
    <t>Lurín 5_FEM</t>
  </si>
  <si>
    <t>FEM</t>
  </si>
  <si>
    <t>León</t>
  </si>
  <si>
    <t>Inti</t>
  </si>
  <si>
    <t>Denis Elier</t>
  </si>
  <si>
    <t>Siendo las 3:30 pm, el maquinista Dan Soto detecta vacíos en el manto por lo que decide parar la alimentación de fibra hacia la cardadora, apertura la primera guarda de la cardadora para retiro de la fibra, sin para los rodillos dentados de la Cardadora.
Denis León (Accidentado) se encontraba controlando el producto que ingresa al horno, al quedarse sin producto se dirige hacia el punto de acumulación de fibra para ayudar a Leonardo Muñoz a retirar la fibra acumulada. Una vez retirada la fibra acumulada, Denis (Accidentado) se percata que el Sr. Muñoz iba a retirar unos retazos de fibra que se habían pasado hacia la zona de los Rodillos Dentados (en movimiento), Denis le indica a su compañero que el realizaría la acción y se aproxima para retirar los retazos, es en ese momento donde sufre el atrapamiento, el colaborador logra retirar la mano sin embargo la velocidad del rodillo dentado le genera el daño en los dedos. 
Es auxiliado por el Supervisor de Producción quien lo traslada al tópico y avisa al área de seguridad industrial, luego de la atención es derivado a la clínica San Pablo en el distrito de Surco.</t>
  </si>
  <si>
    <t>Inspección de guata</t>
  </si>
  <si>
    <t>Amputación traumática en diferentes grados</t>
  </si>
  <si>
    <t>Amputación</t>
  </si>
  <si>
    <t>ANAYA</t>
  </si>
  <si>
    <t>ESTEBAN</t>
  </si>
  <si>
    <t>LUIS</t>
  </si>
  <si>
    <t>OPERARIO DE PRODUCCION</t>
  </si>
  <si>
    <t>Traumatismo en la pierna derecha a causa de golpe con el borde de la plataforma mientras transitaba desde el magazine.</t>
  </si>
  <si>
    <t>1 MES</t>
  </si>
  <si>
    <t>PLATAFORMA METALICA</t>
  </si>
  <si>
    <t>SIDSUR</t>
  </si>
  <si>
    <t>SILOS</t>
  </si>
  <si>
    <t>Tercero - Limpieza</t>
  </si>
  <si>
    <t>LIMTEK</t>
  </si>
  <si>
    <t>AMADO</t>
  </si>
  <si>
    <t>PEREZ</t>
  </si>
  <si>
    <t>MARIA DEL CARMEN</t>
  </si>
  <si>
    <t>Operario de Limpieza</t>
  </si>
  <si>
    <t>Contusión causada por caída mientras se realizaban labores de limpieza en la zona externa del Silo 4, en presencia de agua y harina en el suelo.</t>
  </si>
  <si>
    <t>CAIDA A UN MISMO NIVEL</t>
  </si>
  <si>
    <t>CUERPO</t>
  </si>
  <si>
    <t>DERRAME DE AGUA Y HARINA EN EL SUELO</t>
  </si>
  <si>
    <t>PRODUCCIÓN</t>
  </si>
  <si>
    <t>GARCIA</t>
  </si>
  <si>
    <t>LA ROSA</t>
  </si>
  <si>
    <t>LUIS RICARDO</t>
  </si>
  <si>
    <t>OPERADOR MASERO</t>
  </si>
  <si>
    <t xml:space="preserve">Traumatismo superficial en la pierna izquierda provocado por una caída mientras intentaba accionar la parada de emergencia de la batidora de la línea 03. El trabajador se percata del derrame de producto de la batidora hacia el piso, causando que pierda la estabilidad en el traslado, se resbale e impacte con la escalera próxima. </t>
  </si>
  <si>
    <t>23 AÑOS</t>
  </si>
  <si>
    <t>DERRAME DE PRODUCTO EN EL SUELO</t>
  </si>
  <si>
    <t>LATAM</t>
  </si>
  <si>
    <t>CD LATAM</t>
  </si>
  <si>
    <t>ALTELIZA</t>
  </si>
  <si>
    <t>CASTILLO</t>
  </si>
  <si>
    <t>HUERTAS</t>
  </si>
  <si>
    <t>RITA</t>
  </si>
  <si>
    <t>OPERARIO DE LIMPIEZA</t>
  </si>
  <si>
    <t xml:space="preserve">Contusiones superficiales múltiples producidas por caída y posterior golpe con la baranda de una escalera mientras trasladaba un contenedor plástico de residuos. </t>
  </si>
  <si>
    <t>MOLINO FAUCETT</t>
  </si>
  <si>
    <t>ENVASADO</t>
  </si>
  <si>
    <t>ROMERO</t>
  </si>
  <si>
    <t>BALBIN</t>
  </si>
  <si>
    <t>LUIS DANIEL</t>
  </si>
  <si>
    <t>Ayudante de planta</t>
  </si>
  <si>
    <t xml:space="preserve">Descarga eléctrica producida por contacto con el soporte del molino de martillo ubicado en la zona de premezcla industrial del 2 nivel del edificio de envasado. </t>
  </si>
  <si>
    <t>DESCARGA ELECTRICA</t>
  </si>
  <si>
    <t>Descarga Eléctrica</t>
  </si>
  <si>
    <t>13 DIAS</t>
  </si>
  <si>
    <t>ENERGIA ELECTRICA</t>
  </si>
  <si>
    <t xml:space="preserve">ILU22718 </t>
  </si>
  <si>
    <t>Quicaña</t>
  </si>
  <si>
    <t>Huallpa</t>
  </si>
  <si>
    <t>Angel</t>
  </si>
  <si>
    <t>El colaborador se encontraba colocando la bocamasa de la porta bobina de forma manual con ayuda de una llave Allen, cuando se encontraba aplicando fuerza dicha la llave sale proyectada con dirección a su rostro, impactando contra su nariz, el colaborador no informó de forma inmediata lo sucedido, ya que no presentaba dolor en el momento pero después de terminar de cenar comenzó a sentir dolor en la parte afectada y en la cabeza, por la cual dio aviso al área de seguridad industrial y fue llevado al tópico. Se le realizó la limpieza correspondiente y se le aplicó crema en la parte afectada y diclofenaco de forma intramuscular. Posterior a la atención, se trasladó a la clínica San Pablo del distrito de Surco.</t>
  </si>
  <si>
    <t>Ajuste de bobina</t>
  </si>
  <si>
    <t>Contusión en tabique</t>
  </si>
  <si>
    <t>SALSAS 2</t>
  </si>
  <si>
    <t>CERDEÑA</t>
  </si>
  <si>
    <t>ORTIZ</t>
  </si>
  <si>
    <t>JEAN FRANCO ANTONIO</t>
  </si>
  <si>
    <t>Contusión en el segundo dedo de la mano izquierda provocada por golpe con la guarda de seguridad de la parte frontal de la encajadora línea 7, mientras se encontraba cerrando la tapa junto con otros 02 trabajadores.</t>
  </si>
  <si>
    <t>2 MESES Y 6 DIAS</t>
  </si>
  <si>
    <t>GUARDA DE SEGURIDAD</t>
  </si>
  <si>
    <t>TRUJILLO</t>
  </si>
  <si>
    <t>NICOVITA</t>
  </si>
  <si>
    <t>MALASQUEZ</t>
  </si>
  <si>
    <t>NOLASCO</t>
  </si>
  <si>
    <t>ALEXANDRO GUSSEPY</t>
  </si>
  <si>
    <t>EMBOLSADOR</t>
  </si>
  <si>
    <t xml:space="preserve">Fractura de escafoides de la mano izquierda producida por el impacto de un saco de producto a gran velocidad hacia el pecho del trabajador. Dicho contacto hizo que el trabajador pierda el equilibrio y cayera hacia atrás, apoyando sus manos instintivamente contra el suelo. </t>
  </si>
  <si>
    <t>10 DIAS</t>
  </si>
  <si>
    <t>SACO DE PRODUCTO</t>
  </si>
  <si>
    <t>BAÑADOS</t>
  </si>
  <si>
    <t>OVIEDO</t>
  </si>
  <si>
    <t>HIDALGO</t>
  </si>
  <si>
    <t>EDGARD ANTHONY</t>
  </si>
  <si>
    <t>Contusión en el codo izquierdo causada por un golpe con una bandeja con granel que sostenía otro trabajador. Ambos se encontraban alimentando galleta a granel hacia el magazín de la envasadora A9.</t>
  </si>
  <si>
    <t>20 AÑOS</t>
  </si>
  <si>
    <t>BANDEJA</t>
  </si>
  <si>
    <t>DIAGRAMA "C"</t>
  </si>
  <si>
    <t>CARRASCO</t>
  </si>
  <si>
    <t>AVILES</t>
  </si>
  <si>
    <t>WILLY DAVID</t>
  </si>
  <si>
    <t>OPERADOR 2 DE MOLINO</t>
  </si>
  <si>
    <t xml:space="preserve">Contusión en el dedo índice de la mano derecha provocada el contacto con la tapa del banco de cilindros RED2-C2. El trabajador escuchó la alarma del Molino, y procedió a cerrar la tapa del equipo que operaba sin percatarse de que su dedo se encontraba en el trayecto de cierre. </t>
  </si>
  <si>
    <t>ATRAPADO POR</t>
  </si>
  <si>
    <t>21 AÑOS</t>
  </si>
  <si>
    <t>TAPA DE BANCO DE CILINDROS</t>
  </si>
  <si>
    <t>FIDEERIA</t>
  </si>
  <si>
    <t>LAYME</t>
  </si>
  <si>
    <t>MACHACA</t>
  </si>
  <si>
    <t>MAXIMO RENE</t>
  </si>
  <si>
    <t>MECANICO DE TURNO</t>
  </si>
  <si>
    <t xml:space="preserve">Pérdida de falange distal superior del dedo medio de la mano derecha mientras se encontraba realizando el alineamiento de cadenas en la zona de descarga de la línea 3. El trabajador retira la guarda de seguridad sin realizar el bloqueo. </t>
  </si>
  <si>
    <t>AMPUTACIÓN</t>
  </si>
  <si>
    <t>22 AÑOS</t>
  </si>
  <si>
    <t>CADENA + GUARDA DE SEGURIDAD</t>
  </si>
  <si>
    <t>TALLER MANTENIMIENTO</t>
  </si>
  <si>
    <t>SACHA</t>
  </si>
  <si>
    <t>ANDERSON</t>
  </si>
  <si>
    <t>Mecánico de Mantenimiento</t>
  </si>
  <si>
    <t>Herida de la cabeza, el colaborador se encontraba realizando labores de mantenimiento en el taller en un rollo de banco de cilindros</t>
  </si>
  <si>
    <t>HERIDA</t>
  </si>
  <si>
    <t>3 AÑOS Y 11 MESES</t>
  </si>
  <si>
    <t>CILINDROS</t>
  </si>
  <si>
    <t>HUACHIPA</t>
  </si>
  <si>
    <t>CD HUACHIPA</t>
  </si>
  <si>
    <t>MUELLE DE DESCARGA</t>
  </si>
  <si>
    <t>s</t>
  </si>
  <si>
    <t>AYUDANTE DE ALMACEN</t>
  </si>
  <si>
    <t xml:space="preserve">Queratoconjuntivitis, el colaborador se encontraba recibiendo productos rechazados de un cliente, había 05 paletas </t>
  </si>
  <si>
    <t>QUERATOCONJUNTIVITIS</t>
  </si>
  <si>
    <t>2 AÑOS Y 6 MESES</t>
  </si>
  <si>
    <t>PRODUCTO</t>
  </si>
  <si>
    <t>RECURSOS HUMANOS</t>
  </si>
  <si>
    <t>TERESA ESQUIVEL</t>
  </si>
  <si>
    <t>Esguince por torcedura de tobillo, el colaborador resbala y cae sentada al estar caminando sobre el piso mojado luego de trapear el sector del comedor</t>
  </si>
  <si>
    <t>ESGUINCES</t>
  </si>
  <si>
    <t>PISO</t>
  </si>
  <si>
    <t>VESTUARIO</t>
  </si>
  <si>
    <t>d</t>
  </si>
  <si>
    <t xml:space="preserve">OPERADOR DE ENFARDADO </t>
  </si>
  <si>
    <t xml:space="preserve">Esguince y torcedura del tobillo izquierdo, producida al bajar de las escaleras del vestuario </t>
  </si>
  <si>
    <t>9 AÑOS</t>
  </si>
  <si>
    <t>LÍNEA 3</t>
  </si>
  <si>
    <t>Operador de Máquina Envasadora</t>
  </si>
  <si>
    <t xml:space="preserve">Corrosión de la córnea y saco conjuntival, causada por frascos vacíos de tintas de tintas y solventes generando que le salpicara unas gotas de residuo de tinta hacia su ojo izquierdo </t>
  </si>
  <si>
    <t>2 AÑOS</t>
  </si>
  <si>
    <t>FRASCO TINTA</t>
  </si>
  <si>
    <t>CEA UCSUR</t>
  </si>
  <si>
    <t>AGURTO</t>
  </si>
  <si>
    <t>SALAZAR</t>
  </si>
  <si>
    <t>CAMILA FABIOLA</t>
  </si>
  <si>
    <t>PRACTICANTE DE INVESTIGACION</t>
  </si>
  <si>
    <t>Traumatismo superficial de la cabeza causada por impacto con la puerta de la gaveta superior del laboratorio que se encontraba descuadrada por la falta de un tornillo en la bisagra.</t>
  </si>
  <si>
    <t>TRAUMATISMO</t>
  </si>
  <si>
    <t>1 AÑO</t>
  </si>
  <si>
    <t>PUERTA DE GAVETA</t>
  </si>
  <si>
    <t>PRACTICANTE</t>
  </si>
  <si>
    <t>CHILE</t>
  </si>
  <si>
    <t>SALMOFOOD</t>
  </si>
  <si>
    <t>HERNANDEZ</t>
  </si>
  <si>
    <t>NAIMAN</t>
  </si>
  <si>
    <t>DANIEL ALEJANDRO</t>
  </si>
  <si>
    <t>OPERARIO</t>
  </si>
  <si>
    <t>Torsión del tobillo derecho provocada mientras se desplazaba retirándose de su jornada en Casino CEA. El reporte lo realiza desde su domicilio, al sentir dolor.</t>
  </si>
  <si>
    <t>PASO PEATONAL</t>
  </si>
  <si>
    <t>EMBOLSADO DE PRODUCTOS</t>
  </si>
  <si>
    <t>WALTER RICHARDE</t>
  </si>
  <si>
    <t>Contusión de dedo medio de la mano derecha, el colaborador levanta una tapa de rebose con la mano izquierda mientras que la mano derecha la ubica en la estructura de la rosca para proceder a retirar el producto, cuando suelta la tapa y ésta le cae en la mano derecha ocasionando un corte en el dedo medio y contusión alrededor del corte de la mano derecha</t>
  </si>
  <si>
    <t>CONTUSION</t>
  </si>
  <si>
    <t>ROSCA</t>
  </si>
  <si>
    <t>MIRAFLORES</t>
  </si>
  <si>
    <t>EDIFICIO MIRAFLORES</t>
  </si>
  <si>
    <t>ESCALERA PISO 7 AL 8</t>
  </si>
  <si>
    <t>Alteliza</t>
  </si>
  <si>
    <t>MARIA KARINA TORRES ANAYA</t>
  </si>
  <si>
    <t>Esguince de Tobillo derecho, la colaboradora se encontraba trasladándose del piso 8 al piso 7, pierde el equilibrio y tropieza cayéndose en los últimos escalenos de la escalera. La operaria da aviso a la supervisora de grupo quien auxilia y se comunica con el tópico. Luego es trasladad a la clínica internacional</t>
  </si>
  <si>
    <t>OYARZUN</t>
  </si>
  <si>
    <t>ANDRADE</t>
  </si>
  <si>
    <t>VICTOR HUGO</t>
  </si>
  <si>
    <t>ASISTENTE DE EXTRUSORISTA</t>
  </si>
  <si>
    <t xml:space="preserve">Liberación de energía residual (vapor y producto), que entra en contacto con el brazo derecho del trabajador quien se encontraba realizando labores de limpieza en la punta del extrusor 3, mientras el personal de mantenimiento intervenía el equipo por una parada inesperada. </t>
  </si>
  <si>
    <t>VAPOR</t>
  </si>
  <si>
    <t>OTROS</t>
  </si>
  <si>
    <t>Otros</t>
  </si>
  <si>
    <t>PATIO DE MANIOBRAS</t>
  </si>
  <si>
    <t>HAYDE AVENDAÑO</t>
  </si>
  <si>
    <t xml:space="preserve">Traumatismo del tendón del manguito rotatorio del hombro, la colaboradora se encontraba retornando a planta posterior a una cita médica, mientras se estaba trasladando por la senda peatonal pisa un leve desnivel, lo cual genera que pierda el equilibrio y cae sobre su brazo izquierdo. Generándole un raspón en el brazo y contusión en el hombro </t>
  </si>
  <si>
    <t>ITD22983</t>
  </si>
  <si>
    <t>APT Detergentes</t>
  </si>
  <si>
    <t>Fernández</t>
  </si>
  <si>
    <t>Borja</t>
  </si>
  <si>
    <t>Yessy Judith</t>
  </si>
  <si>
    <t>Siendo las 7:30 horas, la colaboradora Yessy Judith Fernandez Borja, acarreaba mercadería desde la zona de producción hacia los canales de planta interna en CD2 operando una transpaleta doble. La colaboradora, para poder retroceder y dejar la mercadería en canal, se posiciona en la plataforma de trabajo del transpaleta con el pie izquierdo cerca al borde al borde del equipo y el otro sobre la plataforma. En el momento que gira, el pie izquierdo resbala del equipo y queda atrapado entre la base del equipo y el piso.
Posterior al evento, la colaboradora fue atendida en el tópico y trasladad a la clínica para que se realicen los exámenes correspondientes.</t>
  </si>
  <si>
    <t>Operación de transpaleta doble</t>
  </si>
  <si>
    <t>Contusión de dedos del pie</t>
  </si>
  <si>
    <t>FINO</t>
  </si>
  <si>
    <t>g</t>
  </si>
  <si>
    <t>Operador de Campac</t>
  </si>
  <si>
    <t>Contusión mano y espalda por caída al mismo nivel, causada por un derrame de aceite vegetal causado por la fuga de una manguera, resbala golpeándose la espalda y codo</t>
  </si>
  <si>
    <t>CAIDA</t>
  </si>
  <si>
    <t>CONTUSIONES</t>
  </si>
  <si>
    <t>ACEITE</t>
  </si>
  <si>
    <t>Relaciones Laborales</t>
  </si>
  <si>
    <t>COMEDOR</t>
  </si>
  <si>
    <t>LORENA ESTEFANY MAMANI GONZALES</t>
  </si>
  <si>
    <t>AYUDANTE DE COCINA</t>
  </si>
  <si>
    <t>Corte en el dedo pulgar de la mano izquierda, el colaborador se encontraba cortando tubérculos, y es cuando sufre el corte en el dedo pulgar de la mano izquierda, ocasionándole un sangrado de regular cantidad.</t>
  </si>
  <si>
    <t>CORTE</t>
  </si>
  <si>
    <t>Corte</t>
  </si>
  <si>
    <t>CUCHILLO</t>
  </si>
  <si>
    <t>ENVASADO AUTOMATICO</t>
  </si>
  <si>
    <t>f</t>
  </si>
  <si>
    <t xml:space="preserve">Embolsador </t>
  </si>
  <si>
    <t xml:space="preserve">Herida en dedo anular de mano izquierda, mientras retiraba un saco de la línea envasadora automática N°01 que venía mal cosido </t>
  </si>
  <si>
    <t>12 DIAS</t>
  </si>
  <si>
    <t>EQUIPO</t>
  </si>
  <si>
    <t xml:space="preserve">  EMBOLSADO DE FOODSERVICE</t>
  </si>
  <si>
    <t xml:space="preserve">GUILLERMO HERMOSA CARDENAS </t>
  </si>
  <si>
    <t>AYUDANTE DE PLANTA</t>
  </si>
  <si>
    <t xml:space="preserve">Traumatismo superficial de la muñeca y mano izquierda el colaborador mientras se disponía a realizar la actividad de cosido de saco de papel se percata que su compañero que se encontraba junto a él tenía dificultades para colocar el saco en el bocasaco de la embolsadora </t>
  </si>
  <si>
    <t>SACO</t>
  </si>
  <si>
    <t>MANTENIMIENTO</t>
  </si>
  <si>
    <t>JUAN JUAREZ</t>
  </si>
  <si>
    <t xml:space="preserve">TECNICO DE AUTOMATICIÓN </t>
  </si>
  <si>
    <t xml:space="preserve">Esguince de tobillo izquierdo, el colaborador procedió a revisar una falla del helicoidal del Silo 131, debido a que se había trabado (no giraba), entonces se procedió a revisar y al momento de bajar el colaborador pisa en el tubo de la bomba soplante donde se resbalo hacia el suelo a una altura de 30 cm, al momento de caer se dobló el pie y se apoyó en su compañero para no caer totalmente al suelo </t>
  </si>
  <si>
    <t>6 AÑOS Y 3 MESES</t>
  </si>
  <si>
    <t>TUBO DE BOMBA</t>
  </si>
  <si>
    <t>SALSAS 4</t>
  </si>
  <si>
    <t>PROYECTOS SALSAS 4</t>
  </si>
  <si>
    <t>JOSE BUSTAMANTE</t>
  </si>
  <si>
    <t xml:space="preserve">Fractura de la mano izquierda, el colaborador mientras habilitaba la herramienta, el operario coloca un clavo en la boquilla sin percatarse de que la pistola tenía el fulminante puesto. Al ejercer presión con su mano sobre la boquilla y apretar el gatillo, el clavo se incrustó en su mano izquierda. </t>
  </si>
  <si>
    <t>CLAVO</t>
  </si>
  <si>
    <t>LATAM 400</t>
  </si>
  <si>
    <t>PASILLO 10</t>
  </si>
  <si>
    <t>JULIO NAVARRO</t>
  </si>
  <si>
    <t xml:space="preserve">Esguinces y torceduras de las articulaciones del hombro derecho, se asignó a dos trabajadores que vayan al pasillo 10 para realizar el retiro de las cajas de la ubicación. El procedimiento que se indicó es utilizar una canastilla con arnés con el cual el Sr. Julio Navarro subió al nivel 5 para comenzar a realizar la actividad. Mientras la ejecutaba el trabajador sintió dolor en el hombro derecho </t>
  </si>
  <si>
    <t>1AÑO Y 2MESES</t>
  </si>
  <si>
    <t>CAJAS</t>
  </si>
  <si>
    <t>SALSAS 3</t>
  </si>
  <si>
    <t>JAVIER REYES MARIN</t>
  </si>
  <si>
    <t xml:space="preserve">Atricción dedo meñique mano derecha, el colaborador se encontraba realizando corrección de peso de cajas rechazadas por balanza en línea. Una caja ingresó desalineada y quedó retenida en las guías. Introdujo la mano por debajo del protector hasta la base de la caja para corregir la posición, ingresando su dedo meñique derecho entre la faja y el polín de paso </t>
  </si>
  <si>
    <t xml:space="preserve">ATRICCIÓN </t>
  </si>
  <si>
    <t>CENTRO DE ACOPIO PAILON</t>
  </si>
  <si>
    <t>CUIZA</t>
  </si>
  <si>
    <t>CHAVARRÍA</t>
  </si>
  <si>
    <t>YORDY</t>
  </si>
  <si>
    <t xml:space="preserve">AYUDANTE DE HORNO </t>
  </si>
  <si>
    <t xml:space="preserve">Hematoma y herida en el dedo medio de mano izquierda provocadas por el atrapamiento entre el borde del horno y un tronco de leña, mientras se encontraba colocando los troncos al interior del horno. </t>
  </si>
  <si>
    <t>36 DÍAS</t>
  </si>
  <si>
    <t>TRONCO DE LEÑA</t>
  </si>
  <si>
    <t>DETERGENTES CALLAO</t>
  </si>
  <si>
    <t>ccc</t>
  </si>
  <si>
    <t xml:space="preserve">OPERADOR DE BOQUILLAS </t>
  </si>
  <si>
    <t xml:space="preserve">Herida de dedo de la mano, sin daño de la uña, el colaborador se encontraba culminado la limpieza del sistema de aspiración de polvos. </t>
  </si>
  <si>
    <t>17 AÑOS</t>
  </si>
  <si>
    <t>GALLETERA</t>
  </si>
  <si>
    <t>Orlando Manuel Ramos Marquina</t>
  </si>
  <si>
    <t>Operador de máquina envasadora</t>
  </si>
  <si>
    <t>Queratoconjuntivitis, Ojo Izquierdo, el colaborador se encontraba en el área de lavado de instantáneos, realizando labores de trasvase de detergente neutro M&amp;M 2000 hacia un vaso plástico; y en ese momento salpica una gota de detergente en su vista izquierda, ocasionándole enrojecimiento y ardor en la zona afectada</t>
  </si>
  <si>
    <t>QUEROCONJUNTIVIS</t>
  </si>
  <si>
    <t>10 AÑOS</t>
  </si>
  <si>
    <t>DETERGENTE</t>
  </si>
  <si>
    <t xml:space="preserve">Elmer Juarez </t>
  </si>
  <si>
    <t>Ayudante de Planta</t>
  </si>
  <si>
    <t xml:space="preserve">Cuerpo extraño en saco conjuntival, queratoconjuntivitis, el colaborador se encontraba realizando la tarea ayudar a su compañero Lucio Rodriguez de recibir los cajones del Plansifter de Plástico del Sangatti a diferente nivel, en una de esas actividades repetitivas el colaborador siente que el ojo izquierdo le molestaba. </t>
  </si>
  <si>
    <t>7 MESES</t>
  </si>
  <si>
    <t>HARINA</t>
  </si>
  <si>
    <t>Alexander Neciosupe</t>
  </si>
  <si>
    <t>Operario (Proveedor Corporación Heredia)</t>
  </si>
  <si>
    <t xml:space="preserve">Fractura y lesiones en tendón del dedo pulgar derecho, el colaborador se encontraba realizando la tarea de limpieza de superficies de paredes, pisos y recoger harina de los pisos para la cual estaba contratada; mientras ejecutaba su actividad observó una fuga de harina en el equipo disgregador del diagrama “A”, se acercó sin autorización al equipo para retirar el producto y cerrar la tapa haciendo contacto con el equipo en movimiento. </t>
  </si>
  <si>
    <t>EQUIPO EN MOVIMIENTO</t>
  </si>
  <si>
    <t>MASTERBREAD</t>
  </si>
  <si>
    <t>TEAL</t>
  </si>
  <si>
    <t>TEAL LIMA</t>
  </si>
  <si>
    <t>CARAMELOS</t>
  </si>
  <si>
    <t>BERRU</t>
  </si>
  <si>
    <t>SANDOVAL</t>
  </si>
  <si>
    <t>IVAN</t>
  </si>
  <si>
    <t xml:space="preserve">Traumatismo superficial del dedo pulgar de la mano derecha causado por aprisionamiento del tope lateral movible de la mesa fría de la línea de caramelo blando – frunakids, mientras realizaba la descarga de la masa de fruna hacia las jabas vacías. </t>
  </si>
  <si>
    <t>9 DIAS</t>
  </si>
  <si>
    <t xml:space="preserve">MESAS TRANSPORTADORAS </t>
  </si>
  <si>
    <t>PROYECTO BICIS 2</t>
  </si>
  <si>
    <t>RAMON WILFRIDO CUERO NAZARENO</t>
  </si>
  <si>
    <t>ARMADOR DE ESTRUCTURAS</t>
  </si>
  <si>
    <t>Trauma superficial región lumbo sacra y rodilla derecha, hematoma a nivel de ojo izquierdo, el colaborador se encontraba en el nivel +10.5 realizando actividades preliminares en las vigas colaborantes que se encontraban acopiadas en el piso antes de realizar el montaje de estas.
En ese momento resbala perdiendo el equilibrio e impacta frontalmente con las vigas. Efecto de este golpe cae hacia atrás y al querer ponerse de pie, pisa la eslinga de su arnés provocándole caída al mismo nivel y múltiples golpes en el cuerpo</t>
  </si>
  <si>
    <t>TRUMA</t>
  </si>
  <si>
    <t>VIGAS</t>
  </si>
  <si>
    <t>HONDURAS</t>
  </si>
  <si>
    <t xml:space="preserve">ESCALERA NIVEL 3 </t>
  </si>
  <si>
    <t>MORENO HERNANDEZ MARIO RENE</t>
  </si>
  <si>
    <t>OPERADOR DE CALDERAS</t>
  </si>
  <si>
    <t>El trabajador se encontraba realizando la tarea del descenso de la pieza por medio de un tecle con el objetivo de trasladarlo al taller de mantenimiento, la actividad se realizó entre 5 técnicos y la aprobación del jefe de mantenimiento</t>
  </si>
  <si>
    <t>FACTURA</t>
  </si>
  <si>
    <t>3 AÑOS Y 5 MESES</t>
  </si>
  <si>
    <t>Eder Zúñiga Camayo</t>
  </si>
  <si>
    <t>Mezclador Instantáneos</t>
  </si>
  <si>
    <t xml:space="preserve">Traumatismo superficial en pierna derecha no especificado, el colaborador se trasladaba peatonalmente, desde el encajado automático hacia el área de encajado manual de Casino Torre, cuando el montacargas del almacén de cajas sobrepasó las cortinas que limitan al almacén con el área, impactando el pallet de cajas vacías contra el hombro y pierna derecha del colaborador. </t>
  </si>
  <si>
    <t>GOLPE</t>
  </si>
  <si>
    <t>15 AÑOS</t>
  </si>
  <si>
    <t>MONTACARGA</t>
  </si>
  <si>
    <t>GALLETAS</t>
  </si>
  <si>
    <t>CURO</t>
  </si>
  <si>
    <t>CASTAÑEDA</t>
  </si>
  <si>
    <t>JORGE LUIS</t>
  </si>
  <si>
    <t>Herida del parpado y de la región periocular de ojo izquierdo por impacto con el brazo retráctil del escurridor de piso, que se encontraba atorado. El trabajador intentó liberarlo ejerciendo fuerza y provocó que este retorne hacia el y lo impacte.</t>
  </si>
  <si>
    <t>5 MESES 10 DIAS</t>
  </si>
  <si>
    <t>ESCURRIDOR DE PISO</t>
  </si>
  <si>
    <t xml:space="preserve">Jose Castillo (27 años) </t>
  </si>
  <si>
    <t xml:space="preserve">Corte en dedo anular de mano derecha, el colaborador se encontraba realizando limpieza en la tolva live in de la prensa 6, al momento de retirar el producto manualmente desde de la tolva esta choca con una arista del eje rotativo el cual le genero el corte en el dedo anular derecho. </t>
  </si>
  <si>
    <t xml:space="preserve">4 meses y 20 días </t>
  </si>
  <si>
    <t>APUDEX</t>
  </si>
  <si>
    <t>MUÑOZ</t>
  </si>
  <si>
    <t>ROJAS</t>
  </si>
  <si>
    <t>GERARDO</t>
  </si>
  <si>
    <t>OPERARIO DE ALMACÉN</t>
  </si>
  <si>
    <t xml:space="preserve">Dolor en la región lumbar provocado por estiramiento realizado por el trabajador mientras intentaba posicionar una caja de 17 kg. en el rack. </t>
  </si>
  <si>
    <t>9 MESES</t>
  </si>
  <si>
    <t>ESTIRAMIENTO</t>
  </si>
  <si>
    <t>Perez Diaz, Hugo Ernesto</t>
  </si>
  <si>
    <t xml:space="preserve">Fractura de falange distal dedo medio mano izquierda, el colaborador se encontraba realizando la actividad del embolsado de subproducto (afrecho), cuando al colocar el saco para descargar el afrecho de la balanza, procede a activar los sensores para el cierre de la mordaza de sujeción de sacos, en ese instante se percata que el lado izquierdo del saco no queda bien posicionado y trata de acomodarlo. </t>
  </si>
  <si>
    <t>1 SEMANA</t>
  </si>
  <si>
    <t>MORDAZA EMBOLSADORA</t>
  </si>
  <si>
    <t>PLANTA DON FELIPE</t>
  </si>
  <si>
    <t>JAVIER</t>
  </si>
  <si>
    <t>OPERADOR SOLVENTE TECNAL</t>
  </si>
  <si>
    <t xml:space="preserve">Quemadura en ambas piernas causada por contacto con la descarga de vapor a nivel del del piso mientras inspeccionaba el proceso de inyección de vapor en la planta Tecnal durante la desolventización. </t>
  </si>
  <si>
    <t>16 AÑOS</t>
  </si>
  <si>
    <t>Luis Ricardo Garcia La Rosa</t>
  </si>
  <si>
    <t>Operador masero</t>
  </si>
  <si>
    <t xml:space="preserve">Herida de segundo dedo de la mano derecha, sin daño de uña, el colaborador se encontraba en el área de lavado de bandejas, realizando labores de limpieza del imán que previamente fue desmontado de la batidora de masas #1, dejó la tapa del imán abierta en posición vertical </t>
  </si>
  <si>
    <t>6 años</t>
  </si>
  <si>
    <t>IMAN</t>
  </si>
  <si>
    <t>AGUSTINO</t>
  </si>
  <si>
    <t>CD AGUSTINO</t>
  </si>
  <si>
    <t>Guiliano Guillermo Sandoval Lancha</t>
  </si>
  <si>
    <t>Personal de carga IOLSA</t>
  </si>
  <si>
    <t>Herida del dedo de la mano derecha, sin daño de uña, el colaborador se encontraba en el proceso de estibado de sacos de harina en unidad furgón para cliente. Al momento de dejar uno de los sacos acerca su mano hacia la pared del camión y de manera rápida la eleva pasando todo el borde de su dedo contra uno de los bordes de la unidad, lo que le genera un corte en la parte lateral del dedo</t>
  </si>
  <si>
    <t>3 años y 6 meses</t>
  </si>
  <si>
    <t>PARED LATERAL DEL CAMION</t>
  </si>
  <si>
    <t>ILU21909</t>
  </si>
  <si>
    <t>Lavavajillas</t>
  </si>
  <si>
    <t>Choquehuanca</t>
  </si>
  <si>
    <t>Cari</t>
  </si>
  <si>
    <t>Hermelinda</t>
  </si>
  <si>
    <t>La colaboradora retornaba de los servicios higiénicos, caminaba sobre las rejillas que cubren la canaleta y tropezó sufriendo un corte en la rodilla derecha, fue auxiliada por su compañero. En el tópico recibió limpieza y curación de la herida y posteriormente fue trasladada hacia la clínica San Pablo.</t>
  </si>
  <si>
    <t>Retorno de los sshh</t>
  </si>
  <si>
    <t>Herida en rodilla derecha</t>
  </si>
  <si>
    <t>AGUIRRE</t>
  </si>
  <si>
    <t>LOPEZ</t>
  </si>
  <si>
    <t>LUIS ALBERTO</t>
  </si>
  <si>
    <t>APILADOR</t>
  </si>
  <si>
    <t xml:space="preserve">Atrapamiento del dedo pulgar derecho mientras retiraba los tacos/calzas de las llantas de un transportador móvil de sacos de harina. </t>
  </si>
  <si>
    <t>10 AÑOS Y 4 MESES</t>
  </si>
  <si>
    <t>RUEDA</t>
  </si>
  <si>
    <t>Primer piso del diagrama A</t>
  </si>
  <si>
    <t>ESPICHAN GODOY DIUWER ALEX</t>
  </si>
  <si>
    <t xml:space="preserve">Afectación del 2do al 5to dedo de la mano derecha, el diagrama A se encontraba en proceso de vaciado de línea por el término de molienda de sémola, durante la verificación del correcto vaciado del producto el colaborador abre la tapa para una inspección visual, lamentablemente introduce la mano y es atrapada en el banco. </t>
  </si>
  <si>
    <t>13 AÑOS</t>
  </si>
  <si>
    <t>TAPA</t>
  </si>
  <si>
    <t xml:space="preserve">Producción Línea </t>
  </si>
  <si>
    <t>CALERO JULCA MILDRE ESTEFANI</t>
  </si>
  <si>
    <t xml:space="preserve">Esguince y torcedura de muñeca, el colaborador se encontraba alimentando la línea 1, se dirige a botar una bolsa que contenía residuos plásticos cuando tropieza con una platina de recubrimiento de la junta de dilatación cayendo sobre su muñeca izquierda, ocasionándole un esguince y torcedura de muñeca </t>
  </si>
  <si>
    <t>Platina</t>
  </si>
  <si>
    <t>Tercer piso del Embolsado de harina</t>
  </si>
  <si>
    <t>PALOMO DIONICIO HILDEBRAND</t>
  </si>
  <si>
    <t xml:space="preserve">Contusión de dedo índice de la mano izquierda con daño de la uña, el colaborador mientras iniciaba la actividad de cosido de sacos de harina sin aditivo, observa que el hilo estaba enredado en la aguja de la máquina. El colaborador prende la máquina para que la aguja se ponga en posición y poder retirar el hilo sin percatarse que su dedo de su mano izquierda se encontraba sobre el empeine de la misma máquina. Es en este momento siente el golpe sobre el dedo </t>
  </si>
  <si>
    <t>6 MESES</t>
  </si>
  <si>
    <t>SACOS DE ARINA</t>
  </si>
  <si>
    <t>INBALNOR-BICIS 2</t>
  </si>
  <si>
    <t>JUNIOR ALFREDO GALARZA CHENCHE</t>
  </si>
  <si>
    <t xml:space="preserve">Herida corto contundente en cigomático izquierdo, Los trabajadores de la subcontratista GEOFORCE, Junior Galarza y Jimmy Soriano, se encontraban en un elevador de personas instalando elemento metálico en la cubierta auxiliar del proyecto Almacén de Soya. </t>
  </si>
  <si>
    <t>6DIAZ</t>
  </si>
  <si>
    <t>CUERDA Y VARILLA</t>
  </si>
  <si>
    <t>ILU21870</t>
  </si>
  <si>
    <t>Limpiatodo</t>
  </si>
  <si>
    <t>Zapata</t>
  </si>
  <si>
    <t>Huertas</t>
  </si>
  <si>
    <t>Jose</t>
  </si>
  <si>
    <t>Maquinista</t>
  </si>
  <si>
    <t>Alrededor de las 6:00 pm el trabajador se encontraba acomodando una paleta que había colocado sobre una ruma de paletas vacías. Durante esta actividad el trabajador jala la paleta usando guantes de nitrilo y producto del esfuerzo, uno de los bordes de los listones de la paleta abre un corte que el trabajador tenía en el dedo índice de la mano derecha generando un mayor daño a la lesión.
Este corte no fue reportado y se habría producido horas antes manipulando zunchos durante el abastecimiento de cajas a la línea sin usar guantes de seguridad.</t>
  </si>
  <si>
    <t>Mano</t>
  </si>
  <si>
    <t>Alimentación de insumos en línea de producción</t>
  </si>
  <si>
    <t>Herida de dedo de la mano sin daño en las uñas</t>
  </si>
  <si>
    <t>Producción Línea 2- PACK A2</t>
  </si>
  <si>
    <t>SAAVEDRA RAMIREZ HUBER JHONNY</t>
  </si>
  <si>
    <t xml:space="preserve">Traumatismo en la cabeza zona occipital, el colaborador recoge packs que habían caído de la faja transportadora y al levantarse se golpea la cabeza con el soporte de los conectores de aire </t>
  </si>
  <si>
    <t>SOPORTE  DE CONECTORES DE AIRE</t>
  </si>
  <si>
    <t>Planeamiento - Almacenes</t>
  </si>
  <si>
    <t>Exportaciones</t>
  </si>
  <si>
    <t>Casimiro</t>
  </si>
  <si>
    <t>Villacres</t>
  </si>
  <si>
    <t>Taiwan</t>
  </si>
  <si>
    <t>Asistente de planeamiento industrial</t>
  </si>
  <si>
    <t>La trabajadora luego de marcar asistencia en planta detergentes, subió a la movilidad para dirigirse a su lugar de trabajo en planta principal y al bajar de la movilidad sufrió una caída que le ocsionó un esguince y tuvo que ser trasladada a la clínica.</t>
  </si>
  <si>
    <t>Traslado a su lugar de trabajo</t>
  </si>
  <si>
    <t>ILU21875</t>
  </si>
  <si>
    <t>Aerosoles</t>
  </si>
  <si>
    <t>LEON</t>
  </si>
  <si>
    <t>RODRIGO</t>
  </si>
  <si>
    <t>JORGE</t>
  </si>
  <si>
    <t xml:space="preserve">El colaborador Jorge León Rodrigo realizaba su actividades cuando una tapa ingresa incorrectamente en la máquina tapadora y cae en el sistema de transferencia causando el  atoro de una lata dejando superficies punzocortantes expuestas. El colaborador intentó retirar el envase atorado ejerciendo fuerza y sufre un corte en el dedo índice de la mano derecha, al percatarse del corte y del sangrado da aviso al encargado para luego dirigirse al tópico para ser atendido.  </t>
  </si>
  <si>
    <t>Retiro de envase roto atorado en máquina tapadora</t>
  </si>
  <si>
    <t>Desatoro</t>
  </si>
  <si>
    <t>Herida en dedo de la mano</t>
  </si>
  <si>
    <t xml:space="preserve">CARLOS ALCANTARA LABRIN </t>
  </si>
  <si>
    <t>AYUDANTE DE PLATAN</t>
  </si>
  <si>
    <t>Fractura de otro dedo de la mano, el colaborador sufre un tirón en el dedo índice de la mano izquierda lamentablemente su dedo quedo atrapado entre la polea y la faja, de inmediato logra retirar la mano presentando un corte</t>
  </si>
  <si>
    <t xml:space="preserve">3 MESES </t>
  </si>
  <si>
    <t>FAJA</t>
  </si>
  <si>
    <t>CORTEZ VASQUEZ YORDI ANTHONY</t>
  </si>
  <si>
    <t>PESADOR INGREDIENTES SALSAS</t>
  </si>
  <si>
    <t>Inflamación de la córnea en ojo izquierdo, el colaborador se encontraba añadiendo ingredientes líquidos en la tolva respectiva para la preparación de un batch en manufactura salsas. Al momento de terminar de agregar éstos, le salpica una gota de la mezcla cerca del ojo izquierdo</t>
  </si>
  <si>
    <t>INFLAMACIÓN DE LA CORNEA</t>
  </si>
  <si>
    <t xml:space="preserve">TOLVA </t>
  </si>
  <si>
    <t>MAMANI</t>
  </si>
  <si>
    <t>PONCE</t>
  </si>
  <si>
    <t>ANTONIO</t>
  </si>
  <si>
    <t>OPERADOR SOLVENTE CROWN</t>
  </si>
  <si>
    <t xml:space="preserve">Hemorragia subconjuntival en el ojo causada por la proyección de una tapa metálica del ducto de salida de aire del DTDC que logra impactar en la parte lateral del casco y lentes de seguridad. El trabajador (operador de Solvente Crown) estaba asegurando dicha tapa, cuando pierde el control de la misma y causa el impacto. </t>
  </si>
  <si>
    <t>HEMORRAGIA</t>
  </si>
  <si>
    <t>28 AÑOS</t>
  </si>
  <si>
    <t>TAPA METÁLICA</t>
  </si>
  <si>
    <t>IVE21866</t>
  </si>
  <si>
    <t>VENTANILLA</t>
  </si>
  <si>
    <t>Almacen EEII</t>
  </si>
  <si>
    <t>1er</t>
  </si>
  <si>
    <t>BARBARAN</t>
  </si>
  <si>
    <t xml:space="preserve"> CHIPANA</t>
  </si>
  <si>
    <t xml:space="preserve"> JOSE ALEJANDRO</t>
  </si>
  <si>
    <t>OPERARIO DE ALMACEN</t>
  </si>
  <si>
    <t xml:space="preserve">El trabajador del área de Almacén Jose Barbaran se encontraba cerca al área de elaboración de detergentes. Instantes antes del evento, se disponía a elevar un balde con ácido sulfónico (HLAS) hacia el mezanine de fabricación, al realizar esta acción, el contenido del balde se derrama y cae sobre su cabeza y rostro.
Inmediatamente se le brinda los primeros auxilios y posteriormente se le traslada a la clínica San Gabriel para recibir atención especializada, donde le diagnosticaron Queratoconjuntivitis. </t>
  </si>
  <si>
    <t>Proyección de Sustancias Químicas</t>
  </si>
  <si>
    <t>Ojos</t>
  </si>
  <si>
    <t>Manipulacion de balde con HLAS</t>
  </si>
  <si>
    <t>Apoyo en actividades</t>
  </si>
  <si>
    <t xml:space="preserve">VITAPRO CHILE </t>
  </si>
  <si>
    <t>Salmofood</t>
  </si>
  <si>
    <t>Nelson Sánchez</t>
  </si>
  <si>
    <t>Herida en el dedo índice - mano izquierda, mientras el trabajador realizaba el corte de un seguro la guarda plástica de la hoja cortante cede, haciendo que la hoja pase de largo generando un corte en la misma mano en la cual el trabajador sostenía la herramienta, producto de esto el trabajador resulto con un corte en el dedo índice y pulgar de la mano izquierda</t>
  </si>
  <si>
    <t xml:space="preserve">HERIDA EN EL DEDO INDICE </t>
  </si>
  <si>
    <t>GUARDA DE PLASTICO</t>
  </si>
  <si>
    <t>AREQUIPA</t>
  </si>
  <si>
    <t>CD AREQUIPA</t>
  </si>
  <si>
    <t>Transportista</t>
  </si>
  <si>
    <t>Fredy Jesus Velazco Carpio</t>
  </si>
  <si>
    <t xml:space="preserve">Fractura del maléolo interno, el colaborador se encontraba abriendo las cortinas de su unidad paletizada con placa C8I747 para descargar mercadería desde Lima, una de las cortinas que jalaba el conductor se traba y la faja se rompe ocasionando que el conductor pierda el equilibrio y se caiga; sufriendo una lesión en el tobillo </t>
  </si>
  <si>
    <t>LESIÓN</t>
  </si>
  <si>
    <t xml:space="preserve">1 AÑO Y 8 MESES </t>
  </si>
  <si>
    <t>CORTINA</t>
  </si>
  <si>
    <t>LATAM 600</t>
  </si>
  <si>
    <t>aaa</t>
  </si>
  <si>
    <t xml:space="preserve">AYUDNATE DE ALMACEN </t>
  </si>
  <si>
    <t xml:space="preserve">Traumatismo intracraneal producto de sincope, el colaborador se encontraba manejando su equipo ERE asignado hacia la zona de estacionamiento cuando se desvanece (Sincope) y su cuerpo termino desplomándose contra el suelo impactando la cabeza contra el piso </t>
  </si>
  <si>
    <t xml:space="preserve">TRAUMATISMO INTRACRANEAL </t>
  </si>
  <si>
    <t xml:space="preserve">Equipo ERE </t>
  </si>
  <si>
    <t xml:space="preserve">GALLETERA </t>
  </si>
  <si>
    <t>Producción Línea 4</t>
  </si>
  <si>
    <t>CORONADO PORRAS CRISTIAN</t>
  </si>
  <si>
    <t>ALIMENTADOR</t>
  </si>
  <si>
    <t xml:space="preserve">Herida en el dedo pulgar - mano izquierda, el colaborador se encontraba la envasadora primaria D3; es cuando se golpea la mano izquierda con la estructura del magazine afectando el dedo pulgar izquierdo </t>
  </si>
  <si>
    <t xml:space="preserve">HERIDA EN EL DEDO PULGAR </t>
  </si>
  <si>
    <t>4 MESES</t>
  </si>
  <si>
    <t>ENVASADORA D3</t>
  </si>
  <si>
    <t>VITAPRO TRUJILLO</t>
  </si>
  <si>
    <t>PROODUCCIÓN</t>
  </si>
  <si>
    <t>JIMMY CHAVES VARGAS</t>
  </si>
  <si>
    <t>OPERADOR DE ENVASADOS</t>
  </si>
  <si>
    <t xml:space="preserve">Herida en el dedo índice de la mano izquierda, el colaborador realizó el retiro un saco con defectos que había identificado previamente, sosteniéndolo desde la parte superior del saco circunstancias en las tiene un contacto con la tenaza del volteador de sacos, la parte afectada resultó el dedo índice de la mano izquierda donde sufre una lesión de aproximadamente 3 cm cerca a los nudillos </t>
  </si>
  <si>
    <t>HERIDA EN EL DEDO ÍNDICE DE LA MANO IZQUIERDA</t>
  </si>
  <si>
    <t>FIDEERÍA</t>
  </si>
  <si>
    <t>PLANTA FIDEERIA</t>
  </si>
  <si>
    <t>LAYME IDME JUAN GERARDO</t>
  </si>
  <si>
    <t xml:space="preserve">Pérdida de falange distal del dedo pulgar izquierdo, el colaborador procedía a retirar el portamolde la línea 3, como parte de las actividades de limpieza y mantenimiento. El accidentado coloca un tubo metálico como accesorio que complementa la prensa (actividad rutinaria identificada en el IPERC) y lo sostiene con su mano izquierda para guiarlo </t>
  </si>
  <si>
    <t xml:space="preserve">PÉRDIDA DE FALANGE DISTAL DEL DEDO PULGAR </t>
  </si>
  <si>
    <t>PRENSA HIDRÁULICA</t>
  </si>
  <si>
    <t>Envasado Línea 1</t>
  </si>
  <si>
    <t>CRUZ QUEA MICHAEL ANTHONNY</t>
  </si>
  <si>
    <t xml:space="preserve">Esguince de mano derecha, el colaborador se encontraba en la posición de apilado sentado en una silla sobre una plataforma. En un momento se levanta para acomodar la galleta en línea y al momento de sentarse, la silla se inclina hacia atrás </t>
  </si>
  <si>
    <t>ESGUINCE DE MANO DERECHA</t>
  </si>
  <si>
    <t xml:space="preserve">16 DIAS </t>
  </si>
  <si>
    <t>SILLA</t>
  </si>
  <si>
    <t>ÁREA DE CALDEROS</t>
  </si>
  <si>
    <t>LLANURDIBON</t>
  </si>
  <si>
    <t xml:space="preserve">CARLOS ALBERTO ZAVALA AMEN </t>
  </si>
  <si>
    <t>ALBAÑIL</t>
  </si>
  <si>
    <t xml:space="preserve">Amputación parcial de dedo anular derecho, Los trabajadores de la contratista LLANURDIBON, Carlos Zavala y Roger Ramírez se encontraban realizando actividades de obra civil, haciendo cortes y preparación de madera para armar encofrado para las bases del desairado que se va a instalar en el área de ampliación de la zona de calderos. </t>
  </si>
  <si>
    <t xml:space="preserve">AMPUTACIÓN PARCIAL DE DEDO ANULAR DERECHO </t>
  </si>
  <si>
    <t xml:space="preserve">19 DIAS </t>
  </si>
  <si>
    <t>MADERA</t>
  </si>
  <si>
    <t>AREAS VERDES DEL CDC</t>
  </si>
  <si>
    <t>WILMER URIARTE / OSCAR YATACO</t>
  </si>
  <si>
    <t>OPERADOR DE MÁQUINA / PESADO DE INGREDIENTES</t>
  </si>
  <si>
    <t xml:space="preserve">Quemadura del ojo, se había programado la práctica de lucha contra incendios en zonas aledañas al almacén CDC (predio central), los colaboradores en mención asumen la posición de pitoneros direccionando el agua de la red contra incendios hacia las áreas </t>
  </si>
  <si>
    <t>QUEMADURA DEL OJO</t>
  </si>
  <si>
    <t>16 AÑOS Y 7 MESES</t>
  </si>
  <si>
    <t>MICROINGREDIENTES MCA</t>
  </si>
  <si>
    <t>ROLANDO ALEXANDER COHELO ROMAYNA</t>
  </si>
  <si>
    <t>OPERADOR DE PLANTA</t>
  </si>
  <si>
    <t xml:space="preserve">Herida de otras partes de la muñeca y de la mano izquierda, el colaborador se encontraba realizando la limpieza de superficies en la zona de externa de microingredientes. En la zona hay topes metálicos que separan las paletas de la pared, es ahí donde el trabajador golpea el tope metálico con la escoba, la cual se encontraba sin el mango superior y se realiza un corte en la palma de la mano izquierda entre el dedo anular y dedo medio de aproximadamente 1.5 </t>
  </si>
  <si>
    <t>HERIDA EN LA MUÑECA Y MANO</t>
  </si>
  <si>
    <t>7AÑOS</t>
  </si>
  <si>
    <t>TOPE METALICO</t>
  </si>
  <si>
    <t>DISTRIBUCIÓN LIMA</t>
  </si>
  <si>
    <t>APT - FIDEERIA</t>
  </si>
  <si>
    <t>ACUÑA MESIAS SIMON MANUELITO</t>
  </si>
  <si>
    <t xml:space="preserve">Dermatitis alérgica de contacto, el colaborador se dirige a la sala de batería a realizar el cambio de batería de su equipo Apilador. 
Al hacer el cambio, le salpica al brazo un polvillo de color blanco ubicado encima de la batería cargada; generándole picazón en los brazos. </t>
  </si>
  <si>
    <t>DERMATITIS ALÉRGICA DE CONTACTO</t>
  </si>
  <si>
    <t>Dermatitis</t>
  </si>
  <si>
    <t>BATERIA</t>
  </si>
  <si>
    <t>VITAPRO HONDURAS</t>
  </si>
  <si>
    <t>ÁREA DE CALDERAS</t>
  </si>
  <si>
    <t>AYALA CASTILLO ROGER OMAR</t>
  </si>
  <si>
    <t xml:space="preserve">Quemadura leve de primer grado, el colaborador se dirigió a revisar el nivel de búnker en el tanque diario para verificar si necesitaba recargar combustible antes del cierre de turno. Al momento de abrir la compuerta del tanque para hacer la revisión manual, se levantó una burbuja de gas caliente la cual se elevó y le ocasionó quemaduras en la cara y ambos brazos </t>
  </si>
  <si>
    <t>5 AÑO Y 5 MESES</t>
  </si>
  <si>
    <t xml:space="preserve">COMPUERTA DEL TANQUE </t>
  </si>
  <si>
    <t>YATACO CORTEZ JOSE GABRIEL</t>
  </si>
  <si>
    <t xml:space="preserve">Corrosión de la córnea y saco conjuntival, el colaborador se encontraba estibando y haciendo el paletizado manual, al acomodar los sacos de 13.5 kg dando palmadas, le salpico polvo de detergente al ojo izquierdo, se lavó la vista con agua, dio aviso al operador y enseguida es derivado al tópico para su evaluación.  </t>
  </si>
  <si>
    <t>CORROSIÓN DE LA CÓRNEA Y SACO CONJUNTIVAL.</t>
  </si>
  <si>
    <t>14 DÍAS </t>
  </si>
  <si>
    <t>ADMINISTRACIÓN</t>
  </si>
  <si>
    <t xml:space="preserve">SSHH Caballeros </t>
  </si>
  <si>
    <t>ALTELIZA S.A.C</t>
  </si>
  <si>
    <t>xxxxxx</t>
  </si>
  <si>
    <t xml:space="preserve">OPERARIO DE LIMPIEZA </t>
  </si>
  <si>
    <t>Herida del 2do dedo de la mano derecha, La colaboradora procede a dirigirse a los SSHH después de limpiar las oficinas. Al ingresar e iniciar la limpieza de las partes altas de las puertas de los inodoros, por frotación con paño microfibra, es cuando ella se rasga los guantes y sus dedos al sobar el marco de varilla con el paño de limpieza</t>
  </si>
  <si>
    <t>4 AÑOS Y MEDIO</t>
  </si>
  <si>
    <t>PUERTA</t>
  </si>
  <si>
    <t>In House - SMI</t>
  </si>
  <si>
    <t>San Miguel Industrias PET</t>
  </si>
  <si>
    <t>CHRISTOPHER PEREZ CABELLO</t>
  </si>
  <si>
    <t>OPERADOR TÉCNICO DE LÍNEA DE SOPLADO SMI</t>
  </si>
  <si>
    <t xml:space="preserve">Herida en canilla, el colaborador se procede a realizar el pintado de la torre de enfriamiento de la operación In House de soplado PET. Es en el momento de pintar la parte superior de la torre que se apoya en el borde de la cubierta de seguridad de una de las bombas de recirculación y ésta se voltea ocasionándole un golpe en la canilla de la pierna derecha.                 </t>
  </si>
  <si>
    <t>5AÑOS</t>
  </si>
  <si>
    <t xml:space="preserve">BOMBAS </t>
  </si>
  <si>
    <t>DISTRIBUCIÓN</t>
  </si>
  <si>
    <t>xxxxxxxxxxxx</t>
  </si>
  <si>
    <t>Lumbago no especificado, el colaborador se encontraba manejando su equipo ERD asignado para trasladar una paleta. Durante el retroceso el equipo sufrió un atasco con un pedazo de madera el cual desequilibró la máquina provocando que el trabajador cayera del equipo y tenga como consecuencia la lesión descrita</t>
  </si>
  <si>
    <t>1 AÑO Y 3 MESES</t>
  </si>
  <si>
    <t>MAQUINA</t>
  </si>
  <si>
    <t xml:space="preserve">MOLINO CALLAO </t>
  </si>
  <si>
    <t xml:space="preserve">SOSA ZAPATA CESAR IVAN </t>
  </si>
  <si>
    <t xml:space="preserve">MECANICO E MANTIENIMIENTO </t>
  </si>
  <si>
    <t xml:space="preserve">Fractura de dedo de la mano, el colaborador se encontraba realizando la actividad de izaje de rollo que estaba ubicado en caballete para realizar su respectivo mecanizado en la máquina rayadora. Para ello coloca los accesorios y procede a presionar el mando de subida del tecle eléctrico. De forma súbita, el tecle se detiene lo cual ocasiona que el rollo se ladee en dirección al hombro derecho del trabajador </t>
  </si>
  <si>
    <t>MAQUINA RAYADORA</t>
  </si>
  <si>
    <t>Proyectos</t>
  </si>
  <si>
    <t>APT-PROYECTOS</t>
  </si>
  <si>
    <t>BUILMEP SAC</t>
  </si>
  <si>
    <t>MINGUILLO AGURTO JOSE LUIS</t>
  </si>
  <si>
    <t>OPERARIO MECANICO</t>
  </si>
  <si>
    <t>Herida expuesta en dedo medio mano derecha, el colaborador se encontraba cortando (a nivel de piso) con tijera hojalatera las calaminas desmontadas del techo. En una calamina quedó un tramo pequeño por cortar, en lugar de seguir cortando con la tijera, el trabajador usa ambas manos para intentar cortarla y es donde se genera la herida en el dedo medio de la mano derecha</t>
  </si>
  <si>
    <t>TIJERA</t>
  </si>
  <si>
    <t xml:space="preserve">PRODUCCIÓN </t>
  </si>
  <si>
    <t>MANUEL YAMUNAQUE MOSCOL</t>
  </si>
  <si>
    <t>AYUDANTE DE PRODUCCIÓN</t>
  </si>
  <si>
    <t xml:space="preserve">Cuerpo extraño ocular, el colaborador se encontraba cortando (a nivel de piso) con tijera hojalatera las calaminas desmontadas del techo. En una calamina quedó un tramo pequeño por cortar, en lugar de seguir cortando con la tijera, el trabajador usa ambas manos para intentar cortarla y es donde se genera la herida en el dedo medio de la mano derecha. </t>
  </si>
  <si>
    <t>Cuerpo Extraño en Ojos</t>
  </si>
  <si>
    <t xml:space="preserve">MANGA DE EQUIPO CERNEDOR </t>
  </si>
  <si>
    <t>MOLINO TRUJILLOA</t>
  </si>
  <si>
    <t>J G Electric Metal EIRL</t>
  </si>
  <si>
    <t>BLANCO ESPÍNOLA MANUEL MOISES</t>
  </si>
  <si>
    <t>OPERARIO ELECTRICISTA</t>
  </si>
  <si>
    <t>Traumatismo del ojo derecho y de la órbita, El   colaborador estuvo realizando el levantamiento del cable con la ayuda de una pata de cabra para que este se cortado. Cuando la pata de cabra se desganchó del cable, terminó golpeando el rostro del Trabajador a la altura del ojo derecho, generándole un corte</t>
  </si>
  <si>
    <t>20 DÍAS</t>
  </si>
  <si>
    <t xml:space="preserve">CABLES </t>
  </si>
  <si>
    <t xml:space="preserve">AREAS COMUNES -COPSA </t>
  </si>
  <si>
    <t xml:space="preserve">ALTA TECNOLOGÍA EN LIMPIEZA S.A.C. </t>
  </si>
  <si>
    <t xml:space="preserve">SILVA PEÑA LORENA </t>
  </si>
  <si>
    <t xml:space="preserve">Traumatismo por aplastamiento del pulgar y otros dedos, la colaboradora refiere que estando en su puesto de trabajo, en sus actividades rutinarias, al momento de cerrar la puerta del almacén de materiales que se encontraba limpiando, queda su mano atrapada en la misma, ocasionándole contusión en dedo medio de la mano izquierda. La operaria notifica media hora después del evento sucedido. Se dirige al tópico para su evaluación y luego de ser revisada es trasladada a la Clínica san Gabriel para su atención médica. </t>
  </si>
  <si>
    <t xml:space="preserve">1 MES Y 19 DIAS </t>
  </si>
  <si>
    <t>ZONA DE LIMPIEZA DE PALETAS</t>
  </si>
  <si>
    <t>DOMYNICK HERRERA ATOCHE</t>
  </si>
  <si>
    <t>Contusión de otras partes y de las no especificadas del pie, el colaborador realizaba el apilado de paletas durante el proceso de limpieza con el colaborador Agüero, al voltear la paleta esta se le resbala de las manos y en consecuencia la esquina del pallet cae sobre el empeine del colaborador</t>
  </si>
  <si>
    <t>PALETAS DE MADERA</t>
  </si>
  <si>
    <t>PARQUE INDUSTRIAL</t>
  </si>
  <si>
    <t>ORTUÑO</t>
  </si>
  <si>
    <t>TOLEDO</t>
  </si>
  <si>
    <t>GUSTAVO</t>
  </si>
  <si>
    <t xml:space="preserve">Contusión en pie y tobillo derecho a causa de caída de la compuerta que golpea al trabajador contratista mientras realizaba la descarga de camión con grano de soya en Volcadora ubicada en la Fosa de descarga N°3 del área de Recepción de granos.  </t>
  </si>
  <si>
    <t>COMPUERTA TRASERA DE CAMIÓN</t>
  </si>
  <si>
    <t>Etiquetas de fila</t>
  </si>
  <si>
    <t>% Accidentes</t>
  </si>
  <si>
    <t>Total general</t>
  </si>
  <si>
    <t>(Todas)</t>
  </si>
  <si>
    <t>N° Accidentes</t>
  </si>
  <si>
    <t>Proyectos de Ingeniería</t>
  </si>
  <si>
    <t>Detalles para % Accidentes - Tipo de Trabajador: Tercero</t>
  </si>
  <si>
    <t>Contratista</t>
  </si>
  <si>
    <t>(en blanco)</t>
  </si>
  <si>
    <t>Cuenta de EMPRESA</t>
  </si>
  <si>
    <t>Cuenta de Dirección</t>
  </si>
  <si>
    <t>Cuenta de Planta</t>
  </si>
  <si>
    <t>Cuenta de Tipo de Contacto</t>
  </si>
  <si>
    <t>Cuenta de APELLIDO PATERNO</t>
  </si>
  <si>
    <t>Etiquetas de columna</t>
  </si>
  <si>
    <t>DIRECCIÓN</t>
  </si>
  <si>
    <t>PLANTAS</t>
  </si>
  <si>
    <t>TIPO DE TRABAJADOR</t>
  </si>
  <si>
    <t>ANTIGÜEDAD</t>
  </si>
  <si>
    <t>TIPO DE CONTACTO</t>
  </si>
  <si>
    <t>PARTE DEL CUERPO AFECTADA 2</t>
  </si>
  <si>
    <t>LESION</t>
  </si>
  <si>
    <t>INTRADEVCO</t>
  </si>
  <si>
    <t>&lt; 1mes</t>
  </si>
  <si>
    <t>Atrapado por Partes en Movimiento</t>
  </si>
  <si>
    <t>Ventanilla</t>
  </si>
  <si>
    <t>&lt; 1 a 3 meses</t>
  </si>
  <si>
    <t>Exposición a Sustancias Químicas</t>
  </si>
  <si>
    <t>Planeamiento/Almacenes</t>
  </si>
  <si>
    <t>Lurin 1_Hipoclorito</t>
  </si>
  <si>
    <t>&lt; 3 a 6 meses</t>
  </si>
  <si>
    <t>Golpeado por Equipo Logístico</t>
  </si>
  <si>
    <t>&lt; 0.5 a 1 año</t>
  </si>
  <si>
    <t>Calidad</t>
  </si>
  <si>
    <t>Visita</t>
  </si>
  <si>
    <t>&lt; 1 a 5 años</t>
  </si>
  <si>
    <t>Atrapado por</t>
  </si>
  <si>
    <t>Medio Ambiente</t>
  </si>
  <si>
    <t>Lurin 4_Detergente</t>
  </si>
  <si>
    <t>Proveedor</t>
  </si>
  <si>
    <t>&lt; 5 a 10 años</t>
  </si>
  <si>
    <t>Contacto con superficie filosa</t>
  </si>
  <si>
    <t>Seguridad</t>
  </si>
  <si>
    <t>&lt; 10 años</t>
  </si>
  <si>
    <t>Lurin 5_20 Mil</t>
  </si>
  <si>
    <t>Proyección de Material Particulado</t>
  </si>
  <si>
    <t>Administrativos</t>
  </si>
  <si>
    <t>Lurin 6_Ex Indurama</t>
  </si>
  <si>
    <t>Servicios Generales</t>
  </si>
  <si>
    <t>Caída a distinto nivel</t>
  </si>
  <si>
    <t>Contacto con Energía Eléctrica</t>
  </si>
  <si>
    <t>CAUSAS INMEDIATAS</t>
  </si>
  <si>
    <t>ACTO SUB ESTANDAR</t>
  </si>
  <si>
    <t>CONDICIÓN SUB ESTANDAR</t>
  </si>
  <si>
    <t>ACTO SUB ESTÁNDAR</t>
  </si>
  <si>
    <t>1. Manejo de Equipo sin Autorización</t>
  </si>
  <si>
    <t>17. Protecciones y Barreras Inadecuadas</t>
  </si>
  <si>
    <t>CONDICIÓN SUB ESTÁNDAR</t>
  </si>
  <si>
    <t>2. Falta de Advertencias</t>
  </si>
  <si>
    <t>18. EPP Inadecuado o Impropio</t>
  </si>
  <si>
    <t xml:space="preserve">3. Falta de Asegurar </t>
  </si>
  <si>
    <t>19. Herramientas, equipos o materiales defectuosos</t>
  </si>
  <si>
    <t xml:space="preserve">4. Manejo a velocidad inadecuada </t>
  </si>
  <si>
    <t>20. Congestión o acción restringida</t>
  </si>
  <si>
    <t xml:space="preserve">5. Hacer inoperables los instrumentos de seguridad </t>
  </si>
  <si>
    <t>21. Sistemas de advertencia inadecuados</t>
  </si>
  <si>
    <t>6. Uso de equipo defectuoso</t>
  </si>
  <si>
    <t xml:space="preserve">22. Peligro de explosión o incendio </t>
  </si>
  <si>
    <t>7. Uso inapropiado de EPP</t>
  </si>
  <si>
    <t>23.Desorden, aseo deficiente</t>
  </si>
  <si>
    <t>8. Carga inadecuada</t>
  </si>
  <si>
    <t xml:space="preserve">24.1 Exposiciones a Factores de Riesgo Fisíco: Ruido    </t>
  </si>
  <si>
    <t>9. Almacenamiento inadecuado</t>
  </si>
  <si>
    <t>24.2 Exposiciones a Factores de Riesgo Fisíco: Temperatura</t>
  </si>
  <si>
    <t>10. Levantamiento inadecuado</t>
  </si>
  <si>
    <t xml:space="preserve">24.3 Exposiciones a Factores de Riesgo Fisíco: Ventilación Inadecuada  </t>
  </si>
  <si>
    <t>11. Posición de tarea inadecuada</t>
  </si>
  <si>
    <t xml:space="preserve">24.4 Exposiciones a Factores de Riesgo Fisíco: Iluminación Inadecuada  </t>
  </si>
  <si>
    <t>12. Manutención de equipo en operación</t>
  </si>
  <si>
    <t xml:space="preserve">24.5 Exposiciones a Factores de Riesgo Fisíco: Vibración  </t>
  </si>
  <si>
    <t xml:space="preserve">13. Comportamiento inapropiado </t>
  </si>
  <si>
    <t xml:space="preserve">24.6 Exposiciones a Factores de Riesgo Fisíco: Radiación  </t>
  </si>
  <si>
    <t>14. Bajo influencia del alcohol u otras drogas</t>
  </si>
  <si>
    <t xml:space="preserve">24.7 Exposiciones a Factores de Riesgo Fisíco: Calor/Frío/cambios bruscos temperatura </t>
  </si>
  <si>
    <t>15. Uso inapropiado del equipo</t>
  </si>
  <si>
    <t>25. Exposiciones a Factores de Riesgo Químico</t>
  </si>
  <si>
    <t>26. Exposiciones a Factores de Riesgo Biológico</t>
  </si>
  <si>
    <t>27. Exposiciones a Factores de Riesgo Psicosocial</t>
  </si>
  <si>
    <t xml:space="preserve">28.1 Exposiciones a Factores de Riesgo Disergonómico: Manipulación de Cargas  </t>
  </si>
  <si>
    <t xml:space="preserve">28.2 Exposiciones a Factores de Riesgo Disergonómico: Sobre esfuerzo  </t>
  </si>
  <si>
    <t>28.3 Exposiciones a Factores de Riesgo Disergonómico: Posturas Inadecuadas</t>
  </si>
  <si>
    <t>28.4 Exposiciones a Factores de Riesgo Disergonómico: Movimiento Repetitivo</t>
  </si>
  <si>
    <t>Capacidad_Física_Biológica_Inadecuada_1</t>
  </si>
  <si>
    <t>Capacidad_Mental_Psicológica_Inadecuada_2</t>
  </si>
  <si>
    <t>Tensión_física_o_fisiológica_3</t>
  </si>
  <si>
    <t>Tensión_Mental_o_Psicológica_4</t>
  </si>
  <si>
    <t>Motivación_Inadecuada_5</t>
  </si>
  <si>
    <t>Abuso_o_Mal_Uso_6</t>
  </si>
  <si>
    <t>1.1 Altura, peso y talla, fuerza, alcance, etc. inapropiadas</t>
  </si>
  <si>
    <t>2.1 Temores y Fobias</t>
  </si>
  <si>
    <t>3.1 Lesión o enfermedad</t>
  </si>
  <si>
    <t>4.1 Sobrecarga emocional</t>
  </si>
  <si>
    <t>5.1 Premiación (tolerancia) del desempeño inadecuado</t>
  </si>
  <si>
    <t xml:space="preserve">6.1.1 Exposiciones a Factores de Riesgo Fisíco / Intencional                                                                                                   </t>
  </si>
  <si>
    <t>1.2 Movimiento Corporal Limitado</t>
  </si>
  <si>
    <t>2.2 Disturbio Emocional</t>
  </si>
  <si>
    <t>3.2 Fatiga por carga o duración de tarea</t>
  </si>
  <si>
    <t>4.2 Fatiga por cargada o velocidad de tarea mental</t>
  </si>
  <si>
    <t>5.2 Falta de incentivos</t>
  </si>
  <si>
    <t xml:space="preserve">6.1.2 Exposiciones a Factores de Riesgo Fisíco / No Intencional                                                                                                   </t>
  </si>
  <si>
    <t>1.3 Capacidad limitada para sostener posiciones corporales</t>
  </si>
  <si>
    <t>2.3 Enfermedad Mental</t>
  </si>
  <si>
    <t>3.3 Fatiga por falta de descanso</t>
  </si>
  <si>
    <t>4.3 Demanda extrema de opinión/decisión</t>
  </si>
  <si>
    <t>5.3 Frustración excesiva</t>
  </si>
  <si>
    <t xml:space="preserve">6.2.1 Conducta inapropiada permitida / Intencional                                               </t>
  </si>
  <si>
    <t>1.4 Sensibilidad a sustancias o alergias</t>
  </si>
  <si>
    <r>
      <t>2.4</t>
    </r>
    <r>
      <rPr>
        <sz val="7"/>
        <color theme="1"/>
        <rFont val="Times New Roman"/>
        <family val="1"/>
      </rPr>
      <t xml:space="preserve"> </t>
    </r>
    <r>
      <rPr>
        <sz val="11"/>
        <color theme="1"/>
        <rFont val="Calibri"/>
        <family val="2"/>
        <scheme val="minor"/>
      </rPr>
      <t>Disturbio emocional</t>
    </r>
  </si>
  <si>
    <t xml:space="preserve">3.4 Fatiga o por sobrecarga sensitiva </t>
  </si>
  <si>
    <t>4.4 Rutina, monotonía de trabajo no importantes</t>
  </si>
  <si>
    <t>5.4 Agresión inapropiada</t>
  </si>
  <si>
    <t xml:space="preserve">6.2.2 Conducta inapropiada permitida / No intencional     </t>
  </si>
  <si>
    <t>1.5 Sensibilidad sensorial extrema (temperatura, sonido, etc)</t>
  </si>
  <si>
    <t>2.5 Enfermedad mental</t>
  </si>
  <si>
    <t>3.5 Exposición a riesgos contra la salud</t>
  </si>
  <si>
    <t>4.5 Demandas extremas de concentración/percepción</t>
  </si>
  <si>
    <t>5.5 Intento un apropiado para ahorrar tiempo o esfuerzo</t>
  </si>
  <si>
    <t>1.6 Deficiencia visual</t>
  </si>
  <si>
    <t>2.6 Nivel de inteligencia</t>
  </si>
  <si>
    <t>3.6 Exposición a temperatura extrema</t>
  </si>
  <si>
    <t>4.6 Actividades sin sentido o degradantes</t>
  </si>
  <si>
    <t>5.6 Intento apropiado para evitar la incomodidad</t>
  </si>
  <si>
    <t>1.7 Deficiencia auditiva</t>
  </si>
  <si>
    <t>2.7 Mala coordinación</t>
  </si>
  <si>
    <t>3.7 Insuficiencia de oxígeno</t>
  </si>
  <si>
    <t>4.7 Direcciones y demandas confusas</t>
  </si>
  <si>
    <t>5.7 Intento inapropiado de captar la atención</t>
  </si>
  <si>
    <t>1.8 Otras deficiencias(tacto, gusto, olfato, equilibrio)</t>
  </si>
  <si>
    <t>2.8 Reacción lenta</t>
  </si>
  <si>
    <t>3.8 Variación de presión atmosférica</t>
  </si>
  <si>
    <t>4.8 Peticiones conflictivas</t>
  </si>
  <si>
    <t>5.8 Disciplina inadecuada</t>
  </si>
  <si>
    <t>1.9 Incapacidad Respiratoria</t>
  </si>
  <si>
    <t>2.9 Poca actitud mecánica</t>
  </si>
  <si>
    <t>3.9 Movimiento restringido</t>
  </si>
  <si>
    <t>4.9 Preocupación por problemas</t>
  </si>
  <si>
    <t>5.9 Presión inapropiada de los compañeros</t>
  </si>
  <si>
    <t>1.10 Otras incapacidades físicas permanentes</t>
  </si>
  <si>
    <t xml:space="preserve">2.10 Poca actitud de aprendizaje </t>
  </si>
  <si>
    <t>3.10 Insuficiencia de azúcar en la sangre</t>
  </si>
  <si>
    <t>4.10 Frustración</t>
  </si>
  <si>
    <t>5.10 Ejemplo inapropiado de supervisión</t>
  </si>
  <si>
    <t>1.11 Incapacidades temporales</t>
  </si>
  <si>
    <t>2.11 Falla de memoria</t>
  </si>
  <si>
    <t>3.11 Drogas</t>
  </si>
  <si>
    <t>4.11 Enfermedad mental</t>
  </si>
  <si>
    <t>5.11 Retroalimentación deficiente del desempeño</t>
  </si>
  <si>
    <t>5.12 Refuerzo deficiente del comportamiento adecuado</t>
  </si>
  <si>
    <t>5.13 Incentivos de producción inapropiados</t>
  </si>
  <si>
    <t>Liderazgo_y_o_Supervisión_Inadecuada_7</t>
  </si>
  <si>
    <t>Ingeniería_Gestión_de_Proyectos_Inadecuada_8</t>
  </si>
  <si>
    <t>Adquisiciones_Inadecuadas_9</t>
  </si>
  <si>
    <t>Mantenimiento_Inadecuado_10</t>
  </si>
  <si>
    <t>Herramientas_y_Equipos_Inadecuadas_11</t>
  </si>
  <si>
    <t>Estándares_de_Trabajo_Inadecuados_12</t>
  </si>
  <si>
    <t>Uso_y_Desgaste_Excesivo_13</t>
  </si>
  <si>
    <t>Comunicación_Inadecuada_14</t>
  </si>
  <si>
    <t>Competencia_Inadecuada</t>
  </si>
  <si>
    <t>7.1 Relaciones Jerárquicas poco claras o conflictivas</t>
  </si>
  <si>
    <t>8.1 Evaluación Inadecuada de las Exposiciones a Pérdidas</t>
  </si>
  <si>
    <t>9.1 Especificaciones deficientes de órdenes y pedidos</t>
  </si>
  <si>
    <t>10.1.1 Prevención Inadecuada: Evaluación de las Necesidades</t>
  </si>
  <si>
    <t>11.1 Evaluación deficientede necesidades y riesgos</t>
  </si>
  <si>
    <t xml:space="preserve">12.1.1 Desarrollo Inadecuado de Estándares para: Inventario y evaluación de exposiciones y necesidades </t>
  </si>
  <si>
    <t xml:space="preserve">13.1 Planificación inadecuada de uso </t>
  </si>
  <si>
    <t>14.1 Falta de comunicación</t>
  </si>
  <si>
    <t>15.1.1 Falta de Conocimiento: Falta de Experiencia</t>
  </si>
  <si>
    <t>7.2 Asignación de Responsabilidades poco claras o conflictivas</t>
  </si>
  <si>
    <t>8.2 Consideración deficiente de factores ergonómicos/humanos</t>
  </si>
  <si>
    <t>9.2 Investigaciones inadecuadas del material/equipo</t>
  </si>
  <si>
    <t>10.1.2 Prevención Inadecuada: Lubricación y Mantenimiento</t>
  </si>
  <si>
    <t xml:space="preserve">11.2 Consideración inadecuada de factores humanos / ergonómicos </t>
  </si>
  <si>
    <t xml:space="preserve">12.1.2 Desarrollo Inadecuado de Estándares para: Coordinación en el diseño del proceso </t>
  </si>
  <si>
    <t>13.2 Extensión Inadecuada de la vida útil</t>
  </si>
  <si>
    <t>14.2 Comunicación poco claro o confuso</t>
  </si>
  <si>
    <t>15.1.2 Falta de Conocimiento: Orientación Deficiente</t>
  </si>
  <si>
    <t>7.3 Delegación insuficiente o poco clara</t>
  </si>
  <si>
    <t>8.3 Estándares y especificaciones o criterios de diseño deficiente</t>
  </si>
  <si>
    <t>9.3 Especificaciones inadecuadas a vendedores</t>
  </si>
  <si>
    <t>10.1.3 Prevención Inadecuada: Ajustey ensamblaje</t>
  </si>
  <si>
    <t xml:space="preserve">11.3 Estándares o esoecificaciones inaedcuadas </t>
  </si>
  <si>
    <t xml:space="preserve">12.1.3 Desarrollo Inadecuado de Estándares para: Involucración del empleado </t>
  </si>
  <si>
    <t>13.3 Inspección y/o control deficiente</t>
  </si>
  <si>
    <t xml:space="preserve">14.3 Métodología de Comunicación inadecuada </t>
  </si>
  <si>
    <t>15.1.3 Falta de Conocimiento: Adiestramiento Inicial Inadecuado</t>
  </si>
  <si>
    <t>7.4 Dar políticas, procedimientos, prácticas o pautas de acción inadecuadas</t>
  </si>
  <si>
    <t>8.4 Control inadecuado de la construcción</t>
  </si>
  <si>
    <t>9.4 Modalidad o ruta de reemabrque inadecuada</t>
  </si>
  <si>
    <t xml:space="preserve">10.1.4 Prevención Inadecuada: Limpieza o pulimiento </t>
  </si>
  <si>
    <t xml:space="preserve">11.4 Disponibilidad inadecuada </t>
  </si>
  <si>
    <t>12.1.4 Desarrollo Inadecuado de Estándares para: Estándares, procedimientos, reglas</t>
  </si>
  <si>
    <t>13.4 Carga o porción de uso deficiente</t>
  </si>
  <si>
    <t xml:space="preserve">14.4 Medio de comunicación inadecuado </t>
  </si>
  <si>
    <t>15.1.4 Falta de Conocimiento: Adiestramiento actualizado deficiente</t>
  </si>
  <si>
    <t>7.5 Ver objetivos, normas contradictorias</t>
  </si>
  <si>
    <t>8.5 Evolución inadecuada de coordinaciones operacionales</t>
  </si>
  <si>
    <t>9.5 Inspección de recepción deficiente</t>
  </si>
  <si>
    <t>10.1.5 Prevención Inadecuada: Planificación y Programación</t>
  </si>
  <si>
    <t>11.5 Ajuste/reparación/mantenimiento deficiente</t>
  </si>
  <si>
    <t>12.2.1 Comunicación Inadecuada de Estándares para: Publicaciones</t>
  </si>
  <si>
    <t>13.5 Mantenimiento deficiente</t>
  </si>
  <si>
    <t>15.1.5 Falta de Conocimiento: Direcciones Mal Entendidas</t>
  </si>
  <si>
    <t>7.6 Inadecuada planificación o programación de trabajo</t>
  </si>
  <si>
    <t>8.6 Controles inadecuados</t>
  </si>
  <si>
    <t xml:space="preserve">9.6 Comunicación inadecuada de información de salud y segueridad </t>
  </si>
  <si>
    <t>10.2.1 Reparación Inadecuada: Comunicación de necesidades</t>
  </si>
  <si>
    <t xml:space="preserve">11.6 Salvamento y reclamación inadecuado </t>
  </si>
  <si>
    <t>12.2.2 Comunicación Inadecuada de Estándares para: Distribución</t>
  </si>
  <si>
    <t>13.6 Uso por personas no calificadas/entrenadas</t>
  </si>
  <si>
    <t>15.2.1 Falta de Habilidad: Instrucción inicial deficiente</t>
  </si>
  <si>
    <t>7.7 Instrucciones, orientación y preparación deficiente</t>
  </si>
  <si>
    <t>8.7 Monitoreo u operación inicial inadecuada</t>
  </si>
  <si>
    <t>9.7 Manejoinadecuadode materiales</t>
  </si>
  <si>
    <t xml:space="preserve">10.2.2 Reparación Inadecuada: Programación de trabajo </t>
  </si>
  <si>
    <t>11.7 Inadecuada remoción y reemplazo de articulos deficientes</t>
  </si>
  <si>
    <t>12.2.3 Comunicación Inadecuada de Estándares para: Traducción a idiomas apropiados</t>
  </si>
  <si>
    <t>13.7 Uso para propósito indebidos</t>
  </si>
  <si>
    <t>15.2.2 Falta de Habilidad: Práctica insuficiente</t>
  </si>
  <si>
    <t>7.8 Documento de referencia, instrucciones o publicaciones de asesoramiento inadecuado a nuestra disposición</t>
  </si>
  <si>
    <t>8.8 Evaluación inadecuada del cambio</t>
  </si>
  <si>
    <t>9.8 Almacenamiento inadecuado de materiales</t>
  </si>
  <si>
    <t>10.2.3 Reparación Inadecuada: Examinación de unidades</t>
  </si>
  <si>
    <t xml:space="preserve">12.2.4 Comunicación Inadecuada de Estándares para: Entretenimiento </t>
  </si>
  <si>
    <t>15.2.3 Falta de Habilidad: Ejecución poco frecuente</t>
  </si>
  <si>
    <t>7.9 Identificación y evaluación deficiente de exposiciones a pérdida</t>
  </si>
  <si>
    <t>8.9 Coordinación inadecuada de proyectos/planificación/ejecución/control y de cierre</t>
  </si>
  <si>
    <t xml:space="preserve">9.9 Transporte inadecuado de materiales </t>
  </si>
  <si>
    <t xml:space="preserve">10.2.4 Reparación Inadecuada: Sustitución de partes </t>
  </si>
  <si>
    <t>12.2.5 Comunicación Inadecuada de Estándares para: Códigos de colores y ayudas del trabajo</t>
  </si>
  <si>
    <t>15.2.4 Falta de Habilidad: Falta de preparación/asesoramiento</t>
  </si>
  <si>
    <t>7.10 Conocimiento inadecuado del trabajo de administración/supervisión</t>
  </si>
  <si>
    <t xml:space="preserve">9.10 Identificación deficiente de materiales peligrosos </t>
  </si>
  <si>
    <t xml:space="preserve">12.3.1 Mantenimiento Inadecuado de Estandares para: Seguimiento de flujo de trabajo </t>
  </si>
  <si>
    <t xml:space="preserve">15.2.5 Falta de Habilidad: Revisión inadecuada de instrucciones </t>
  </si>
  <si>
    <t>7.11 Asignación inadecuada del trabajo, a las exigencias de la tarea</t>
  </si>
  <si>
    <t>9.11 Disposición inadecuada de residuos y desperdicios</t>
  </si>
  <si>
    <t>12.3.2 Mantenimiento Inadecuado de Estandares para: Actualización</t>
  </si>
  <si>
    <t>15.2.6 Falta de Habilidad: Cualidades inapropiadas del isntructor</t>
  </si>
  <si>
    <t>7.12 Medición y evaluación deficiente del desempeño</t>
  </si>
  <si>
    <t>9.12 Selección inadecuada de contratista</t>
  </si>
  <si>
    <t>12.3.3 Mantenimiento Inadecuado de Estandares para: Monitoreo del uso de estándares/procedimientos/reglas</t>
  </si>
  <si>
    <t xml:space="preserve">15.2.7 Falta de Habilidad: Sistemas inadecuados de entretenimiento </t>
  </si>
  <si>
    <t>7.13 Retroalimentación deficiente o incorrecta del desempeño</t>
  </si>
  <si>
    <t>12.4 Monitoreo o Control Inadecuado del cumplimiento.</t>
  </si>
  <si>
    <t>Cant. accidentes</t>
  </si>
  <si>
    <t>Suma de Dias de D.M.</t>
  </si>
  <si>
    <t>*Accidente Intralab (ITDC Chorrillos) Golpeado por equipo logístico. DM 164 días. Complicaciones en rodilla. La contusión se dió en el pie y tobillo</t>
  </si>
  <si>
    <t>*Accidente Intralab (ITDC Chorrillos) Atrapamiento de dedo en válvula mariposa. DM: 71 días. Fractura
*Accidente LYON SERVICIOS (CD1 - Lurín 4) Golpeado por equipo logístico (mientras limpiaba pasillo con máquina). DM 58 días. Fractura de pelvis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</si>
</sst>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 #,##0_-;\-* #,##0_-;_-* &quot;-&quot;??_-;_-@_-"/>
  </numFmts>
  <fonts count="2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Narrow"/>
      <family val="2"/>
    </font>
    <font>
      <sz val="9"/>
      <color rgb="FF000000"/>
      <name val="Arial Narrow"/>
      <family val="2"/>
    </font>
    <font>
      <sz val="9"/>
      <color rgb="FF000000"/>
      <name val="Arial"/>
      <family val="2"/>
    </font>
    <font>
      <b/>
      <sz val="9"/>
      <name val="Arial Narrow"/>
      <family val="2"/>
    </font>
    <font>
      <b/>
      <sz val="11"/>
      <color theme="0"/>
      <name val="Calibri"/>
      <family val="2"/>
      <scheme val="minor"/>
    </font>
    <font>
      <b/>
      <sz val="11"/>
      <color theme="1"/>
      <name val="Calibri"/>
      <family val="2"/>
      <scheme val="minor"/>
    </font>
    <font>
      <sz val="7"/>
      <color theme="1"/>
      <name val="Times New Roman"/>
      <family val="1"/>
    </font>
    <font>
      <sz val="8"/>
      <name val="Calibri"/>
      <family val="2"/>
      <scheme val="minor"/>
    </font>
    <font>
      <b/>
      <sz val="11"/>
      <name val="Calibri"/>
      <family val="2"/>
      <scheme val="minor"/>
    </font>
    <font>
      <sz val="9"/>
      <color theme="4" tint="-0.249977111117893"/>
      <name val="Arial Narrow"/>
      <family val="2"/>
    </font>
    <font>
      <sz val="10"/>
      <color theme="1"/>
      <name val="Segoe UI"/>
      <family val="2"/>
      <charset val="1"/>
    </font>
    <font>
      <sz val="10"/>
      <name val="Calibri"/>
      <family val="2"/>
      <scheme val="minor"/>
    </font>
    <font>
      <sz val="10"/>
      <color rgb="FFFF0000"/>
      <name val="Calibri"/>
      <family val="2"/>
      <scheme val="minor"/>
    </font>
    <font>
      <sz val="11"/>
      <color rgb="FF000000"/>
      <name val="Calibri"/>
      <family val="2"/>
    </font>
    <font>
      <sz val="10"/>
      <color rgb="FF1F497D"/>
      <name val="Arial"/>
      <family val="2"/>
    </font>
    <font>
      <sz val="11"/>
      <color theme="1"/>
      <name val="Calibri"/>
      <family val="2"/>
      <scheme val="minor"/>
    </font>
    <font>
      <sz val="9"/>
      <color rgb="FF305496"/>
      <name val="Arial Narrow"/>
      <family val="2"/>
    </font>
    <font>
      <sz val="9"/>
      <name val="Arial Narrow"/>
      <family val="2"/>
    </font>
    <font>
      <sz val="11"/>
      <name val="Calibri"/>
      <family val="2"/>
      <scheme val="minor"/>
    </font>
    <font>
      <sz val="8"/>
      <color rgb="FFFF0000"/>
      <name val="Calibri"/>
      <family val="2"/>
      <scheme val="minor"/>
    </font>
    <font>
      <sz val="8"/>
      <color rgb="FF000000"/>
      <name val="Calibri"/>
      <family val="2"/>
    </font>
    <font>
      <sz val="8"/>
      <color theme="1"/>
      <name val="Arial Narrow"/>
      <family val="2"/>
    </font>
  </fonts>
  <fills count="20">
    <fill>
      <patternFill patternType="none"/>
    </fill>
    <fill>
      <patternFill patternType="gray125"/>
    </fill>
    <fill>
      <patternFill patternType="solid">
        <fgColor rgb="FF92D050"/>
        <bgColor rgb="FF92D050"/>
      </patternFill>
    </fill>
    <fill>
      <patternFill patternType="solid">
        <fgColor rgb="FFADB9CA"/>
        <bgColor rgb="FFADB9CA"/>
      </patternFill>
    </fill>
    <fill>
      <patternFill patternType="solid">
        <fgColor rgb="FFFFFF00"/>
        <bgColor rgb="FFFFFF00"/>
      </patternFill>
    </fill>
    <fill>
      <patternFill patternType="solid">
        <fgColor theme="0"/>
        <bgColor theme="0"/>
      </patternFill>
    </fill>
    <fill>
      <patternFill patternType="solid">
        <fgColor rgb="FFFFFF00"/>
        <bgColor rgb="FFADB9CA"/>
      </patternFill>
    </fill>
    <fill>
      <patternFill patternType="solid">
        <fgColor rgb="FFFFFF00"/>
        <bgColor rgb="FF92D050"/>
      </patternFill>
    </fill>
    <fill>
      <patternFill patternType="solid">
        <fgColor rgb="FFFFFF00"/>
        <bgColor theme="0"/>
      </patternFill>
    </fill>
    <fill>
      <patternFill patternType="solid">
        <fgColor theme="0"/>
        <bgColor indexed="64"/>
      </patternFill>
    </fill>
    <fill>
      <patternFill patternType="solid">
        <fgColor rgb="FFB4C6E7"/>
        <bgColor indexed="64"/>
      </patternFill>
    </fill>
    <fill>
      <patternFill patternType="solid">
        <fgColor rgb="FFFFF2CC"/>
        <bgColor indexed="64"/>
      </patternFill>
    </fill>
    <fill>
      <patternFill patternType="solid">
        <fgColor theme="4" tint="0.79998168889431442"/>
        <bgColor theme="4" tint="0.79998168889431442"/>
      </patternFill>
    </fill>
    <fill>
      <patternFill patternType="solid">
        <fgColor rgb="FFFFFF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F5EB"/>
        <bgColor indexed="64"/>
      </patternFill>
    </fill>
    <fill>
      <patternFill patternType="solid">
        <fgColor rgb="FFF6FBFC"/>
        <bgColor indexed="64"/>
      </patternFill>
    </fill>
    <fill>
      <patternFill patternType="solid">
        <fgColor rgb="FFD9E1F2"/>
        <bgColor rgb="FFD9E1F2"/>
      </patternFill>
    </fill>
    <fill>
      <patternFill patternType="solid">
        <fgColor rgb="FFFFFF0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B4C6E7"/>
      </left>
      <right style="thin">
        <color rgb="FFB4C6E7"/>
      </right>
      <top style="thin">
        <color rgb="FFB4C6E7"/>
      </top>
      <bottom style="thin">
        <color rgb="FFB4C6E7"/>
      </bottom>
      <diagonal/>
    </border>
    <border>
      <left/>
      <right style="thin">
        <color rgb="FFB4C6E7"/>
      </right>
      <top style="thin">
        <color rgb="FFB4C6E7"/>
      </top>
      <bottom style="thin">
        <color rgb="FFB4C6E7"/>
      </bottom>
      <diagonal/>
    </border>
  </borders>
  <cellStyleXfs count="3">
    <xf numFmtId="0" fontId="0" fillId="0" borderId="0"/>
    <xf numFmtId="0" fontId="3" fillId="0" borderId="2"/>
    <xf numFmtId="9" fontId="19" fillId="0" borderId="0" applyFont="0" applyFill="0" applyBorder="0" applyAlignment="0" applyProtection="0"/>
  </cellStyleXfs>
  <cellXfs count="112">
    <xf numFmtId="0" fontId="0" fillId="0" borderId="0" xfId="0"/>
    <xf numFmtId="0" fontId="4" fillId="0" borderId="1" xfId="0" applyFont="1" applyBorder="1" applyAlignment="1">
      <alignment horizontal="center" vertical="center" wrapText="1"/>
    </xf>
    <xf numFmtId="0" fontId="7" fillId="4" borderId="4" xfId="0" applyFont="1" applyFill="1" applyBorder="1" applyAlignment="1">
      <alignment horizontal="center" vertical="center" wrapText="1"/>
    </xf>
    <xf numFmtId="1" fontId="4" fillId="0" borderId="3" xfId="0" applyNumberFormat="1" applyFont="1" applyBorder="1" applyAlignment="1">
      <alignment horizontal="center" vertical="center" wrapText="1"/>
    </xf>
    <xf numFmtId="0" fontId="3" fillId="0" borderId="2" xfId="1"/>
    <xf numFmtId="0" fontId="9" fillId="0" borderId="2" xfId="1" applyFont="1"/>
    <xf numFmtId="0" fontId="3" fillId="9" borderId="2" xfId="1" applyFill="1" applyAlignment="1">
      <alignment horizontal="left" vertical="center" wrapText="1"/>
    </xf>
    <xf numFmtId="0" fontId="3" fillId="0" borderId="2" xfId="1" applyAlignment="1">
      <alignment vertical="center"/>
    </xf>
    <xf numFmtId="0" fontId="3" fillId="0" borderId="2" xfId="1" applyAlignment="1">
      <alignment horizontal="left"/>
    </xf>
    <xf numFmtId="0" fontId="0" fillId="0" borderId="0" xfId="0" applyAlignment="1">
      <alignment horizontal="center"/>
    </xf>
    <xf numFmtId="0" fontId="7" fillId="3" borderId="4" xfId="0" applyFont="1" applyFill="1" applyBorder="1" applyAlignment="1">
      <alignment horizontal="center" vertical="center" wrapText="1"/>
    </xf>
    <xf numFmtId="1" fontId="4" fillId="0" borderId="4" xfId="0" applyNumberFormat="1"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vertical="center" wrapText="1"/>
    </xf>
    <xf numFmtId="1" fontId="4" fillId="0" borderId="6" xfId="0" applyNumberFormat="1" applyFont="1" applyBorder="1" applyAlignment="1">
      <alignment horizontal="center" vertical="center" wrapText="1"/>
    </xf>
    <xf numFmtId="0" fontId="0" fillId="0" borderId="6" xfId="0" applyBorder="1"/>
    <xf numFmtId="0" fontId="12" fillId="0" borderId="0" xfId="0" applyFont="1" applyAlignment="1">
      <alignment horizontal="center"/>
    </xf>
    <xf numFmtId="0" fontId="9" fillId="0" borderId="0" xfId="0" applyFont="1" applyAlignment="1">
      <alignment horizontal="center"/>
    </xf>
    <xf numFmtId="0" fontId="8" fillId="0" borderId="0" xfId="0" applyFont="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vertical="center"/>
    </xf>
    <xf numFmtId="0" fontId="0" fillId="0" borderId="0" xfId="0" applyAlignment="1">
      <alignment horizontal="center" vertical="center"/>
    </xf>
    <xf numFmtId="0" fontId="6" fillId="0" borderId="6" xfId="0" applyFont="1" applyBorder="1" applyAlignment="1">
      <alignment horizontal="center" vertical="center"/>
    </xf>
    <xf numFmtId="0" fontId="0" fillId="0" borderId="6" xfId="0" applyBorder="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0" fontId="0" fillId="0" borderId="2" xfId="0" applyBorder="1"/>
    <xf numFmtId="0" fontId="0" fillId="0" borderId="2" xfId="0" applyBorder="1" applyAlignment="1">
      <alignment vertical="center"/>
    </xf>
    <xf numFmtId="0" fontId="0" fillId="0" borderId="9" xfId="0" pivotButton="1" applyBorder="1" applyAlignment="1">
      <alignment horizontal="center" vertical="center"/>
    </xf>
    <xf numFmtId="0" fontId="0" fillId="0" borderId="9" xfId="0" applyBorder="1" applyAlignment="1">
      <alignment horizontal="center" vertical="center"/>
    </xf>
    <xf numFmtId="0" fontId="0" fillId="10" borderId="10" xfId="0" applyFill="1" applyBorder="1" applyAlignment="1">
      <alignment vertical="center"/>
    </xf>
    <xf numFmtId="0" fontId="0" fillId="11" borderId="10" xfId="0" applyFill="1" applyBorder="1" applyAlignment="1">
      <alignment vertical="center" wrapText="1"/>
    </xf>
    <xf numFmtId="0" fontId="0" fillId="11" borderId="10" xfId="0" applyFill="1" applyBorder="1" applyAlignment="1">
      <alignment horizontal="left" vertical="center" wrapText="1"/>
    </xf>
    <xf numFmtId="0" fontId="0" fillId="0" borderId="1" xfId="0" applyBorder="1"/>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xf numFmtId="0" fontId="0" fillId="0" borderId="7" xfId="0" applyBorder="1" applyAlignment="1">
      <alignment horizontal="center" vertical="center"/>
    </xf>
    <xf numFmtId="14" fontId="0" fillId="0" borderId="0" xfId="0" applyNumberFormat="1"/>
    <xf numFmtId="0" fontId="0" fillId="0" borderId="0" xfId="0" applyAlignment="1">
      <alignment horizontal="left" indent="1"/>
    </xf>
    <xf numFmtId="0" fontId="4" fillId="0" borderId="2" xfId="0" applyFont="1" applyBorder="1" applyAlignment="1">
      <alignment horizontal="center" vertical="center" wrapText="1"/>
    </xf>
    <xf numFmtId="0" fontId="15" fillId="0" borderId="6" xfId="0" applyFont="1" applyBorder="1" applyAlignment="1">
      <alignment horizontal="center" vertical="center"/>
    </xf>
    <xf numFmtId="0" fontId="15" fillId="15" borderId="6" xfId="0" applyFont="1" applyFill="1" applyBorder="1" applyAlignment="1">
      <alignment horizontal="center" vertical="center"/>
    </xf>
    <xf numFmtId="0" fontId="15" fillId="0" borderId="6" xfId="0" applyFont="1" applyBorder="1" applyAlignment="1">
      <alignment horizontal="center" vertical="center" wrapText="1"/>
    </xf>
    <xf numFmtId="0" fontId="15" fillId="14" borderId="6" xfId="0" applyFont="1" applyFill="1" applyBorder="1" applyAlignment="1">
      <alignment horizontal="center" vertical="center" wrapText="1"/>
    </xf>
    <xf numFmtId="0" fontId="16" fillId="0" borderId="6" xfId="0" applyFont="1" applyBorder="1" applyAlignment="1">
      <alignment horizontal="center" vertical="center" wrapText="1"/>
    </xf>
    <xf numFmtId="0" fontId="17" fillId="0" borderId="6" xfId="0" applyFont="1" applyBorder="1" applyAlignment="1">
      <alignment horizontal="center"/>
    </xf>
    <xf numFmtId="0" fontId="15" fillId="13" borderId="6" xfId="0" applyFont="1" applyFill="1" applyBorder="1" applyAlignment="1">
      <alignment horizontal="center" vertical="center" wrapText="1"/>
    </xf>
    <xf numFmtId="0" fontId="15" fillId="16" borderId="6" xfId="0" applyFont="1" applyFill="1" applyBorder="1" applyAlignment="1">
      <alignment horizontal="center" vertical="center"/>
    </xf>
    <xf numFmtId="0" fontId="15" fillId="17" borderId="6" xfId="0" applyFont="1" applyFill="1" applyBorder="1" applyAlignment="1">
      <alignment horizontal="center" vertical="center"/>
    </xf>
    <xf numFmtId="0" fontId="15" fillId="16" borderId="6" xfId="0" applyFont="1" applyFill="1" applyBorder="1" applyAlignment="1">
      <alignment horizontal="left" vertical="center" wrapText="1"/>
    </xf>
    <xf numFmtId="0" fontId="15" fillId="17" borderId="6" xfId="0" applyFont="1" applyFill="1" applyBorder="1" applyAlignment="1">
      <alignment horizontal="left" vertical="center" wrapText="1"/>
    </xf>
    <xf numFmtId="0" fontId="15" fillId="16" borderId="6" xfId="0" applyFont="1" applyFill="1" applyBorder="1" applyAlignment="1">
      <alignment vertical="center"/>
    </xf>
    <xf numFmtId="0" fontId="15" fillId="17" borderId="6" xfId="0" applyFont="1" applyFill="1" applyBorder="1" applyAlignment="1">
      <alignment vertical="center"/>
    </xf>
    <xf numFmtId="0" fontId="15" fillId="16" borderId="6" xfId="0" applyFont="1" applyFill="1" applyBorder="1" applyAlignment="1">
      <alignment horizontal="center" vertical="center" wrapText="1"/>
    </xf>
    <xf numFmtId="20" fontId="4" fillId="0" borderId="6" xfId="0" applyNumberFormat="1" applyFont="1" applyBorder="1" applyAlignment="1">
      <alignment horizontal="center" vertical="center" wrapText="1"/>
    </xf>
    <xf numFmtId="0" fontId="4" fillId="0" borderId="8" xfId="0" applyFont="1" applyBorder="1" applyAlignment="1">
      <alignment horizontal="center" vertical="center" wrapText="1"/>
    </xf>
    <xf numFmtId="1" fontId="4" fillId="0" borderId="8" xfId="0" applyNumberFormat="1" applyFont="1" applyBorder="1" applyAlignment="1">
      <alignment horizontal="center" vertical="center" wrapText="1"/>
    </xf>
    <xf numFmtId="0" fontId="4" fillId="0" borderId="8" xfId="0" applyFont="1" applyBorder="1" applyAlignment="1">
      <alignment vertical="center" wrapText="1"/>
    </xf>
    <xf numFmtId="164" fontId="4" fillId="0" borderId="6" xfId="0" applyNumberFormat="1" applyFont="1" applyBorder="1" applyAlignment="1">
      <alignment horizontal="center" vertical="center" wrapText="1"/>
    </xf>
    <xf numFmtId="14" fontId="4" fillId="0" borderId="6" xfId="0" applyNumberFormat="1" applyFont="1" applyBorder="1" applyAlignment="1">
      <alignment horizontal="center" vertical="center" wrapText="1"/>
    </xf>
    <xf numFmtId="0" fontId="13" fillId="12" borderId="6" xfId="0" applyFont="1" applyFill="1" applyBorder="1" applyAlignment="1">
      <alignment horizontal="center" vertical="center" wrapText="1"/>
    </xf>
    <xf numFmtId="0" fontId="13" fillId="0" borderId="6" xfId="0" applyFont="1" applyBorder="1" applyAlignment="1">
      <alignment vertical="center" wrapText="1"/>
    </xf>
    <xf numFmtId="0" fontId="0" fillId="0" borderId="6" xfId="0" applyBorder="1" applyAlignment="1">
      <alignment horizontal="center"/>
    </xf>
    <xf numFmtId="0" fontId="5" fillId="0" borderId="6" xfId="0" applyFont="1" applyBorder="1" applyAlignment="1">
      <alignment horizontal="center" vertical="center" wrapText="1"/>
    </xf>
    <xf numFmtId="0" fontId="14" fillId="0" borderId="6" xfId="0" applyFont="1" applyBorder="1" applyAlignment="1">
      <alignment horizontal="center" vertical="center"/>
    </xf>
    <xf numFmtId="0" fontId="18" fillId="0" borderId="6" xfId="0" applyFont="1" applyBorder="1" applyAlignment="1">
      <alignment horizontal="center" vertical="center" wrapText="1"/>
    </xf>
    <xf numFmtId="0" fontId="0" fillId="0" borderId="6" xfId="0" applyBorder="1" applyAlignment="1">
      <alignment wrapText="1"/>
    </xf>
    <xf numFmtId="0" fontId="20" fillId="18" borderId="6" xfId="0" applyFont="1" applyFill="1" applyBorder="1" applyAlignment="1">
      <alignment horizontal="center" vertical="center" wrapText="1"/>
    </xf>
    <xf numFmtId="14" fontId="20" fillId="18" borderId="6" xfId="0" applyNumberFormat="1" applyFont="1" applyFill="1" applyBorder="1" applyAlignment="1">
      <alignment horizontal="center" vertical="center" wrapText="1"/>
    </xf>
    <xf numFmtId="20" fontId="20" fillId="18" borderId="6" xfId="0" applyNumberFormat="1" applyFont="1" applyFill="1" applyBorder="1" applyAlignment="1">
      <alignment horizontal="center" vertical="center" wrapText="1"/>
    </xf>
    <xf numFmtId="0" fontId="20" fillId="18" borderId="6" xfId="0" applyFont="1" applyFill="1" applyBorder="1" applyAlignment="1">
      <alignment vertical="center" wrapText="1"/>
    </xf>
    <xf numFmtId="0" fontId="6" fillId="18" borderId="6" xfId="0" applyFont="1" applyFill="1" applyBorder="1" applyAlignment="1">
      <alignment horizontal="center" vertical="center"/>
    </xf>
    <xf numFmtId="0" fontId="20" fillId="0" borderId="6" xfId="0" applyFont="1" applyBorder="1" applyAlignment="1">
      <alignment horizontal="center" vertical="center" wrapText="1"/>
    </xf>
    <xf numFmtId="14" fontId="20" fillId="0" borderId="6" xfId="0" applyNumberFormat="1" applyFont="1" applyBorder="1" applyAlignment="1">
      <alignment horizontal="center" vertical="center" wrapText="1"/>
    </xf>
    <xf numFmtId="20" fontId="20"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0" fillId="11" borderId="9" xfId="0" applyFill="1" applyBorder="1" applyAlignment="1">
      <alignment horizontal="center" vertical="center"/>
    </xf>
    <xf numFmtId="10" fontId="0" fillId="0" borderId="0" xfId="0" applyNumberFormat="1"/>
    <xf numFmtId="9" fontId="0" fillId="0" borderId="0" xfId="2" applyFont="1"/>
    <xf numFmtId="9" fontId="0" fillId="0" borderId="0" xfId="0" applyNumberFormat="1" applyAlignment="1">
      <alignment horizontal="center"/>
    </xf>
    <xf numFmtId="0" fontId="21" fillId="2" borderId="4" xfId="0" applyFont="1" applyFill="1" applyBorder="1" applyAlignment="1">
      <alignment horizontal="center" vertical="center" wrapText="1"/>
    </xf>
    <xf numFmtId="0" fontId="21" fillId="7" borderId="4" xfId="0" applyFont="1" applyFill="1" applyBorder="1" applyAlignment="1">
      <alignment horizontal="center" vertical="center" wrapText="1"/>
    </xf>
    <xf numFmtId="0" fontId="21" fillId="3" borderId="4" xfId="0" applyFont="1" applyFill="1" applyBorder="1" applyAlignment="1">
      <alignment horizontal="center" vertical="center" wrapText="1"/>
    </xf>
    <xf numFmtId="0" fontId="7" fillId="6"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21" fillId="5" borderId="4" xfId="0" applyFont="1" applyFill="1" applyBorder="1" applyAlignment="1">
      <alignment horizontal="center" vertical="center" wrapText="1"/>
    </xf>
    <xf numFmtId="0" fontId="21" fillId="8" borderId="4" xfId="0" applyFont="1" applyFill="1" applyBorder="1" applyAlignment="1">
      <alignment horizontal="center" vertical="center" wrapText="1"/>
    </xf>
    <xf numFmtId="0" fontId="22" fillId="0" borderId="2" xfId="0" applyFont="1" applyBorder="1" applyAlignment="1">
      <alignment horizontal="center" wrapText="1"/>
    </xf>
    <xf numFmtId="0" fontId="22" fillId="0" borderId="0" xfId="0" applyFont="1"/>
    <xf numFmtId="0" fontId="4" fillId="0" borderId="7" xfId="0" applyFont="1" applyBorder="1" applyAlignment="1">
      <alignment horizontal="center" vertical="center" wrapText="1"/>
    </xf>
    <xf numFmtId="9" fontId="0" fillId="0" borderId="0" xfId="2" applyFont="1" applyAlignment="1">
      <alignment horizontal="center"/>
    </xf>
    <xf numFmtId="10" fontId="0" fillId="0" borderId="0" xfId="0" applyNumberFormat="1" applyAlignment="1">
      <alignment horizontal="center"/>
    </xf>
    <xf numFmtId="165" fontId="0" fillId="0" borderId="0" xfId="0" applyNumberFormat="1" applyAlignment="1">
      <alignment horizontal="center" vertical="center"/>
    </xf>
    <xf numFmtId="9" fontId="0" fillId="0" borderId="0" xfId="0" applyNumberFormat="1" applyAlignment="1">
      <alignment horizontal="center" vertical="center"/>
    </xf>
    <xf numFmtId="0" fontId="15" fillId="9" borderId="6" xfId="0" applyFont="1" applyFill="1" applyBorder="1" applyAlignment="1">
      <alignment horizontal="center" vertical="center"/>
    </xf>
    <xf numFmtId="0" fontId="23" fillId="0" borderId="6" xfId="0" applyFont="1" applyBorder="1" applyAlignment="1">
      <alignment horizontal="center" vertical="center" wrapText="1"/>
    </xf>
    <xf numFmtId="0" fontId="11" fillId="0" borderId="6" xfId="0" applyFont="1" applyBorder="1" applyAlignment="1">
      <alignment horizontal="center" vertical="center" wrapText="1"/>
    </xf>
    <xf numFmtId="0" fontId="24" fillId="0" borderId="6" xfId="0" applyFont="1" applyBorder="1" applyAlignment="1">
      <alignment horizontal="center" wrapText="1"/>
    </xf>
    <xf numFmtId="0" fontId="11" fillId="13" borderId="6" xfId="0" applyFont="1" applyFill="1" applyBorder="1" applyAlignment="1">
      <alignment horizontal="center" vertical="center" wrapText="1"/>
    </xf>
    <xf numFmtId="0" fontId="11" fillId="14" borderId="6" xfId="0" applyFont="1" applyFill="1" applyBorder="1" applyAlignment="1">
      <alignment horizontal="center" vertical="center" wrapText="1"/>
    </xf>
    <xf numFmtId="0" fontId="24" fillId="14" borderId="6" xfId="0" applyFont="1" applyFill="1" applyBorder="1" applyAlignment="1">
      <alignment horizontal="center" vertical="center" wrapText="1"/>
    </xf>
    <xf numFmtId="0" fontId="11" fillId="15" borderId="6" xfId="0" applyFont="1" applyFill="1" applyBorder="1" applyAlignment="1">
      <alignment horizontal="center" vertical="center" wrapText="1"/>
    </xf>
    <xf numFmtId="0" fontId="25" fillId="0" borderId="6" xfId="0" applyFont="1" applyBorder="1" applyAlignment="1">
      <alignment horizontal="center" vertical="center" wrapText="1"/>
    </xf>
    <xf numFmtId="0" fontId="4" fillId="19" borderId="6" xfId="0" applyFont="1" applyFill="1" applyBorder="1" applyAlignment="1">
      <alignment horizontal="center" vertical="center" wrapText="1"/>
    </xf>
    <xf numFmtId="0" fontId="0" fillId="0" borderId="0" xfId="0" applyAlignment="1">
      <alignment wrapText="1"/>
    </xf>
    <xf numFmtId="0" fontId="4" fillId="19" borderId="6" xfId="0" applyFont="1" applyFill="1" applyBorder="1" applyAlignment="1">
      <alignment vertical="center" wrapText="1"/>
    </xf>
    <xf numFmtId="0" fontId="15" fillId="19" borderId="6" xfId="0" applyFont="1" applyFill="1" applyBorder="1" applyAlignment="1">
      <alignment horizontal="left" vertical="center" wrapText="1"/>
    </xf>
    <xf numFmtId="0" fontId="9" fillId="0" borderId="0" xfId="0" applyFont="1"/>
    <xf numFmtId="0" fontId="2" fillId="0" borderId="6" xfId="0" applyFont="1" applyBorder="1" applyAlignment="1">
      <alignment horizontal="center" vertical="center"/>
    </xf>
    <xf numFmtId="0" fontId="2" fillId="0" borderId="0" xfId="0" applyFont="1"/>
  </cellXfs>
  <cellStyles count="3">
    <cellStyle name="Normal" xfId="0" builtinId="0"/>
    <cellStyle name="Normal 2" xfId="1" xr:uid="{08A0665D-C2FE-4DB8-88C5-B8D55040863A}"/>
    <cellStyle name="Porcentaje" xfId="2" builtinId="5"/>
  </cellStyles>
  <dxfs count="102">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dxf>
    <dxf>
      <alignment horizontal="center"/>
    </dxf>
    <dxf>
      <alignment vertical="center"/>
    </dxf>
    <dxf>
      <numFmt numFmtId="13" formatCode="0%"/>
    </dxf>
    <dxf>
      <numFmt numFmtId="19" formatCode="dd/mm/yyyy"/>
    </dxf>
    <dxf>
      <alignment horizontal="center"/>
    </dxf>
    <dxf>
      <alignment horizontal="center"/>
    </dxf>
    <dxf>
      <numFmt numFmtId="13" formatCode="0%"/>
    </dxf>
    <dxf>
      <alignment horizontal="center"/>
    </dxf>
    <dxf>
      <alignment horizontal="center"/>
    </dxf>
    <dxf>
      <alignment horizontal="general"/>
    </dxf>
    <dxf>
      <alignment vertical="center"/>
    </dxf>
    <dxf>
      <numFmt numFmtId="165" formatCode="_-* #,##0_-;\-* #,##0_-;_-* &quot;-&quot;??_-;_-@_-"/>
    </dxf>
    <dxf>
      <numFmt numFmtId="13" formatCode="0%"/>
    </dxf>
    <dxf>
      <alignment horizontal="center"/>
    </dxf>
    <dxf>
      <alignment horizontal="center"/>
    </dxf>
    <dxf>
      <alignment horizontal="center"/>
    </dxf>
    <dxf>
      <numFmt numFmtId="166" formatCode="0.0%"/>
    </dxf>
    <dxf>
      <alignment horizontal="center"/>
    </dxf>
    <dxf>
      <alignment horizontal="center"/>
    </dxf>
    <dxf>
      <alignment horizontal="center"/>
    </dxf>
    <dxf>
      <numFmt numFmtId="13" formatCode="0%"/>
    </dxf>
    <dxf>
      <alignment horizontal="center" textRotation="0" indent="0" justifyLastLine="0" shrinkToFit="0" readingOrder="0"/>
    </dxf>
    <dxf>
      <alignment horizontal="center" textRotation="0" indent="0" justifyLastLine="0" shrinkToFit="0" readingOrder="0"/>
    </dxf>
    <dxf>
      <alignment horizontal="center" vertical="center"/>
    </dxf>
    <dxf>
      <alignment horizontal="center" vertical="center"/>
    </dxf>
    <dxf>
      <numFmt numFmtId="19" formatCode="dd/mm/yyyy"/>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dxf>
    <dxf>
      <border outline="0">
        <top style="thin">
          <color rgb="FF000000"/>
        </top>
      </border>
    </dxf>
    <dxf>
      <font>
        <strike val="0"/>
        <outline val="0"/>
        <shadow val="0"/>
        <u val="none"/>
        <vertAlign val="baseline"/>
        <color auto="1"/>
      </font>
    </dxf>
    <dxf>
      <fill>
        <patternFill patternType="solid">
          <fgColor indexed="64"/>
          <bgColor rgb="FFFFFFFF"/>
        </patternFill>
      </fill>
    </dxf>
    <dxf>
      <fill>
        <patternFill patternType="solid">
          <fgColor indexed="64"/>
          <bgColor rgb="FFFFFFFF"/>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fill>
        <patternFill patternType="solid">
          <fgColor indexed="64"/>
          <bgColor rgb="FFFFF2CC"/>
        </patternFill>
      </fill>
    </dxf>
    <dxf>
      <border outline="0">
        <left style="thin">
          <color rgb="FFB4C6E7"/>
        </left>
        <right style="thin">
          <color rgb="FFB4C6E7"/>
        </right>
        <top style="thin">
          <color rgb="FFB4C6E7"/>
        </top>
        <bottom style="thin">
          <color rgb="FFB4C6E7"/>
        </bottom>
      </border>
    </dxf>
    <dxf>
      <border outline="0">
        <left style="thin">
          <color rgb="FFB4C6E7"/>
        </left>
        <right style="thin">
          <color rgb="FFB4C6E7"/>
        </right>
        <top style="thin">
          <color rgb="FFB4C6E7"/>
        </top>
        <bottom style="thin">
          <color rgb="FFB4C6E7"/>
        </bottom>
      </border>
    </dxf>
    <dxf>
      <border outline="0">
        <left style="thin">
          <color rgb="FFB4C6E7"/>
        </left>
        <right style="thin">
          <color rgb="FFB4C6E7"/>
        </right>
        <top style="thin">
          <color rgb="FFB4C6E7"/>
        </top>
        <bottom style="thin">
          <color rgb="FFB4C6E7"/>
        </bottom>
      </border>
    </dxf>
    <dxf>
      <border outline="0">
        <left style="thin">
          <color rgb="FFB4C6E7"/>
        </left>
        <right style="thin">
          <color rgb="FFB4C6E7"/>
        </right>
        <top style="thin">
          <color rgb="FFB4C6E7"/>
        </top>
        <bottom style="thin">
          <color rgb="FFB4C6E7"/>
        </bottom>
      </border>
    </dxf>
    <dxf>
      <border outline="0">
        <left style="thin">
          <color rgb="FFB4C6E7"/>
        </left>
        <right style="thin">
          <color rgb="FFB4C6E7"/>
        </right>
        <top style="thin">
          <color rgb="FFB4C6E7"/>
        </top>
        <bottom style="thin">
          <color rgb="FFB4C6E7"/>
        </bottom>
      </border>
    </dxf>
    <dxf>
      <border outline="0">
        <left style="thin">
          <color rgb="FFB4C6E7"/>
        </left>
        <right style="thin">
          <color rgb="FFB4C6E7"/>
        </right>
        <top style="thin">
          <color rgb="FFB4C6E7"/>
        </top>
        <bottom style="thin">
          <color rgb="FFB4C6E7"/>
        </bottom>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none"/>
      </fill>
    </dxf>
    <dxf>
      <fill>
        <patternFill patternType="none"/>
      </fill>
    </dxf>
    <dxf>
      <fill>
        <patternFill patternType="solid">
          <fgColor indexed="64"/>
          <bgColor rgb="FFFFFF00"/>
        </patternFill>
      </fill>
    </dxf>
    <dxf>
      <fill>
        <patternFill patternType="solid">
          <fgColor indexed="64"/>
          <bgColor rgb="FFFFFF00"/>
        </patternFill>
      </fill>
    </dxf>
  </dxfs>
  <tableStyles count="1" defaultTableStyle="TableStyleMedium2" defaultPivotStyle="PivotStyleLight16">
    <tableStyle name="Invisible" pivot="0" table="0" count="0" xr9:uid="{BDC354F6-9163-47DF-87CB-4510A02D649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customschemas.google.com/relationships/workbookmetadata" Target="metadata"/><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8"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Total.xlsx]Tipo!TablaDinámica1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Tipo!$B$3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1EB-4F72-A2FD-903F735C05D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1EB-4F72-A2FD-903F735C05D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1EB-4F72-A2FD-903F735C05D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1EB-4F72-A2FD-903F735C05D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1EB-4F72-A2FD-903F735C05D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81EB-4F72-A2FD-903F735C05DD}"/>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1EB-4F72-A2FD-903F735C05DD}"/>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1EB-4F72-A2FD-903F735C05DD}"/>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1EB-4F72-A2FD-903F735C05DD}"/>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1EB-4F72-A2FD-903F735C05DD}"/>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81EB-4F72-A2FD-903F735C05DD}"/>
              </c:ext>
            </c:extLst>
          </c:dPt>
          <c:cat>
            <c:strRef>
              <c:f>Tipo!$A$4:$A$14</c:f>
              <c:strCache>
                <c:ptCount val="10"/>
                <c:pt idx="0">
                  <c:v>MANO</c:v>
                </c:pt>
                <c:pt idx="1">
                  <c:v>PIE</c:v>
                </c:pt>
                <c:pt idx="2">
                  <c:v>CABEZA</c:v>
                </c:pt>
                <c:pt idx="3">
                  <c:v>OJOS</c:v>
                </c:pt>
                <c:pt idx="4">
                  <c:v>CUERPO</c:v>
                </c:pt>
                <c:pt idx="5">
                  <c:v>BRAZO</c:v>
                </c:pt>
                <c:pt idx="6">
                  <c:v>PIERNA</c:v>
                </c:pt>
                <c:pt idx="7">
                  <c:v>RODILLA</c:v>
                </c:pt>
                <c:pt idx="8">
                  <c:v>NARIZ</c:v>
                </c:pt>
                <c:pt idx="9">
                  <c:v>TOBILLO</c:v>
                </c:pt>
              </c:strCache>
            </c:strRef>
          </c:cat>
          <c:val>
            <c:numRef>
              <c:f>Tipo!$B$4:$B$14</c:f>
              <c:numCache>
                <c:formatCode>0%</c:formatCode>
                <c:ptCount val="10"/>
                <c:pt idx="0">
                  <c:v>0.42857142857142855</c:v>
                </c:pt>
                <c:pt idx="1">
                  <c:v>9.5238095238095233E-2</c:v>
                </c:pt>
                <c:pt idx="2">
                  <c:v>9.5238095238095233E-2</c:v>
                </c:pt>
                <c:pt idx="3">
                  <c:v>9.5238095238095233E-2</c:v>
                </c:pt>
                <c:pt idx="4">
                  <c:v>8.3333333333333329E-2</c:v>
                </c:pt>
                <c:pt idx="5">
                  <c:v>7.1428571428571425E-2</c:v>
                </c:pt>
                <c:pt idx="6">
                  <c:v>7.1428571428571425E-2</c:v>
                </c:pt>
                <c:pt idx="7">
                  <c:v>2.3809523809523808E-2</c:v>
                </c:pt>
                <c:pt idx="8">
                  <c:v>2.3809523809523808E-2</c:v>
                </c:pt>
                <c:pt idx="9">
                  <c:v>1.1904761904761904E-2</c:v>
                </c:pt>
              </c:numCache>
            </c:numRef>
          </c:val>
          <c:extLst>
            <c:ext xmlns:c16="http://schemas.microsoft.com/office/drawing/2014/chart" uri="{C3380CC4-5D6E-409C-BE32-E72D297353CC}">
              <c16:uniqueId val="{00000016-81EB-4F72-A2FD-903F735C05D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Total.xlsx]Lesión!TablaDinámica1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Lesión!$B$3</c:f>
              <c:strCache>
                <c:ptCount val="1"/>
                <c:pt idx="0">
                  <c:v>% Accidentes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993-4415-AE9A-B88E037CC18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993-4415-AE9A-B88E037CC18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993-4415-AE9A-B88E037CC18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7993-4415-AE9A-B88E037CC18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7993-4415-AE9A-B88E037CC18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7993-4415-AE9A-B88E037CC18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7993-4415-AE9A-B88E037CC18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7993-4415-AE9A-B88E037CC18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7993-4415-AE9A-B88E037CC18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7993-4415-AE9A-B88E037CC18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7993-4415-AE9A-B88E037CC180}"/>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2348-41A3-9262-75AB36F11900}"/>
              </c:ext>
            </c:extLst>
          </c:dPt>
          <c:cat>
            <c:strRef>
              <c:f>Lesión!$A$4:$A$16</c:f>
              <c:strCache>
                <c:ptCount val="12"/>
                <c:pt idx="0">
                  <c:v>Amputación</c:v>
                </c:pt>
                <c:pt idx="1">
                  <c:v>Contusión</c:v>
                </c:pt>
                <c:pt idx="2">
                  <c:v>Corte</c:v>
                </c:pt>
                <c:pt idx="3">
                  <c:v>Cuerpo Extraño en Ojos</c:v>
                </c:pt>
                <c:pt idx="4">
                  <c:v>Dermatitis</c:v>
                </c:pt>
                <c:pt idx="5">
                  <c:v>Desgarro Muscular</c:v>
                </c:pt>
                <c:pt idx="6">
                  <c:v>Esguince</c:v>
                </c:pt>
                <c:pt idx="7">
                  <c:v>Fractura</c:v>
                </c:pt>
                <c:pt idx="8">
                  <c:v>Herida</c:v>
                </c:pt>
                <c:pt idx="9">
                  <c:v>Quemadura</c:v>
                </c:pt>
                <c:pt idx="10">
                  <c:v>Queratoconjuntivitis</c:v>
                </c:pt>
                <c:pt idx="11">
                  <c:v>Descarga Eléctrica</c:v>
                </c:pt>
              </c:strCache>
            </c:strRef>
          </c:cat>
          <c:val>
            <c:numRef>
              <c:f>Lesión!$B$4:$B$16</c:f>
              <c:numCache>
                <c:formatCode>0%</c:formatCode>
                <c:ptCount val="12"/>
                <c:pt idx="0">
                  <c:v>4.716981132075472E-2</c:v>
                </c:pt>
                <c:pt idx="1">
                  <c:v>0.29245283018867924</c:v>
                </c:pt>
                <c:pt idx="2">
                  <c:v>4.716981132075472E-2</c:v>
                </c:pt>
                <c:pt idx="3">
                  <c:v>9.433962264150943E-3</c:v>
                </c:pt>
                <c:pt idx="4">
                  <c:v>9.433962264150943E-3</c:v>
                </c:pt>
                <c:pt idx="5">
                  <c:v>9.433962264150943E-3</c:v>
                </c:pt>
                <c:pt idx="6">
                  <c:v>0.14150943396226415</c:v>
                </c:pt>
                <c:pt idx="7">
                  <c:v>0.10377358490566038</c:v>
                </c:pt>
                <c:pt idx="8">
                  <c:v>0.16981132075471697</c:v>
                </c:pt>
                <c:pt idx="9">
                  <c:v>6.6037735849056603E-2</c:v>
                </c:pt>
                <c:pt idx="10">
                  <c:v>9.4339622641509441E-2</c:v>
                </c:pt>
                <c:pt idx="11">
                  <c:v>9.433962264150943E-3</c:v>
                </c:pt>
              </c:numCache>
            </c:numRef>
          </c:val>
          <c:extLst>
            <c:ext xmlns:c16="http://schemas.microsoft.com/office/drawing/2014/chart" uri="{C3380CC4-5D6E-409C-BE32-E72D297353CC}">
              <c16:uniqueId val="{00000016-7993-4415-AE9A-B88E037CC180}"/>
            </c:ext>
          </c:extLst>
        </c:ser>
        <c:ser>
          <c:idx val="1"/>
          <c:order val="1"/>
          <c:tx>
            <c:strRef>
              <c:f>Lesión!$C$3</c:f>
              <c:strCache>
                <c:ptCount val="1"/>
                <c:pt idx="0">
                  <c:v>N° Accidentes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9-2348-41A3-9262-75AB36F1190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B-2348-41A3-9262-75AB36F1190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D-2348-41A3-9262-75AB36F1190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F-2348-41A3-9262-75AB36F1190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21-2348-41A3-9262-75AB36F1190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3-2348-41A3-9262-75AB36F1190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2348-41A3-9262-75AB36F1190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2348-41A3-9262-75AB36F11900}"/>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2348-41A3-9262-75AB36F11900}"/>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2348-41A3-9262-75AB36F11900}"/>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2348-41A3-9262-75AB36F11900}"/>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2348-41A3-9262-75AB36F11900}"/>
              </c:ext>
            </c:extLst>
          </c:dPt>
          <c:cat>
            <c:strRef>
              <c:f>Lesión!$A$4:$A$16</c:f>
              <c:strCache>
                <c:ptCount val="12"/>
                <c:pt idx="0">
                  <c:v>Amputación</c:v>
                </c:pt>
                <c:pt idx="1">
                  <c:v>Contusión</c:v>
                </c:pt>
                <c:pt idx="2">
                  <c:v>Corte</c:v>
                </c:pt>
                <c:pt idx="3">
                  <c:v>Cuerpo Extraño en Ojos</c:v>
                </c:pt>
                <c:pt idx="4">
                  <c:v>Dermatitis</c:v>
                </c:pt>
                <c:pt idx="5">
                  <c:v>Desgarro Muscular</c:v>
                </c:pt>
                <c:pt idx="6">
                  <c:v>Esguince</c:v>
                </c:pt>
                <c:pt idx="7">
                  <c:v>Fractura</c:v>
                </c:pt>
                <c:pt idx="8">
                  <c:v>Herida</c:v>
                </c:pt>
                <c:pt idx="9">
                  <c:v>Quemadura</c:v>
                </c:pt>
                <c:pt idx="10">
                  <c:v>Queratoconjuntivitis</c:v>
                </c:pt>
                <c:pt idx="11">
                  <c:v>Descarga Eléctrica</c:v>
                </c:pt>
              </c:strCache>
            </c:strRef>
          </c:cat>
          <c:val>
            <c:numRef>
              <c:f>Lesión!$C$4:$C$16</c:f>
              <c:numCache>
                <c:formatCode>_-* #,##0_-;\-* #,##0_-;_-* "-"??_-;_-@_-</c:formatCode>
                <c:ptCount val="12"/>
                <c:pt idx="0">
                  <c:v>5</c:v>
                </c:pt>
                <c:pt idx="1">
                  <c:v>31</c:v>
                </c:pt>
                <c:pt idx="2">
                  <c:v>5</c:v>
                </c:pt>
                <c:pt idx="3">
                  <c:v>1</c:v>
                </c:pt>
                <c:pt idx="4">
                  <c:v>1</c:v>
                </c:pt>
                <c:pt idx="5">
                  <c:v>1</c:v>
                </c:pt>
                <c:pt idx="6">
                  <c:v>15</c:v>
                </c:pt>
                <c:pt idx="7">
                  <c:v>11</c:v>
                </c:pt>
                <c:pt idx="8">
                  <c:v>18</c:v>
                </c:pt>
                <c:pt idx="9">
                  <c:v>7</c:v>
                </c:pt>
                <c:pt idx="10">
                  <c:v>10</c:v>
                </c:pt>
                <c:pt idx="11">
                  <c:v>1</c:v>
                </c:pt>
              </c:numCache>
            </c:numRef>
          </c:val>
          <c:extLst>
            <c:ext xmlns:c16="http://schemas.microsoft.com/office/drawing/2014/chart" uri="{C3380CC4-5D6E-409C-BE32-E72D297353CC}">
              <c16:uniqueId val="{00000017-7993-4415-AE9A-B88E037CC1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Total.xlsx]Hoja2!TablaDinámica1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Hoja2!$B$3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9BA-4729-B849-59B0EFB2D2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9BA-4729-B849-59B0EFB2D28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9BA-4729-B849-59B0EFB2D28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9BA-4729-B849-59B0EFB2D28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9BA-4729-B849-59B0EFB2D28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E9BA-4729-B849-59B0EFB2D28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E9BA-4729-B849-59B0EFB2D28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9BA-4729-B849-59B0EFB2D28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E9BA-4729-B849-59B0EFB2D28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E9BA-4729-B849-59B0EFB2D28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E9BA-4729-B849-59B0EFB2D28F}"/>
              </c:ext>
            </c:extLst>
          </c:dPt>
          <c:cat>
            <c:strRef>
              <c:f>Hoja2!$A$4:$A$15</c:f>
              <c:strCache>
                <c:ptCount val="11"/>
                <c:pt idx="0">
                  <c:v>Producción</c:v>
                </c:pt>
                <c:pt idx="1">
                  <c:v>Distribución</c:v>
                </c:pt>
                <c:pt idx="2">
                  <c:v>Administración</c:v>
                </c:pt>
                <c:pt idx="3">
                  <c:v>Mantenimiento</c:v>
                </c:pt>
                <c:pt idx="4">
                  <c:v>DESARROLLO TECNOLÓGICO</c:v>
                </c:pt>
                <c:pt idx="5">
                  <c:v>Otros</c:v>
                </c:pt>
                <c:pt idx="6">
                  <c:v>Planeamiento - Almacenes</c:v>
                </c:pt>
                <c:pt idx="7">
                  <c:v>Seguridad Industrial</c:v>
                </c:pt>
                <c:pt idx="8">
                  <c:v>RRHH</c:v>
                </c:pt>
                <c:pt idx="9">
                  <c:v>Relaciones Laborales</c:v>
                </c:pt>
                <c:pt idx="10">
                  <c:v>Proyectos de Ingeniería</c:v>
                </c:pt>
              </c:strCache>
            </c:strRef>
          </c:cat>
          <c:val>
            <c:numRef>
              <c:f>Hoja2!$B$4:$B$15</c:f>
              <c:numCache>
                <c:formatCode>0%</c:formatCode>
                <c:ptCount val="11"/>
                <c:pt idx="0">
                  <c:v>0.58333333333333337</c:v>
                </c:pt>
                <c:pt idx="1">
                  <c:v>0.14285714285714285</c:v>
                </c:pt>
                <c:pt idx="2">
                  <c:v>9.5238095238095233E-2</c:v>
                </c:pt>
                <c:pt idx="3">
                  <c:v>5.9523809523809521E-2</c:v>
                </c:pt>
                <c:pt idx="4">
                  <c:v>2.3809523809523808E-2</c:v>
                </c:pt>
                <c:pt idx="5">
                  <c:v>2.3809523809523808E-2</c:v>
                </c:pt>
                <c:pt idx="6">
                  <c:v>2.3809523809523808E-2</c:v>
                </c:pt>
                <c:pt idx="7">
                  <c:v>1.1904761904761904E-2</c:v>
                </c:pt>
                <c:pt idx="8">
                  <c:v>1.1904761904761904E-2</c:v>
                </c:pt>
                <c:pt idx="9">
                  <c:v>1.1904761904761904E-2</c:v>
                </c:pt>
                <c:pt idx="10">
                  <c:v>1.1904761904761904E-2</c:v>
                </c:pt>
              </c:numCache>
            </c:numRef>
          </c:val>
          <c:extLst>
            <c:ext xmlns:c16="http://schemas.microsoft.com/office/drawing/2014/chart" uri="{C3380CC4-5D6E-409C-BE32-E72D297353CC}">
              <c16:uniqueId val="{00000000-44F1-469C-B202-2B93A33B5A7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Total.xlsx]Tipo Trabajador!TablaDinámica1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'Tipo Trabajador'!$B$3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96F-4B0B-9C3E-389BBCFFDED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96F-4B0B-9C3E-389BBCFFDED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96F-4B0B-9C3E-389BBCFFDED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96F-4B0B-9C3E-389BBCFFDED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96F-4B0B-9C3E-389BBCFFDED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96F-4B0B-9C3E-389BBCFFDED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96F-4B0B-9C3E-389BBCFFDED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96F-4B0B-9C3E-389BBCFFDED4}"/>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96F-4B0B-9C3E-389BBCFFDED4}"/>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96F-4B0B-9C3E-389BBCFFDED4}"/>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96F-4B0B-9C3E-389BBCFFDED4}"/>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A9EF-46CC-B050-4101C53EC0F2}"/>
              </c:ext>
            </c:extLst>
          </c:dPt>
          <c:cat>
            <c:strRef>
              <c:f>'Tipo Trabajador'!$A$4:$A$16</c:f>
              <c:strCache>
                <c:ptCount val="12"/>
                <c:pt idx="0">
                  <c:v>Propio</c:v>
                </c:pt>
                <c:pt idx="1">
                  <c:v>Contratista</c:v>
                </c:pt>
                <c:pt idx="2">
                  <c:v>Service</c:v>
                </c:pt>
                <c:pt idx="3">
                  <c:v>Tercero - Limpieza</c:v>
                </c:pt>
                <c:pt idx="4">
                  <c:v>Tercero - CEVA</c:v>
                </c:pt>
                <c:pt idx="5">
                  <c:v>In House - SMI</c:v>
                </c:pt>
                <c:pt idx="6">
                  <c:v>APUDEX</c:v>
                </c:pt>
                <c:pt idx="7">
                  <c:v>Tercero - Comedor</c:v>
                </c:pt>
                <c:pt idx="8">
                  <c:v>Tercero - Vigilancia</c:v>
                </c:pt>
                <c:pt idx="9">
                  <c:v>Transportista</c:v>
                </c:pt>
                <c:pt idx="10">
                  <c:v>Estibador</c:v>
                </c:pt>
                <c:pt idx="11">
                  <c:v>(en blanco)</c:v>
                </c:pt>
              </c:strCache>
            </c:strRef>
          </c:cat>
          <c:val>
            <c:numRef>
              <c:f>'Tipo Trabajador'!$B$4:$B$16</c:f>
              <c:numCache>
                <c:formatCode>0%</c:formatCode>
                <c:ptCount val="12"/>
                <c:pt idx="0">
                  <c:v>0.71698113207547165</c:v>
                </c:pt>
                <c:pt idx="1">
                  <c:v>9.4339622641509441E-2</c:v>
                </c:pt>
                <c:pt idx="2">
                  <c:v>5.6603773584905662E-2</c:v>
                </c:pt>
                <c:pt idx="3">
                  <c:v>5.6603773584905662E-2</c:v>
                </c:pt>
                <c:pt idx="4">
                  <c:v>1.8867924528301886E-2</c:v>
                </c:pt>
                <c:pt idx="5">
                  <c:v>9.433962264150943E-3</c:v>
                </c:pt>
                <c:pt idx="6">
                  <c:v>9.433962264150943E-3</c:v>
                </c:pt>
                <c:pt idx="7">
                  <c:v>9.433962264150943E-3</c:v>
                </c:pt>
                <c:pt idx="8">
                  <c:v>9.433962264150943E-3</c:v>
                </c:pt>
                <c:pt idx="9">
                  <c:v>9.433962264150943E-3</c:v>
                </c:pt>
                <c:pt idx="10">
                  <c:v>9.433962264150943E-3</c:v>
                </c:pt>
                <c:pt idx="11">
                  <c:v>0</c:v>
                </c:pt>
              </c:numCache>
            </c:numRef>
          </c:val>
          <c:extLst>
            <c:ext xmlns:c16="http://schemas.microsoft.com/office/drawing/2014/chart" uri="{C3380CC4-5D6E-409C-BE32-E72D297353CC}">
              <c16:uniqueId val="{00000016-396F-4B0B-9C3E-389BBCFFDED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Total.xlsx]Gráficos!TablaDinámica2</c:name>
    <c:fmtId val="3"/>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r>
              <a:rPr lang="en-US" sz="1100" b="1">
                <a:latin typeface="Arial Nova" panose="020B0504020202020204" pitchFamily="34" charset="0"/>
              </a:rPr>
              <a:t>Distribución</a:t>
            </a:r>
            <a:r>
              <a:rPr lang="en-US" sz="1100" b="1" baseline="0">
                <a:latin typeface="Arial Nova" panose="020B0504020202020204" pitchFamily="34" charset="0"/>
              </a:rPr>
              <a:t> x Empresa</a:t>
            </a:r>
            <a:endParaRPr lang="en-US" sz="1100" b="1">
              <a:latin typeface="Arial Nova" panose="020B0504020202020204" pitchFamily="34" charset="0"/>
            </a:endParaRPr>
          </a:p>
        </c:rich>
      </c:tx>
      <c:layout>
        <c:manualLayout>
          <c:xMode val="edge"/>
          <c:yMode val="edge"/>
          <c:x val="0.32314037134247109"/>
          <c:y val="9.0212513758360854E-2"/>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s-P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1921308447555165"/>
          <c:y val="0.22853780374227411"/>
          <c:w val="0.40638815981335669"/>
          <c:h val="0.70790195580391158"/>
        </c:manualLayout>
      </c:layout>
      <c:pieChart>
        <c:varyColors val="1"/>
        <c:ser>
          <c:idx val="0"/>
          <c:order val="0"/>
          <c:tx>
            <c:strRef>
              <c:f>Gráficos!$B$1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EA0-4634-8815-9441871D92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EA0-4634-8815-9441871D92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2D-429B-A513-A2ACAF2FD6C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s-PE"/>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Gráficos!$A$2:$A$5</c:f>
              <c:strCache>
                <c:ptCount val="3"/>
                <c:pt idx="0">
                  <c:v>CONSULTING</c:v>
                </c:pt>
                <c:pt idx="1">
                  <c:v>INTRADEVCO INDUSTRIAL</c:v>
                </c:pt>
                <c:pt idx="2">
                  <c:v>CEVA LOGISTICS</c:v>
                </c:pt>
              </c:strCache>
            </c:strRef>
          </c:cat>
          <c:val>
            <c:numRef>
              <c:f>Gráficos!$B$2:$B$5</c:f>
              <c:numCache>
                <c:formatCode>General</c:formatCode>
                <c:ptCount val="3"/>
                <c:pt idx="0">
                  <c:v>4</c:v>
                </c:pt>
                <c:pt idx="1">
                  <c:v>7</c:v>
                </c:pt>
                <c:pt idx="2">
                  <c:v>2</c:v>
                </c:pt>
              </c:numCache>
            </c:numRef>
          </c:val>
          <c:extLst>
            <c:ext xmlns:c16="http://schemas.microsoft.com/office/drawing/2014/chart" uri="{C3380CC4-5D6E-409C-BE32-E72D297353CC}">
              <c16:uniqueId val="{00000000-8EA0-4634-8815-9441871D928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024691358024694"/>
          <c:y val="0.40572474811616288"/>
          <c:w val="0.33333333333333331"/>
          <c:h val="0.350295063923461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Total.xlsx]Gráficos!TablaDinámica3</c:name>
    <c:fmtId val="7"/>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r>
              <a:rPr lang="en-US" sz="1100" b="1">
                <a:latin typeface="Arial Nova" panose="020B0504020202020204" pitchFamily="34" charset="0"/>
              </a:rPr>
              <a:t>Distribución</a:t>
            </a:r>
            <a:r>
              <a:rPr lang="en-US" sz="1100" b="1" baseline="0">
                <a:latin typeface="Arial Nova" panose="020B0504020202020204" pitchFamily="34" charset="0"/>
              </a:rPr>
              <a:t> x Dirección</a:t>
            </a:r>
            <a:endParaRPr lang="en-US" sz="1100" b="1">
              <a:latin typeface="Arial Nova" panose="020B0504020202020204" pitchFamily="34" charset="0"/>
            </a:endParaRPr>
          </a:p>
        </c:rich>
      </c:tx>
      <c:layout>
        <c:manualLayout>
          <c:xMode val="edge"/>
          <c:yMode val="edge"/>
          <c:x val="0.29098592597185197"/>
          <c:y val="0.11116840873480235"/>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s-P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dLbl>
          <c:idx val="0"/>
          <c:layout>
            <c:manualLayout>
              <c:x val="7.5474982949965894E-2"/>
              <c:y val="-0.1877042384815248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s-P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s>
    <c:plotArea>
      <c:layout>
        <c:manualLayout>
          <c:layoutTarget val="inner"/>
          <c:xMode val="edge"/>
          <c:yMode val="edge"/>
          <c:x val="0.19410428420856843"/>
          <c:y val="0.26311866558241931"/>
          <c:w val="0.38555933466896519"/>
          <c:h val="0.63881889763779531"/>
        </c:manualLayout>
      </c:layout>
      <c:pieChart>
        <c:varyColors val="1"/>
        <c:ser>
          <c:idx val="0"/>
          <c:order val="0"/>
          <c:tx>
            <c:strRef>
              <c:f>Gráficos!$B$11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454B-4ABE-A833-B84ADA5A3C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4B-4ABE-A833-B84ADA5A3C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44C-452D-81C5-973590E772EE}"/>
              </c:ext>
            </c:extLst>
          </c:dPt>
          <c:dLbls>
            <c:dLbl>
              <c:idx val="1"/>
              <c:layout>
                <c:manualLayout>
                  <c:x val="7.5474982949965894E-2"/>
                  <c:y val="-0.1877042384815248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4B-4ABE-A833-B84ADA5A3C3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Nova Cond" panose="020B0506020202020204" pitchFamily="34" charset="0"/>
                    <a:ea typeface="+mn-ea"/>
                    <a:cs typeface="+mn-cs"/>
                  </a:defRPr>
                </a:pPr>
                <a:endParaRPr lang="es-PE"/>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Gráficos!$A$12:$A$15</c:f>
              <c:strCache>
                <c:ptCount val="3"/>
                <c:pt idx="0">
                  <c:v>Planeamiento - Almacenes</c:v>
                </c:pt>
                <c:pt idx="1">
                  <c:v>Producción</c:v>
                </c:pt>
                <c:pt idx="2">
                  <c:v>Distribución</c:v>
                </c:pt>
              </c:strCache>
            </c:strRef>
          </c:cat>
          <c:val>
            <c:numRef>
              <c:f>Gráficos!$B$12:$B$15</c:f>
              <c:numCache>
                <c:formatCode>General</c:formatCode>
                <c:ptCount val="3"/>
                <c:pt idx="0">
                  <c:v>2</c:v>
                </c:pt>
                <c:pt idx="1">
                  <c:v>3</c:v>
                </c:pt>
                <c:pt idx="2">
                  <c:v>1</c:v>
                </c:pt>
              </c:numCache>
            </c:numRef>
          </c:val>
          <c:extLst>
            <c:ext xmlns:c16="http://schemas.microsoft.com/office/drawing/2014/chart" uri="{C3380CC4-5D6E-409C-BE32-E72D297353CC}">
              <c16:uniqueId val="{00000000-454B-4ABE-A833-B84ADA5A3C3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331725463450925"/>
          <c:y val="0.42519962712469506"/>
          <c:w val="0.36203707607415214"/>
          <c:h val="0.301159880203891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Total.xlsx]Gráficos!TablaDinámica5</c:name>
    <c:fmtId val="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r>
              <a:rPr lang="en-US" sz="1100" b="1">
                <a:latin typeface="Arial Nova" panose="020B0504020202020204" pitchFamily="34" charset="0"/>
              </a:rPr>
              <a:t>Distribución Accidentes</a:t>
            </a:r>
            <a:r>
              <a:rPr lang="en-US" sz="1100" b="1" baseline="0">
                <a:latin typeface="Arial Nova" panose="020B0504020202020204" pitchFamily="34" charset="0"/>
              </a:rPr>
              <a:t> x Planta</a:t>
            </a:r>
            <a:endParaRPr lang="en-US" sz="1100" b="1">
              <a:latin typeface="Arial Nova" panose="020B0504020202020204" pitchFamily="34" charset="0"/>
            </a:endParaRPr>
          </a:p>
        </c:rich>
      </c:tx>
      <c:layout>
        <c:manualLayout>
          <c:xMode val="edge"/>
          <c:yMode val="edge"/>
          <c:x val="0.23329230769230766"/>
          <c:y val="0.15584570915977275"/>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Gráficos!$B$18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Gráficos!$A$19:$A$23</c:f>
              <c:strCache>
                <c:ptCount val="4"/>
                <c:pt idx="0">
                  <c:v>VENTANILLA</c:v>
                </c:pt>
                <c:pt idx="1">
                  <c:v>Lurin 2_Principal</c:v>
                </c:pt>
                <c:pt idx="2">
                  <c:v>Lurin 4_Detergentes</c:v>
                </c:pt>
                <c:pt idx="3">
                  <c:v>Lurin 4_CD1/CD2</c:v>
                </c:pt>
              </c:strCache>
            </c:strRef>
          </c:cat>
          <c:val>
            <c:numRef>
              <c:f>Gráficos!$B$19:$B$23</c:f>
              <c:numCache>
                <c:formatCode>General</c:formatCode>
                <c:ptCount val="4"/>
                <c:pt idx="0">
                  <c:v>1</c:v>
                </c:pt>
                <c:pt idx="1">
                  <c:v>2</c:v>
                </c:pt>
                <c:pt idx="2">
                  <c:v>2</c:v>
                </c:pt>
                <c:pt idx="3">
                  <c:v>1</c:v>
                </c:pt>
              </c:numCache>
            </c:numRef>
          </c:val>
          <c:extLst>
            <c:ext xmlns:c16="http://schemas.microsoft.com/office/drawing/2014/chart" uri="{C3380CC4-5D6E-409C-BE32-E72D297353CC}">
              <c16:uniqueId val="{00000000-B726-47CD-904A-DD489A5E9960}"/>
            </c:ext>
          </c:extLst>
        </c:ser>
        <c:dLbls>
          <c:showLegendKey val="0"/>
          <c:showVal val="0"/>
          <c:showCatName val="0"/>
          <c:showSerName val="0"/>
          <c:showPercent val="0"/>
          <c:showBubbleSize val="0"/>
        </c:dLbls>
        <c:gapWidth val="219"/>
        <c:overlap val="-27"/>
        <c:axId val="1244744975"/>
        <c:axId val="1157979791"/>
      </c:barChart>
      <c:catAx>
        <c:axId val="12447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157979791"/>
        <c:crosses val="autoZero"/>
        <c:auto val="1"/>
        <c:lblAlgn val="ctr"/>
        <c:lblOffset val="100"/>
        <c:noMultiLvlLbl val="0"/>
      </c:catAx>
      <c:valAx>
        <c:axId val="1157979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24474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de Accidentes 2023 _ Total.xlsx]Gráficos!TablaDinámica6</c:name>
    <c:fmtId val="5"/>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r>
              <a:rPr lang="en-US" sz="1100" b="1">
                <a:latin typeface="Arial Nova" panose="020B0504020202020204" pitchFamily="34" charset="0"/>
              </a:rPr>
              <a:t>Distribución x</a:t>
            </a:r>
            <a:r>
              <a:rPr lang="en-US" sz="1100" b="1" baseline="0">
                <a:latin typeface="Arial Nova" panose="020B0504020202020204" pitchFamily="34" charset="0"/>
              </a:rPr>
              <a:t> Parte del Cuerpo Afectada / Tipo de Contacto</a:t>
            </a:r>
            <a:endParaRPr lang="en-US" sz="1100" b="1">
              <a:latin typeface="Arial Nova" panose="020B0504020202020204" pitchFamily="34" charset="0"/>
            </a:endParaRPr>
          </a:p>
        </c:rich>
      </c:tx>
      <c:layout>
        <c:manualLayout>
          <c:xMode val="edge"/>
          <c:yMode val="edge"/>
          <c:x val="0.15103291840586042"/>
          <c:y val="0.12535192183195074"/>
        </c:manualLayout>
      </c:layout>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Arial Nova" panose="020B05040202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Gráficos!$B$25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Gráficos!$A$26:$A$36</c:f>
              <c:multiLvlStrCache>
                <c:ptCount val="5"/>
                <c:lvl>
                  <c:pt idx="0">
                    <c:v>Pie</c:v>
                  </c:pt>
                  <c:pt idx="1">
                    <c:v>Rodilla</c:v>
                  </c:pt>
                  <c:pt idx="2">
                    <c:v>Mano</c:v>
                  </c:pt>
                  <c:pt idx="3">
                    <c:v>Ojos</c:v>
                  </c:pt>
                  <c:pt idx="4">
                    <c:v>Pie</c:v>
                  </c:pt>
                </c:lvl>
                <c:lvl>
                  <c:pt idx="0">
                    <c:v>Caída a diferente nivel</c:v>
                  </c:pt>
                  <c:pt idx="1">
                    <c:v>Caída a mismo nivel</c:v>
                  </c:pt>
                  <c:pt idx="2">
                    <c:v>Contacto con superficie cortante</c:v>
                  </c:pt>
                  <c:pt idx="3">
                    <c:v>Proyección de Sustancias Químicas</c:v>
                  </c:pt>
                  <c:pt idx="4">
                    <c:v>Golpeado por</c:v>
                  </c:pt>
                </c:lvl>
              </c:multiLvlStrCache>
            </c:multiLvlStrRef>
          </c:cat>
          <c:val>
            <c:numRef>
              <c:f>Gráficos!$B$26:$B$36</c:f>
              <c:numCache>
                <c:formatCode>General</c:formatCode>
                <c:ptCount val="5"/>
                <c:pt idx="0">
                  <c:v>1</c:v>
                </c:pt>
                <c:pt idx="1">
                  <c:v>1</c:v>
                </c:pt>
                <c:pt idx="2">
                  <c:v>2</c:v>
                </c:pt>
                <c:pt idx="3">
                  <c:v>1</c:v>
                </c:pt>
                <c:pt idx="4">
                  <c:v>1</c:v>
                </c:pt>
              </c:numCache>
            </c:numRef>
          </c:val>
          <c:extLst>
            <c:ext xmlns:c16="http://schemas.microsoft.com/office/drawing/2014/chart" uri="{C3380CC4-5D6E-409C-BE32-E72D297353CC}">
              <c16:uniqueId val="{00000000-A8AB-4622-BA33-A09BC8821F85}"/>
            </c:ext>
          </c:extLst>
        </c:ser>
        <c:dLbls>
          <c:showLegendKey val="0"/>
          <c:showVal val="0"/>
          <c:showCatName val="0"/>
          <c:showSerName val="0"/>
          <c:showPercent val="0"/>
          <c:showBubbleSize val="0"/>
        </c:dLbls>
        <c:gapWidth val="219"/>
        <c:overlap val="-27"/>
        <c:axId val="1057040815"/>
        <c:axId val="1322943823"/>
      </c:barChart>
      <c:catAx>
        <c:axId val="105704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Nova Cond" panose="020B0506020202020204" pitchFamily="34" charset="0"/>
                <a:ea typeface="+mn-ea"/>
                <a:cs typeface="+mn-cs"/>
              </a:defRPr>
            </a:pPr>
            <a:endParaRPr lang="es-PE"/>
          </a:p>
        </c:txPr>
        <c:crossAx val="1322943823"/>
        <c:crosses val="autoZero"/>
        <c:auto val="1"/>
        <c:lblAlgn val="ctr"/>
        <c:lblOffset val="100"/>
        <c:noMultiLvlLbl val="0"/>
      </c:catAx>
      <c:valAx>
        <c:axId val="13229438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105704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762000</xdr:colOff>
      <xdr:row>1</xdr:row>
      <xdr:rowOff>3810</xdr:rowOff>
    </xdr:from>
    <xdr:to>
      <xdr:col>5</xdr:col>
      <xdr:colOff>53340</xdr:colOff>
      <xdr:row>16</xdr:row>
      <xdr:rowOff>3810</xdr:rowOff>
    </xdr:to>
    <xdr:graphicFrame macro="">
      <xdr:nvGraphicFramePr>
        <xdr:cNvPr id="2" name="Gráfico 1">
          <a:extLst>
            <a:ext uri="{FF2B5EF4-FFF2-40B4-BE49-F238E27FC236}">
              <a16:creationId xmlns:a16="http://schemas.microsoft.com/office/drawing/2014/main" id="{C241DCE9-4A3E-49B4-BAB9-01177A15CF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830580</xdr:colOff>
      <xdr:row>1</xdr:row>
      <xdr:rowOff>140970</xdr:rowOff>
    </xdr:from>
    <xdr:to>
      <xdr:col>6</xdr:col>
      <xdr:colOff>121920</xdr:colOff>
      <xdr:row>16</xdr:row>
      <xdr:rowOff>140970</xdr:rowOff>
    </xdr:to>
    <xdr:graphicFrame macro="">
      <xdr:nvGraphicFramePr>
        <xdr:cNvPr id="2" name="Gráfico 1">
          <a:extLst>
            <a:ext uri="{FF2B5EF4-FFF2-40B4-BE49-F238E27FC236}">
              <a16:creationId xmlns:a16="http://schemas.microsoft.com/office/drawing/2014/main" id="{8B5BEF80-B5B7-4326-B6B6-01604AC646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327660</xdr:colOff>
      <xdr:row>0</xdr:row>
      <xdr:rowOff>102870</xdr:rowOff>
    </xdr:from>
    <xdr:to>
      <xdr:col>4</xdr:col>
      <xdr:colOff>1379220</xdr:colOff>
      <xdr:row>15</xdr:row>
      <xdr:rowOff>102870</xdr:rowOff>
    </xdr:to>
    <xdr:graphicFrame macro="">
      <xdr:nvGraphicFramePr>
        <xdr:cNvPr id="2" name="Gráfico 1">
          <a:extLst>
            <a:ext uri="{FF2B5EF4-FFF2-40B4-BE49-F238E27FC236}">
              <a16:creationId xmlns:a16="http://schemas.microsoft.com/office/drawing/2014/main" id="{874AF1E5-11A8-741E-7ADB-B9BCD5F4A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838200</xdr:colOff>
      <xdr:row>1</xdr:row>
      <xdr:rowOff>156210</xdr:rowOff>
    </xdr:from>
    <xdr:to>
      <xdr:col>5</xdr:col>
      <xdr:colOff>129540</xdr:colOff>
      <xdr:row>16</xdr:row>
      <xdr:rowOff>156210</xdr:rowOff>
    </xdr:to>
    <xdr:graphicFrame macro="">
      <xdr:nvGraphicFramePr>
        <xdr:cNvPr id="2" name="Gráfico 1">
          <a:extLst>
            <a:ext uri="{FF2B5EF4-FFF2-40B4-BE49-F238E27FC236}">
              <a16:creationId xmlns:a16="http://schemas.microsoft.com/office/drawing/2014/main" id="{CE8EE828-4122-4538-ADCE-66E3482AF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666750</xdr:colOff>
      <xdr:row>0</xdr:row>
      <xdr:rowOff>165100</xdr:rowOff>
    </xdr:from>
    <xdr:to>
      <xdr:col>7</xdr:col>
      <xdr:colOff>781050</xdr:colOff>
      <xdr:row>13</xdr:row>
      <xdr:rowOff>133350</xdr:rowOff>
    </xdr:to>
    <xdr:graphicFrame macro="">
      <xdr:nvGraphicFramePr>
        <xdr:cNvPr id="2" name="Gráfico 1">
          <a:extLst>
            <a:ext uri="{FF2B5EF4-FFF2-40B4-BE49-F238E27FC236}">
              <a16:creationId xmlns:a16="http://schemas.microsoft.com/office/drawing/2014/main" id="{C1771951-21C6-3AC8-2922-C34DD244D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673100</xdr:colOff>
      <xdr:row>15</xdr:row>
      <xdr:rowOff>95250</xdr:rowOff>
    </xdr:from>
    <xdr:to>
      <xdr:col>7</xdr:col>
      <xdr:colOff>762000</xdr:colOff>
      <xdr:row>29</xdr:row>
      <xdr:rowOff>0</xdr:rowOff>
    </xdr:to>
    <xdr:graphicFrame macro="">
      <xdr:nvGraphicFramePr>
        <xdr:cNvPr id="3" name="Gráfico 2">
          <a:extLst>
            <a:ext uri="{FF2B5EF4-FFF2-40B4-BE49-F238E27FC236}">
              <a16:creationId xmlns:a16="http://schemas.microsoft.com/office/drawing/2014/main" id="{44C0FE98-FC07-3203-6E0B-13DF19D7D618}"/>
            </a:ext>
            <a:ext uri="{147F2762-F138-4A5C-976F-8EAC2B608ADB}">
              <a16:predDERef xmlns:a16="http://schemas.microsoft.com/office/drawing/2014/main" pred="{C1771951-21C6-3AC8-2922-C34DD244D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622300</xdr:colOff>
      <xdr:row>1</xdr:row>
      <xdr:rowOff>44450</xdr:rowOff>
    </xdr:from>
    <xdr:to>
      <xdr:col>14</xdr:col>
      <xdr:colOff>209550</xdr:colOff>
      <xdr:row>14</xdr:row>
      <xdr:rowOff>158750</xdr:rowOff>
    </xdr:to>
    <xdr:graphicFrame macro="">
      <xdr:nvGraphicFramePr>
        <xdr:cNvPr id="4" name="Gráfico 3">
          <a:extLst>
            <a:ext uri="{FF2B5EF4-FFF2-40B4-BE49-F238E27FC236}">
              <a16:creationId xmlns:a16="http://schemas.microsoft.com/office/drawing/2014/main" id="{D8CB1516-5EBD-53AE-4309-D44BBB5739F5}"/>
            </a:ext>
            <a:ext uri="{147F2762-F138-4A5C-976F-8EAC2B608ADB}">
              <a16:predDERef xmlns:a16="http://schemas.microsoft.com/office/drawing/2014/main" pred="{44C0FE98-FC07-3203-6E0B-13DF19D7D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730250</xdr:colOff>
      <xdr:row>30</xdr:row>
      <xdr:rowOff>19050</xdr:rowOff>
    </xdr:from>
    <xdr:to>
      <xdr:col>9</xdr:col>
      <xdr:colOff>508000</xdr:colOff>
      <xdr:row>48</xdr:row>
      <xdr:rowOff>25400</xdr:rowOff>
    </xdr:to>
    <xdr:graphicFrame macro="">
      <xdr:nvGraphicFramePr>
        <xdr:cNvPr id="5" name="Gráfico 4">
          <a:extLst>
            <a:ext uri="{FF2B5EF4-FFF2-40B4-BE49-F238E27FC236}">
              <a16:creationId xmlns:a16="http://schemas.microsoft.com/office/drawing/2014/main" id="{E53B804F-A869-9444-6129-757153759F71}"/>
            </a:ext>
            <a:ext uri="{147F2762-F138-4A5C-976F-8EAC2B608ADB}">
              <a16:predDERef xmlns:a16="http://schemas.microsoft.com/office/drawing/2014/main" pred="{D8CB1516-5EBD-53AE-4309-D44BBB573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Mercedes Pretell Alvarez" refreshedDate="45306.140686226849" createdVersion="8" refreshedVersion="8" minRefreshableVersion="3" recordCount="20" xr:uid="{09903B27-AA33-49A1-99A0-48BE03532DC5}">
  <cacheSource type="worksheet">
    <worksheetSource ref="A1:AM21" sheet="Base"/>
  </cacheSource>
  <cacheFields count="39">
    <cacheField name="Item" numFmtId="0">
      <sharedItems containsString="0" containsBlank="1" containsNumber="1" containsInteger="1" minValue="1" maxValue="7"/>
    </cacheField>
    <cacheField name="N° ROM" numFmtId="0">
      <sharedItems containsBlank="1"/>
    </cacheField>
    <cacheField name="PAIS" numFmtId="0">
      <sharedItems/>
    </cacheField>
    <cacheField name="SOCIEDAD" numFmtId="0">
      <sharedItems/>
    </cacheField>
    <cacheField name="Predio" numFmtId="0">
      <sharedItems containsBlank="1"/>
    </cacheField>
    <cacheField name="Planta" numFmtId="0">
      <sharedItems containsBlank="1" count="17">
        <s v="VENTANILLA"/>
        <s v="Lurin 2_Principal"/>
        <s v="Lurin 4_Detergentes"/>
        <s v="Lurin 4_CD1/CD2"/>
        <s v="Lurín 5_FEM"/>
        <s v="CHORRILLOS"/>
        <s v="MOLINO CALLAO"/>
        <s v="COPSA"/>
        <s v="DESARROLLO"/>
        <s v="GALLETERIA"/>
        <s v="PARQUE INDUSTRIAL"/>
        <m u="1"/>
        <s v="Detergentes" u="1"/>
        <s v="Principal" u="1"/>
        <s v="CD1" u="1"/>
        <s v="Hipoclorito" u="1"/>
        <s v="CD3" u="1"/>
      </sharedItems>
    </cacheField>
    <cacheField name="Dirección" numFmtId="0">
      <sharedItems/>
    </cacheField>
    <cacheField name="Area" numFmtId="0">
      <sharedItems/>
    </cacheField>
    <cacheField name="Fecha" numFmtId="0">
      <sharedItems containsSemiMixedTypes="0" containsNonDate="0" containsDate="1" containsString="0" minDate="2023-01-03T00:00:00" maxDate="2023-09-27T00:00:00"/>
    </cacheField>
    <cacheField name="Sem" numFmtId="1">
      <sharedItems containsSemiMixedTypes="0" containsString="0" containsNumber="1" containsInteger="1" minValue="1" maxValue="39"/>
    </cacheField>
    <cacheField name="Día" numFmtId="0">
      <sharedItems containsString="0" containsBlank="1" containsNumber="1" containsInteger="1" minValue="2" maxValue="31"/>
    </cacheField>
    <cacheField name="Mes" numFmtId="0">
      <sharedItems containsString="0" containsBlank="1" containsNumber="1" containsInteger="1" minValue="1" maxValue="9"/>
    </cacheField>
    <cacheField name="Año" numFmtId="0">
      <sharedItems containsString="0" containsBlank="1" containsNumber="1" containsInteger="1" minValue="2023" maxValue="2023"/>
    </cacheField>
    <cacheField name="Hora" numFmtId="20">
      <sharedItems containsNonDate="0" containsDate="1" containsString="0" containsBlank="1" minDate="1899-12-30T01:50:00" maxDate="1899-12-30T21:40:00"/>
    </cacheField>
    <cacheField name="Turno" numFmtId="0">
      <sharedItems containsBlank="1" count="8">
        <s v="1er"/>
        <s v="2do turno"/>
        <s v="1er turno"/>
        <s v="1r turno"/>
        <s v="NOCHE"/>
        <s v="MAÑANA"/>
        <s v="TARDE"/>
        <m u="1"/>
      </sharedItems>
    </cacheField>
    <cacheField name="Tipo de Trabajador" numFmtId="0">
      <sharedItems/>
    </cacheField>
    <cacheField name="EMPRESA" numFmtId="0">
      <sharedItems/>
    </cacheField>
    <cacheField name="APELLIDO PATERNO" numFmtId="0">
      <sharedItems/>
    </cacheField>
    <cacheField name="APELLIDO MATERNO" numFmtId="0">
      <sharedItems/>
    </cacheField>
    <cacheField name="NOMBRES" numFmtId="0">
      <sharedItems/>
    </cacheField>
    <cacheField name="SEXO" numFmtId="0">
      <sharedItems/>
    </cacheField>
    <cacheField name="Edad" numFmtId="0">
      <sharedItems containsSemiMixedTypes="0" containsString="0" containsNumber="1" containsInteger="1" minValue="18" maxValue="55"/>
    </cacheField>
    <cacheField name="Puesto de Trabajo" numFmtId="0">
      <sharedItems/>
    </cacheField>
    <cacheField name="Fecha de Ingreso a Labores" numFmtId="14">
      <sharedItems containsNonDate="0" containsDate="1" containsString="0" containsBlank="1" minDate="2007-07-23T00:00:00" maxDate="2023-05-05T00:00:00"/>
    </cacheField>
    <cacheField name="DESCRIPCION DEL ACCIDENTE" numFmtId="0">
      <sharedItems longText="1"/>
    </cacheField>
    <cacheField name="Tipo de Contacto" numFmtId="0">
      <sharedItems/>
    </cacheField>
    <cacheField name="Parte del Cuerpo Afectada" numFmtId="0">
      <sharedItems containsBlank="1"/>
    </cacheField>
    <cacheField name="Parte del Cuerpo Afectada 2" numFmtId="0">
      <sharedItems/>
    </cacheField>
    <cacheField name="Actividad Realizada" numFmtId="0">
      <sharedItems containsBlank="1"/>
    </cacheField>
    <cacheField name="Proceso" numFmtId="0">
      <sharedItems/>
    </cacheField>
    <cacheField name="DIAGNOSTICO" numFmtId="0">
      <sharedItems/>
    </cacheField>
    <cacheField name="Lesión" numFmtId="0">
      <sharedItems/>
    </cacheField>
    <cacheField name="Dias de D.M." numFmtId="0">
      <sharedItems containsSemiMixedTypes="0" containsString="0" containsNumber="1" containsInteger="1" minValue="1" maxValue="60"/>
    </cacheField>
    <cacheField name="Cargo ANSI " numFmtId="0">
      <sharedItems containsString="0" containsBlank="1" containsNumber="1" containsInteger="1" minValue="0" maxValue="845"/>
    </cacheField>
    <cacheField name="Dias DM Total Indicador" numFmtId="0">
      <sharedItems containsString="0" containsBlank="1" containsNumber="1" containsInteger="1" minValue="2" maxValue="904"/>
    </cacheField>
    <cacheField name="Situación Actual" numFmtId="0">
      <sharedItems containsBlank="1"/>
    </cacheField>
    <cacheField name="Tiempo experiencia_x000a_(meses)" numFmtId="0">
      <sharedItems containsBlank="1" containsMixedTypes="1" containsNumber="1" containsInteger="1" minValue="8" maxValue="183"/>
    </cacheField>
    <cacheField name="Puesto" numFmtId="0">
      <sharedItems containsBlank="1"/>
    </cacheField>
    <cacheField name="Antigüedad"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Mercedes Pretell Alvarez" refreshedDate="45306.14068773148" createdVersion="8" refreshedVersion="8" minRefreshableVersion="3" recordCount="44" xr:uid="{6686A57D-D5AA-41BE-9ED7-8CC81FE69AC3}">
  <cacheSource type="worksheet">
    <worksheetSource ref="A1:AM45" sheet="Base"/>
  </cacheSource>
  <cacheFields count="39">
    <cacheField name="Item" numFmtId="0">
      <sharedItems containsString="0" containsBlank="1" containsNumber="1" containsInteger="1" minValue="1" maxValue="7"/>
    </cacheField>
    <cacheField name="N° ROM" numFmtId="0">
      <sharedItems containsBlank="1"/>
    </cacheField>
    <cacheField name="PAIS" numFmtId="0">
      <sharedItems/>
    </cacheField>
    <cacheField name="SOCIEDAD" numFmtId="0">
      <sharedItems/>
    </cacheField>
    <cacheField name="Predio" numFmtId="0">
      <sharedItems containsBlank="1"/>
    </cacheField>
    <cacheField name="Planta" numFmtId="0">
      <sharedItems/>
    </cacheField>
    <cacheField name="Dirección" numFmtId="0">
      <sharedItems containsBlank="1"/>
    </cacheField>
    <cacheField name="Area" numFmtId="0">
      <sharedItems/>
    </cacheField>
    <cacheField name="Fecha" numFmtId="0">
      <sharedItems containsSemiMixedTypes="0" containsNonDate="0" containsDate="1" containsString="0" minDate="2023-01-03T00:00:00" maxDate="2023-09-27T00:00:00"/>
    </cacheField>
    <cacheField name="Sem" numFmtId="1">
      <sharedItems containsSemiMixedTypes="0" containsString="0" containsNumber="1" containsInteger="1" minValue="1" maxValue="39"/>
    </cacheField>
    <cacheField name="Día" numFmtId="0">
      <sharedItems containsString="0" containsBlank="1" containsNumber="1" containsInteger="1" minValue="2" maxValue="31"/>
    </cacheField>
    <cacheField name="Mes" numFmtId="0">
      <sharedItems containsString="0" containsBlank="1" containsNumber="1" containsInteger="1" minValue="1" maxValue="9"/>
    </cacheField>
    <cacheField name="Año" numFmtId="0">
      <sharedItems containsString="0" containsBlank="1" containsNumber="1" containsInteger="1" minValue="2023" maxValue="2023"/>
    </cacheField>
    <cacheField name="Hora" numFmtId="20">
      <sharedItems containsNonDate="0" containsDate="1" containsString="0" containsBlank="1" minDate="1899-12-30T01:50:00" maxDate="1899-12-30T21:40:00"/>
    </cacheField>
    <cacheField name="Turno" numFmtId="0">
      <sharedItems/>
    </cacheField>
    <cacheField name="Tipo de Trabajador" numFmtId="0">
      <sharedItems containsBlank="1"/>
    </cacheField>
    <cacheField name="EMPRESA" numFmtId="0">
      <sharedItems containsBlank="1" count="14">
        <s v="INTRADEVCO INDUSTRIAL"/>
        <s v="CONSULTING"/>
        <s v="CEVA LOGISTICS"/>
        <s v="ALICORP"/>
        <s v="FINO"/>
        <s v="INBALNOR"/>
        <s v="IOLSA"/>
        <s v="LIMTEK"/>
        <s v="APUDEX"/>
        <s v="MASTERBREAD"/>
        <s v="VITAPRO"/>
        <s v="ALTELIZA"/>
        <s v="SALMOFOOD"/>
        <m u="1"/>
      </sharedItems>
    </cacheField>
    <cacheField name="APELLIDO PATERNO" numFmtId="0">
      <sharedItems/>
    </cacheField>
    <cacheField name="APELLIDO MATERNO" numFmtId="0">
      <sharedItems containsBlank="1"/>
    </cacheField>
    <cacheField name="NOMBRES" numFmtId="0">
      <sharedItems/>
    </cacheField>
    <cacheField name="SEXO" numFmtId="0">
      <sharedItems/>
    </cacheField>
    <cacheField name="Edad" numFmtId="0">
      <sharedItems containsString="0" containsBlank="1" containsNumber="1" containsInteger="1" minValue="18" maxValue="60"/>
    </cacheField>
    <cacheField name="Puesto de Trabajo" numFmtId="0">
      <sharedItems/>
    </cacheField>
    <cacheField name="Fecha de Ingreso a Labores" numFmtId="14">
      <sharedItems containsNonDate="0" containsDate="1" containsString="0" containsBlank="1" minDate="2007-07-23T00:00:00" maxDate="2023-05-05T00:00:00"/>
    </cacheField>
    <cacheField name="DESCRIPCION DEL ACCIDENTE" numFmtId="0">
      <sharedItems longText="1"/>
    </cacheField>
    <cacheField name="Tipo de Contacto" numFmtId="0">
      <sharedItems/>
    </cacheField>
    <cacheField name="Parte del Cuerpo Afectada" numFmtId="0">
      <sharedItems containsBlank="1"/>
    </cacheField>
    <cacheField name="Parte del Cuerpo Afectada 2" numFmtId="0">
      <sharedItems/>
    </cacheField>
    <cacheField name="Actividad Realizada" numFmtId="0">
      <sharedItems containsBlank="1"/>
    </cacheField>
    <cacheField name="Proceso" numFmtId="0">
      <sharedItems/>
    </cacheField>
    <cacheField name="DIAGNOSTICO" numFmtId="0">
      <sharedItems/>
    </cacheField>
    <cacheField name="Lesión" numFmtId="0">
      <sharedItems/>
    </cacheField>
    <cacheField name="Dias de D.M." numFmtId="0">
      <sharedItems containsSemiMixedTypes="0" containsString="0" containsNumber="1" containsInteger="1" minValue="1" maxValue="60"/>
    </cacheField>
    <cacheField name="Cargo ANSI " numFmtId="0">
      <sharedItems containsString="0" containsBlank="1" containsNumber="1" containsInteger="1" minValue="0" maxValue="845"/>
    </cacheField>
    <cacheField name="Dias DM Total Indicador" numFmtId="0">
      <sharedItems containsString="0" containsBlank="1" containsNumber="1" containsInteger="1" minValue="2" maxValue="904"/>
    </cacheField>
    <cacheField name="Situación Actual" numFmtId="0">
      <sharedItems containsBlank="1"/>
    </cacheField>
    <cacheField name="Tiempo experiencia_x000a_(meses)" numFmtId="0">
      <sharedItems containsBlank="1" containsMixedTypes="1" containsNumber="1" containsInteger="1" minValue="8" maxValue="183"/>
    </cacheField>
    <cacheField name="Puesto" numFmtId="0">
      <sharedItems containsBlank="1"/>
    </cacheField>
    <cacheField name="Antigüedad"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Mercedes Pretell Alvarez" refreshedDate="45306.140687962965" createdVersion="8" refreshedVersion="8" minRefreshableVersion="3" recordCount="6" xr:uid="{1951F88A-8015-41BA-83AA-20C8360BAF5E}">
  <cacheSource type="worksheet">
    <worksheetSource ref="A1:AM7" sheet="Base"/>
  </cacheSource>
  <cacheFields count="39">
    <cacheField name="Item" numFmtId="0">
      <sharedItems containsSemiMixedTypes="0" containsString="0" containsNumber="1" containsInteger="1" minValue="1" maxValue="6"/>
    </cacheField>
    <cacheField name="N° ROM" numFmtId="0">
      <sharedItems containsBlank="1"/>
    </cacheField>
    <cacheField name="PAIS" numFmtId="0">
      <sharedItems/>
    </cacheField>
    <cacheField name="SOCIEDAD" numFmtId="0">
      <sharedItems/>
    </cacheField>
    <cacheField name="Predio" numFmtId="0">
      <sharedItems/>
    </cacheField>
    <cacheField name="Planta" numFmtId="0">
      <sharedItems count="7">
        <s v="VENTANILLA"/>
        <s v="Lurin 2_Principal"/>
        <s v="Lurin 4_Detergentes"/>
        <s v="Lurin 4_CD1/CD2"/>
        <s v="CD1" u="1"/>
        <s v="Detergentes" u="1"/>
        <s v="PRINCIPAL" u="1"/>
      </sharedItems>
    </cacheField>
    <cacheField name="Dirección" numFmtId="0">
      <sharedItems count="3">
        <s v="Planeamiento - Almacenes"/>
        <s v="Producción"/>
        <s v="Distribución"/>
      </sharedItems>
    </cacheField>
    <cacheField name="Area" numFmtId="0">
      <sharedItems/>
    </cacheField>
    <cacheField name="Fecha" numFmtId="0">
      <sharedItems containsSemiMixedTypes="0" containsNonDate="0" containsDate="1" containsString="0" minDate="2023-01-16T00:00:00" maxDate="2023-05-10T00:00:00"/>
    </cacheField>
    <cacheField name="Sem" numFmtId="1">
      <sharedItems containsSemiMixedTypes="0" containsString="0" containsNumber="1" containsInteger="1" minValue="3" maxValue="20"/>
    </cacheField>
    <cacheField name="Día" numFmtId="0">
      <sharedItems containsSemiMixedTypes="0" containsString="0" containsNumber="1" containsInteger="1" minValue="7" maxValue="31"/>
    </cacheField>
    <cacheField name="Mes" numFmtId="0">
      <sharedItems containsSemiMixedTypes="0" containsString="0" containsNumber="1" containsInteger="1" minValue="1" maxValue="5"/>
    </cacheField>
    <cacheField name="Año" numFmtId="0">
      <sharedItems containsSemiMixedTypes="0" containsString="0" containsNumber="1" containsInteger="1" minValue="2023" maxValue="2023"/>
    </cacheField>
    <cacheField name="Hora" numFmtId="20">
      <sharedItems containsSemiMixedTypes="0" containsNonDate="0" containsDate="1" containsString="0" minDate="1899-12-30T01:50:00" maxDate="1899-12-30T18:00:00"/>
    </cacheField>
    <cacheField name="Turno" numFmtId="0">
      <sharedItems/>
    </cacheField>
    <cacheField name="Tipo de Trabajador" numFmtId="0">
      <sharedItems/>
    </cacheField>
    <cacheField name="EMPRESA" numFmtId="0">
      <sharedItems/>
    </cacheField>
    <cacheField name="APELLIDO PATERNO" numFmtId="0">
      <sharedItems/>
    </cacheField>
    <cacheField name="APELLIDO MATERNO" numFmtId="0">
      <sharedItems/>
    </cacheField>
    <cacheField name="NOMBRES" numFmtId="0">
      <sharedItems/>
    </cacheField>
    <cacheField name="SEXO" numFmtId="0">
      <sharedItems/>
    </cacheField>
    <cacheField name="Edad" numFmtId="0">
      <sharedItems containsSemiMixedTypes="0" containsString="0" containsNumber="1" containsInteger="1" minValue="23" maxValue="55"/>
    </cacheField>
    <cacheField name="Puesto de Trabajo" numFmtId="0">
      <sharedItems/>
    </cacheField>
    <cacheField name="Fecha de Ingreso a Labores" numFmtId="14">
      <sharedItems containsNonDate="0" containsDate="1" containsString="0" containsBlank="1" minDate="2007-10-01T00:00:00" maxDate="2021-12-16T00:00:00"/>
    </cacheField>
    <cacheField name="DESCRIPCION DEL ACCIDENTE" numFmtId="0">
      <sharedItems longText="1"/>
    </cacheField>
    <cacheField name="Tipo de Contacto" numFmtId="0">
      <sharedItems count="5">
        <s v="Proyección de Sustancias Químicas"/>
        <s v="Contacto con superficie cortante"/>
        <s v="Caída a diferente nivel"/>
        <s v="Caída a mismo nivel"/>
        <s v="Golpeado por"/>
      </sharedItems>
    </cacheField>
    <cacheField name="Parte del Cuerpo Afectada" numFmtId="0">
      <sharedItems count="4">
        <s v="Ojos"/>
        <s v="Mano"/>
        <s v="Pie"/>
        <s v="Rodilla"/>
      </sharedItems>
    </cacheField>
    <cacheField name="Parte del Cuerpo Afectada 2" numFmtId="0">
      <sharedItems/>
    </cacheField>
    <cacheField name="Actividad Realizada" numFmtId="0">
      <sharedItems/>
    </cacheField>
    <cacheField name="Proceso" numFmtId="0">
      <sharedItems/>
    </cacheField>
    <cacheField name="DIAGNOSTICO" numFmtId="0">
      <sharedItems/>
    </cacheField>
    <cacheField name="Lesión" numFmtId="0">
      <sharedItems/>
    </cacheField>
    <cacheField name="Dias de D.M." numFmtId="0">
      <sharedItems containsSemiMixedTypes="0" containsString="0" containsNumber="1" containsInteger="1" minValue="2" maxValue="14"/>
    </cacheField>
    <cacheField name="Cargo ANSI " numFmtId="0">
      <sharedItems containsSemiMixedTypes="0" containsString="0" containsNumber="1" containsInteger="1" minValue="0" maxValue="0"/>
    </cacheField>
    <cacheField name="Dias DM Total Indicador" numFmtId="0">
      <sharedItems containsSemiMixedTypes="0" containsString="0" containsNumber="1" containsInteger="1" minValue="2" maxValue="14"/>
    </cacheField>
    <cacheField name="Situación Actual" numFmtId="0">
      <sharedItems/>
    </cacheField>
    <cacheField name="Tiempo experiencia_x000a_(meses)" numFmtId="0">
      <sharedItems containsSemiMixedTypes="0" containsString="0" containsNumber="1" containsInteger="1" minValue="12" maxValue="183"/>
    </cacheField>
    <cacheField name="Puesto" numFmtId="0">
      <sharedItems/>
    </cacheField>
    <cacheField name="Antigüedad"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fia Mercedes Pretell Alvarez" refreshedDate="45306.151219328705" createdVersion="8" refreshedVersion="8" minRefreshableVersion="3" recordCount="307" xr:uid="{5A359068-70B6-457F-81A7-67E2FFCD03A5}">
  <cacheSource type="worksheet">
    <worksheetSource name="Base_Accidentes_2023" sheet="Hoja1"/>
  </cacheSource>
  <cacheFields count="41">
    <cacheField name="Item" numFmtId="0">
      <sharedItems containsString="0" containsBlank="1" containsNumber="1" containsInteger="1" minValue="1" maxValue="7"/>
    </cacheField>
    <cacheField name="N° ROM" numFmtId="0">
      <sharedItems containsBlank="1"/>
    </cacheField>
    <cacheField name="PAIS" numFmtId="0">
      <sharedItems containsBlank="1" count="6">
        <s v="PERU"/>
        <s v="BOLIVIA"/>
        <s v="ECUADOR"/>
        <s v="CHILE"/>
        <s v="HONDURAS"/>
        <m/>
      </sharedItems>
    </cacheField>
    <cacheField name="SOCIEDAD" numFmtId="0">
      <sharedItems containsBlank="1"/>
    </cacheField>
    <cacheField name="Predio" numFmtId="0">
      <sharedItems containsBlank="1"/>
    </cacheField>
    <cacheField name="Planta" numFmtId="0">
      <sharedItems containsBlank="1"/>
    </cacheField>
    <cacheField name="Dirección" numFmtId="0">
      <sharedItems containsBlank="1" count="13">
        <s v="Planeamiento - Almacenes"/>
        <s v="Producción"/>
        <s v="Distribución"/>
        <s v="Mantenimiento"/>
        <s v="DESARROLLO TECNOLÓGICO"/>
        <s v="Seguridad Industrial"/>
        <s v="Administración"/>
        <m/>
        <s v="Otros"/>
        <s v="Relaciones Laborales"/>
        <s v="RRHH"/>
        <s v="Proyectos"/>
        <s v="ADIMNISTRACIÓN" u="1"/>
      </sharedItems>
    </cacheField>
    <cacheField name="Area" numFmtId="0">
      <sharedItems containsBlank="1"/>
    </cacheField>
    <cacheField name="Fecha" numFmtId="0">
      <sharedItems containsDate="1" containsString="0" containsBlank="1" containsMixedTypes="1" minDate="2023-01-03T00:00:00" maxDate="2023-12-23T00:00:00"/>
    </cacheField>
    <cacheField name="Sem" numFmtId="0">
      <sharedItems containsString="0" containsBlank="1" containsNumber="1" containsInteger="1" minValue="1" maxValue="52"/>
    </cacheField>
    <cacheField name="Día" numFmtId="0">
      <sharedItems containsString="0" containsBlank="1" containsNumber="1" containsInteger="1" minValue="2" maxValue="31"/>
    </cacheField>
    <cacheField name="Mes" numFmtId="0">
      <sharedItems containsString="0" containsBlank="1" containsNumber="1" containsInteger="1" minValue="1" maxValue="12" count="13">
        <n v="1"/>
        <n v="2"/>
        <n v="5"/>
        <n v="7"/>
        <n v="8"/>
        <n v="9"/>
        <m/>
        <n v="11"/>
        <n v="12"/>
        <n v="10"/>
        <n v="6" u="1"/>
        <n v="3" u="1"/>
        <n v="4" u="1"/>
      </sharedItems>
    </cacheField>
    <cacheField name="Año" numFmtId="0">
      <sharedItems containsString="0" containsBlank="1" containsNumber="1" containsInteger="1" minValue="2023" maxValue="2023"/>
    </cacheField>
    <cacheField name="Hora" numFmtId="0">
      <sharedItems containsNonDate="0" containsDate="1" containsString="0" containsBlank="1" minDate="1899-12-30T00:20:00" maxDate="1899-12-30T21:40:00"/>
    </cacheField>
    <cacheField name="Turno" numFmtId="0">
      <sharedItems containsBlank="1"/>
    </cacheField>
    <cacheField name="Tipo de Trabajador" numFmtId="0">
      <sharedItems containsBlank="1" count="12">
        <s v="Propio"/>
        <s v="Service"/>
        <s v="Tercero - CEVA"/>
        <s v="Tercero"/>
        <s v="Tercero - Limpieza"/>
        <s v="APUDEX"/>
        <s v="Estibador"/>
        <s v="Transportista"/>
        <s v="In House - SMI"/>
        <s v="Tercero - Comedor"/>
        <s v="Tercero - Vigilancia"/>
        <m/>
      </sharedItems>
    </cacheField>
    <cacheField name="EMPRESA" numFmtId="0">
      <sharedItems containsBlank="1"/>
    </cacheField>
    <cacheField name="APELLIDO PATERNO" numFmtId="0">
      <sharedItems containsBlank="1"/>
    </cacheField>
    <cacheField name="APELLIDO MATERNO" numFmtId="0">
      <sharedItems containsBlank="1"/>
    </cacheField>
    <cacheField name="NOMBRES" numFmtId="0">
      <sharedItems containsBlank="1"/>
    </cacheField>
    <cacheField name="SEXO" numFmtId="0">
      <sharedItems containsBlank="1"/>
    </cacheField>
    <cacheField name="Edad" numFmtId="0">
      <sharedItems containsString="0" containsBlank="1" containsNumber="1" containsInteger="1" minValue="18" maxValue="60"/>
    </cacheField>
    <cacheField name="Puesto de Trabajo" numFmtId="0">
      <sharedItems containsBlank="1"/>
    </cacheField>
    <cacheField name="Fecha de Ingreso a Labores" numFmtId="0">
      <sharedItems containsNonDate="0" containsDate="1" containsString="0" containsBlank="1" minDate="2007-07-23T00:00:00" maxDate="2023-05-05T00:00:00"/>
    </cacheField>
    <cacheField name="DESCRIPCION DEL ACCIDENTE" numFmtId="0">
      <sharedItems containsBlank="1" longText="1"/>
    </cacheField>
    <cacheField name="Tipo de Contacto" numFmtId="0">
      <sharedItems containsBlank="1"/>
    </cacheField>
    <cacheField name="Parte del Cuerpo Afectada" numFmtId="0">
      <sharedItems containsBlank="1"/>
    </cacheField>
    <cacheField name="Parte del Cuerpo Afectada 2" numFmtId="0">
      <sharedItems containsBlank="1" count="12">
        <s v="OJOS"/>
        <s v="MANO"/>
        <s v="PIE"/>
        <s v="RODILLA"/>
        <s v="NARIZ"/>
        <s v="TOBILLO"/>
        <s v="BRAZO"/>
        <s v="CABEZA"/>
        <s v="PIERNA"/>
        <s v="CUERPO"/>
        <m/>
        <s v="Pie derecho" u="1"/>
      </sharedItems>
    </cacheField>
    <cacheField name="Actividad Realizada" numFmtId="0">
      <sharedItems containsBlank="1"/>
    </cacheField>
    <cacheField name="Proceso" numFmtId="0">
      <sharedItems containsBlank="1"/>
    </cacheField>
    <cacheField name="DIAGNOSTICO" numFmtId="0">
      <sharedItems containsBlank="1"/>
    </cacheField>
    <cacheField name="Lesión" numFmtId="0">
      <sharedItems containsBlank="1" count="30">
        <s v="Queratoconjuntivitis"/>
        <s v="Corte"/>
        <s v="Esguince"/>
        <s v="Herida"/>
        <s v="Contusión"/>
        <s v="Amputación"/>
        <s v="Fractura"/>
        <s v="Quemadura"/>
        <s v="Desgarro Muscular"/>
        <s v="Descarga Eléctrica"/>
        <s v="Dermatitis"/>
        <s v="Cuerpo Extraño en Ojos"/>
        <m/>
        <s v="Descarga" u="1"/>
        <s v="Golpe" u="1"/>
        <s v="Inflamación" u="1"/>
        <s v="Hemorragia" u="1"/>
        <s v="Luxación" u="1"/>
        <s v="Traumatismo" u="1"/>
        <s v="Dolor" u="1"/>
        <s v="Contusiones" u="1"/>
        <s v="Atrapamiento" u="1"/>
        <s v="Hematoma" u="1"/>
        <s v="Corrosión" u="1"/>
        <s v="Contusion" u="1"/>
        <s v="Atricción" u="1"/>
        <s v="Queroconjuntivis" u="1"/>
        <s v="Inflamación De La Cornea" u="1"/>
        <s v="Lesión" u="1"/>
        <s v="Corrosión de la Cornea" u="1"/>
      </sharedItems>
    </cacheField>
    <cacheField name="Dias de D.M." numFmtId="0">
      <sharedItems containsBlank="1" containsMixedTypes="1" containsNumber="1" containsInteger="1" minValue="1" maxValue="60"/>
    </cacheField>
    <cacheField name="Cargo ANSI " numFmtId="0">
      <sharedItems containsString="0" containsBlank="1" containsNumber="1" containsInteger="1" minValue="0" maxValue="845"/>
    </cacheField>
    <cacheField name="Dias DM Total Indicador" numFmtId="0">
      <sharedItems containsBlank="1" containsMixedTypes="1" containsNumber="1" containsInteger="1" minValue="1" maxValue="904"/>
    </cacheField>
    <cacheField name="Situación Actual" numFmtId="0">
      <sharedItems containsBlank="1"/>
    </cacheField>
    <cacheField name="Tiempo experiencia_x000a_(meses)" numFmtId="0">
      <sharedItems containsBlank="1" containsMixedTypes="1" containsNumber="1" containsInteger="1" minValue="8" maxValue="183"/>
    </cacheField>
    <cacheField name="Puesto" numFmtId="0">
      <sharedItems containsBlank="1"/>
    </cacheField>
    <cacheField name="Antigüedad" numFmtId="0">
      <sharedItems containsBlank="1"/>
    </cacheField>
    <cacheField name="FUENTE DE PELIGRO" numFmtId="0">
      <sharedItems containsBlank="1"/>
    </cacheField>
    <cacheField name="TIPO DE CONTRATO"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s v="IVE21866"/>
    <s v="PERU"/>
    <s v="INTRADEVCO INDUSTRIAL SA"/>
    <s v="VENTANILLA"/>
    <x v="0"/>
    <s v="Planeamiento - Almacenes"/>
    <s v="Almacen EEII"/>
    <d v="2023-01-16T00:00:00"/>
    <n v="3"/>
    <n v="16"/>
    <n v="1"/>
    <n v="2023"/>
    <d v="1899-12-30T11:00:00"/>
    <x v="0"/>
    <s v="Propio"/>
    <s v="INTRADEVCO INDUSTRIAL"/>
    <s v="BARBARAN"/>
    <s v=" CHIPANA"/>
    <s v=" JOSE ALEJANDRO"/>
    <s v="M"/>
    <n v="55"/>
    <s v="OPERARIO DE ALMACEN"/>
    <d v="2007-10-01T00:00:00"/>
    <s v="El trabajador del área de Almacén Jose Barbaran se encontraba cerca al área de elaboración de detergentes. Instantes antes del evento, se disponía a elevar un balde con ácido sulfónico (HLAS) hacia el mezanine de fabricación, al realizar esta acción, el contenido del balde se derrama y cae sobre su cabeza y rostro._x000a_Inmediatamente se le brinda los primeros auxilios y posteriormente se le traslada a la clínica San Gabriel para recibir atención especializada, donde le diagnosticaron Queratoconjuntivitis. "/>
    <s v="Proyección de Sustancias Químicas"/>
    <s v="Ojos"/>
    <s v="OJOS"/>
    <s v="Manipulacion de balde con HLAS"/>
    <s v="Apoyo en actividades"/>
    <s v="QUERATOCONJUNTIVITIS"/>
    <s v="Queratoconjuntivitis"/>
    <n v="2"/>
    <n v="0"/>
    <n v="2"/>
    <s v="Laborando"/>
    <n v="183"/>
    <s v="Puesto Regular"/>
    <s v="&gt; 1 año"/>
  </r>
  <r>
    <n v="2"/>
    <s v="ILU21875"/>
    <s v="PERU"/>
    <s v="INTRADEVCO INDUSTRIAL SA"/>
    <s v="LURIN"/>
    <x v="1"/>
    <s v="Producción"/>
    <s v="Aerosoles"/>
    <d v="2023-01-27T00:00:00"/>
    <n v="4"/>
    <n v="27"/>
    <n v="1"/>
    <n v="2023"/>
    <d v="1899-12-30T01:50:00"/>
    <x v="1"/>
    <s v="Service"/>
    <s v="CONSULTING"/>
    <s v="LEON"/>
    <s v="RODRIGO"/>
    <s v="JORGE"/>
    <s v="M"/>
    <n v="23"/>
    <s v="OPERARIO DE PRODUCCIÓN"/>
    <d v="2020-10-01T00:00:00"/>
    <s v="El colaborador Jorge León Rodrigo realizaba su actividades cuando una tapa ingresa incorrectamente en la máquina tapadora y cae en el sistema de transferencia causando el  atoro de una lata dejando superficies punzocortantes expuestas. El colaborador intentó retirar el envase atorado ejerciendo fuerza y sufre un corte en el dedo índice de la mano derecha, al percatarse del corte y del sangrado da aviso al encargado para luego dirigirse al tópico para ser atendido.  "/>
    <s v="Contacto con superficie cortante"/>
    <s v="Mano"/>
    <s v="MANO"/>
    <s v="Retiro de envase roto atorado en máquina tapadora"/>
    <s v="Desatoro"/>
    <s v="Herida en dedo de la mano"/>
    <s v="Corte"/>
    <n v="14"/>
    <n v="0"/>
    <n v="14"/>
    <s v="Reincorporado"/>
    <n v="28"/>
    <s v="Puesto Regular"/>
    <s v="&gt; 1 año"/>
  </r>
  <r>
    <n v="3"/>
    <s v="ILU21870"/>
    <s v="PERU"/>
    <s v="INTRADEVCO INDUSTRIAL SA"/>
    <s v="LURIN"/>
    <x v="1"/>
    <s v="Producción"/>
    <s v="Limpiatodo"/>
    <d v="2023-01-31T00:00:00"/>
    <n v="5"/>
    <n v="31"/>
    <n v="1"/>
    <n v="2023"/>
    <d v="1899-12-30T18:00:00"/>
    <x v="2"/>
    <s v="Propio"/>
    <s v="INTRADEVCO INDUSTRIAL"/>
    <s v="Zapata"/>
    <s v="Huertas"/>
    <s v="Jose"/>
    <s v="M"/>
    <n v="42"/>
    <s v="Maquinista"/>
    <d v="2012-01-01T00:00:00"/>
    <s v="Alrededor de las 6:00 pm el trabajador se encontraba acomodando una paleta que había colocado sobre una ruma de paletas vacías. Durante esta actividad el trabajador jala la paleta usando guantes de nitrilo y producto del esfuerzo, uno de los bordes de los listones de la paleta abre un corte que el trabajador tenía en el dedo índice de la mano derecha generando un mayor daño a la lesión._x000a__x000a_Este corte no fue reportado y se habría producido horas antes manipulando zunchos durante el abastecimiento de cajas a la línea sin usar guantes de seguridad."/>
    <s v="Contacto con superficie cortante"/>
    <s v="Mano"/>
    <s v="MANO"/>
    <s v="Alimentación de insumos en línea de producción"/>
    <s v="Operación regular"/>
    <s v="Herida de dedo de la mano sin daño en las uñas"/>
    <s v="Corte"/>
    <n v="8"/>
    <n v="0"/>
    <n v="8"/>
    <s v="Reincorporado"/>
    <n v="132"/>
    <s v="Puesto Regular"/>
    <s v="&gt; 1 año"/>
  </r>
  <r>
    <n v="4"/>
    <m/>
    <s v="PERU"/>
    <s v="INTRADEVCO INDUSTRIAL SA"/>
    <s v="LURIN"/>
    <x v="2"/>
    <s v="Planeamiento - Almacenes"/>
    <s v="Exportaciones"/>
    <d v="2023-01-30T00:00:00"/>
    <n v="5"/>
    <n v="30"/>
    <n v="1"/>
    <n v="2023"/>
    <d v="1899-12-30T07:00:00"/>
    <x v="2"/>
    <s v="Propio"/>
    <s v="INTRADEVCO INDUSTRIAL"/>
    <s v="Casimiro"/>
    <s v="Villacres"/>
    <s v="Taiwan"/>
    <s v="F"/>
    <n v="32"/>
    <s v="Asistente de planeamiento industrial"/>
    <d v="2021-12-15T00:00:00"/>
    <s v="La trabajadora luego de marcar asistencia en planta detergentes, subió a la movilidad para dirigirse a su lugar de trabajo en planta principal y al bajar de la movilidad sufrió una caída que le ocsionó un esguince y tuvo que ser trasladada a la clínica."/>
    <s v="Caída a diferente nivel"/>
    <s v="Pie"/>
    <s v="PIE"/>
    <s v="Traslado a su lugar de trabajo"/>
    <s v="Operación regular"/>
    <s v="Esguince y torcedura de tobillo"/>
    <s v="Esguince"/>
    <n v="14"/>
    <n v="0"/>
    <n v="14"/>
    <s v="Laborando"/>
    <n v="12"/>
    <s v="Puesto Regular"/>
    <s v="&gt; 1 año"/>
  </r>
  <r>
    <n v="5"/>
    <s v="ILU21909"/>
    <s v="PERU"/>
    <s v="INTRADEVCO INDUSTRIAL SA"/>
    <s v="LURIN"/>
    <x v="2"/>
    <s v="Producción"/>
    <s v="Lavavajillas"/>
    <d v="2023-02-07T00:00:00"/>
    <n v="6"/>
    <n v="7"/>
    <n v="2"/>
    <n v="2023"/>
    <d v="1899-12-30T17:44:00"/>
    <x v="2"/>
    <s v="Propio"/>
    <s v="INTRADEVCO INDUSTRIAL"/>
    <s v="Choquehuanca"/>
    <s v="Cari"/>
    <s v="Hermelinda"/>
    <s v="F"/>
    <n v="49"/>
    <s v="OPERARIO DE PRODUCCIÓN"/>
    <d v="2016-04-11T00:00:00"/>
    <s v="La colaboradora retornaba de los servicios higiénicos, caminaba sobre las rejillas que cubren la canaleta y tropezó sufriendo un corte en la rodilla derecha, fue auxiliada por su compañero. En el tópico recibió limpieza y curación de la herida y posteriormente fue trasladada hacia la clínica San Pablo."/>
    <s v="Caída a mismo nivel"/>
    <s v="Rodilla"/>
    <s v="RODILLA"/>
    <s v="Retorno de los sshh"/>
    <s v="Operación regular"/>
    <s v="Herida en rodilla derecha"/>
    <s v="Herida"/>
    <n v="7"/>
    <n v="0"/>
    <n v="7"/>
    <s v="Laborando"/>
    <n v="72"/>
    <s v="Puesto Regular"/>
    <s v="&gt; 1 año"/>
  </r>
  <r>
    <n v="6"/>
    <s v="ITD22983"/>
    <s v="PERU"/>
    <s v="INTRADEVCO INDUSTRIAL SA"/>
    <s v="LURIN"/>
    <x v="3"/>
    <s v="Distribución"/>
    <s v="APT Detergentes"/>
    <d v="2023-05-09T00:00:00"/>
    <n v="20"/>
    <n v="9"/>
    <n v="5"/>
    <n v="2023"/>
    <d v="1899-12-30T07:30:00"/>
    <x v="2"/>
    <s v="Tercero"/>
    <s v="CEVA LOGISTICS"/>
    <s v="Fernández"/>
    <s v="Borja"/>
    <s v="Yessy Judith"/>
    <s v="F"/>
    <n v="27"/>
    <s v="Auxiliar de almacén"/>
    <m/>
    <s v="Siendo las 7:30 horas, la colaboradora Yessy Judith Fernandez Borja, acarreaba mercadería desde la zona de producción hacia los canales de planta interna en CD2 operando una transpaleta doble. La colaboradora, para poder retroceder y dejar la mercadería en canal, se posiciona en la plataforma de trabajo del transpaleta con el pie izquierdo cerca al borde al borde del equipo y el otro sobre la plataforma. En el momento que gira, el pie izquierdo resbala del equipo y queda atrapado entre la base del equipo y el piso._x000a__x000a_Posterior al evento, la colaboradora fue atendida en el tópico y trasladad a la clínica para que se realicen los exámenes correspondientes."/>
    <s v="Golpeado por"/>
    <s v="Pie"/>
    <s v="PIE"/>
    <s v="Operación de transpaleta doble"/>
    <s v="Operación regular"/>
    <s v="Contusión de dedos del pie"/>
    <s v="Contusión"/>
    <n v="8"/>
    <n v="0"/>
    <n v="8"/>
    <s v="Laborando"/>
    <n v="13"/>
    <s v="Puesto Regular"/>
    <s v="&gt; 6 meses"/>
  </r>
  <r>
    <n v="7"/>
    <s v="ILU22718 "/>
    <s v="PERU"/>
    <s v="INTRADEVCO INDUSTRIAL SA"/>
    <s v="LURIN"/>
    <x v="2"/>
    <s v="Producción"/>
    <s v="Empacado"/>
    <d v="2023-07-06T00:00:00"/>
    <n v="27"/>
    <n v="6"/>
    <n v="7"/>
    <n v="2023"/>
    <d v="1899-12-30T21:40:00"/>
    <x v="1"/>
    <s v="Propio"/>
    <s v="INTRADEVCO INDUSTRIAL"/>
    <s v="Quicaña"/>
    <s v="Huallpa"/>
    <s v="Angel"/>
    <s v="M"/>
    <n v="38"/>
    <s v="OPERARIO DE PRODUCCIÓN"/>
    <m/>
    <s v="El colaborador se encontraba colocando la bocamasa de la porta bobina de forma manual con ayuda de una llave Allen, cuando se encontraba aplicando fuerza dicha la llave sale proyectada con dirección a su rostro, impactando contra su nariz, el colaborador no informó de forma inmediata lo sucedido, ya que no presentaba dolor en el momento pero después de terminar de cenar comenzó a sentir dolor en la parte afectada y en la cabeza, por la cual dio aviso al área de seguridad industrial y fue llevado al tópico. Se le realizó la limpieza correspondiente y se le aplicó crema en la parte afectada y diclofenaco de forma intramuscular. Posterior a la atención, se trasladó a la clínica San Pablo del distrito de Surco."/>
    <s v="Golpeado por"/>
    <s v="Nariz"/>
    <s v="NARIZ"/>
    <s v="Ajuste de bobina"/>
    <s v="Operación regular"/>
    <s v="Contusión en tabique"/>
    <s v="Contusión"/>
    <n v="56"/>
    <n v="0"/>
    <n v="56"/>
    <s v="Continua en DM"/>
    <n v="156"/>
    <s v="Puesto Regular"/>
    <s v="&gt; 1 año"/>
  </r>
  <r>
    <m/>
    <s v="ILU23106"/>
    <s v="PERU"/>
    <s v="INTRADEVCO INDUSTRIAL SA"/>
    <s v="LURIN"/>
    <x v="4"/>
    <s v="Producción"/>
    <s v="FEM"/>
    <d v="2023-08-02T00:00:00"/>
    <n v="31"/>
    <n v="2"/>
    <n v="8"/>
    <n v="2023"/>
    <d v="1899-12-30T15:45:00"/>
    <x v="2"/>
    <s v="Service"/>
    <s v="CONSULTING"/>
    <s v="León"/>
    <s v="Inti"/>
    <s v="Denis Elier"/>
    <s v="M"/>
    <n v="18"/>
    <s v="OPERARIO DE PRODUCCIÓN"/>
    <d v="2023-05-04T00:00:00"/>
    <s v="Siendo las 3:30 pm, el maquinista Dan Soto detecta vacíos en el manto por lo que decide parar la alimentación de fibra hacia la cardadora, apertura la primera guarda de la cardadora para retiro de la fibra, sin para los rodillos dentados de la Cardadora._x000a_Denis León (Accidentado) se encontraba controlando el producto que ingresa al horno, al quedarse sin producto se dirige hacia el punto de acumulación de fibra para ayudar a Leonardo Muñoz a retirar la fibra acumulada. Una vez retirada la fibra acumulada, Denis (Accidentado) se percata que el Sr. Muñoz iba a retirar unos retazos de fibra que se habían pasado hacia la zona de los Rodillos Dentados (en movimiento), Denis le indica a su compañero que el realizaría la acción y se aproxima para retirar los retazos, es en ese momento donde sufre el atrapamiento, el colaborador logra retirar la mano sin embargo la velocidad del rodillo dentado le genera el daño en los dedos. _x000a_Es auxiliado por el Supervisor de Producción quien lo traslada al tópico y avisa al área de seguridad industrial, luego de la atención es derivado a la clínica San Pablo en el distrito de Surco."/>
    <s v="Atrapado entre"/>
    <s v="Mano derecha"/>
    <s v="MANO"/>
    <s v="Inspección de guata"/>
    <s v="Operación regular"/>
    <s v="Amputación traumática en diferentes grados"/>
    <s v="Amputación"/>
    <n v="59"/>
    <n v="845"/>
    <n v="904"/>
    <s v="Continua en DM"/>
    <s v="3 meses"/>
    <s v="Puesto Regular"/>
    <s v="&lt; 6 meses"/>
  </r>
  <r>
    <m/>
    <s v="ITD23107"/>
    <s v="PERU"/>
    <s v="INTRADEVCO INDUSTRIAL SA"/>
    <s v="LURIN"/>
    <x v="3"/>
    <s v="Distribución"/>
    <s v="Distribución"/>
    <d v="2023-08-23T00:00:00"/>
    <n v="34"/>
    <n v="23"/>
    <n v="8"/>
    <n v="2023"/>
    <d v="1899-12-30T06:10:00"/>
    <x v="1"/>
    <s v="Tercero"/>
    <s v="CEVA LOGISTICS"/>
    <s v="Días"/>
    <s v="Alarcon"/>
    <s v="Pol Brandon"/>
    <s v="M"/>
    <n v="20"/>
    <s v="Auxiliar de almacén"/>
    <m/>
    <s v="Un colaborador se percata que la batería del equipo que operaba (transpaleta eléctrica doble), se encontraba con el nivel de carga eléctrica baja, por lo que se dirige a la sala de baterías para realizar el cambio por una batería con nivel de carga eléctrica alta. Al llegar a la sala de baterías procede a realizar el cambio, para lo cual, el colaborador retira la batería descargada, seguidamente, desplaza el equipo hacia la zona donde se ubica la batería cargada y posiciona el equipo de manera que la batería cargada esté alineada con su ubicación en el transpaleta; luego, el colaborador posiciona las manos en el borde de la batería y jala la batería para desplazarla hasta su posición final, sin embargo el seguro que traba la batería, que inicialmente estaba colocada en posición vertical (posición de apertura), regresa a su ubicación inicial (posición de cierre), por lo que el pulgar de la mano derecha del colaborador, es aprisionada con el borde del seguro de la batería del equipo y la propia batería, generando una lesión; posteriormente el colaborador es auxiliado, y es atendido por el personal médico del tópico, finalmente es evacuado a un centro de salud.  "/>
    <s v="Atrapado entre"/>
    <s v="Mano derecha"/>
    <s v="MANO"/>
    <s v="Cambio de batería"/>
    <s v="Operación regular"/>
    <s v="Fractura de primera falange de segundo dedo de mano derecha"/>
    <s v="Fractura"/>
    <n v="60"/>
    <n v="0"/>
    <n v="60"/>
    <s v="Continua en DM"/>
    <s v="3 meses"/>
    <s v="Puesto Regular"/>
    <s v="&lt; 6 meses"/>
  </r>
  <r>
    <m/>
    <s v="ILU23097"/>
    <s v="PERU"/>
    <s v="INTRADEVCO INDUSTRIAL SA"/>
    <s v="LURIN"/>
    <x v="1"/>
    <s v="Producción"/>
    <s v="Flexografía"/>
    <d v="2023-08-22T00:00:00"/>
    <n v="34"/>
    <n v="22"/>
    <n v="8"/>
    <n v="2023"/>
    <d v="1899-12-30T18:45:00"/>
    <x v="3"/>
    <s v="Propio"/>
    <s v="INTRADEVCO INDUSTRIAL"/>
    <s v="Guerra"/>
    <s v="Ishuiza"/>
    <s v="Edinson"/>
    <s v="F"/>
    <n v="35"/>
    <s v="Impresor"/>
    <d v="2007-07-23T00:00:00"/>
    <s v="El colaborador se encontraba imprimiendo pentalaminado de pasta dental, cuando se percata de que uno de los bordes presentaba manchas de tinta, por lo que procede a detener la máquina para identificar el punto que originaba las manchas._x000a_Encontrándose la máquina detenida, el operador inicia la limpieza de uno de los rodillos de impresión. En ese momento, mueve con la mano izquierda la manivela del tambor principal mientras que con la mano derecha limpiaba el rodillo con un trapo con solvente._x000a_Durante esta actividad, el dedo índice de la mano derecha entra en contacto con el punto de rozamiento del tambor principal con el rodillo de impresión. Producto de esto, la primera falange del dedo índice sufre un aplastamiento entre ambas superficies._x000a_Inmediatamente, el colaborador retira su dedo del punto de contacto y reporta lo ocurrido. El colaborador es atendido por el médico de la ambulancia y derivado a la clínica, en donde le realizan estudios complementarios descartando fracturas."/>
    <s v="Atrapado entre"/>
    <s v="Mano derecha"/>
    <s v="MANO"/>
    <s v="Limpieza de rodillo"/>
    <s v="Limpieza del equipo"/>
    <s v="Traimatismo por aplastamiento del dedo índice"/>
    <s v="Herida"/>
    <n v="40"/>
    <n v="0"/>
    <n v="40"/>
    <s v="Reincorporado"/>
    <s v="1.5 meses"/>
    <s v="Puesto Regular"/>
    <s v="&lt; 6 meses"/>
  </r>
  <r>
    <m/>
    <m/>
    <s v="PERU"/>
    <s v="INTRADEVCO INDUSTRIAL SA"/>
    <s v="CHORRILLOS"/>
    <x v="5"/>
    <s v="Producción"/>
    <s v="Plasticos"/>
    <d v="2023-09-04T00:00:00"/>
    <n v="36"/>
    <n v="4"/>
    <n v="9"/>
    <n v="2023"/>
    <d v="1899-12-30T07:30:00"/>
    <x v="2"/>
    <s v="Propio"/>
    <s v="INTRADEVCO INDUSTRIAL"/>
    <s v="PEREA"/>
    <s v=" RUIZ"/>
    <s v=" GEORGE LUIS"/>
    <s v="M"/>
    <n v="39"/>
    <s v="Operario"/>
    <d v="2012-05-14T00:00:00"/>
    <s v="Aproximadamente a las 7:25 am el colaborador George Perea ingresa a las instalaciones y se dirige a los vestuarios del área de plásticos (ubicado en un 2do piso) para colocarse su uniforme de trabajo e iniciar sus labores. Al subir por la escalera, el colaborador se dobla el tobillo izquierdo en uno de los escalones. El trabajador no informó de forma inmediata lo sucedido._x000a_Aproximadamente a las 2:50 pm, el colaborador acude al tópico y manifiesta lo ocurrido, en ese momento es atendido y evaluado en el tópico. _x000a_Luego de la evaluación médica, el trabajador es evacuado a la clínica San Pablo para recibir atención especializada."/>
    <s v="Caída a mismo nivel"/>
    <s v="Tobillo izquierdo"/>
    <s v="TOBILLO"/>
    <s v="Ascenso por escaleras"/>
    <s v="Transito en planta"/>
    <s v="Esguince y torcedura de tobillo izquierdo"/>
    <s v="Esguince"/>
    <n v="51"/>
    <n v="0"/>
    <n v="51"/>
    <s v="Continúa en DM"/>
    <n v="135"/>
    <s v="Puesto Regular"/>
    <s v="&gt; 1 año"/>
  </r>
  <r>
    <m/>
    <m/>
    <s v="PERU"/>
    <s v="INTRADEVCO INDUSTRIAL SA"/>
    <s v="CHORRILLOS"/>
    <x v="5"/>
    <s v="Producción"/>
    <s v="Intralab"/>
    <d v="2023-09-26T00:00:00"/>
    <n v="39"/>
    <n v="26"/>
    <n v="9"/>
    <n v="2023"/>
    <d v="1899-12-30T05:00:00"/>
    <x v="1"/>
    <s v="Service"/>
    <s v="CONSULTING"/>
    <s v="FERNANDEZ"/>
    <s v=" FERNANDEZ"/>
    <s v=" DAVID"/>
    <s v="M"/>
    <n v="20"/>
    <s v="OPERARIO DE PRODUCCIÓN"/>
    <d v="2023-01-23T00:00:00"/>
    <s v="Siendo las 5:00 a.m. aproximadamente, el operador David Fernández se encontraba trabajando en la línea 08 de pasta dental precisamente en el horno de termoencongible, el operador nota que la lámina de termoencogible se había roto y no cubría la totalidad del pack, para corregir este problema el operador detiene el equipo y se coloca al costado del horno, se agacha para unir la lámina y en esa posición levanta la mano izquierda, abre la puerta lateral del horno e introduce la mano para jalar la lámina por dentro, en ese momento su mano roza con la cuchilla de corte que se encuentra a alta temperatura. Produciéndole una quemadura de segundo grado en dorso de 1er, 2do y 3er dedo de mano. "/>
    <s v="Atrapado entre"/>
    <s v="Mano izquierda"/>
    <s v="MANO"/>
    <s v="Colocacion de film"/>
    <s v="Operación regular"/>
    <s v="Quemadura de 2do grado"/>
    <s v="Quemadura"/>
    <n v="20"/>
    <n v="0"/>
    <n v="20"/>
    <s v="Continúa en DM"/>
    <n v="8"/>
    <s v="Apoyo"/>
    <s v="&lt; 6 meses"/>
  </r>
  <r>
    <m/>
    <m/>
    <s v="PERU"/>
    <s v="ALICORP SAA"/>
    <s v="CALLAO"/>
    <x v="6"/>
    <s v="Mantenimiento"/>
    <s v="AZOTEA"/>
    <d v="2023-01-04T00:00:00"/>
    <n v="1"/>
    <m/>
    <m/>
    <m/>
    <m/>
    <x v="4"/>
    <s v="Propio"/>
    <s v="ALICORP"/>
    <s v="SURICHAQUI"/>
    <s v="CUMAPA"/>
    <s v="MIGUEL ANGEL"/>
    <s v="M"/>
    <n v="24"/>
    <s v="Mecánico de mantenimiento"/>
    <m/>
    <s v="Esquince y torcedura de tobillo izquierdo a causa de caída mientras descendía de la escalera vertical ubicada en el 9 piso (azotea) del edificio del Molino Callao. El trabajador realizaba labores de mantenimiento del sistema de alimentación de agua del acondicionado de trigo. "/>
    <s v="CAIDA A UN NIVEL BAJO"/>
    <m/>
    <s v="PIE"/>
    <m/>
    <s v="DURANTE SU RUTINA DE TRABAJO"/>
    <s v="ESGUINCE"/>
    <s v="Esguince"/>
    <n v="23"/>
    <m/>
    <m/>
    <m/>
    <m/>
    <m/>
    <s v="5 MESES"/>
  </r>
  <r>
    <m/>
    <m/>
    <s v="PERU"/>
    <s v="ALICORP SAA"/>
    <s v="CALLAO"/>
    <x v="6"/>
    <s v="Mantenimiento"/>
    <s v="ESCALERA DE ACCESO AL EDIFICIO DE LIMPIEZA - 6 PISO"/>
    <d v="2023-01-06T00:00:00"/>
    <n v="1"/>
    <m/>
    <m/>
    <m/>
    <m/>
    <x v="5"/>
    <s v="Propio"/>
    <s v="ALICORP"/>
    <s v="RODRIGUEZ"/>
    <s v="CORPUS"/>
    <s v="JUAN CARLOS"/>
    <s v="M"/>
    <n v="29"/>
    <s v="Mecánico de mantenimiento"/>
    <m/>
    <s v="Contusión del hombro y del brazo izquierdo producto del golpe sufrido por la caída del trabajador que resbala descendiendo por las escaleras del 6 piso del edificio del Molino Callao. Debido a las condiciones ambientales en el momento del accidente, la zona se encontraba humedecida. "/>
    <s v="CAIDA A UN NIVEL BAJO"/>
    <m/>
    <s v="BRAZO"/>
    <m/>
    <s v="TRASLADANDOSE"/>
    <s v="CONTUSIÓN"/>
    <s v="Contusión"/>
    <n v="1"/>
    <m/>
    <m/>
    <m/>
    <m/>
    <m/>
    <s v="3 AÑOS"/>
  </r>
  <r>
    <m/>
    <m/>
    <s v="PERU"/>
    <s v="ALICORP SAA"/>
    <s v="CALLAO"/>
    <x v="7"/>
    <s v="Producción"/>
    <s v="ACEITES"/>
    <d v="2023-01-06T00:00:00"/>
    <n v="1"/>
    <m/>
    <m/>
    <m/>
    <m/>
    <x v="5"/>
    <s v="Propio"/>
    <s v="ALICORP"/>
    <s v="PEREZ "/>
    <s v="DÍAZ"/>
    <s v="FERNANDO"/>
    <s v="M"/>
    <n v="41"/>
    <s v="OPERARIO DE PRODUCCIÓN"/>
    <m/>
    <s v="Policontusión en la cabeza y zona cervical debido al golpe causado por la caída de la puerta enrollable del almacén de preformas de SMI. El trabajador colocó una varilla para sostener la puerta enrollable y poder trasladar una stocka con baldes y tapas, no obstante la varilla cede y deja caer el peso de la puerta sobre la cabeza del trabajador. "/>
    <s v="Golpeado por"/>
    <m/>
    <s v="CABEZA"/>
    <m/>
    <s v="DURANTE SU RUTINA DE TRABAJO"/>
    <s v="CONTUSIÓN"/>
    <s v="Contusión"/>
    <n v="2"/>
    <m/>
    <m/>
    <m/>
    <m/>
    <m/>
    <s v="2 MESES"/>
  </r>
  <r>
    <m/>
    <m/>
    <s v="PERU"/>
    <s v="ALICORP SAA"/>
    <s v="CALLAO"/>
    <x v="7"/>
    <s v="Producción"/>
    <s v="MARGARINAS"/>
    <d v="2023-01-13T00:00:00"/>
    <n v="2"/>
    <m/>
    <m/>
    <m/>
    <m/>
    <x v="5"/>
    <s v="Propio"/>
    <s v="ALICORP"/>
    <s v="HURTADO"/>
    <s v="CHURA"/>
    <s v="ABIGAIL"/>
    <s v="F"/>
    <n v="19"/>
    <s v="APRENDIZ SENATI"/>
    <m/>
    <s v="Quemadura en dorso de mano derecha a causa de roce con la mordaza caliente de sellado de la máquina llenadora de potes – etapa de sellado. "/>
    <s v="CONTACTO CON"/>
    <m/>
    <s v="MANO"/>
    <m/>
    <s v="DURANTE SU RUTINA DE TRABAJO"/>
    <s v="QUEMADURA"/>
    <s v="Quemadura"/>
    <n v="5"/>
    <m/>
    <m/>
    <m/>
    <m/>
    <m/>
    <s v="1 MES Y 11 DÍAS"/>
  </r>
  <r>
    <m/>
    <m/>
    <s v="PERU"/>
    <s v="ALICORP SAA"/>
    <s v="CALLAO"/>
    <x v="8"/>
    <s v="DESARROLLO TECNOLÓGICO"/>
    <s v="PANIFICACIÓN"/>
    <d v="2023-01-23T00:00:00"/>
    <n v="4"/>
    <m/>
    <m/>
    <m/>
    <m/>
    <x v="6"/>
    <s v="Propio"/>
    <s v="ALICORP"/>
    <s v="COLLAHUA"/>
    <s v="SANCHEZ"/>
    <s v="JESSICA"/>
    <s v="F"/>
    <n v="43"/>
    <s v="ASISTENTE DE DESARROLLO DE PRODUCTO"/>
    <m/>
    <s v="Quemadura del hombro y miembro superior a causa de contacto con la bandeja caliente del horno mientras la trabajadora se encontraba retirando 02 kekes recién horneados en la zona de horneado y cocción. "/>
    <s v="CONTACTO CON"/>
    <m/>
    <s v="BRAZO"/>
    <m/>
    <s v="DURANTE SU RUTINA DE TRABAJO"/>
    <s v="QUEMADURA"/>
    <s v="Quemadura"/>
    <n v="2"/>
    <m/>
    <m/>
    <m/>
    <m/>
    <m/>
    <s v="24 AÑOS"/>
  </r>
  <r>
    <m/>
    <m/>
    <s v="PERU"/>
    <s v="ALICORP SAA"/>
    <s v="CALLAO"/>
    <x v="9"/>
    <s v="Producción"/>
    <s v="PRODUCCION"/>
    <d v="2023-01-26T00:00:00"/>
    <n v="4"/>
    <m/>
    <m/>
    <m/>
    <m/>
    <x v="6"/>
    <s v="Propio"/>
    <s v="ALICORP"/>
    <s v="SARAVIA"/>
    <s v="LOJA"/>
    <s v="GREICI"/>
    <s v="F"/>
    <n v="34"/>
    <s v="OPERARIO DE PRODUCCIÓN"/>
    <m/>
    <s v="Inflamación de la córnea a causa de proyección de partículas de galleta que se liberaron mientras realizaban el desatoro de la línea. Cabe resaltar que la trabajadora reportó el evento al día siguiente. "/>
    <s v="CONTACTO CON"/>
    <m/>
    <s v="OJOS"/>
    <m/>
    <s v="DURANTE SU RUTINA DE TRABAJO"/>
    <s v="INFLAMACIÓN"/>
    <s v="Queratoconjuntivitis"/>
    <n v="3"/>
    <m/>
    <m/>
    <m/>
    <m/>
    <m/>
    <s v="16  días"/>
  </r>
  <r>
    <m/>
    <m/>
    <s v="PERU"/>
    <s v="ALICORP SAA"/>
    <s v="CALLAO"/>
    <x v="7"/>
    <s v="Producción"/>
    <s v="ACEITES"/>
    <d v="2023-01-31T00:00:00"/>
    <n v="5"/>
    <m/>
    <m/>
    <m/>
    <m/>
    <x v="4"/>
    <s v="Propio"/>
    <s v="ALICORP"/>
    <s v="VELASQUEZ"/>
    <s v="TORRES"/>
    <s v="JESÚS"/>
    <s v="M"/>
    <n v="19"/>
    <s v="OPERARIO DE PRODUCCIÓN"/>
    <m/>
    <s v="Contusión en el dedo pulgar derecho a causa de impacto con la pared. El trabajador se encontraba ejerciendo fuerza para arrancar strech film en los baldes anidados y producto de la inercia del movimiento su dedo golpea la pared contigua. Cabe resaltar que el reporte lo realiza en el trascurso del día. "/>
    <s v="GOLPEADO CONTRA"/>
    <m/>
    <s v="MANO"/>
    <m/>
    <s v="DURANTE SU RUTINA DE TRABAJO"/>
    <s v="CONTUSIÓN"/>
    <s v="Contusión"/>
    <n v="2"/>
    <m/>
    <m/>
    <m/>
    <m/>
    <m/>
    <s v="27 dias"/>
  </r>
  <r>
    <m/>
    <m/>
    <s v="BOLIVIA"/>
    <s v="ALICORP BOLIVIA"/>
    <m/>
    <x v="10"/>
    <s v="Distribución"/>
    <s v="PARQUE INDUSTRIAL"/>
    <d v="2023-01-03T00:00:00"/>
    <n v="1"/>
    <m/>
    <m/>
    <m/>
    <m/>
    <x v="4"/>
    <s v="Tercero"/>
    <s v="FINO"/>
    <s v="ORTUÑO"/>
    <s v="TOLEDO"/>
    <s v="GUSTAVO"/>
    <s v="M"/>
    <n v="40"/>
    <s v="Estibador"/>
    <m/>
    <s v="Contusión en pie y tobillo derecho a causa de caída de la compuerta que golpea al trabajador contratista mientras realizaba la descarga de camión con grano de soya en Volcadora ubicada en la Fosa de descarga N°3 del área de Recepción de granos.  "/>
    <s v="Golpeado por"/>
    <m/>
    <s v="PIE"/>
    <m/>
    <s v="DURANTE SU RUTINA DE TRABAJO"/>
    <s v="CONTUSIÓN"/>
    <s v="Contusión"/>
    <n v="21"/>
    <m/>
    <m/>
    <m/>
    <m/>
    <m/>
    <s v="5 AÑO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
  <r>
    <n v="1"/>
    <s v="IVE21866"/>
    <s v="PERU"/>
    <s v="INTRADEVCO INDUSTRIAL SA"/>
    <s v="VENTANILLA"/>
    <s v="VENTANILLA"/>
    <s v="Planeamiento - Almacenes"/>
    <s v="Almacen EEII"/>
    <d v="2023-01-16T00:00:00"/>
    <n v="3"/>
    <n v="16"/>
    <n v="1"/>
    <n v="2023"/>
    <d v="1899-12-30T11:00:00"/>
    <s v="1er"/>
    <s v="Propio"/>
    <x v="0"/>
    <s v="BARBARAN"/>
    <s v=" CHIPANA"/>
    <s v=" JOSE ALEJANDRO"/>
    <s v="M"/>
    <n v="55"/>
    <s v="OPERARIO DE ALMACEN"/>
    <d v="2007-10-01T00:00:00"/>
    <s v="El trabajador del área de Almacén Jose Barbaran se encontraba cerca al área de elaboración de detergentes. Instantes antes del evento, se disponía a elevar un balde con ácido sulfónico (HLAS) hacia el mezanine de fabricación, al realizar esta acción, el contenido del balde se derrama y cae sobre su cabeza y rostro._x000a_Inmediatamente se le brinda los primeros auxilios y posteriormente se le traslada a la clínica San Gabriel para recibir atención especializada, donde le diagnosticaron Queratoconjuntivitis. "/>
    <s v="Proyección de Sustancias Químicas"/>
    <s v="Ojos"/>
    <s v="OJOS"/>
    <s v="Manipulacion de balde con HLAS"/>
    <s v="Apoyo en actividades"/>
    <s v="QUERATOCONJUNTIVITIS"/>
    <s v="Queratoconjuntivitis"/>
    <n v="2"/>
    <n v="0"/>
    <n v="2"/>
    <s v="Laborando"/>
    <n v="183"/>
    <s v="Puesto Regular"/>
    <s v="&gt; 1 año"/>
  </r>
  <r>
    <n v="2"/>
    <s v="ILU21875"/>
    <s v="PERU"/>
    <s v="INTRADEVCO INDUSTRIAL SA"/>
    <s v="LURIN"/>
    <s v="Lurin 2_Principal"/>
    <s v="Producción"/>
    <s v="Aerosoles"/>
    <d v="2023-01-27T00:00:00"/>
    <n v="4"/>
    <n v="27"/>
    <n v="1"/>
    <n v="2023"/>
    <d v="1899-12-30T01:50:00"/>
    <s v="2do turno"/>
    <s v="Service"/>
    <x v="1"/>
    <s v="LEON"/>
    <s v="RODRIGO"/>
    <s v="JORGE"/>
    <s v="M"/>
    <n v="23"/>
    <s v="OPERARIO DE PRODUCCIÓN"/>
    <d v="2020-10-01T00:00:00"/>
    <s v="El colaborador Jorge León Rodrigo realizaba su actividades cuando una tapa ingresa incorrectamente en la máquina tapadora y cae en el sistema de transferencia causando el  atoro de una lata dejando superficies punzocortantes expuestas. El colaborador intentó retirar el envase atorado ejerciendo fuerza y sufre un corte en el dedo índice de la mano derecha, al percatarse del corte y del sangrado da aviso al encargado para luego dirigirse al tópico para ser atendido.  "/>
    <s v="Contacto con superficie cortante"/>
    <s v="Mano"/>
    <s v="MANO"/>
    <s v="Retiro de envase roto atorado en máquina tapadora"/>
    <s v="Desatoro"/>
    <s v="Herida en dedo de la mano"/>
    <s v="Corte"/>
    <n v="14"/>
    <n v="0"/>
    <n v="14"/>
    <s v="Reincorporado"/>
    <n v="28"/>
    <s v="Puesto Regular"/>
    <s v="&gt; 1 año"/>
  </r>
  <r>
    <n v="3"/>
    <s v="ILU21870"/>
    <s v="PERU"/>
    <s v="INTRADEVCO INDUSTRIAL SA"/>
    <s v="LURIN"/>
    <s v="Lurin 2_Principal"/>
    <s v="Producción"/>
    <s v="Limpiatodo"/>
    <d v="2023-01-31T00:00:00"/>
    <n v="5"/>
    <n v="31"/>
    <n v="1"/>
    <n v="2023"/>
    <d v="1899-12-30T18:00:00"/>
    <s v="1er turno"/>
    <s v="Propio"/>
    <x v="0"/>
    <s v="Zapata"/>
    <s v="Huertas"/>
    <s v="Jose"/>
    <s v="M"/>
    <n v="42"/>
    <s v="Maquinista"/>
    <d v="2012-01-01T00:00:00"/>
    <s v="Alrededor de las 6:00 pm el trabajador se encontraba acomodando una paleta que había colocado sobre una ruma de paletas vacías. Durante esta actividad el trabajador jala la paleta usando guantes de nitrilo y producto del esfuerzo, uno de los bordes de los listones de la paleta abre un corte que el trabajador tenía en el dedo índice de la mano derecha generando un mayor daño a la lesión._x000a__x000a_Este corte no fue reportado y se habría producido horas antes manipulando zunchos durante el abastecimiento de cajas a la línea sin usar guantes de seguridad."/>
    <s v="Contacto con superficie cortante"/>
    <s v="Mano"/>
    <s v="MANO"/>
    <s v="Alimentación de insumos en línea de producción"/>
    <s v="Operación regular"/>
    <s v="Herida de dedo de la mano sin daño en las uñas"/>
    <s v="Corte"/>
    <n v="8"/>
    <n v="0"/>
    <n v="8"/>
    <s v="Reincorporado"/>
    <n v="132"/>
    <s v="Puesto Regular"/>
    <s v="&gt; 1 año"/>
  </r>
  <r>
    <n v="4"/>
    <m/>
    <s v="PERU"/>
    <s v="INTRADEVCO INDUSTRIAL SA"/>
    <s v="LURIN"/>
    <s v="Lurin 4_Detergentes"/>
    <s v="Planeamiento - Almacenes"/>
    <s v="Exportaciones"/>
    <d v="2023-01-30T00:00:00"/>
    <n v="5"/>
    <n v="30"/>
    <n v="1"/>
    <n v="2023"/>
    <d v="1899-12-30T07:00:00"/>
    <s v="1er turno"/>
    <s v="Propio"/>
    <x v="0"/>
    <s v="Casimiro"/>
    <s v="Villacres"/>
    <s v="Taiwan"/>
    <s v="F"/>
    <n v="32"/>
    <s v="Asistente de planeamiento industrial"/>
    <d v="2021-12-15T00:00:00"/>
    <s v="La trabajadora luego de marcar asistencia en planta detergentes, subió a la movilidad para dirigirse a su lugar de trabajo en planta principal y al bajar de la movilidad sufrió una caída que le ocsionó un esguince y tuvo que ser trasladada a la clínica."/>
    <s v="Caída a diferente nivel"/>
    <s v="Pie"/>
    <s v="PIE"/>
    <s v="Traslado a su lugar de trabajo"/>
    <s v="Operación regular"/>
    <s v="Esguince y torcedura de tobillo"/>
    <s v="Esguince"/>
    <n v="14"/>
    <n v="0"/>
    <n v="14"/>
    <s v="Laborando"/>
    <n v="12"/>
    <s v="Puesto Regular"/>
    <s v="&gt; 1 año"/>
  </r>
  <r>
    <n v="5"/>
    <s v="ILU21909"/>
    <s v="PERU"/>
    <s v="INTRADEVCO INDUSTRIAL SA"/>
    <s v="LURIN"/>
    <s v="Lurin 4_Detergentes"/>
    <s v="Producción"/>
    <s v="Lavavajillas"/>
    <d v="2023-02-07T00:00:00"/>
    <n v="6"/>
    <n v="7"/>
    <n v="2"/>
    <n v="2023"/>
    <d v="1899-12-30T17:44:00"/>
    <s v="1er turno"/>
    <s v="Propio"/>
    <x v="0"/>
    <s v="Choquehuanca"/>
    <s v="Cari"/>
    <s v="Hermelinda"/>
    <s v="F"/>
    <n v="49"/>
    <s v="OPERARIO DE PRODUCCIÓN"/>
    <d v="2016-04-11T00:00:00"/>
    <s v="La colaboradora retornaba de los servicios higiénicos, caminaba sobre las rejillas que cubren la canaleta y tropezó sufriendo un corte en la rodilla derecha, fue auxiliada por su compañero. En el tópico recibió limpieza y curación de la herida y posteriormente fue trasladada hacia la clínica San Pablo."/>
    <s v="Caída a mismo nivel"/>
    <s v="Rodilla"/>
    <s v="RODILLA"/>
    <s v="Retorno de los sshh"/>
    <s v="Operación regular"/>
    <s v="Herida en rodilla derecha"/>
    <s v="Herida"/>
    <n v="7"/>
    <n v="0"/>
    <n v="7"/>
    <s v="Laborando"/>
    <n v="72"/>
    <s v="Puesto Regular"/>
    <s v="&gt; 1 año"/>
  </r>
  <r>
    <n v="6"/>
    <s v="ITD22983"/>
    <s v="PERU"/>
    <s v="INTRADEVCO INDUSTRIAL SA"/>
    <s v="LURIN"/>
    <s v="Lurin 4_CD1/CD2"/>
    <s v="Distribución"/>
    <s v="APT Detergentes"/>
    <d v="2023-05-09T00:00:00"/>
    <n v="20"/>
    <n v="9"/>
    <n v="5"/>
    <n v="2023"/>
    <d v="1899-12-30T07:30:00"/>
    <s v="1er turno"/>
    <s v="Tercero"/>
    <x v="2"/>
    <s v="Fernández"/>
    <s v="Borja"/>
    <s v="Yessy Judith"/>
    <s v="F"/>
    <n v="27"/>
    <s v="Auxiliar de almacén"/>
    <m/>
    <s v="Siendo las 7:30 horas, la colaboradora Yessy Judith Fernandez Borja, acarreaba mercadería desde la zona de producción hacia los canales de planta interna en CD2 operando una transpaleta doble. La colaboradora, para poder retroceder y dejar la mercadería en canal, se posiciona en la plataforma de trabajo del transpaleta con el pie izquierdo cerca al borde al borde del equipo y el otro sobre la plataforma. En el momento que gira, el pie izquierdo resbala del equipo y queda atrapado entre la base del equipo y el piso._x000a__x000a_Posterior al evento, la colaboradora fue atendida en el tópico y trasladad a la clínica para que se realicen los exámenes correspondientes."/>
    <s v="Golpeado por"/>
    <s v="Pie"/>
    <s v="PIE"/>
    <s v="Operación de transpaleta doble"/>
    <s v="Operación regular"/>
    <s v="Contusión de dedos del pie"/>
    <s v="Contusión"/>
    <n v="8"/>
    <n v="0"/>
    <n v="8"/>
    <s v="Laborando"/>
    <n v="13"/>
    <s v="Puesto Regular"/>
    <s v="&gt; 6 meses"/>
  </r>
  <r>
    <n v="7"/>
    <s v="ILU22718 "/>
    <s v="PERU"/>
    <s v="INTRADEVCO INDUSTRIAL SA"/>
    <s v="LURIN"/>
    <s v="Lurin 4_Detergentes"/>
    <s v="Producción"/>
    <s v="Empacado"/>
    <d v="2023-07-06T00:00:00"/>
    <n v="27"/>
    <n v="6"/>
    <n v="7"/>
    <n v="2023"/>
    <d v="1899-12-30T21:40:00"/>
    <s v="2do turno"/>
    <s v="Propio"/>
    <x v="0"/>
    <s v="Quicaña"/>
    <s v="Huallpa"/>
    <s v="Angel"/>
    <s v="M"/>
    <n v="38"/>
    <s v="OPERARIO DE PRODUCCIÓN"/>
    <m/>
    <s v="El colaborador se encontraba colocando la bocamasa de la porta bobina de forma manual con ayuda de una llave Allen, cuando se encontraba aplicando fuerza dicha la llave sale proyectada con dirección a su rostro, impactando contra su nariz, el colaborador no informó de forma inmediata lo sucedido, ya que no presentaba dolor en el momento pero después de terminar de cenar comenzó a sentir dolor en la parte afectada y en la cabeza, por la cual dio aviso al área de seguridad industrial y fue llevado al tópico. Se le realizó la limpieza correspondiente y se le aplicó crema en la parte afectada y diclofenaco de forma intramuscular. Posterior a la atención, se trasladó a la clínica San Pablo del distrito de Surco."/>
    <s v="Golpeado por"/>
    <s v="Nariz"/>
    <s v="NARIZ"/>
    <s v="Ajuste de bobina"/>
    <s v="Operación regular"/>
    <s v="Contusión en tabique"/>
    <s v="Contusión"/>
    <n v="56"/>
    <n v="0"/>
    <n v="56"/>
    <s v="Continua en DM"/>
    <n v="156"/>
    <s v="Puesto Regular"/>
    <s v="&gt; 1 año"/>
  </r>
  <r>
    <m/>
    <s v="ILU23106"/>
    <s v="PERU"/>
    <s v="INTRADEVCO INDUSTRIAL SA"/>
    <s v="LURIN"/>
    <s v="Lurín 5_FEM"/>
    <s v="Producción"/>
    <s v="FEM"/>
    <d v="2023-08-02T00:00:00"/>
    <n v="31"/>
    <n v="2"/>
    <n v="8"/>
    <n v="2023"/>
    <d v="1899-12-30T15:45:00"/>
    <s v="1er turno"/>
    <s v="Service"/>
    <x v="1"/>
    <s v="León"/>
    <s v="Inti"/>
    <s v="Denis Elier"/>
    <s v="M"/>
    <n v="18"/>
    <s v="OPERARIO DE PRODUCCIÓN"/>
    <d v="2023-05-04T00:00:00"/>
    <s v="Siendo las 3:30 pm, el maquinista Dan Soto detecta vacíos en el manto por lo que decide parar la alimentación de fibra hacia la cardadora, apertura la primera guarda de la cardadora para retiro de la fibra, sin para los rodillos dentados de la Cardadora._x000a_Denis León (Accidentado) se encontraba controlando el producto que ingresa al horno, al quedarse sin producto se dirige hacia el punto de acumulación de fibra para ayudar a Leonardo Muñoz a retirar la fibra acumulada. Una vez retirada la fibra acumulada, Denis (Accidentado) se percata que el Sr. Muñoz iba a retirar unos retazos de fibra que se habían pasado hacia la zona de los Rodillos Dentados (en movimiento), Denis le indica a su compañero que el realizaría la acción y se aproxima para retirar los retazos, es en ese momento donde sufre el atrapamiento, el colaborador logra retirar la mano sin embargo la velocidad del rodillo dentado le genera el daño en los dedos. _x000a_Es auxiliado por el Supervisor de Producción quien lo traslada al tópico y avisa al área de seguridad industrial, luego de la atención es derivado a la clínica San Pablo en el distrito de Surco."/>
    <s v="Atrapado entre"/>
    <s v="Mano derecha"/>
    <s v="MANO"/>
    <s v="Inspección de guata"/>
    <s v="Operación regular"/>
    <s v="Amputación traumática en diferentes grados"/>
    <s v="Amputación"/>
    <n v="59"/>
    <n v="845"/>
    <n v="904"/>
    <s v="Continua en DM"/>
    <s v="3 meses"/>
    <s v="Puesto Regular"/>
    <s v="&lt; 6 meses"/>
  </r>
  <r>
    <m/>
    <s v="ITD23107"/>
    <s v="PERU"/>
    <s v="INTRADEVCO INDUSTRIAL SA"/>
    <s v="LURIN"/>
    <s v="Lurin 4_CD1/CD2"/>
    <s v="Distribución"/>
    <s v="Distribución"/>
    <d v="2023-08-23T00:00:00"/>
    <n v="34"/>
    <n v="23"/>
    <n v="8"/>
    <n v="2023"/>
    <d v="1899-12-30T06:10:00"/>
    <s v="2do turno"/>
    <s v="Tercero"/>
    <x v="2"/>
    <s v="Días"/>
    <s v="Alarcon"/>
    <s v="Pol Brandon"/>
    <s v="M"/>
    <n v="20"/>
    <s v="Auxiliar de almacén"/>
    <m/>
    <s v="Un colaborador se percata que la batería del equipo que operaba (transpaleta eléctrica doble), se encontraba con el nivel de carga eléctrica baja, por lo que se dirige a la sala de baterías para realizar el cambio por una batería con nivel de carga eléctrica alta. Al llegar a la sala de baterías procede a realizar el cambio, para lo cual, el colaborador retira la batería descargada, seguidamente, desplaza el equipo hacia la zona donde se ubica la batería cargada y posiciona el equipo de manera que la batería cargada esté alineada con su ubicación en el transpaleta; luego, el colaborador posiciona las manos en el borde de la batería y jala la batería para desplazarla hasta su posición final, sin embargo el seguro que traba la batería, que inicialmente estaba colocada en posición vertical (posición de apertura), regresa a su ubicación inicial (posición de cierre), por lo que el pulgar de la mano derecha del colaborador, es aprisionada con el borde del seguro de la batería del equipo y la propia batería, generando una lesión; posteriormente el colaborador es auxiliado, y es atendido por el personal médico del tópico, finalmente es evacuado a un centro de salud.  "/>
    <s v="Atrapado entre"/>
    <s v="Mano derecha"/>
    <s v="MANO"/>
    <s v="Cambio de batería"/>
    <s v="Operación regular"/>
    <s v="Fractura de primera falange de segundo dedo de mano derecha"/>
    <s v="Fractura"/>
    <n v="60"/>
    <n v="0"/>
    <n v="60"/>
    <s v="Continua en DM"/>
    <s v="3 meses"/>
    <s v="Puesto Regular"/>
    <s v="&lt; 6 meses"/>
  </r>
  <r>
    <m/>
    <s v="ILU23097"/>
    <s v="PERU"/>
    <s v="INTRADEVCO INDUSTRIAL SA"/>
    <s v="LURIN"/>
    <s v="Lurin 2_Principal"/>
    <s v="Producción"/>
    <s v="Flexografía"/>
    <d v="2023-08-22T00:00:00"/>
    <n v="34"/>
    <n v="22"/>
    <n v="8"/>
    <n v="2023"/>
    <d v="1899-12-30T18:45:00"/>
    <s v="1r turno"/>
    <s v="Propio"/>
    <x v="0"/>
    <s v="Guerra"/>
    <s v="Ishuiza"/>
    <s v="Edinson"/>
    <s v="F"/>
    <n v="35"/>
    <s v="Impresor"/>
    <d v="2007-07-23T00:00:00"/>
    <s v="El colaborador se encontraba imprimiendo pentalaminado de pasta dental, cuando se percata de que uno de los bordes presentaba manchas de tinta, por lo que procede a detener la máquina para identificar el punto que originaba las manchas._x000a_Encontrándose la máquina detenida, el operador inicia la limpieza de uno de los rodillos de impresión. En ese momento, mueve con la mano izquierda la manivela del tambor principal mientras que con la mano derecha limpiaba el rodillo con un trapo con solvente._x000a_Durante esta actividad, el dedo índice de la mano derecha entra en contacto con el punto de rozamiento del tambor principal con el rodillo de impresión. Producto de esto, la primera falange del dedo índice sufre un aplastamiento entre ambas superficies._x000a_Inmediatamente, el colaborador retira su dedo del punto de contacto y reporta lo ocurrido. El colaborador es atendido por el médico de la ambulancia y derivado a la clínica, en donde le realizan estudios complementarios descartando fracturas."/>
    <s v="Atrapado entre"/>
    <s v="Mano derecha"/>
    <s v="MANO"/>
    <s v="Limpieza de rodillo"/>
    <s v="Limpieza del equipo"/>
    <s v="Traimatismo por aplastamiento del dedo índice"/>
    <s v="Herida"/>
    <n v="40"/>
    <n v="0"/>
    <n v="40"/>
    <s v="Reincorporado"/>
    <s v="1.5 meses"/>
    <s v="Puesto Regular"/>
    <s v="&lt; 6 meses"/>
  </r>
  <r>
    <m/>
    <m/>
    <s v="PERU"/>
    <s v="INTRADEVCO INDUSTRIAL SA"/>
    <s v="CHORRILLOS"/>
    <s v="CHORRILLOS"/>
    <s v="Producción"/>
    <s v="Plasticos"/>
    <d v="2023-09-04T00:00:00"/>
    <n v="36"/>
    <n v="4"/>
    <n v="9"/>
    <n v="2023"/>
    <d v="1899-12-30T07:30:00"/>
    <s v="1er turno"/>
    <s v="Propio"/>
    <x v="0"/>
    <s v="PEREA"/>
    <s v=" RUIZ"/>
    <s v=" GEORGE LUIS"/>
    <s v="M"/>
    <n v="39"/>
    <s v="Operario"/>
    <d v="2012-05-14T00:00:00"/>
    <s v="Aproximadamente a las 7:25 am el colaborador George Perea ingresa a las instalaciones y se dirige a los vestuarios del área de plásticos (ubicado en un 2do piso) para colocarse su uniforme de trabajo e iniciar sus labores. Al subir por la escalera, el colaborador se dobla el tobillo izquierdo en uno de los escalones. El trabajador no informó de forma inmediata lo sucedido._x000a_Aproximadamente a las 2:50 pm, el colaborador acude al tópico y manifiesta lo ocurrido, en ese momento es atendido y evaluado en el tópico. _x000a_Luego de la evaluación médica, el trabajador es evacuado a la clínica San Pablo para recibir atención especializada."/>
    <s v="Caída a mismo nivel"/>
    <s v="Tobillo izquierdo"/>
    <s v="TOBILLO"/>
    <s v="Ascenso por escaleras"/>
    <s v="Transito en planta"/>
    <s v="Esguince y torcedura de tobillo izquierdo"/>
    <s v="Esguince"/>
    <n v="51"/>
    <n v="0"/>
    <n v="51"/>
    <s v="Continúa en DM"/>
    <n v="135"/>
    <s v="Puesto Regular"/>
    <s v="&gt; 1 año"/>
  </r>
  <r>
    <m/>
    <m/>
    <s v="PERU"/>
    <s v="INTRADEVCO INDUSTRIAL SA"/>
    <s v="CHORRILLOS"/>
    <s v="CHORRILLOS"/>
    <s v="Producción"/>
    <s v="Intralab"/>
    <d v="2023-09-26T00:00:00"/>
    <n v="39"/>
    <n v="26"/>
    <n v="9"/>
    <n v="2023"/>
    <d v="1899-12-30T05:00:00"/>
    <s v="2do turno"/>
    <s v="Service"/>
    <x v="1"/>
    <s v="FERNANDEZ"/>
    <s v=" FERNANDEZ"/>
    <s v=" DAVID"/>
    <s v="M"/>
    <n v="20"/>
    <s v="OPERARIO DE PRODUCCIÓN"/>
    <d v="2023-01-23T00:00:00"/>
    <s v="Siendo las 5:00 a.m. aproximadamente, el operador David Fernández se encontraba trabajando en la línea 08 de pasta dental precisamente en el horno de termoencongible, el operador nota que la lámina de termoencogible se había roto y no cubría la totalidad del pack, para corregir este problema el operador detiene el equipo y se coloca al costado del horno, se agacha para unir la lámina y en esa posición levanta la mano izquierda, abre la puerta lateral del horno e introduce la mano para jalar la lámina por dentro, en ese momento su mano roza con la cuchilla de corte que se encuentra a alta temperatura. Produciéndole una quemadura de segundo grado en dorso de 1er, 2do y 3er dedo de mano. "/>
    <s v="Atrapado entre"/>
    <s v="Mano izquierda"/>
    <s v="MANO"/>
    <s v="Colocacion de film"/>
    <s v="Operación regular"/>
    <s v="Quemadura de 2do grado"/>
    <s v="Quemadura"/>
    <n v="20"/>
    <n v="0"/>
    <n v="20"/>
    <s v="Continúa en DM"/>
    <n v="8"/>
    <s v="Apoyo"/>
    <s v="&lt; 6 meses"/>
  </r>
  <r>
    <m/>
    <m/>
    <s v="PERU"/>
    <s v="ALICORP SAA"/>
    <s v="CALLAO"/>
    <s v="MOLINO CALLAO"/>
    <s v="Mantenimiento"/>
    <s v="AZOTEA"/>
    <d v="2023-01-04T00:00:00"/>
    <n v="1"/>
    <m/>
    <m/>
    <m/>
    <m/>
    <s v="NOCHE"/>
    <s v="Propio"/>
    <x v="3"/>
    <s v="SURICHAQUI"/>
    <s v="CUMAPA"/>
    <s v="MIGUEL ANGEL"/>
    <s v="M"/>
    <n v="24"/>
    <s v="Mecánico de mantenimiento"/>
    <m/>
    <s v="Esquince y torcedura de tobillo izquierdo a causa de caída mientras descendía de la escalera vertical ubicada en el 9 piso (azotea) del edificio del Molino Callao. El trabajador realizaba labores de mantenimiento del sistema de alimentación de agua del acondicionado de trigo. "/>
    <s v="CAIDA A UN NIVEL BAJO"/>
    <m/>
    <s v="PIE"/>
    <m/>
    <s v="DURANTE SU RUTINA DE TRABAJO"/>
    <s v="ESGUINCE"/>
    <s v="Esguince"/>
    <n v="23"/>
    <m/>
    <m/>
    <m/>
    <m/>
    <m/>
    <s v="5 MESES"/>
  </r>
  <r>
    <m/>
    <m/>
    <s v="PERU"/>
    <s v="ALICORP SAA"/>
    <s v="CALLAO"/>
    <s v="MOLINO CALLAO"/>
    <s v="Mantenimiento"/>
    <s v="ESCALERA DE ACCESO AL EDIFICIO DE LIMPIEZA - 6 PISO"/>
    <d v="2023-01-06T00:00:00"/>
    <n v="1"/>
    <m/>
    <m/>
    <m/>
    <m/>
    <s v="MAÑANA"/>
    <s v="Propio"/>
    <x v="3"/>
    <s v="RODRIGUEZ"/>
    <s v="CORPUS"/>
    <s v="JUAN CARLOS"/>
    <s v="M"/>
    <n v="29"/>
    <s v="Mecánico de mantenimiento"/>
    <m/>
    <s v="Contusión del hombro y del brazo izquierdo producto del golpe sufrido por la caída del trabajador que resbala descendiendo por las escaleras del 6 piso del edificio del Molino Callao. Debido a las condiciones ambientales en el momento del accidente, la zona se encontraba humedecida. "/>
    <s v="CAIDA A UN NIVEL BAJO"/>
    <m/>
    <s v="BRAZO"/>
    <m/>
    <s v="TRASLADANDOSE"/>
    <s v="CONTUSIÓN"/>
    <s v="Contusión"/>
    <n v="1"/>
    <m/>
    <m/>
    <m/>
    <m/>
    <m/>
    <s v="3 AÑOS"/>
  </r>
  <r>
    <m/>
    <m/>
    <s v="PERU"/>
    <s v="ALICORP SAA"/>
    <s v="CALLAO"/>
    <s v="COPSA"/>
    <s v="Producción"/>
    <s v="ACEITES"/>
    <d v="2023-01-06T00:00:00"/>
    <n v="1"/>
    <m/>
    <m/>
    <m/>
    <m/>
    <s v="MAÑANA"/>
    <s v="Propio"/>
    <x v="3"/>
    <s v="PEREZ "/>
    <s v="DÍAZ"/>
    <s v="FERNANDO"/>
    <s v="M"/>
    <n v="41"/>
    <s v="OPERARIO DE PRODUCCIÓN"/>
    <m/>
    <s v="Policontusión en la cabeza y zona cervical debido al golpe causado por la caída de la puerta enrollable del almacén de preformas de SMI. El trabajador colocó una varilla para sostener la puerta enrollable y poder trasladar una stocka con baldes y tapas, no obstante la varilla cede y deja caer el peso de la puerta sobre la cabeza del trabajador. "/>
    <s v="Golpeado por"/>
    <m/>
    <s v="CABEZA"/>
    <m/>
    <s v="DURANTE SU RUTINA DE TRABAJO"/>
    <s v="CONTUSIÓN"/>
    <s v="Contusión"/>
    <n v="2"/>
    <m/>
    <m/>
    <m/>
    <m/>
    <m/>
    <s v="2 MESES"/>
  </r>
  <r>
    <m/>
    <m/>
    <s v="PERU"/>
    <s v="ALICORP SAA"/>
    <s v="CALLAO"/>
    <s v="COPSA"/>
    <s v="Producción"/>
    <s v="MARGARINAS"/>
    <d v="2023-01-13T00:00:00"/>
    <n v="2"/>
    <m/>
    <m/>
    <m/>
    <m/>
    <s v="MAÑANA"/>
    <s v="Propio"/>
    <x v="3"/>
    <s v="HURTADO"/>
    <s v="CHURA"/>
    <s v="ABIGAIL"/>
    <s v="F"/>
    <n v="19"/>
    <s v="APRENDIZ SENATI"/>
    <m/>
    <s v="Quemadura en dorso de mano derecha a causa de roce con la mordaza caliente de sellado de la máquina llenadora de potes – etapa de sellado. "/>
    <s v="CONTACTO CON"/>
    <m/>
    <s v="MANO"/>
    <m/>
    <s v="DURANTE SU RUTINA DE TRABAJO"/>
    <s v="QUEMADURA"/>
    <s v="Quemadura"/>
    <n v="5"/>
    <m/>
    <m/>
    <m/>
    <m/>
    <m/>
    <s v="1 MES Y 11 DÍAS"/>
  </r>
  <r>
    <m/>
    <m/>
    <s v="PERU"/>
    <s v="ALICORP SAA"/>
    <s v="CALLAO"/>
    <s v="DESARROLLO"/>
    <s v="DESARROLLO TECNOLÓGICO"/>
    <s v="PANIFICACIÓN"/>
    <d v="2023-01-23T00:00:00"/>
    <n v="4"/>
    <m/>
    <m/>
    <m/>
    <m/>
    <s v="TARDE"/>
    <s v="Propio"/>
    <x v="3"/>
    <s v="COLLAHUA"/>
    <s v="SANCHEZ"/>
    <s v="JESSICA"/>
    <s v="F"/>
    <n v="43"/>
    <s v="ASISTENTE DE DESARROLLO DE PRODUCTO"/>
    <m/>
    <s v="Quemadura del hombro y miembro superior a causa de contacto con la bandeja caliente del horno mientras la trabajadora se encontraba retirando 02 kekes recién horneados en la zona de horneado y cocción. "/>
    <s v="CONTACTO CON"/>
    <m/>
    <s v="BRAZO"/>
    <m/>
    <s v="DURANTE SU RUTINA DE TRABAJO"/>
    <s v="QUEMADURA"/>
    <s v="Quemadura"/>
    <n v="2"/>
    <m/>
    <m/>
    <m/>
    <m/>
    <m/>
    <s v="24 AÑOS"/>
  </r>
  <r>
    <m/>
    <m/>
    <s v="PERU"/>
    <s v="ALICORP SAA"/>
    <s v="CALLAO"/>
    <s v="GALLETERIA"/>
    <s v="Producción"/>
    <s v="PRODUCCION"/>
    <d v="2023-01-26T00:00:00"/>
    <n v="4"/>
    <m/>
    <m/>
    <m/>
    <m/>
    <s v="TARDE"/>
    <s v="Propio"/>
    <x v="3"/>
    <s v="SARAVIA"/>
    <s v="LOJA"/>
    <s v="GREICI"/>
    <s v="F"/>
    <n v="34"/>
    <s v="OPERARIO DE PRODUCCIÓN"/>
    <m/>
    <s v="Inflamación de la córnea a causa de proyección de partículas de galleta que se liberaron mientras realizaban el desatoro de la línea. Cabe resaltar que la trabajadora reportó el evento al día siguiente. "/>
    <s v="CONTACTO CON"/>
    <m/>
    <s v="OJOS"/>
    <m/>
    <s v="DURANTE SU RUTINA DE TRABAJO"/>
    <s v="INFLAMACIÓN"/>
    <s v="Queratoconjuntivitis"/>
    <n v="3"/>
    <m/>
    <m/>
    <m/>
    <m/>
    <m/>
    <s v="16  días"/>
  </r>
  <r>
    <m/>
    <m/>
    <s v="PERU"/>
    <s v="ALICORP SAA"/>
    <s v="CALLAO"/>
    <s v="COPSA"/>
    <s v="Producción"/>
    <s v="ACEITES"/>
    <d v="2023-01-31T00:00:00"/>
    <n v="5"/>
    <m/>
    <m/>
    <m/>
    <m/>
    <s v="NOCHE"/>
    <s v="Propio"/>
    <x v="3"/>
    <s v="VELASQUEZ"/>
    <s v="TORRES"/>
    <s v="JESÚS"/>
    <s v="M"/>
    <n v="19"/>
    <s v="OPERARIO DE PRODUCCIÓN"/>
    <m/>
    <s v="Contusión en el dedo pulgar derecho a causa de impacto con la pared. El trabajador se encontraba ejerciendo fuerza para arrancar strech film en los baldes anidados y producto de la inercia del movimiento su dedo golpea la pared contigua. Cabe resaltar que el reporte lo realiza en el trascurso del día. "/>
    <s v="GOLPEADO CONTRA"/>
    <m/>
    <s v="MANO"/>
    <m/>
    <s v="DURANTE SU RUTINA DE TRABAJO"/>
    <s v="CONTUSIÓN"/>
    <s v="Contusión"/>
    <n v="2"/>
    <m/>
    <m/>
    <m/>
    <m/>
    <m/>
    <s v="27 dias"/>
  </r>
  <r>
    <m/>
    <m/>
    <s v="BOLIVIA"/>
    <s v="ALICORP BOLIVIA"/>
    <m/>
    <s v="PARQUE INDUSTRIAL"/>
    <s v="Distribución"/>
    <s v="PARQUE INDUSTRIAL"/>
    <d v="2023-01-03T00:00:00"/>
    <n v="1"/>
    <m/>
    <m/>
    <m/>
    <m/>
    <s v="NOCHE"/>
    <s v="Tercero"/>
    <x v="4"/>
    <s v="ORTUÑO"/>
    <s v="TOLEDO"/>
    <s v="GUSTAVO"/>
    <s v="M"/>
    <n v="40"/>
    <s v="Estibador"/>
    <m/>
    <s v="Contusión en pie y tobillo derecho a causa de caída de la compuerta que golpea al trabajador contratista mientras realizaba la descarga de camión con grano de soya en Volcadora ubicada en la Fosa de descarga N°3 del área de Recepción de granos.  "/>
    <s v="Golpeado por"/>
    <m/>
    <s v="PIE"/>
    <m/>
    <s v="DURANTE SU RUTINA DE TRABAJO"/>
    <s v="CONTUSIÓN"/>
    <s v="Contusión"/>
    <n v="21"/>
    <m/>
    <m/>
    <m/>
    <m/>
    <m/>
    <s v="5 AÑOS"/>
  </r>
  <r>
    <m/>
    <m/>
    <s v="BOLIVIA"/>
    <s v="ALICORP BOLIVIA"/>
    <m/>
    <s v="DON FELIPE"/>
    <s v="Producción"/>
    <s v="PLANTA DON FELIPE"/>
    <d v="2023-01-20T00:00:00"/>
    <n v="3"/>
    <m/>
    <m/>
    <m/>
    <m/>
    <s v="MAÑANA"/>
    <s v="Propio"/>
    <x v="4"/>
    <s v="MAMANI"/>
    <s v="PONCE"/>
    <s v="ANTONIO"/>
    <s v="M"/>
    <n v="59"/>
    <s v="OPERADOR SOLVENTE CROWN"/>
    <m/>
    <s v="Hemorragia subconjuntival en el ojo causada por la proyección de una tapa metálica del ducto de salida de aire del DTDC que logra impactar en la parte lateral del casco y lentes de seguridad. El trabajador (operador de Solvente Crown) estaba asegurando dicha tapa, cuando pierde el control de la misma y causa el impacto. "/>
    <s v="Golpeado por"/>
    <m/>
    <s v="OJOS"/>
    <m/>
    <s v="DURANTE SU RUTINA DE TRABAJO"/>
    <s v="HEMORRAGIA"/>
    <s v="Queratoconjuntivitis"/>
    <n v="2"/>
    <m/>
    <m/>
    <m/>
    <m/>
    <m/>
    <s v="28 AÑOS"/>
  </r>
  <r>
    <m/>
    <m/>
    <s v="ECUADOR"/>
    <s v="VITAPRO"/>
    <s v="ECUADOR"/>
    <s v="INBALNOR"/>
    <s v="Producción"/>
    <s v="INBALNOR"/>
    <d v="2023-01-20T00:00:00"/>
    <n v="3"/>
    <m/>
    <m/>
    <m/>
    <m/>
    <s v="NOCHE"/>
    <s v="Propio"/>
    <x v="5"/>
    <s v="REYES"/>
    <s v="MORAN"/>
    <s v="FRANCISCO SEGUNDO"/>
    <s v="M"/>
    <n v="38"/>
    <s v="AUXILIAR DE PRODUCCIÓN"/>
    <m/>
    <s v="Luxación de hombro derecho a causa de realizar un movimiento brusco mientras trasladaba sacos de calcio en el área de tolva de Microingredientes – Planta 1. El trabajador al notar que un saco se trabó realiza una maniobra brusca que le causa dolor en el hombro, pese a ello, continua realizando el traslado de sacos de calcio hasta que dicho dolor se intensifica. "/>
    <s v="SOBREESFUERZO"/>
    <m/>
    <s v="BRAZO"/>
    <m/>
    <s v="DURANTE SU RUTINA DE TRABAJO"/>
    <s v="Luxación"/>
    <s v="Esguince"/>
    <n v="20"/>
    <m/>
    <m/>
    <m/>
    <m/>
    <m/>
    <s v="5 AÑOS"/>
  </r>
  <r>
    <m/>
    <m/>
    <s v="PERU"/>
    <s v="ALICORP SAA"/>
    <s v="CALLAO"/>
    <s v="MOLINO CALLAO"/>
    <s v="Seguridad Industrial"/>
    <s v="SEGURIDAD INDUSTRIAL"/>
    <d v="2023-02-02T00:00:00"/>
    <n v="5"/>
    <m/>
    <m/>
    <m/>
    <m/>
    <s v="MAÑANA"/>
    <s v="Propio"/>
    <x v="3"/>
    <s v="BURGOS"/>
    <s v="VILLAFANA"/>
    <s v="YOEL FRANCIS"/>
    <s v="M"/>
    <n v="43"/>
    <s v="INSPECTOR DE SEGURIDAD"/>
    <m/>
    <s v="Desgarro muscular en la pierna izquierda a causa de caída en la escalera de emergencia del edificio despacho a Granel. "/>
    <s v="CAIDA A UN NIVEL BAJO"/>
    <m/>
    <s v="PIERNA"/>
    <m/>
    <s v="TRASLADANDOSE"/>
    <s v="DESGARRO MUSCULAR"/>
    <s v="Desgarro Muscular"/>
    <n v="28"/>
    <m/>
    <m/>
    <m/>
    <m/>
    <m/>
    <s v="8 AÑOS"/>
  </r>
  <r>
    <m/>
    <m/>
    <s v="PERU"/>
    <s v="ALICORP SAA"/>
    <s v="CALLAO"/>
    <s v="COPSA"/>
    <s v="Mantenimiento"/>
    <s v="REFINERIA"/>
    <d v="2023-02-02T00:00:00"/>
    <n v="5"/>
    <m/>
    <m/>
    <m/>
    <m/>
    <s v="MAÑANA"/>
    <s v="Propio"/>
    <x v="3"/>
    <s v="VELAZCO"/>
    <s v="JARA"/>
    <s v="KEVIN GABRIEL"/>
    <s v="M"/>
    <n v="27"/>
    <s v="SOLDADOR"/>
    <m/>
    <s v="Esguince del ligamento entre el hueso grande y ganchoso de la mano derecha, producto de una caída que sufre el trabajador al descender las escaleras en el área del Desodorizador 4 - primer piso, cuando se retiraba luego de atender trabajos de emergencia por contaminación de ácidos grasos de palma con agua."/>
    <s v="CAIDA A UN NIVEL BAJO"/>
    <m/>
    <s v="MANO"/>
    <m/>
    <s v="DURANTE SU RUTINA DE TRABAJO"/>
    <s v="ESGUINCE"/>
    <s v="Esguince"/>
    <n v="27"/>
    <m/>
    <m/>
    <m/>
    <m/>
    <m/>
    <s v="3 MESES"/>
  </r>
  <r>
    <m/>
    <m/>
    <s v="PERU"/>
    <s v="ALICORP SAA"/>
    <s v="CALLAO"/>
    <s v="APT MSR"/>
    <s v="Distribución"/>
    <s v="APT"/>
    <d v="2023-02-06T00:00:00"/>
    <n v="6"/>
    <m/>
    <m/>
    <m/>
    <m/>
    <s v="MAÑANA"/>
    <s v="Tercero"/>
    <x v="6"/>
    <s v="VILLAR"/>
    <s v="OBLITAS"/>
    <s v="JESUS"/>
    <s v="M"/>
    <n v="50"/>
    <s v="Estibador"/>
    <m/>
    <s v="Traumatismo en la pierna derecha a causa de caída de pallet mientras se encontraba trasladando dicho objeto dentro de un furgón. "/>
    <s v="Golpeado por"/>
    <m/>
    <s v="PIERNA"/>
    <m/>
    <s v="DURANTE SU RUTINA DE TRABAJO"/>
    <s v="CONTUSIÓN"/>
    <s v="Contusión"/>
    <n v="19"/>
    <m/>
    <m/>
    <m/>
    <m/>
    <m/>
    <s v="12 AÑOS"/>
  </r>
  <r>
    <m/>
    <m/>
    <s v="PERU"/>
    <s v="ALICORP SAA"/>
    <s v="CALLAO"/>
    <s v="GALLETERIA"/>
    <s v="Producción"/>
    <s v="PRODUCCION"/>
    <d v="2023-02-08T00:00:00"/>
    <n v="6"/>
    <m/>
    <m/>
    <m/>
    <m/>
    <s v="MAÑANA"/>
    <s v="Service"/>
    <x v="1"/>
    <s v="ANAYA"/>
    <s v="ESTEBAN"/>
    <s v="LUIS"/>
    <s v="M"/>
    <m/>
    <s v="OPERARIO DE PRODUCCION"/>
    <m/>
    <s v="Traumatismo en la pierna derecha a causa de golpe con el borde de la plataforma mientras transitaba desde el magazine."/>
    <s v="GOLPEADO CONTRA"/>
    <m/>
    <s v="PIERNA"/>
    <m/>
    <s v="DURANTE SU RUTINA DE TRABAJO"/>
    <s v="CONTUSIÓN"/>
    <s v="Contusión"/>
    <n v="3"/>
    <m/>
    <m/>
    <m/>
    <m/>
    <m/>
    <s v="1 MES"/>
  </r>
  <r>
    <m/>
    <m/>
    <s v="PERU"/>
    <s v="ALICORP SAA"/>
    <s v="SIDSUR"/>
    <s v="SIDSUR"/>
    <s v="Administración"/>
    <s v="SILOS"/>
    <d v="2023-02-09T00:00:00"/>
    <n v="6"/>
    <m/>
    <m/>
    <m/>
    <m/>
    <s v="MAÑANA"/>
    <s v="Tercero"/>
    <x v="7"/>
    <s v="AMADO"/>
    <s v="PEREZ"/>
    <s v="MARIA DEL CARMEN"/>
    <s v="F"/>
    <n v="36"/>
    <s v="Operario de Limpieza"/>
    <m/>
    <s v="Contusión causada por caída mientras se realizaban labores de limpieza en la zona externa del Silo 4, en presencia de agua y harina en el suelo."/>
    <s v="CAIDA A UN MISMO NIVEL"/>
    <m/>
    <s v="CUERPO"/>
    <m/>
    <s v="DURANTE SU RUTINA DE TRABAJO"/>
    <s v="CONTUSIÓN"/>
    <s v="Contusión"/>
    <n v="2"/>
    <m/>
    <m/>
    <m/>
    <m/>
    <m/>
    <s v="5 MESES"/>
  </r>
  <r>
    <m/>
    <m/>
    <s v="PERU"/>
    <s v="APUDEX"/>
    <s v="APUDEX"/>
    <s v="APUDEX"/>
    <s v="Distribución"/>
    <s v="APUDEX"/>
    <d v="2023-02-16T00:00:00"/>
    <n v="7"/>
    <m/>
    <m/>
    <m/>
    <m/>
    <s v="TARDE"/>
    <m/>
    <x v="8"/>
    <s v="MUÑOZ"/>
    <s v="ROJAS"/>
    <s v="GERARDO"/>
    <s v="M"/>
    <n v="47"/>
    <s v="OPERARIO DE ALMACÉN"/>
    <m/>
    <s v="Dolor en la región lumbar provocado por estiramiento realizado por el trabajador mientras intentaba posicionar una caja de 17 kg. en el rack. "/>
    <s v="SOBREESFUERZO"/>
    <m/>
    <s v="CUERPO"/>
    <m/>
    <s v="DURANTE SU RUTINA DE TRABAJO"/>
    <s v="CONTUSIÓN"/>
    <s v="Contusión"/>
    <n v="2"/>
    <m/>
    <m/>
    <m/>
    <m/>
    <m/>
    <s v="9 MESES"/>
  </r>
  <r>
    <m/>
    <m/>
    <s v="PERU"/>
    <s v="ALICORP SAA"/>
    <s v="CALLAO"/>
    <s v="GALLETERIA"/>
    <s v="Producción"/>
    <s v="PRODUCCIÓN"/>
    <d v="2023-02-16T00:00:00"/>
    <n v="7"/>
    <m/>
    <m/>
    <m/>
    <m/>
    <s v="NOCHE"/>
    <s v="Propio"/>
    <x v="3"/>
    <s v="GARCIA"/>
    <s v="LA ROSA"/>
    <s v="LUIS RICARDO"/>
    <s v="M"/>
    <n v="55"/>
    <s v="OPERADOR MASERO"/>
    <m/>
    <s v="Traumatismo superficial en la pierna izquierda provocado por una caída mientras intentaba accionar la parada de emergencia de la batidora de la línea 03. El trabajador se percata del derrame de producto de la batidora hacia el piso, causando que pierda la estabilidad en el traslado, se resbale e impacte con la escalera próxima. "/>
    <s v="CAIDA A UN MISMO NIVEL"/>
    <m/>
    <s v="PIERNA"/>
    <m/>
    <s v="DURANTE SU RUTINA DE TRABAJO"/>
    <s v="CONTUSIÓN"/>
    <s v="Contusión"/>
    <n v="8"/>
    <m/>
    <m/>
    <m/>
    <m/>
    <m/>
    <s v="23 AÑOS"/>
  </r>
  <r>
    <m/>
    <m/>
    <s v="PERU"/>
    <s v="MASTERBREAD"/>
    <s v="TEAL"/>
    <s v="TEAL LIMA"/>
    <s v="Producción"/>
    <s v="GALLETAS"/>
    <d v="2023-02-19T00:00:00"/>
    <n v="7"/>
    <m/>
    <m/>
    <m/>
    <m/>
    <s v="MAÑANA"/>
    <s v="Propio"/>
    <x v="9"/>
    <s v="CURO"/>
    <s v="CASTAÑEDA"/>
    <s v="JORGE LUIS"/>
    <s v="M"/>
    <n v="22"/>
    <s v="OPERARIO DE PRODUCCION"/>
    <m/>
    <s v="Herida del parpado y de la región periocular de ojo izquierdo por impacto con el brazo retráctil del escurridor de piso, que se encontraba atorado. El trabajador intentó liberarlo ejerciendo fuerza y provocó que este retorne hacia el y lo impacte."/>
    <s v="Golpeado por"/>
    <m/>
    <s v="OJOS"/>
    <m/>
    <s v="DURANTE SU RUTINA DE TRABAJO"/>
    <s v="CORTE"/>
    <s v="Corte"/>
    <n v="9"/>
    <m/>
    <m/>
    <m/>
    <m/>
    <m/>
    <s v="5 MESES 10 DIAS"/>
  </r>
  <r>
    <m/>
    <m/>
    <s v="ECUADOR"/>
    <s v="VITAPRO"/>
    <s v="TRUJILLO"/>
    <s v="NICOVITA"/>
    <s v="Producción"/>
    <s v="NICOVITA"/>
    <d v="2023-02-21T00:00:00"/>
    <n v="8"/>
    <m/>
    <m/>
    <m/>
    <m/>
    <s v="NOCHE"/>
    <s v="Propio"/>
    <x v="10"/>
    <s v="MALASQUEZ"/>
    <s v="NOLASCO"/>
    <s v="ALEXANDRO GUSSEPY"/>
    <s v="M"/>
    <n v="25"/>
    <s v="EMBOLSADOR"/>
    <m/>
    <s v="Fractura de escafoides de la mano izquierda producida por el impacto de un saco de producto a gran velocidad hacia el pecho del trabajador. Dicho contacto hizo que el trabajador pierda el equilibrio y cayera hacia atrás, apoyando sus manos instintivamente contra el suelo. "/>
    <s v="Golpeado por"/>
    <m/>
    <s v="MANO"/>
    <m/>
    <s v="DURANTE SU RUTINA DE TRABAJO"/>
    <s v="FRACTURA"/>
    <s v="Fractura"/>
    <n v="37"/>
    <m/>
    <m/>
    <m/>
    <m/>
    <m/>
    <s v="10 DIAS"/>
  </r>
  <r>
    <m/>
    <m/>
    <s v="PERU"/>
    <s v="ALICORP SAA"/>
    <s v="LATAM"/>
    <s v="CD LATAM"/>
    <s v="Administración"/>
    <s v="CD LATAM"/>
    <d v="2023-02-20T00:00:00"/>
    <n v="8"/>
    <m/>
    <m/>
    <m/>
    <m/>
    <s v="TARDE"/>
    <s v="Tercero"/>
    <x v="11"/>
    <s v="CASTILLO"/>
    <s v="HUERTAS"/>
    <s v="RITA"/>
    <s v="F"/>
    <m/>
    <s v="Operario de Limpieza"/>
    <m/>
    <s v="Contusiones superficiales múltiples producidas por caída y posterior golpe con la baranda de una escalera mientras trasladaba un contenedor plástico de residuos. "/>
    <s v="CAIDA A UN MISMO NIVEL"/>
    <m/>
    <s v="CUERPO"/>
    <m/>
    <s v="DURANTE SU RUTINA DE TRABAJO"/>
    <s v="CONTUSIÓN"/>
    <s v="Contusión"/>
    <n v="3"/>
    <m/>
    <m/>
    <m/>
    <m/>
    <m/>
    <s v="1 MES"/>
  </r>
  <r>
    <m/>
    <m/>
    <s v="PERU"/>
    <s v="ALICORP SAA"/>
    <s v="CALLAO"/>
    <s v="MOLINO FAUCETT"/>
    <s v="Producción"/>
    <s v="ENVASADO"/>
    <d v="2023-02-28T00:00:00"/>
    <n v="9"/>
    <m/>
    <m/>
    <m/>
    <m/>
    <s v="TARDE"/>
    <s v="Propio"/>
    <x v="3"/>
    <s v="ROMERO"/>
    <s v="BALBIN"/>
    <s v="LUIS DANIEL"/>
    <s v="M"/>
    <n v="27"/>
    <s v="Ayudante de planta"/>
    <m/>
    <s v="Descarga eléctrica producida por contacto con el soporte del molino de martillo ubicado en la zona de premezcla industrial del 2 nivel del edificio de envasado. "/>
    <s v="CONTACTO CON"/>
    <m/>
    <s v="CUERPO"/>
    <m/>
    <s v="DURANTE SU RUTINA DE TRABAJO"/>
    <s v="DESCARGA ELECTRICA"/>
    <s v="Descarga Eléctrica"/>
    <n v="13"/>
    <m/>
    <m/>
    <m/>
    <m/>
    <m/>
    <s v="13 DIAS"/>
  </r>
  <r>
    <m/>
    <m/>
    <s v="PERU"/>
    <s v="MASTERBREAD"/>
    <s v="TEAL"/>
    <s v="TEAL LIMA"/>
    <s v="Producción"/>
    <s v="CARAMELOS"/>
    <d v="2023-02-28T00:00:00"/>
    <n v="9"/>
    <m/>
    <m/>
    <m/>
    <m/>
    <s v="TARDE"/>
    <s v="Propio"/>
    <x v="9"/>
    <s v="BERRU"/>
    <s v="SANDOVAL"/>
    <s v="IVAN"/>
    <s v="M"/>
    <n v="28"/>
    <s v="OPERARIO DE PRODUCCION"/>
    <m/>
    <s v="Traumatismo superficial del dedo pulgar de la mano derecha causado por aprisionamiento del tope lateral movible de la mesa fría de la línea de caramelo blando – frunakids, mientras realizaba la descarga de la masa de fruna hacia las jabas vacías. "/>
    <s v="ATRAPADO POR"/>
    <m/>
    <s v="MANO"/>
    <m/>
    <s v="DURANTE SU RUTINA DE TRABAJO"/>
    <s v="CONTUSIÓN"/>
    <s v="Contusión"/>
    <n v="10"/>
    <m/>
    <m/>
    <m/>
    <m/>
    <m/>
    <s v="9 DIAS"/>
  </r>
  <r>
    <m/>
    <m/>
    <s v="BOLIVIA"/>
    <s v="ALICORP BOLIVIA"/>
    <m/>
    <s v="BOLIVIA"/>
    <s v="Producción"/>
    <s v="PLANTA DON FELIPE"/>
    <d v="2023-02-07T00:00:00"/>
    <n v="6"/>
    <m/>
    <m/>
    <m/>
    <m/>
    <s v="MAÑANA"/>
    <s v="Propio"/>
    <x v="4"/>
    <s v="AGUIRRE"/>
    <s v="LOPEZ"/>
    <s v="LUIS ALBERTO"/>
    <s v="M"/>
    <n v="33"/>
    <s v="APILADOR"/>
    <m/>
    <s v="Atrapamiento del dedo pulgar derecho mientras retiraba los tacos/calzas de las llantas de un transportador móvil de sacos de harina. "/>
    <s v="ATRAPADO POR"/>
    <m/>
    <s v="MANO"/>
    <m/>
    <s v="DURANTE SU RUTINA DE TRABAJO"/>
    <s v="FRACTURA"/>
    <s v="Fractura"/>
    <n v="34"/>
    <m/>
    <m/>
    <m/>
    <m/>
    <m/>
    <s v="10 AÑOS Y 4 MESES"/>
  </r>
  <r>
    <m/>
    <m/>
    <s v="BOLIVIA"/>
    <s v="ALICORP BOLIVIA"/>
    <m/>
    <s v="BOLIVIA"/>
    <s v="Producción"/>
    <s v="PLANTA DON FELIPE"/>
    <d v="2023-02-12T00:00:00"/>
    <n v="6"/>
    <m/>
    <m/>
    <m/>
    <m/>
    <s v="TARDE"/>
    <s v="Propio"/>
    <x v="4"/>
    <s v="ORTIZ"/>
    <m/>
    <s v="JAVIER"/>
    <s v="M"/>
    <n v="58"/>
    <s v="OPERADOR SOLVENTE TECNAL"/>
    <m/>
    <s v="Quemadura en ambas piernas causada por contacto con la descarga de vapor a nivel del del piso mientras inspeccionaba el proceso de inyección de vapor en la planta Tecnal durante la desolventización. "/>
    <s v="CONTACTO CON"/>
    <m/>
    <s v="PIERNA"/>
    <m/>
    <s v="DURANTE SU RUTINA DE TRABAJO"/>
    <s v="QUEMADURA"/>
    <s v="Quemadura"/>
    <n v="10"/>
    <m/>
    <m/>
    <m/>
    <m/>
    <m/>
    <s v="16 AÑOS"/>
  </r>
  <r>
    <m/>
    <m/>
    <s v="PERU"/>
    <s v="ALICORP SAA"/>
    <s v="CALLAO"/>
    <s v="COPSA"/>
    <s v="Producción"/>
    <s v="SALSAS 2"/>
    <d v="2023-03-07T00:00:00"/>
    <n v="10"/>
    <m/>
    <m/>
    <m/>
    <m/>
    <s v="TARDE"/>
    <s v="Propio"/>
    <x v="3"/>
    <s v="CERDEÑA"/>
    <s v="ORTIZ"/>
    <s v="JEAN FRANCO ANTONIO"/>
    <s v="M"/>
    <n v="24"/>
    <s v="OPERARIO DE PRODUCCION"/>
    <m/>
    <s v="Contusión en el segundo dedo de la mano izquierda provocada por golpe con la guarda de seguridad de la parte frontal de la encajadora línea 7, mientras se encontraba cerrando la tapa junto con otros 02 trabajadores."/>
    <s v="CONTACTO CON"/>
    <m/>
    <s v="MANO"/>
    <m/>
    <s v="DURANTE SU RUTINA DE TRABAJO"/>
    <s v="CONTUSIÓN"/>
    <s v="Contusión"/>
    <n v="6"/>
    <m/>
    <m/>
    <m/>
    <m/>
    <m/>
    <s v="2 MESES Y 6 DIAS"/>
  </r>
  <r>
    <m/>
    <m/>
    <s v="PERU"/>
    <s v="ALICORP SAA"/>
    <s v="CALLAO"/>
    <s v="GALLETERIA"/>
    <s v="Producción"/>
    <s v="BAÑADOS"/>
    <d v="2023-03-07T00:00:00"/>
    <n v="10"/>
    <m/>
    <m/>
    <m/>
    <m/>
    <s v="TARDE"/>
    <s v="Propio"/>
    <x v="3"/>
    <s v="OVIEDO"/>
    <s v="HIDALGO"/>
    <s v="EDGARD ANTHONY"/>
    <s v="M"/>
    <n v="45"/>
    <s v="OPERARIO DE PRODUCCION"/>
    <m/>
    <s v="Contusión en el codo izquierdo causada por un golpe con una bandeja con granel que sostenía otro trabajador. Ambos se encontraban alimentando galleta a granel hacia el magazín de la envasadora A9."/>
    <s v="CONTACTO CON"/>
    <m/>
    <s v="BRAZO"/>
    <m/>
    <s v="DURANTE SU RUTINA DE TRABAJO"/>
    <s v="CONTUSIÓN"/>
    <s v="Contusión"/>
    <n v="12"/>
    <m/>
    <m/>
    <m/>
    <m/>
    <m/>
    <s v="20 AÑOS"/>
  </r>
  <r>
    <m/>
    <m/>
    <s v="PERU"/>
    <s v="ALICORP SAA"/>
    <s v="CALLAO"/>
    <s v="MOLINO FAUCETT"/>
    <s v="Producción"/>
    <s v="DIAGRAMA &quot;C&quot;"/>
    <d v="2023-03-07T00:00:00"/>
    <n v="10"/>
    <m/>
    <m/>
    <m/>
    <m/>
    <s v="TARDE"/>
    <s v="Propio"/>
    <x v="3"/>
    <s v="CARRASCO"/>
    <s v="AVILES"/>
    <s v="WILLY DAVID"/>
    <s v="M"/>
    <n v="45"/>
    <s v="OPERADOR 2 DE MOLINO"/>
    <m/>
    <s v="Contusión en el dedo índice de la mano derecha provocada el contacto con la tapa del banco de cilindros RED2-C2. El trabajador escuchó la alarma del Molino, y procedió a cerrar la tapa del equipo que operaba sin percatarse de que su dedo se encontraba en el trayecto de cierre. "/>
    <s v="ATRAPADO POR"/>
    <m/>
    <s v="MANO"/>
    <m/>
    <s v="DURANTE SU RUTINA DE TRABAJO"/>
    <s v="CONTUSIÓN"/>
    <s v="Contusión"/>
    <n v="8"/>
    <m/>
    <m/>
    <m/>
    <m/>
    <m/>
    <s v="21 AÑOS"/>
  </r>
  <r>
    <m/>
    <m/>
    <s v="ECUADOR"/>
    <s v="VITAPRO"/>
    <s v="ECUADOR"/>
    <s v="VITAPRO"/>
    <m/>
    <s v="CEA UCSUR"/>
    <d v="2023-03-10T00:00:00"/>
    <n v="10"/>
    <m/>
    <m/>
    <m/>
    <m/>
    <s v="MAÑANA"/>
    <s v="Propio"/>
    <x v="10"/>
    <s v="AGURTO"/>
    <s v="SALAZAR"/>
    <s v="CAMILA FABIOLA"/>
    <s v="F"/>
    <n v="23"/>
    <s v="PRACTICANTE DE INVESTIGACION"/>
    <m/>
    <s v="Traumatismo superficial de la cabeza causada por impacto con la puerta de la gaveta superior del laboratorio que se encontraba descuadrada por la falta de un tornillo en la bisagra."/>
    <s v="CONTACTO CON"/>
    <m/>
    <s v="CABEZA"/>
    <m/>
    <s v="DURANTE SU RUTINA DE TRABAJO"/>
    <s v="TRAUMATISMO"/>
    <s v="Contusión"/>
    <n v="2"/>
    <m/>
    <m/>
    <m/>
    <m/>
    <m/>
    <s v="1 AÑO"/>
  </r>
  <r>
    <m/>
    <m/>
    <s v="CHILE"/>
    <s v="VITAPRO"/>
    <s v="CHILE"/>
    <s v="CHILE"/>
    <m/>
    <s v="SALMOFOOD"/>
    <d v="2023-03-11T00:00:00"/>
    <n v="10"/>
    <m/>
    <m/>
    <m/>
    <m/>
    <s v="MAÑANA"/>
    <s v="Propio"/>
    <x v="12"/>
    <s v="HERNANDEZ"/>
    <s v="NAIMAN"/>
    <s v="DANIEL ALEJANDRO"/>
    <s v="M"/>
    <n v="23"/>
    <s v="Operario"/>
    <m/>
    <s v="Torsión del tobillo derecho provocada mientras se desplazaba retirándose de su jornada en Casino CEA. El reporte lo realiza desde su domicilio, al sentir dolor."/>
    <s v="CAIDA A UN MISMO NIVEL"/>
    <m/>
    <s v="PIE"/>
    <m/>
    <s v="TRASLADANDOSE"/>
    <s v="ESGUINCE"/>
    <s v="Esguince"/>
    <n v="7"/>
    <m/>
    <m/>
    <m/>
    <m/>
    <m/>
    <s v="2 AÑOS"/>
  </r>
  <r>
    <m/>
    <m/>
    <s v="BOLIVIA"/>
    <s v="ALICORP BOLIVIA"/>
    <m/>
    <s v="BOLIVIA"/>
    <m/>
    <s v="CENTRO DE ACOPIO PAILON"/>
    <d v="2023-03-12T00:00:00"/>
    <n v="10"/>
    <m/>
    <m/>
    <m/>
    <m/>
    <s v="MAÑANA"/>
    <s v="Propio"/>
    <x v="4"/>
    <s v="CUIZA"/>
    <s v="CHAVARRÍA"/>
    <s v="YORDY"/>
    <s v="M"/>
    <n v="30"/>
    <s v="AYUDANTE DE HORNO "/>
    <m/>
    <s v="Hematoma y herida en el dedo medio de mano izquierda provocadas por el atrapamiento entre el borde del horno y un tronco de leña, mientras se encontraba colocando los troncos al interior del horno. "/>
    <s v="ATRAPADO POR"/>
    <m/>
    <s v="MANO"/>
    <m/>
    <s v="DURANTE SU RUTINA DE TRABAJO"/>
    <s v="HERIDA"/>
    <s v="Herida"/>
    <n v="5"/>
    <m/>
    <m/>
    <m/>
    <m/>
    <m/>
    <s v="36 DÍAS"/>
  </r>
  <r>
    <m/>
    <m/>
    <s v="PERU"/>
    <s v="ALICORP SAA"/>
    <s v="SIDSUR"/>
    <s v="SIDSUR"/>
    <s v="Producción"/>
    <s v="FIDEERIA"/>
    <d v="2023-03-15T00:00:00"/>
    <n v="11"/>
    <m/>
    <m/>
    <m/>
    <m/>
    <s v="MAÑANA"/>
    <s v="Propio"/>
    <x v="3"/>
    <s v="LAYME"/>
    <s v="MACHACA"/>
    <s v="MAXIMO RENE"/>
    <s v="M"/>
    <n v="60"/>
    <s v="MECANICO DE TURNO"/>
    <m/>
    <s v="Pérdida de falange distal superior del dedo medio de la mano derecha mientras se encontraba realizando el alineamiento de cadenas en la zona de descarga de la línea 3. El trabajador retira la guarda de seguridad sin realizar el bloqueo. "/>
    <s v="AMPUTACIÓN"/>
    <m/>
    <s v="MANO"/>
    <m/>
    <s v="DURANTE SU RUTINA DE TRABAJO"/>
    <s v="AMPUTACIÓN"/>
    <s v="Amputación"/>
    <n v="30"/>
    <n v="75"/>
    <n v="105"/>
    <m/>
    <m/>
    <m/>
    <s v="22 AÑOS"/>
  </r>
  <r>
    <m/>
    <m/>
    <s v="CHILE"/>
    <s v="VITAPRO"/>
    <s v="CHILE"/>
    <s v="CHILE"/>
    <s v="Producción"/>
    <s v="SALMOFOOD"/>
    <d v="2023-03-22T00:00:00"/>
    <n v="12"/>
    <m/>
    <m/>
    <m/>
    <m/>
    <s v="TARDE"/>
    <s v="Propio"/>
    <x v="12"/>
    <s v="OYARZUN"/>
    <s v="ANDRADE"/>
    <s v="VICTOR HUGO"/>
    <s v="M"/>
    <n v="43"/>
    <s v="ASISTENTE DE EXTRUSORISTA"/>
    <m/>
    <s v="Liberación de energía residual (vapor y producto), que entra en contacto con el brazo derecho del trabajador quien se encontraba realizando labores de limpieza en la punta del extrusor 3, mientras el personal de mantenimiento intervenía el equipo por una parada inesperada. "/>
    <s v="CONTACTO CON"/>
    <m/>
    <s v="BRAZO"/>
    <m/>
    <s v="DURANTE SU RUTINA DE TRABAJO"/>
    <s v="QUEMADURA"/>
    <s v="Quemadura"/>
    <n v="10"/>
    <m/>
    <m/>
    <m/>
    <m/>
    <m/>
    <s v="12 AÑOS"/>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
    <s v="IVE21866"/>
    <s v="PERU"/>
    <s v="INTRADEVCO INDUSTRIAL SA"/>
    <s v="VENTANILLA"/>
    <x v="0"/>
    <x v="0"/>
    <s v="Almacen EEII"/>
    <d v="2023-01-16T00:00:00"/>
    <n v="3"/>
    <n v="16"/>
    <n v="1"/>
    <n v="2023"/>
    <d v="1899-12-30T11:00:00"/>
    <s v="1er"/>
    <s v="Propio"/>
    <s v="INTRADEVCO INDUSTRIAL"/>
    <s v="BARBARAN"/>
    <s v=" CHIPANA"/>
    <s v=" JOSE ALEJANDRO"/>
    <s v="M"/>
    <n v="55"/>
    <s v="OPERARIO DE ALMACEN"/>
    <d v="2007-10-01T00:00:00"/>
    <s v="El trabajador del área de Almacén Jose Barbaran se encontraba cerca al área de elaboración de detergentes. Instantes antes del evento, se disponía a elevar un balde con ácido sulfónico (HLAS) hacia el mezanine de fabricación, al realizar esta acción, el contenido del balde se derrama y cae sobre su cabeza y rostro._x000a_Inmediatamente se le brinda los primeros auxilios y posteriormente se le traslada a la clínica San Gabriel para recibir atención especializada, donde le diagnosticaron Queratoconjuntivitis. "/>
    <x v="0"/>
    <x v="0"/>
    <s v="OJOS"/>
    <s v="Manipulacion de balde con HLAS"/>
    <s v="Apoyo en actividades"/>
    <s v="QUERATOCONJUNTIVITIS"/>
    <s v="Queratoconjuntivitis"/>
    <n v="2"/>
    <n v="0"/>
    <n v="2"/>
    <s v="Laborando"/>
    <n v="183"/>
    <s v="Puesto Regular"/>
    <s v="&gt; 1 año"/>
  </r>
  <r>
    <n v="2"/>
    <s v="ILU21875"/>
    <s v="PERU"/>
    <s v="INTRADEVCO INDUSTRIAL SA"/>
    <s v="LURIN"/>
    <x v="1"/>
    <x v="1"/>
    <s v="Aerosoles"/>
    <d v="2023-01-27T00:00:00"/>
    <n v="4"/>
    <n v="27"/>
    <n v="1"/>
    <n v="2023"/>
    <d v="1899-12-30T01:50:00"/>
    <s v="2do turno"/>
    <s v="Service"/>
    <s v="CONSULTING"/>
    <s v="LEON"/>
    <s v="RODRIGO"/>
    <s v="JORGE"/>
    <s v="M"/>
    <n v="23"/>
    <s v="OPERARIO DE PRODUCCIÓN"/>
    <d v="2020-10-01T00:00:00"/>
    <s v="El colaborador Jorge León Rodrigo realizaba su actividades cuando una tapa ingresa incorrectamente en la máquina tapadora y cae en el sistema de transferencia causando el  atoro de una lata dejando superficies punzocortantes expuestas. El colaborador intentó retirar el envase atorado ejerciendo fuerza y sufre un corte en el dedo índice de la mano derecha, al percatarse del corte y del sangrado da aviso al encargado para luego dirigirse al tópico para ser atendido.  "/>
    <x v="1"/>
    <x v="1"/>
    <s v="MANO"/>
    <s v="Retiro de envase roto atorado en máquina tapadora"/>
    <s v="Desatoro"/>
    <s v="Herida en dedo de la mano"/>
    <s v="Corte"/>
    <n v="14"/>
    <n v="0"/>
    <n v="14"/>
    <s v="Reincorporado"/>
    <n v="28"/>
    <s v="Puesto Regular"/>
    <s v="&gt; 1 año"/>
  </r>
  <r>
    <n v="3"/>
    <s v="ILU21870"/>
    <s v="PERU"/>
    <s v="INTRADEVCO INDUSTRIAL SA"/>
    <s v="LURIN"/>
    <x v="1"/>
    <x v="1"/>
    <s v="Limpiatodo"/>
    <d v="2023-01-31T00:00:00"/>
    <n v="5"/>
    <n v="31"/>
    <n v="1"/>
    <n v="2023"/>
    <d v="1899-12-30T18:00:00"/>
    <s v="1er turno"/>
    <s v="Propio"/>
    <s v="INTRADEVCO INDUSTRIAL"/>
    <s v="Zapata"/>
    <s v="Huertas"/>
    <s v="Jose"/>
    <s v="M"/>
    <n v="42"/>
    <s v="Maquinista"/>
    <d v="2012-01-01T00:00:00"/>
    <s v="Alrededor de las 6:00 pm el trabajador se encontraba acomodando una paleta que había colocado sobre una ruma de paletas vacías. Durante esta actividad el trabajador jala la paleta usando guantes de nitrilo y producto del esfuerzo, uno de los bordes de los listones de la paleta abre un corte que el trabajador tenía en el dedo índice de la mano derecha generando un mayor daño a la lesión._x000a__x000a_Este corte no fue reportado y se habría producido horas antes manipulando zunchos durante el abastecimiento de cajas a la línea sin usar guantes de seguridad."/>
    <x v="1"/>
    <x v="1"/>
    <s v="MANO"/>
    <s v="Alimentación de insumos en línea de producción"/>
    <s v="Operación regular"/>
    <s v="Herida de dedo de la mano sin daño en las uñas"/>
    <s v="Corte"/>
    <n v="8"/>
    <n v="0"/>
    <n v="8"/>
    <s v="Reincorporado"/>
    <n v="132"/>
    <s v="Puesto Regular"/>
    <s v="&gt; 1 año"/>
  </r>
  <r>
    <n v="4"/>
    <m/>
    <s v="PERU"/>
    <s v="INTRADEVCO INDUSTRIAL SA"/>
    <s v="LURIN"/>
    <x v="2"/>
    <x v="0"/>
    <s v="Exportaciones"/>
    <d v="2023-01-30T00:00:00"/>
    <n v="5"/>
    <n v="30"/>
    <n v="1"/>
    <n v="2023"/>
    <d v="1899-12-30T07:00:00"/>
    <s v="1er turno"/>
    <s v="Propio"/>
    <s v="INTRADEVCO INDUSTRIAL"/>
    <s v="Casimiro"/>
    <s v="Villacres"/>
    <s v="Taiwan"/>
    <s v="F"/>
    <n v="32"/>
    <s v="Asistente de planeamiento industrial"/>
    <d v="2021-12-15T00:00:00"/>
    <s v="La trabajadora luego de marcar asistencia en planta detergentes, subió a la movilidad para dirigirse a su lugar de trabajo en planta principal y al bajar de la movilidad sufrió una caída que le ocsionó un esguince y tuvo que ser trasladada a la clínica."/>
    <x v="2"/>
    <x v="2"/>
    <s v="PIE"/>
    <s v="Traslado a su lugar de trabajo"/>
    <s v="Operación regular"/>
    <s v="Esguince y torcedura de tobillo"/>
    <s v="Esguince"/>
    <n v="14"/>
    <n v="0"/>
    <n v="14"/>
    <s v="Laborando"/>
    <n v="12"/>
    <s v="Puesto Regular"/>
    <s v="&gt; 1 año"/>
  </r>
  <r>
    <n v="5"/>
    <s v="ILU21909"/>
    <s v="PERU"/>
    <s v="INTRADEVCO INDUSTRIAL SA"/>
    <s v="LURIN"/>
    <x v="2"/>
    <x v="1"/>
    <s v="Lavavajillas"/>
    <d v="2023-02-07T00:00:00"/>
    <n v="6"/>
    <n v="7"/>
    <n v="2"/>
    <n v="2023"/>
    <d v="1899-12-30T17:44:00"/>
    <s v="1er turno"/>
    <s v="Propio"/>
    <s v="INTRADEVCO INDUSTRIAL"/>
    <s v="Choquehuanca"/>
    <s v="Cari"/>
    <s v="Hermelinda"/>
    <s v="F"/>
    <n v="49"/>
    <s v="OPERARIO DE PRODUCCIÓN"/>
    <d v="2016-04-11T00:00:00"/>
    <s v="La colaboradora retornaba de los servicios higiénicos, caminaba sobre las rejillas que cubren la canaleta y tropezó sufriendo un corte en la rodilla derecha, fue auxiliada por su compañero. En el tópico recibió limpieza y curación de la herida y posteriormente fue trasladada hacia la clínica San Pablo."/>
    <x v="3"/>
    <x v="3"/>
    <s v="RODILLA"/>
    <s v="Retorno de los sshh"/>
    <s v="Operación regular"/>
    <s v="Herida en rodilla derecha"/>
    <s v="Herida"/>
    <n v="7"/>
    <n v="0"/>
    <n v="7"/>
    <s v="Laborando"/>
    <n v="72"/>
    <s v="Puesto Regular"/>
    <s v="&gt; 1 año"/>
  </r>
  <r>
    <n v="6"/>
    <s v="ITD22983"/>
    <s v="PERU"/>
    <s v="INTRADEVCO INDUSTRIAL SA"/>
    <s v="LURIN"/>
    <x v="3"/>
    <x v="2"/>
    <s v="APT Detergentes"/>
    <d v="2023-05-09T00:00:00"/>
    <n v="20"/>
    <n v="9"/>
    <n v="5"/>
    <n v="2023"/>
    <d v="1899-12-30T07:30:00"/>
    <s v="1er turno"/>
    <s v="Tercero"/>
    <s v="CEVA LOGISTICS"/>
    <s v="Fernández"/>
    <s v="Borja"/>
    <s v="Yessy Judith"/>
    <s v="F"/>
    <n v="27"/>
    <s v="Auxiliar de almacén"/>
    <m/>
    <s v="Siendo las 7:30 horas, la colaboradora Yessy Judith Fernandez Borja, acarreaba mercadería desde la zona de producción hacia los canales de planta interna en CD2 operando una transpaleta doble. La colaboradora, para poder retroceder y dejar la mercadería en canal, se posiciona en la plataforma de trabajo del transpaleta con el pie izquierdo cerca al borde al borde del equipo y el otro sobre la plataforma. En el momento que gira, el pie izquierdo resbala del equipo y queda atrapado entre la base del equipo y el piso._x000a__x000a_Posterior al evento, la colaboradora fue atendida en el tópico y trasladad a la clínica para que se realicen los exámenes correspondientes."/>
    <x v="4"/>
    <x v="2"/>
    <s v="PIE"/>
    <s v="Operación de transpaleta doble"/>
    <s v="Operación regular"/>
    <s v="Contusión de dedos del pie"/>
    <s v="Contusión"/>
    <n v="8"/>
    <n v="0"/>
    <n v="8"/>
    <s v="Laborando"/>
    <n v="13"/>
    <s v="Puesto Regular"/>
    <s v="&gt; 6 meses"/>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7">
  <r>
    <n v="1"/>
    <s v="IVE21866"/>
    <x v="0"/>
    <s v="INTRADEVCO INDUSTRIAL SA"/>
    <s v="VENTANILLA"/>
    <s v="VENTANILLA"/>
    <x v="0"/>
    <s v="Almacen EEII"/>
    <d v="2023-01-16T00:00:00"/>
    <n v="3"/>
    <n v="16"/>
    <x v="0"/>
    <n v="2023"/>
    <d v="1899-12-30T11:00:00"/>
    <s v="1er"/>
    <x v="0"/>
    <s v="INTRADEVCO INDUSTRIAL"/>
    <s v="BARBARAN"/>
    <s v=" CHIPANA"/>
    <s v=" JOSE ALEJANDRO"/>
    <s v="M"/>
    <n v="55"/>
    <s v="OPERARIO DE ALMACEN"/>
    <d v="2007-10-01T00:00:00"/>
    <s v="El trabajador del área de Almacén Jose Barbaran se encontraba cerca al área de elaboración de detergentes. Instantes antes del evento, se disponía a elevar un balde con ácido sulfónico (HLAS) hacia el mezanine de fabricación, al realizar esta acción, el contenido del balde se derrama y cae sobre su cabeza y rostro._x000a_Inmediatamente se le brinda los primeros auxilios y posteriormente se le traslada a la clínica San Gabriel para recibir atención especializada, donde le diagnosticaron Queratoconjuntivitis. "/>
    <s v="Proyección de Sustancias Químicas"/>
    <s v="Ojos"/>
    <x v="0"/>
    <s v="Manipulacion de balde con HLAS"/>
    <s v="Apoyo en actividades"/>
    <s v="QUERATOCONJUNTIVITIS"/>
    <x v="0"/>
    <n v="2"/>
    <n v="0"/>
    <n v="2"/>
    <s v="Laborando"/>
    <n v="183"/>
    <s v="Puesto Regular"/>
    <s v="&gt; 1 año"/>
    <m/>
    <m/>
  </r>
  <r>
    <n v="2"/>
    <s v="ILU21875"/>
    <x v="0"/>
    <s v="INTRADEVCO INDUSTRIAL SA"/>
    <s v="LURIN"/>
    <s v="Lurin 2_Principal"/>
    <x v="1"/>
    <s v="Aerosoles"/>
    <d v="2023-01-27T00:00:00"/>
    <n v="4"/>
    <n v="27"/>
    <x v="0"/>
    <n v="2023"/>
    <d v="1899-12-30T01:50:00"/>
    <s v="2do turno"/>
    <x v="1"/>
    <s v="CONSULTING"/>
    <s v="LEON"/>
    <s v="RODRIGO"/>
    <s v="JORGE"/>
    <s v="M"/>
    <n v="23"/>
    <s v="OPERARIO DE PRODUCCIÓN"/>
    <d v="2020-10-01T00:00:00"/>
    <s v="El colaborador Jorge León Rodrigo realizaba su actividades cuando una tapa ingresa incorrectamente en la máquina tapadora y cae en el sistema de transferencia causando el  atoro de una lata dejando superficies punzocortantes expuestas. El colaborador intentó retirar el envase atorado ejerciendo fuerza y sufre un corte en el dedo índice de la mano derecha, al percatarse del corte y del sangrado da aviso al encargado para luego dirigirse al tópico para ser atendido.  "/>
    <s v="Contacto con superficie cortante"/>
    <s v="Mano"/>
    <x v="1"/>
    <s v="Retiro de envase roto atorado en máquina tapadora"/>
    <s v="Desatoro"/>
    <s v="Herida en dedo de la mano"/>
    <x v="1"/>
    <n v="14"/>
    <n v="0"/>
    <n v="14"/>
    <s v="Reincorporado"/>
    <n v="28"/>
    <s v="Puesto Regular"/>
    <s v="&gt; 1 año"/>
    <m/>
    <m/>
  </r>
  <r>
    <n v="3"/>
    <s v="ILU21870"/>
    <x v="0"/>
    <s v="INTRADEVCO INDUSTRIAL SA"/>
    <s v="LURIN"/>
    <s v="Lurin 2_Principal"/>
    <x v="1"/>
    <s v="Limpiatodo"/>
    <d v="2023-01-31T00:00:00"/>
    <n v="5"/>
    <n v="31"/>
    <x v="0"/>
    <n v="2023"/>
    <d v="1899-12-30T18:00:00"/>
    <s v="1er turno"/>
    <x v="0"/>
    <s v="INTRADEVCO INDUSTRIAL"/>
    <s v="Zapata"/>
    <s v="Huertas"/>
    <s v="Jose"/>
    <s v="M"/>
    <n v="42"/>
    <s v="Maquinista"/>
    <d v="2012-01-01T00:00:00"/>
    <s v="Alrededor de las 6:00 pm el trabajador se encontraba acomodando una paleta que había colocado sobre una ruma de paletas vacías. Durante esta actividad el trabajador jala la paleta usando guantes de nitrilo y producto del esfuerzo, uno de los bordes de los listones de la paleta abre un corte que el trabajador tenía en el dedo índice de la mano derecha generando un mayor daño a la lesión._x000a__x000a_Este corte no fue reportado y se habría producido horas antes manipulando zunchos durante el abastecimiento de cajas a la línea sin usar guantes de seguridad."/>
    <s v="Contacto con superficie cortante"/>
    <s v="Mano"/>
    <x v="1"/>
    <s v="Alimentación de insumos en línea de producción"/>
    <s v="Operación regular"/>
    <s v="Herida de dedo de la mano sin daño en las uñas"/>
    <x v="1"/>
    <n v="8"/>
    <n v="0"/>
    <n v="8"/>
    <s v="Reincorporado"/>
    <n v="132"/>
    <s v="Puesto Regular"/>
    <s v="&gt; 1 año"/>
    <m/>
    <m/>
  </r>
  <r>
    <n v="4"/>
    <m/>
    <x v="0"/>
    <s v="INTRADEVCO INDUSTRIAL SA"/>
    <s v="LURIN"/>
    <s v="Lurin 4_Detergentes"/>
    <x v="0"/>
    <s v="Exportaciones"/>
    <d v="2023-01-30T00:00:00"/>
    <n v="5"/>
    <n v="30"/>
    <x v="0"/>
    <n v="2023"/>
    <d v="1899-12-30T07:00:00"/>
    <s v="1er turno"/>
    <x v="0"/>
    <s v="INTRADEVCO INDUSTRIAL"/>
    <s v="Casimiro"/>
    <s v="Villacres"/>
    <s v="Taiwan"/>
    <s v="F"/>
    <n v="32"/>
    <s v="Asistente de planeamiento industrial"/>
    <d v="2021-12-15T00:00:00"/>
    <s v="La trabajadora luego de marcar asistencia en planta detergentes, subió a la movilidad para dirigirse a su lugar de trabajo en planta principal y al bajar de la movilidad sufrió una caída que le ocsionó un esguince y tuvo que ser trasladada a la clínica."/>
    <s v="Caída a diferente nivel"/>
    <s v="Pie"/>
    <x v="2"/>
    <s v="Traslado a su lugar de trabajo"/>
    <s v="Operación regular"/>
    <s v="Esguince y torcedura de tobillo"/>
    <x v="2"/>
    <n v="14"/>
    <n v="0"/>
    <n v="14"/>
    <s v="Laborando"/>
    <n v="12"/>
    <s v="Puesto Regular"/>
    <s v="&gt; 1 año"/>
    <m/>
    <m/>
  </r>
  <r>
    <n v="5"/>
    <s v="ILU21909"/>
    <x v="0"/>
    <s v="INTRADEVCO INDUSTRIAL SA"/>
    <s v="LURIN"/>
    <s v="Lurin 4_Detergentes"/>
    <x v="1"/>
    <s v="Lavavajillas"/>
    <d v="2023-02-07T00:00:00"/>
    <n v="6"/>
    <n v="7"/>
    <x v="1"/>
    <n v="2023"/>
    <d v="1899-12-30T17:44:00"/>
    <s v="1er turno"/>
    <x v="0"/>
    <s v="INTRADEVCO INDUSTRIAL"/>
    <s v="Choquehuanca"/>
    <s v="Cari"/>
    <s v="Hermelinda"/>
    <s v="F"/>
    <n v="49"/>
    <s v="OPERARIO DE PRODUCCIÓN"/>
    <d v="2016-04-11T00:00:00"/>
    <s v="La colaboradora retornaba de los servicios higiénicos, caminaba sobre las rejillas que cubren la canaleta y tropezó sufriendo un corte en la rodilla derecha, fue auxiliada por su compañero. En el tópico recibió limpieza y curación de la herida y posteriormente fue trasladada hacia la clínica San Pablo."/>
    <s v="Caída a mismo nivel"/>
    <s v="Rodilla"/>
    <x v="3"/>
    <s v="Retorno de los sshh"/>
    <s v="Operación regular"/>
    <s v="Herida en rodilla derecha"/>
    <x v="3"/>
    <n v="7"/>
    <n v="0"/>
    <n v="7"/>
    <s v="Laborando"/>
    <n v="72"/>
    <s v="Puesto Regular"/>
    <s v="&gt; 1 año"/>
    <m/>
    <m/>
  </r>
  <r>
    <n v="6"/>
    <s v="ITD22983"/>
    <x v="0"/>
    <s v="INTRADEVCO INDUSTRIAL SA"/>
    <s v="LURIN"/>
    <s v="Lurin 4_CD1/CD2"/>
    <x v="2"/>
    <s v="APT Detergentes"/>
    <d v="2023-05-09T00:00:00"/>
    <n v="20"/>
    <n v="9"/>
    <x v="2"/>
    <n v="2023"/>
    <d v="1899-12-30T07:30:00"/>
    <s v="1er turno"/>
    <x v="2"/>
    <s v="CEVA LOGISTICS"/>
    <s v="Fernández"/>
    <s v="Borja"/>
    <s v="Yessy Judith"/>
    <s v="F"/>
    <n v="27"/>
    <s v="Auxiliar de almacén"/>
    <m/>
    <s v="Siendo las 7:30 horas, la colaboradora Yessy Judith Fernandez Borja, acarreaba mercadería desde la zona de producción hacia los canales de planta interna en CD2 operando una transpaleta doble. La colaboradora, para poder retroceder y dejar la mercadería en canal, se posiciona en la plataforma de trabajo del transpaleta con el pie izquierdo cerca al borde al borde del equipo y el otro sobre la plataforma. En el momento que gira, el pie izquierdo resbala del equipo y queda atrapado entre la base del equipo y el piso._x000a__x000a_Posterior al evento, la colaboradora fue atendida en el tópico y trasladad a la clínica para que se realicen los exámenes correspondientes."/>
    <s v="Golpeado por"/>
    <s v="Pie"/>
    <x v="2"/>
    <s v="Operación de transpaleta doble"/>
    <s v="Operación regular"/>
    <s v="Contusión de dedos del pie"/>
    <x v="4"/>
    <n v="8"/>
    <n v="0"/>
    <n v="8"/>
    <s v="Laborando"/>
    <n v="13"/>
    <s v="Puesto Regular"/>
    <s v="&gt; 6 meses"/>
    <m/>
    <m/>
  </r>
  <r>
    <n v="7"/>
    <s v="ILU22718 "/>
    <x v="0"/>
    <s v="INTRADEVCO INDUSTRIAL SA"/>
    <s v="LURIN"/>
    <s v="Lurin 4_Detergentes"/>
    <x v="1"/>
    <s v="Empacado"/>
    <d v="2023-07-06T00:00:00"/>
    <n v="27"/>
    <n v="6"/>
    <x v="3"/>
    <n v="2023"/>
    <d v="1899-12-30T21:40:00"/>
    <s v="2do turno"/>
    <x v="0"/>
    <s v="INTRADEVCO INDUSTRIAL"/>
    <s v="Quicaña"/>
    <s v="Huallpa"/>
    <s v="Angel"/>
    <s v="M"/>
    <n v="38"/>
    <s v="OPERARIO DE PRODUCCIÓN"/>
    <m/>
    <s v="El colaborador se encontraba colocando la bocamasa de la porta bobina de forma manual con ayuda de una llave Allen, cuando se encontraba aplicando fuerza dicha la llave sale proyectada con dirección a su rostro, impactando contra su nariz, el colaborador no informó de forma inmediata lo sucedido, ya que no presentaba dolor en el momento pero después de terminar de cenar comenzó a sentir dolor en la parte afectada y en la cabeza, por la cual dio aviso al área de seguridad industrial y fue llevado al tópico. Se le realizó la limpieza correspondiente y se le aplicó crema en la parte afectada y diclofenaco de forma intramuscular. Posterior a la atención, se trasladó a la clínica San Pablo del distrito de Surco."/>
    <s v="Golpeado por"/>
    <s v="Nariz"/>
    <x v="4"/>
    <s v="Ajuste de bobina"/>
    <s v="Operación regular"/>
    <s v="Contusión en tabique"/>
    <x v="4"/>
    <n v="56"/>
    <n v="0"/>
    <n v="56"/>
    <s v="Continua en DM"/>
    <n v="156"/>
    <s v="Puesto Regular"/>
    <s v="&gt; 1 año"/>
    <m/>
    <m/>
  </r>
  <r>
    <m/>
    <s v="ILU23106"/>
    <x v="0"/>
    <s v="INTRADEVCO INDUSTRIAL SA"/>
    <s v="LURIN"/>
    <s v="Lurín 5_FEM"/>
    <x v="1"/>
    <s v="FEM"/>
    <d v="2023-08-02T00:00:00"/>
    <n v="31"/>
    <n v="2"/>
    <x v="4"/>
    <n v="2023"/>
    <d v="1899-12-30T15:45:00"/>
    <s v="1er turno"/>
    <x v="1"/>
    <s v="CONSULTING"/>
    <s v="León"/>
    <s v="Inti"/>
    <s v="Denis Elier"/>
    <s v="M"/>
    <n v="18"/>
    <s v="OPERARIO DE PRODUCCIÓN"/>
    <d v="2023-05-04T00:00:00"/>
    <s v="Siendo las 3:30 pm, el maquinista Dan Soto detecta vacíos en el manto por lo que decide parar la alimentación de fibra hacia la cardadora, apertura la primera guarda de la cardadora para retiro de la fibra, sin para los rodillos dentados de la Cardadora._x000a_Denis León (Accidentado) se encontraba controlando el producto que ingresa al horno, al quedarse sin producto se dirige hacia el punto de acumulación de fibra para ayudar a Leonardo Muñoz a retirar la fibra acumulada. Una vez retirada la fibra acumulada, Denis (Accidentado) se percata que el Sr. Muñoz iba a retirar unos retazos de fibra que se habían pasado hacia la zona de los Rodillos Dentados (en movimiento), Denis le indica a su compañero que el realizaría la acción y se aproxima para retirar los retazos, es en ese momento donde sufre el atrapamiento, el colaborador logra retirar la mano sin embargo la velocidad del rodillo dentado le genera el daño en los dedos. _x000a_Es auxiliado por el Supervisor de Producción quien lo traslada al tópico y avisa al área de seguridad industrial, luego de la atención es derivado a la clínica San Pablo en el distrito de Surco."/>
    <s v="Atrapado entre"/>
    <s v="Mano derecha"/>
    <x v="1"/>
    <s v="Inspección de guata"/>
    <s v="Operación regular"/>
    <s v="Amputación traumática en diferentes grados"/>
    <x v="5"/>
    <n v="59"/>
    <n v="845"/>
    <n v="904"/>
    <s v="Continua en DM"/>
    <s v="3 meses"/>
    <s v="Puesto Regular"/>
    <s v="&lt; 6 meses"/>
    <m/>
    <m/>
  </r>
  <r>
    <m/>
    <s v="ITD23107"/>
    <x v="0"/>
    <s v="INTRADEVCO INDUSTRIAL SA"/>
    <s v="LURIN"/>
    <s v="Lurin 4_CD1/CD2"/>
    <x v="2"/>
    <s v="Distribución"/>
    <d v="2023-08-23T00:00:00"/>
    <n v="34"/>
    <n v="23"/>
    <x v="4"/>
    <n v="2023"/>
    <d v="1899-12-30T06:10:00"/>
    <s v="2do turno"/>
    <x v="2"/>
    <s v="CEVA LOGISTICS"/>
    <s v="Días"/>
    <s v="Alarcon"/>
    <s v="Pol Brandon"/>
    <s v="M"/>
    <n v="20"/>
    <s v="Auxiliar de almacén"/>
    <m/>
    <s v="Un colaborador se percata que la batería del equipo que operaba (transpaleta eléctrica doble), se encontraba con el nivel de carga eléctrica baja, por lo que se dirige a la sala de baterías para realizar el cambio por una batería con nivel de carga eléctrica alta. Al llegar a la sala de baterías procede a realizar el cambio, para lo cual, el colaborador retira la batería descargada, seguidamente, desplaza el equipo hacia la zona donde se ubica la batería cargada y posiciona el equipo de manera que la batería cargada esté alineada con su ubicación en el transpaleta; luego, el colaborador posiciona las manos en el borde de la batería y jala la batería para desplazarla hasta su posición final, sin embargo el seguro que traba la batería, que inicialmente estaba colocada en posición vertical (posición de apertura), regresa a su ubicación inicial (posición de cierre), por lo que el pulgar de la mano derecha del colaborador, es aprisionada con el borde del seguro de la batería del equipo y la propia batería, generando una lesión; posteriormente el colaborador es auxiliado, y es atendido por el personal médico del tópico, finalmente es evacuado a un centro de salud.  "/>
    <s v="Atrapado entre"/>
    <s v="Mano derecha"/>
    <x v="1"/>
    <s v="Cambio de batería"/>
    <s v="Operación regular"/>
    <s v="Fractura de primera falange de segundo dedo de mano derecha"/>
    <x v="6"/>
    <n v="60"/>
    <n v="0"/>
    <n v="60"/>
    <s v="Continua en DM"/>
    <s v="3 meses"/>
    <s v="Puesto Regular"/>
    <s v="&lt; 6 meses"/>
    <m/>
    <m/>
  </r>
  <r>
    <m/>
    <s v="ILU23097"/>
    <x v="0"/>
    <s v="INTRADEVCO INDUSTRIAL SA"/>
    <s v="LURIN"/>
    <s v="Lurin 2_Principal"/>
    <x v="1"/>
    <s v="Flexografía"/>
    <d v="2023-08-22T00:00:00"/>
    <n v="34"/>
    <n v="22"/>
    <x v="4"/>
    <n v="2023"/>
    <d v="1899-12-30T18:45:00"/>
    <s v="1r turno"/>
    <x v="0"/>
    <s v="INTRADEVCO INDUSTRIAL"/>
    <s v="Guerra"/>
    <s v="Ishuiza"/>
    <s v="Edinson"/>
    <s v="F"/>
    <n v="35"/>
    <s v="Impresor"/>
    <d v="2007-07-23T00:00:00"/>
    <s v="El colaborador se encontraba imprimiendo pentalaminado de pasta dental, cuando se percata de que uno de los bordes presentaba manchas de tinta, por lo que procede a detener la máquina para identificar el punto que originaba las manchas._x000a_Encontrándose la máquina detenida, el operador inicia la limpieza de uno de los rodillos de impresión. En ese momento, mueve con la mano izquierda la manivela del tambor principal mientras que con la mano derecha limpiaba el rodillo con un trapo con solvente._x000a_Durante esta actividad, el dedo índice de la mano derecha entra en contacto con el punto de rozamiento del tambor principal con el rodillo de impresión. Producto de esto, la primera falange del dedo índice sufre un aplastamiento entre ambas superficies._x000a_Inmediatamente, el colaborador retira su dedo del punto de contacto y reporta lo ocurrido. El colaborador es atendido por el médico de la ambulancia y derivado a la clínica, en donde le realizan estudios complementarios descartando fracturas."/>
    <s v="Atrapado entre"/>
    <s v="Mano derecha"/>
    <x v="1"/>
    <s v="Limpieza de rodillo"/>
    <s v="Limpieza del equipo"/>
    <s v="Traimatismo por aplastamiento del dedo índice"/>
    <x v="3"/>
    <n v="40"/>
    <n v="0"/>
    <n v="40"/>
    <s v="Reincorporado"/>
    <s v="1.5 meses"/>
    <s v="Puesto Regular"/>
    <s v="&lt; 6 meses"/>
    <m/>
    <m/>
  </r>
  <r>
    <m/>
    <m/>
    <x v="0"/>
    <s v="INTRADEVCO INDUSTRIAL SA"/>
    <s v="CHORRILLOS"/>
    <s v="CHORRILLOS"/>
    <x v="1"/>
    <s v="Plasticos"/>
    <d v="2023-09-04T00:00:00"/>
    <n v="36"/>
    <n v="4"/>
    <x v="5"/>
    <n v="2023"/>
    <d v="1899-12-30T07:30:00"/>
    <s v="1er turno"/>
    <x v="0"/>
    <s v="INTRADEVCO INDUSTRIAL"/>
    <s v="PEREA"/>
    <s v=" RUIZ"/>
    <s v=" GEORGE LUIS"/>
    <s v="M"/>
    <n v="39"/>
    <s v="Operario"/>
    <d v="2012-05-14T00:00:00"/>
    <s v="Aproximadamente a las 7:25 am el colaborador George Perea ingresa a las instalaciones y se dirige a los vestuarios del área de plásticos (ubicado en un 2do piso) para colocarse su uniforme de trabajo e iniciar sus labores. Al subir por la escalera, el colaborador se dobla el tobillo izquierdo en uno de los escalones. El trabajador no informó de forma inmediata lo sucedido._x000a_Aproximadamente a las 2:50 pm, el colaborador acude al tópico y manifiesta lo ocurrido, en ese momento es atendido y evaluado en el tópico. _x000a_Luego de la evaluación médica, el trabajador es evacuado a la clínica San Pablo para recibir atención especializada."/>
    <s v="Caída a mismo nivel"/>
    <s v="Tobillo izquierdo"/>
    <x v="5"/>
    <s v="Ascenso por escaleras"/>
    <s v="Transito en planta"/>
    <s v="Esguince y torcedura de tobillo izquierdo"/>
    <x v="2"/>
    <n v="51"/>
    <n v="0"/>
    <n v="51"/>
    <s v="Continúa en DM"/>
    <n v="135"/>
    <s v="Puesto Regular"/>
    <s v="&gt; 1 año"/>
    <m/>
    <m/>
  </r>
  <r>
    <m/>
    <m/>
    <x v="0"/>
    <s v="INTRADEVCO INDUSTRIAL SA"/>
    <s v="CHORRILLOS"/>
    <s v="CHORRILLOS"/>
    <x v="1"/>
    <s v="Intralab"/>
    <d v="2023-09-26T00:00:00"/>
    <n v="39"/>
    <n v="26"/>
    <x v="5"/>
    <n v="2023"/>
    <d v="1899-12-30T05:00:00"/>
    <s v="2do turno"/>
    <x v="1"/>
    <s v="CONSULTING"/>
    <s v="FERNANDEZ"/>
    <s v=" FERNANDEZ"/>
    <s v=" DAVID"/>
    <s v="M"/>
    <n v="20"/>
    <s v="OPERARIO DE PRODUCCIÓN"/>
    <d v="2023-01-23T00:00:00"/>
    <s v="Siendo las 5:00 a.m. aproximadamente, el operador David Fernández se encontraba trabajando en la línea 08 de pasta dental precisamente en el horno de termoencongible, el operador nota que la lámina de termoencogible se había roto y no cubría la totalidad del pack, para corregir este problema el operador detiene el equipo y se coloca al costado del horno, se agacha para unir la lámina y en esa posición levanta la mano izquierda, abre la puerta lateral del horno e introduce la mano para jalar la lámina por dentro, en ese momento su mano roza con la cuchilla de corte que se encuentra a alta temperatura. Produciéndole una quemadura de segundo grado en dorso de 1er, 2do y 3er dedo de mano. "/>
    <s v="Atrapado entre"/>
    <s v="Mano izquierda"/>
    <x v="1"/>
    <s v="Colocacion de film"/>
    <s v="Operación regular"/>
    <s v="Quemadura de 2do grado"/>
    <x v="7"/>
    <n v="20"/>
    <n v="0"/>
    <n v="20"/>
    <s v="Continúa en DM"/>
    <n v="8"/>
    <s v="Apoyo"/>
    <s v="&lt; 6 meses"/>
    <m/>
    <m/>
  </r>
  <r>
    <m/>
    <m/>
    <x v="0"/>
    <s v="ALICORP SAA"/>
    <s v="CALLAO"/>
    <s v="MOLINO CALLAO"/>
    <x v="3"/>
    <s v="AZOTEA"/>
    <d v="2023-01-04T00:00:00"/>
    <n v="1"/>
    <m/>
    <x v="6"/>
    <m/>
    <m/>
    <s v="NOCHE"/>
    <x v="0"/>
    <s v="ALICORP"/>
    <s v="SURICHAQUI"/>
    <s v="CUMAPA"/>
    <s v="MIGUEL ANGEL"/>
    <s v="M"/>
    <n v="24"/>
    <s v="Mecánico de mantenimiento"/>
    <m/>
    <s v="Esquince y torcedura de tobillo izquierdo a causa de caída mientras descendía de la escalera vertical ubicada en el 9 piso (azotea) del edificio del Molino Callao. El trabajador realizaba labores de mantenimiento del sistema de alimentación de agua del acondicionado de trigo. "/>
    <s v="CAIDA A UN NIVEL BAJO"/>
    <m/>
    <x v="2"/>
    <m/>
    <s v="DURANTE SU RUTINA DE TRABAJO"/>
    <s v="ESGUINCE"/>
    <x v="2"/>
    <n v="23"/>
    <m/>
    <m/>
    <m/>
    <m/>
    <m/>
    <s v="5 MESES"/>
    <s v="ESCALERA VERTICAL"/>
    <s v="CONTRATADO"/>
  </r>
  <r>
    <m/>
    <m/>
    <x v="0"/>
    <s v="ALICORP SAA"/>
    <s v="CALLAO"/>
    <s v="MOLINO CALLAO"/>
    <x v="3"/>
    <s v="ESCALERA DE ACCESO AL EDIFICIO DE LIMPIEZA - 6 PISO"/>
    <d v="2023-01-06T00:00:00"/>
    <n v="1"/>
    <m/>
    <x v="6"/>
    <m/>
    <m/>
    <s v="MAÑANA"/>
    <x v="0"/>
    <s v="ALICORP"/>
    <s v="RODRIGUEZ"/>
    <s v="CORPUS"/>
    <s v="JUAN CARLOS"/>
    <s v="M"/>
    <n v="29"/>
    <s v="Mecánico de mantenimiento"/>
    <m/>
    <s v="Contusión del hombro y del brazo izquierdo producto del golpe sufrido por la caída del trabajador que resbala descendiendo por las escaleras del 6 piso del edificio del Molino Callao. Debido a las condiciones ambientales en el momento del accidente, la zona se encontraba humedecida. "/>
    <s v="CAIDA A UN NIVEL BAJO"/>
    <m/>
    <x v="6"/>
    <m/>
    <s v="TRASLADANDOSE"/>
    <s v="CONTUSIÓN"/>
    <x v="4"/>
    <n v="1"/>
    <m/>
    <m/>
    <m/>
    <m/>
    <m/>
    <s v="3 AÑOS"/>
    <s v="ESCALERA"/>
    <s v="ESTABLE"/>
  </r>
  <r>
    <m/>
    <m/>
    <x v="0"/>
    <s v="ALICORP SAA"/>
    <s v="CALLAO"/>
    <s v="COPSA"/>
    <x v="1"/>
    <s v="ACEITES"/>
    <d v="2023-01-06T00:00:00"/>
    <n v="1"/>
    <m/>
    <x v="6"/>
    <m/>
    <m/>
    <s v="MAÑANA"/>
    <x v="0"/>
    <s v="ALICORP"/>
    <s v="PEREZ "/>
    <s v="DÍAZ"/>
    <s v="FERNANDO"/>
    <s v="M"/>
    <n v="41"/>
    <s v="OPERARIO DE PRODUCCIÓN"/>
    <m/>
    <s v="Policontusión en la cabeza y zona cervical debido al golpe causado por la caída de la puerta enrollable del almacén de preformas de SMI. El trabajador colocó una varilla para sostener la puerta enrollable y poder trasladar una stocka con baldes y tapas, no obstante la varilla cede y deja caer el peso de la puerta sobre la cabeza del trabajador. "/>
    <s v="Golpeado por"/>
    <m/>
    <x v="7"/>
    <m/>
    <s v="DURANTE SU RUTINA DE TRABAJO"/>
    <s v="CONTUSIÓN"/>
    <x v="4"/>
    <n v="2"/>
    <m/>
    <m/>
    <m/>
    <m/>
    <m/>
    <s v="2 MESES"/>
    <s v="Puerta enrollable"/>
    <s v="CONTRATADO"/>
  </r>
  <r>
    <m/>
    <m/>
    <x v="0"/>
    <s v="ALICORP SAA"/>
    <s v="CALLAO"/>
    <s v="COPSA"/>
    <x v="1"/>
    <s v="MARGARINAS"/>
    <d v="2023-01-13T00:00:00"/>
    <n v="2"/>
    <m/>
    <x v="6"/>
    <m/>
    <m/>
    <s v="MAÑANA"/>
    <x v="0"/>
    <s v="ALICORP"/>
    <s v="HURTADO"/>
    <s v="CHURA"/>
    <s v="ABIGAIL"/>
    <s v="F"/>
    <n v="19"/>
    <s v="APRENDIZ SENATI"/>
    <m/>
    <s v="Quemadura en dorso de mano derecha a causa de roce con la mordaza caliente de sellado de la máquina llenadora de potes – etapa de sellado. "/>
    <s v="CONTACTO CON"/>
    <m/>
    <x v="1"/>
    <m/>
    <s v="DURANTE SU RUTINA DE TRABAJO"/>
    <s v="QUEMADURA"/>
    <x v="7"/>
    <n v="5"/>
    <m/>
    <m/>
    <m/>
    <m/>
    <m/>
    <s v="1 MES Y 11 DÍAS"/>
    <s v="SUPERFICIE CALIENTE"/>
    <s v="SENATI"/>
  </r>
  <r>
    <m/>
    <m/>
    <x v="0"/>
    <s v="ALICORP SAA"/>
    <s v="CALLAO"/>
    <s v="DESARROLLO"/>
    <x v="4"/>
    <s v="PANIFICACIÓN"/>
    <d v="2023-01-23T00:00:00"/>
    <n v="4"/>
    <m/>
    <x v="6"/>
    <m/>
    <m/>
    <s v="TARDE"/>
    <x v="0"/>
    <s v="ALICORP"/>
    <s v="COLLAHUA"/>
    <s v="SANCHEZ"/>
    <s v="JESSICA"/>
    <s v="F"/>
    <n v="43"/>
    <s v="ASISTENTE DE DESARROLLO DE PRODUCTO"/>
    <m/>
    <s v="Quemadura del hombro y miembro superior a causa de contacto con la bandeja caliente del horno mientras la trabajadora se encontraba retirando 02 kekes recién horneados en la zona de horneado y cocción. "/>
    <s v="CONTACTO CON"/>
    <m/>
    <x v="6"/>
    <m/>
    <s v="DURANTE SU RUTINA DE TRABAJO"/>
    <s v="QUEMADURA"/>
    <x v="7"/>
    <n v="2"/>
    <m/>
    <m/>
    <m/>
    <m/>
    <m/>
    <s v="24 AÑOS"/>
    <s v="HORNO"/>
    <s v="EMPLEADO"/>
  </r>
  <r>
    <m/>
    <m/>
    <x v="0"/>
    <s v="ALICORP SAA"/>
    <s v="CALLAO"/>
    <s v="GALLETERIA"/>
    <x v="1"/>
    <s v="PRODUCCION"/>
    <d v="2023-01-26T00:00:00"/>
    <n v="4"/>
    <m/>
    <x v="6"/>
    <m/>
    <m/>
    <s v="TARDE"/>
    <x v="0"/>
    <s v="ALICORP"/>
    <s v="SARAVIA"/>
    <s v="LOJA"/>
    <s v="GREICI"/>
    <s v="F"/>
    <n v="34"/>
    <s v="OPERARIO DE PRODUCCIÓN"/>
    <m/>
    <s v="Inflamación de la córnea a causa de proyección de partículas de galleta que se liberaron mientras realizaban el desatoro de la línea. Cabe resaltar que la trabajadora reportó el evento al día siguiente. "/>
    <s v="CONTACTO CON"/>
    <m/>
    <x v="0"/>
    <m/>
    <s v="DURANTE SU RUTINA DE TRABAJO"/>
    <s v="INFLAMACIÓN"/>
    <x v="0"/>
    <n v="3"/>
    <m/>
    <m/>
    <m/>
    <m/>
    <m/>
    <s v="16  días"/>
    <s v="PARTÍCULAS DE GALLETA"/>
    <s v="CONTRATADO"/>
  </r>
  <r>
    <m/>
    <m/>
    <x v="0"/>
    <s v="ALICORP SAA"/>
    <s v="CALLAO"/>
    <s v="COPSA"/>
    <x v="1"/>
    <s v="ACEITES"/>
    <d v="2023-01-31T00:00:00"/>
    <n v="5"/>
    <m/>
    <x v="6"/>
    <m/>
    <m/>
    <s v="NOCHE"/>
    <x v="0"/>
    <s v="ALICORP"/>
    <s v="VELASQUEZ"/>
    <s v="TORRES"/>
    <s v="JESÚS"/>
    <s v="M"/>
    <n v="19"/>
    <s v="OPERARIO DE PRODUCCIÓN"/>
    <m/>
    <s v="Contusión en el dedo pulgar derecho a causa de impacto con la pared. El trabajador se encontraba ejerciendo fuerza para arrancar strech film en los baldes anidados y producto de la inercia del movimiento su dedo golpea la pared contigua. Cabe resaltar que el reporte lo realiza en el trascurso del día. "/>
    <s v="GOLPEADO CONTRA"/>
    <m/>
    <x v="1"/>
    <m/>
    <s v="DURANTE SU RUTINA DE TRABAJO"/>
    <s v="CONTUSIÓN"/>
    <x v="4"/>
    <n v="2"/>
    <m/>
    <m/>
    <m/>
    <m/>
    <m/>
    <s v="27 dias"/>
    <s v="PARED"/>
    <s v="CONTRATADO"/>
  </r>
  <r>
    <m/>
    <m/>
    <x v="1"/>
    <s v="ALICORP BOLIVIA"/>
    <m/>
    <s v="PARQUE INDUSTRIAL"/>
    <x v="2"/>
    <s v="PARQUE INDUSTRIAL"/>
    <d v="2023-01-03T00:00:00"/>
    <n v="1"/>
    <m/>
    <x v="6"/>
    <m/>
    <m/>
    <s v="NOCHE"/>
    <x v="3"/>
    <s v="FINO"/>
    <s v="ORTUÑO"/>
    <s v="TOLEDO"/>
    <s v="GUSTAVO"/>
    <s v="M"/>
    <n v="40"/>
    <s v="Estibador"/>
    <m/>
    <s v="Contusión en pie y tobillo derecho a causa de caída de la compuerta que golpea al trabajador contratista mientras realizaba la descarga de camión con grano de soya en Volcadora ubicada en la Fosa de descarga N°3 del área de Recepción de granos.  "/>
    <s v="Golpeado por"/>
    <m/>
    <x v="2"/>
    <m/>
    <s v="DURANTE SU RUTINA DE TRABAJO"/>
    <s v="CONTUSIÓN"/>
    <x v="4"/>
    <n v="21"/>
    <m/>
    <m/>
    <m/>
    <m/>
    <m/>
    <s v="5 AÑOS"/>
    <s v="COMPUERTA TRASERA DE CAMIÓN"/>
    <s v="TERCERO"/>
  </r>
  <r>
    <m/>
    <m/>
    <x v="1"/>
    <s v="ALICORP BOLIVIA"/>
    <m/>
    <s v="DON FELIPE"/>
    <x v="1"/>
    <s v="PLANTA DON FELIPE"/>
    <d v="2023-01-20T00:00:00"/>
    <n v="3"/>
    <m/>
    <x v="6"/>
    <m/>
    <m/>
    <s v="MAÑANA"/>
    <x v="0"/>
    <s v="FINO"/>
    <s v="MAMANI"/>
    <s v="PONCE"/>
    <s v="ANTONIO"/>
    <s v="M"/>
    <n v="59"/>
    <s v="OPERADOR SOLVENTE CROWN"/>
    <m/>
    <s v="Hemorragia subconjuntival en el ojo causada por la proyección de una tapa metálica del ducto de salida de aire del DTDC que logra impactar en la parte lateral del casco y lentes de seguridad. El trabajador (operador de Solvente Crown) estaba asegurando dicha tapa, cuando pierde el control de la misma y causa el impacto. "/>
    <s v="Golpeado por"/>
    <m/>
    <x v="0"/>
    <m/>
    <s v="DURANTE SU RUTINA DE TRABAJO"/>
    <s v="HEMORRAGIA"/>
    <x v="0"/>
    <n v="2"/>
    <m/>
    <m/>
    <m/>
    <m/>
    <m/>
    <s v="28 AÑOS"/>
    <s v="TAPA METÁLICA"/>
    <m/>
  </r>
  <r>
    <m/>
    <m/>
    <x v="2"/>
    <s v="VITAPRO"/>
    <s v="ECUADOR"/>
    <s v="INBALNOR"/>
    <x v="1"/>
    <s v="INBALNOR"/>
    <d v="2023-01-20T00:00:00"/>
    <n v="3"/>
    <m/>
    <x v="6"/>
    <m/>
    <m/>
    <s v="NOCHE"/>
    <x v="0"/>
    <s v="INBALNOR"/>
    <s v="REYES"/>
    <s v="MORAN"/>
    <s v="FRANCISCO SEGUNDO"/>
    <s v="M"/>
    <n v="38"/>
    <s v="AUXILIAR DE PRODUCCIÓN"/>
    <m/>
    <s v="Luxación de hombro derecho a causa de realizar un movimiento brusco mientras trasladaba sacos de calcio en el área de tolva de Microingredientes – Planta 1. El trabajador al notar que un saco se trabó realiza una maniobra brusca que le causa dolor en el hombro, pese a ello, continua realizando el traslado de sacos de calcio hasta que dicho dolor se intensifica. "/>
    <s v="SOBREESFUERZO"/>
    <m/>
    <x v="6"/>
    <m/>
    <s v="DURANTE SU RUTINA DE TRABAJO"/>
    <s v="Luxación"/>
    <x v="2"/>
    <n v="20"/>
    <m/>
    <m/>
    <m/>
    <m/>
    <m/>
    <s v="5 AÑOS"/>
    <s v="SACOS DE CALCIO"/>
    <m/>
  </r>
  <r>
    <m/>
    <m/>
    <x v="0"/>
    <s v="ALICORP SAA"/>
    <s v="CALLAO"/>
    <s v="MOLINO CALLAO"/>
    <x v="5"/>
    <s v="SEGURIDAD INDUSTRIAL"/>
    <d v="2023-02-02T00:00:00"/>
    <n v="5"/>
    <m/>
    <x v="6"/>
    <m/>
    <m/>
    <s v="MAÑANA"/>
    <x v="0"/>
    <s v="ALICORP"/>
    <s v="BURGOS"/>
    <s v="VILLAFANA"/>
    <s v="YOEL FRANCIS"/>
    <s v="M"/>
    <n v="43"/>
    <s v="INSPECTOR DE SEGURIDAD"/>
    <m/>
    <s v="Desgarro muscular en la pierna izquierda a causa de caída en la escalera de emergencia del edificio despacho a Granel. "/>
    <s v="CAIDA A UN NIVEL BAJO"/>
    <m/>
    <x v="8"/>
    <m/>
    <s v="TRASLADANDOSE"/>
    <s v="DESGARRO MUSCULAR"/>
    <x v="8"/>
    <n v="28"/>
    <m/>
    <m/>
    <m/>
    <m/>
    <m/>
    <s v="8 AÑOS"/>
    <s v="ESCALERA DE EMERGENCIA"/>
    <m/>
  </r>
  <r>
    <m/>
    <m/>
    <x v="0"/>
    <s v="ALICORP SAA"/>
    <s v="CALLAO"/>
    <s v="COPSA"/>
    <x v="3"/>
    <s v="REFINERIA"/>
    <d v="2023-02-02T00:00:00"/>
    <n v="5"/>
    <m/>
    <x v="6"/>
    <m/>
    <m/>
    <s v="MAÑANA"/>
    <x v="0"/>
    <s v="ALICORP"/>
    <s v="VELAZCO"/>
    <s v="JARA"/>
    <s v="KEVIN GABRIEL"/>
    <s v="M"/>
    <n v="27"/>
    <s v="SOLDADOR"/>
    <m/>
    <s v="Esguince del ligamento entre el hueso grande y ganchoso de la mano derecha, producto de una caída que sufre el trabajador al descender las escaleras en el área del Desodorizador 4 - primer piso, cuando se retiraba luego de atender trabajos de emergencia por contaminación de ácidos grasos de palma con agua."/>
    <s v="CAIDA A UN NIVEL BAJO"/>
    <m/>
    <x v="1"/>
    <m/>
    <s v="DURANTE SU RUTINA DE TRABAJO"/>
    <s v="ESGUINCE"/>
    <x v="2"/>
    <n v="27"/>
    <m/>
    <m/>
    <m/>
    <m/>
    <m/>
    <s v="3 MESES"/>
    <s v="ESCALERAS"/>
    <s v="CONTRATADO"/>
  </r>
  <r>
    <m/>
    <m/>
    <x v="0"/>
    <s v="ALICORP SAA"/>
    <s v="CALLAO"/>
    <s v="APT MSR"/>
    <x v="2"/>
    <s v="APT"/>
    <d v="2023-02-06T00:00:00"/>
    <n v="6"/>
    <m/>
    <x v="6"/>
    <m/>
    <m/>
    <s v="MAÑANA"/>
    <x v="3"/>
    <s v="IOLSA"/>
    <s v="VILLAR"/>
    <s v="OBLITAS"/>
    <s v="JESUS"/>
    <s v="M"/>
    <n v="50"/>
    <s v="Estibador"/>
    <m/>
    <s v="Traumatismo en la pierna derecha a causa de caída de pallet mientras se encontraba trasladando dicho objeto dentro de un furgón. "/>
    <s v="Golpeado por"/>
    <m/>
    <x v="8"/>
    <m/>
    <s v="DURANTE SU RUTINA DE TRABAJO"/>
    <s v="CONTUSIÓN"/>
    <x v="4"/>
    <n v="19"/>
    <m/>
    <m/>
    <m/>
    <m/>
    <m/>
    <s v="12 AÑOS"/>
    <s v="PALLET"/>
    <s v="TERCERO"/>
  </r>
  <r>
    <m/>
    <m/>
    <x v="0"/>
    <s v="ALICORP SAA"/>
    <s v="CALLAO"/>
    <s v="GALLETERIA"/>
    <x v="1"/>
    <s v="PRODUCCION"/>
    <d v="2023-02-08T00:00:00"/>
    <n v="6"/>
    <m/>
    <x v="6"/>
    <m/>
    <m/>
    <s v="MAÑANA"/>
    <x v="1"/>
    <s v="CONSULTING"/>
    <s v="ANAYA"/>
    <s v="ESTEBAN"/>
    <s v="LUIS"/>
    <s v="M"/>
    <m/>
    <s v="OPERARIO DE PRODUCCION"/>
    <m/>
    <s v="Traumatismo en la pierna derecha a causa de golpe con el borde de la plataforma mientras transitaba desde el magazine."/>
    <s v="GOLPEADO CONTRA"/>
    <m/>
    <x v="8"/>
    <m/>
    <s v="DURANTE SU RUTINA DE TRABAJO"/>
    <s v="CONTUSIÓN"/>
    <x v="4"/>
    <n v="3"/>
    <m/>
    <m/>
    <m/>
    <m/>
    <m/>
    <s v="1 MES"/>
    <s v="PLATAFORMA METALICA"/>
    <s v="TERCERO"/>
  </r>
  <r>
    <m/>
    <m/>
    <x v="0"/>
    <s v="ALICORP SAA"/>
    <s v="SIDSUR"/>
    <s v="SIDSUR"/>
    <x v="6"/>
    <s v="SILOS"/>
    <d v="2023-02-09T00:00:00"/>
    <n v="6"/>
    <m/>
    <x v="6"/>
    <m/>
    <m/>
    <s v="MAÑANA"/>
    <x v="4"/>
    <s v="LIMTEK"/>
    <s v="AMADO"/>
    <s v="PEREZ"/>
    <s v="MARIA DEL CARMEN"/>
    <s v="F"/>
    <n v="36"/>
    <s v="Operario de Limpieza"/>
    <m/>
    <s v="Contusión causada por caída mientras se realizaban labores de limpieza en la zona externa del Silo 4, en presencia de agua y harina en el suelo."/>
    <s v="CAIDA A UN MISMO NIVEL"/>
    <m/>
    <x v="9"/>
    <m/>
    <s v="DURANTE SU RUTINA DE TRABAJO"/>
    <s v="CONTUSIÓN"/>
    <x v="4"/>
    <n v="2"/>
    <m/>
    <m/>
    <m/>
    <m/>
    <m/>
    <s v="5 MESES"/>
    <s v="DERRAME DE AGUA Y HARINA EN EL SUELO"/>
    <s v="TERCERO"/>
  </r>
  <r>
    <m/>
    <m/>
    <x v="0"/>
    <s v="APUDEX"/>
    <s v="APUDEX"/>
    <s v="APUDEX"/>
    <x v="2"/>
    <s v="APUDEX"/>
    <d v="2023-02-16T00:00:00"/>
    <n v="7"/>
    <m/>
    <x v="6"/>
    <m/>
    <m/>
    <s v="TARDE"/>
    <x v="5"/>
    <s v="APUDEX"/>
    <s v="MUÑOZ"/>
    <s v="ROJAS"/>
    <s v="GERARDO"/>
    <s v="M"/>
    <n v="47"/>
    <s v="OPERARIO DE ALMACÉN"/>
    <m/>
    <s v="Dolor en la región lumbar provocado por estiramiento realizado por el trabajador mientras intentaba posicionar una caja de 17 kg. en el rack. "/>
    <s v="SOBREESFUERZO"/>
    <m/>
    <x v="9"/>
    <m/>
    <s v="DURANTE SU RUTINA DE TRABAJO"/>
    <s v="CONTUSIÓN"/>
    <x v="4"/>
    <n v="2"/>
    <m/>
    <m/>
    <m/>
    <m/>
    <m/>
    <s v="9 MESES"/>
    <s v="ESTIRAMIENTO"/>
    <m/>
  </r>
  <r>
    <m/>
    <m/>
    <x v="0"/>
    <s v="ALICORP SAA"/>
    <s v="CALLAO"/>
    <s v="GALLETERIA"/>
    <x v="1"/>
    <s v="PRODUCCIÓN"/>
    <d v="2023-02-16T00:00:00"/>
    <n v="7"/>
    <m/>
    <x v="6"/>
    <m/>
    <m/>
    <s v="NOCHE"/>
    <x v="0"/>
    <s v="ALICORP"/>
    <s v="GARCIA"/>
    <s v="LA ROSA"/>
    <s v="LUIS RICARDO"/>
    <s v="M"/>
    <n v="55"/>
    <s v="OPERADOR MASERO"/>
    <m/>
    <s v="Traumatismo superficial en la pierna izquierda provocado por una caída mientras intentaba accionar la parada de emergencia de la batidora de la línea 03. El trabajador se percata del derrame de producto de la batidora hacia el piso, causando que pierda la estabilidad en el traslado, se resbale e impacte con la escalera próxima. "/>
    <s v="CAIDA A UN MISMO NIVEL"/>
    <m/>
    <x v="8"/>
    <m/>
    <s v="DURANTE SU RUTINA DE TRABAJO"/>
    <s v="CONTUSIÓN"/>
    <x v="4"/>
    <n v="8"/>
    <m/>
    <m/>
    <m/>
    <m/>
    <m/>
    <s v="23 AÑOS"/>
    <s v="DERRAME DE PRODUCTO EN EL SUELO"/>
    <m/>
  </r>
  <r>
    <m/>
    <m/>
    <x v="0"/>
    <s v="MASTERBREAD"/>
    <s v="TEAL"/>
    <s v="TEAL LIMA"/>
    <x v="1"/>
    <s v="GALLETAS"/>
    <d v="2023-02-19T00:00:00"/>
    <n v="7"/>
    <m/>
    <x v="6"/>
    <m/>
    <m/>
    <s v="MAÑANA"/>
    <x v="0"/>
    <s v="MASTERBREAD"/>
    <s v="CURO"/>
    <s v="CASTAÑEDA"/>
    <s v="JORGE LUIS"/>
    <s v="M"/>
    <n v="22"/>
    <s v="OPERARIO DE PRODUCCION"/>
    <m/>
    <s v="Herida del parpado y de la región periocular de ojo izquierdo por impacto con el brazo retráctil del escurridor de piso, que se encontraba atorado. El trabajador intentó liberarlo ejerciendo fuerza y provocó que este retorne hacia el y lo impacte."/>
    <s v="Golpeado por"/>
    <m/>
    <x v="0"/>
    <m/>
    <s v="DURANTE SU RUTINA DE TRABAJO"/>
    <s v="CORTE"/>
    <x v="1"/>
    <n v="9"/>
    <m/>
    <m/>
    <m/>
    <m/>
    <m/>
    <s v="5 MESES 10 DIAS"/>
    <s v="ESCURRIDOR DE PISO"/>
    <m/>
  </r>
  <r>
    <m/>
    <m/>
    <x v="2"/>
    <s v="VITAPRO"/>
    <s v="TRUJILLO"/>
    <s v="NICOVITA"/>
    <x v="1"/>
    <s v="NICOVITA"/>
    <d v="2023-02-21T00:00:00"/>
    <n v="8"/>
    <m/>
    <x v="6"/>
    <m/>
    <m/>
    <s v="NOCHE"/>
    <x v="0"/>
    <s v="VITAPRO"/>
    <s v="MALASQUEZ"/>
    <s v="NOLASCO"/>
    <s v="ALEXANDRO GUSSEPY"/>
    <s v="M"/>
    <n v="25"/>
    <s v="EMBOLSADOR"/>
    <m/>
    <s v="Fractura de escafoides de la mano izquierda producida por el impacto de un saco de producto a gran velocidad hacia el pecho del trabajador. Dicho contacto hizo que el trabajador pierda el equilibrio y cayera hacia atrás, apoyando sus manos instintivamente contra el suelo. "/>
    <s v="Golpeado por"/>
    <m/>
    <x v="1"/>
    <m/>
    <s v="DURANTE SU RUTINA DE TRABAJO"/>
    <s v="FRACTURA"/>
    <x v="6"/>
    <n v="37"/>
    <m/>
    <m/>
    <m/>
    <m/>
    <m/>
    <s v="10 DIAS"/>
    <s v="SACO DE PRODUCTO"/>
    <s v="CONTRATADO"/>
  </r>
  <r>
    <m/>
    <m/>
    <x v="0"/>
    <s v="ALICORP SAA"/>
    <s v="LATAM"/>
    <s v="CD LATAM"/>
    <x v="6"/>
    <s v="CD LATAM"/>
    <d v="2023-02-20T00:00:00"/>
    <n v="8"/>
    <m/>
    <x v="6"/>
    <m/>
    <m/>
    <s v="TARDE"/>
    <x v="3"/>
    <s v="ALTELIZA"/>
    <s v="CASTILLO"/>
    <s v="HUERTAS"/>
    <s v="RITA"/>
    <s v="F"/>
    <m/>
    <s v="Operario de Limpieza"/>
    <m/>
    <s v="Contusiones superficiales múltiples producidas por caída y posterior golpe con la baranda de una escalera mientras trasladaba un contenedor plástico de residuos. "/>
    <s v="CAIDA A UN MISMO NIVEL"/>
    <m/>
    <x v="9"/>
    <m/>
    <s v="DURANTE SU RUTINA DE TRABAJO"/>
    <s v="CONTUSIÓN"/>
    <x v="4"/>
    <n v="3"/>
    <m/>
    <m/>
    <m/>
    <m/>
    <m/>
    <s v="1 MES"/>
    <s v="ESCALERA"/>
    <s v="TERCERO"/>
  </r>
  <r>
    <m/>
    <m/>
    <x v="0"/>
    <s v="ALICORP SAA"/>
    <s v="CALLAO"/>
    <s v="MOLINO FAUCETT"/>
    <x v="1"/>
    <s v="ENVASADO"/>
    <d v="2023-02-28T00:00:00"/>
    <n v="9"/>
    <m/>
    <x v="6"/>
    <m/>
    <m/>
    <s v="TARDE"/>
    <x v="0"/>
    <s v="ALICORP"/>
    <s v="ROMERO"/>
    <s v="BALBIN"/>
    <s v="LUIS DANIEL"/>
    <s v="M"/>
    <n v="27"/>
    <s v="Ayudante de planta"/>
    <m/>
    <s v="Descarga eléctrica producida por contacto con el soporte del molino de martillo ubicado en la zona de premezcla industrial del 2 nivel del edificio de envasado. "/>
    <s v="CONTACTO CON"/>
    <m/>
    <x v="9"/>
    <m/>
    <s v="DURANTE SU RUTINA DE TRABAJO"/>
    <s v="DESCARGA ELECTRICA"/>
    <x v="9"/>
    <n v="13"/>
    <m/>
    <m/>
    <m/>
    <m/>
    <m/>
    <s v="13 DIAS"/>
    <s v="ENERGIA ELECTRICA"/>
    <s v="CONTRATADO"/>
  </r>
  <r>
    <m/>
    <m/>
    <x v="0"/>
    <s v="MASTERBREAD"/>
    <s v="TEAL"/>
    <s v="TEAL LIMA"/>
    <x v="1"/>
    <s v="CARAMELOS"/>
    <d v="2023-02-28T00:00:00"/>
    <n v="9"/>
    <m/>
    <x v="6"/>
    <m/>
    <m/>
    <s v="TARDE"/>
    <x v="0"/>
    <s v="MASTERBREAD"/>
    <s v="BERRU"/>
    <s v="SANDOVAL"/>
    <s v="IVAN"/>
    <s v="M"/>
    <n v="28"/>
    <s v="OPERARIO DE PRODUCCION"/>
    <m/>
    <s v="Traumatismo superficial del dedo pulgar de la mano derecha causado por aprisionamiento del tope lateral movible de la mesa fría de la línea de caramelo blando – frunakids, mientras realizaba la descarga de la masa de fruna hacia las jabas vacías. "/>
    <s v="ATRAPADO POR"/>
    <m/>
    <x v="1"/>
    <m/>
    <s v="DURANTE SU RUTINA DE TRABAJO"/>
    <s v="CONTUSIÓN"/>
    <x v="4"/>
    <n v="10"/>
    <m/>
    <m/>
    <m/>
    <m/>
    <m/>
    <s v="9 DIAS"/>
    <s v="MESAS TRANSPORTADORAS "/>
    <s v="CONTRATADO"/>
  </r>
  <r>
    <m/>
    <m/>
    <x v="1"/>
    <s v="ALICORP BOLIVIA"/>
    <m/>
    <s v="BOLIVIA"/>
    <x v="1"/>
    <s v="PLANTA DON FELIPE"/>
    <d v="2023-02-07T00:00:00"/>
    <n v="6"/>
    <m/>
    <x v="6"/>
    <m/>
    <m/>
    <s v="MAÑANA"/>
    <x v="0"/>
    <s v="FINO"/>
    <s v="AGUIRRE"/>
    <s v="LOPEZ"/>
    <s v="LUIS ALBERTO"/>
    <s v="M"/>
    <n v="33"/>
    <s v="APILADOR"/>
    <m/>
    <s v="Atrapamiento del dedo pulgar derecho mientras retiraba los tacos/calzas de las llantas de un transportador móvil de sacos de harina. "/>
    <s v="ATRAPADO POR"/>
    <m/>
    <x v="1"/>
    <m/>
    <s v="DURANTE SU RUTINA DE TRABAJO"/>
    <s v="FRACTURA"/>
    <x v="6"/>
    <n v="34"/>
    <m/>
    <m/>
    <m/>
    <m/>
    <m/>
    <s v="10 AÑOS Y 4 MESES"/>
    <s v="RUEDA"/>
    <m/>
  </r>
  <r>
    <m/>
    <m/>
    <x v="1"/>
    <s v="ALICORP BOLIVIA"/>
    <m/>
    <s v="BOLIVIA"/>
    <x v="1"/>
    <s v="PLANTA DON FELIPE"/>
    <d v="2023-02-12T00:00:00"/>
    <n v="6"/>
    <m/>
    <x v="6"/>
    <m/>
    <m/>
    <s v="TARDE"/>
    <x v="0"/>
    <s v="FINO"/>
    <s v="ORTIZ"/>
    <m/>
    <s v="JAVIER"/>
    <s v="M"/>
    <n v="58"/>
    <s v="OPERADOR SOLVENTE TECNAL"/>
    <m/>
    <s v="Quemadura en ambas piernas causada por contacto con la descarga de vapor a nivel del del piso mientras inspeccionaba el proceso de inyección de vapor en la planta Tecnal durante la desolventización. "/>
    <s v="CONTACTO CON"/>
    <m/>
    <x v="8"/>
    <m/>
    <s v="DURANTE SU RUTINA DE TRABAJO"/>
    <s v="QUEMADURA"/>
    <x v="7"/>
    <n v="10"/>
    <m/>
    <m/>
    <m/>
    <m/>
    <m/>
    <s v="16 AÑOS"/>
    <s v="VAPOR"/>
    <m/>
  </r>
  <r>
    <m/>
    <m/>
    <x v="0"/>
    <s v="ALICORP SAA"/>
    <s v="CALLAO"/>
    <s v="COPSA"/>
    <x v="1"/>
    <s v="SALSAS 2"/>
    <d v="2023-03-07T00:00:00"/>
    <n v="10"/>
    <m/>
    <x v="6"/>
    <m/>
    <m/>
    <s v="TARDE"/>
    <x v="0"/>
    <s v="ALICORP"/>
    <s v="CERDEÑA"/>
    <s v="ORTIZ"/>
    <s v="JEAN FRANCO ANTONIO"/>
    <s v="M"/>
    <n v="24"/>
    <s v="OPERARIO DE PRODUCCION"/>
    <m/>
    <s v="Contusión en el segundo dedo de la mano izquierda provocada por golpe con la guarda de seguridad de la parte frontal de la encajadora línea 7, mientras se encontraba cerrando la tapa junto con otros 02 trabajadores."/>
    <s v="CONTACTO CON"/>
    <m/>
    <x v="1"/>
    <m/>
    <s v="DURANTE SU RUTINA DE TRABAJO"/>
    <s v="CONTUSIÓN"/>
    <x v="4"/>
    <n v="6"/>
    <m/>
    <m/>
    <m/>
    <m/>
    <m/>
    <s v="2 MESES Y 6 DIAS"/>
    <s v="GUARDA DE SEGURIDAD"/>
    <s v="CONTRATADO"/>
  </r>
  <r>
    <m/>
    <m/>
    <x v="0"/>
    <s v="ALICORP SAA"/>
    <s v="CALLAO"/>
    <s v="GALLETERIA"/>
    <x v="1"/>
    <s v="BAÑADOS"/>
    <d v="2023-03-07T00:00:00"/>
    <n v="10"/>
    <m/>
    <x v="6"/>
    <m/>
    <m/>
    <s v="TARDE"/>
    <x v="0"/>
    <s v="ALICORP"/>
    <s v="OVIEDO"/>
    <s v="HIDALGO"/>
    <s v="EDGARD ANTHONY"/>
    <s v="M"/>
    <n v="45"/>
    <s v="OPERARIO DE PRODUCCION"/>
    <m/>
    <s v="Contusión en el codo izquierdo causada por un golpe con una bandeja con granel que sostenía otro trabajador. Ambos se encontraban alimentando galleta a granel hacia el magazín de la envasadora A9."/>
    <s v="CONTACTO CON"/>
    <m/>
    <x v="6"/>
    <m/>
    <s v="DURANTE SU RUTINA DE TRABAJO"/>
    <s v="CONTUSIÓN"/>
    <x v="4"/>
    <n v="12"/>
    <m/>
    <m/>
    <m/>
    <m/>
    <m/>
    <s v="20 AÑOS"/>
    <s v="BANDEJA"/>
    <m/>
  </r>
  <r>
    <m/>
    <m/>
    <x v="0"/>
    <s v="ALICORP SAA"/>
    <s v="CALLAO"/>
    <s v="MOLINO FAUCETT"/>
    <x v="1"/>
    <s v="DIAGRAMA &quot;C&quot;"/>
    <d v="2023-03-07T00:00:00"/>
    <n v="10"/>
    <m/>
    <x v="6"/>
    <m/>
    <m/>
    <s v="TARDE"/>
    <x v="0"/>
    <s v="ALICORP"/>
    <s v="CARRASCO"/>
    <s v="AVILES"/>
    <s v="WILLY DAVID"/>
    <s v="M"/>
    <n v="45"/>
    <s v="OPERADOR 2 DE MOLINO"/>
    <m/>
    <s v="Contusión en el dedo índice de la mano derecha provocada el contacto con la tapa del banco de cilindros RED2-C2. El trabajador escuchó la alarma del Molino, y procedió a cerrar la tapa del equipo que operaba sin percatarse de que su dedo se encontraba en el trayecto de cierre. "/>
    <s v="ATRAPADO POR"/>
    <m/>
    <x v="1"/>
    <m/>
    <s v="DURANTE SU RUTINA DE TRABAJO"/>
    <s v="CONTUSIÓN"/>
    <x v="4"/>
    <n v="8"/>
    <m/>
    <m/>
    <m/>
    <m/>
    <m/>
    <s v="21 AÑOS"/>
    <s v="TAPA DE BANCO DE CILINDROS"/>
    <m/>
  </r>
  <r>
    <m/>
    <m/>
    <x v="2"/>
    <s v="VITAPRO"/>
    <s v="ECUADOR"/>
    <s v="VITAPRO"/>
    <x v="7"/>
    <s v="CEA UCSUR"/>
    <d v="2023-03-10T00:00:00"/>
    <n v="10"/>
    <m/>
    <x v="6"/>
    <m/>
    <m/>
    <s v="MAÑANA"/>
    <x v="0"/>
    <s v="VITAPRO"/>
    <s v="AGURTO"/>
    <s v="SALAZAR"/>
    <s v="CAMILA FABIOLA"/>
    <s v="F"/>
    <n v="23"/>
    <s v="PRACTICANTE DE INVESTIGACION"/>
    <m/>
    <s v="Traumatismo superficial de la cabeza causada por impacto con la puerta de la gaveta superior del laboratorio que se encontraba descuadrada por la falta de un tornillo en la bisagra."/>
    <s v="CONTACTO CON"/>
    <m/>
    <x v="7"/>
    <m/>
    <s v="DURANTE SU RUTINA DE TRABAJO"/>
    <s v="TRAUMATISMO"/>
    <x v="4"/>
    <n v="2"/>
    <m/>
    <m/>
    <m/>
    <m/>
    <m/>
    <s v="1 AÑO"/>
    <s v="PUERTA DE GAVETA"/>
    <s v="PRACTICANTE"/>
  </r>
  <r>
    <m/>
    <m/>
    <x v="3"/>
    <s v="VITAPRO"/>
    <s v="CHILE"/>
    <s v="CHILE"/>
    <x v="7"/>
    <s v="SALMOFOOD"/>
    <d v="2023-03-11T00:00:00"/>
    <n v="10"/>
    <m/>
    <x v="6"/>
    <m/>
    <m/>
    <s v="MAÑANA"/>
    <x v="0"/>
    <s v="SALMOFOOD"/>
    <s v="HERNANDEZ"/>
    <s v="NAIMAN"/>
    <s v="DANIEL ALEJANDRO"/>
    <s v="M"/>
    <n v="23"/>
    <s v="Operario"/>
    <m/>
    <s v="Torsión del tobillo derecho provocada mientras se desplazaba retirándose de su jornada en Casino CEA. El reporte lo realiza desde su domicilio, al sentir dolor."/>
    <s v="CAIDA A UN MISMO NIVEL"/>
    <m/>
    <x v="2"/>
    <m/>
    <s v="TRASLADANDOSE"/>
    <s v="ESGUINCE"/>
    <x v="2"/>
    <n v="7"/>
    <m/>
    <m/>
    <m/>
    <m/>
    <m/>
    <s v="2 AÑOS"/>
    <s v="PASO PEATONAL"/>
    <m/>
  </r>
  <r>
    <m/>
    <m/>
    <x v="1"/>
    <s v="ALICORP BOLIVIA"/>
    <m/>
    <s v="BOLIVIA"/>
    <x v="7"/>
    <s v="CENTRO DE ACOPIO PAILON"/>
    <d v="2023-03-12T00:00:00"/>
    <n v="10"/>
    <m/>
    <x v="6"/>
    <m/>
    <m/>
    <s v="MAÑANA"/>
    <x v="0"/>
    <s v="FINO"/>
    <s v="CUIZA"/>
    <s v="CHAVARRÍA"/>
    <s v="YORDY"/>
    <s v="M"/>
    <n v="30"/>
    <s v="AYUDANTE DE HORNO "/>
    <m/>
    <s v="Hematoma y herida en el dedo medio de mano izquierda provocadas por el atrapamiento entre el borde del horno y un tronco de leña, mientras se encontraba colocando los troncos al interior del horno. "/>
    <s v="ATRAPADO POR"/>
    <m/>
    <x v="1"/>
    <m/>
    <s v="DURANTE SU RUTINA DE TRABAJO"/>
    <s v="HERIDA"/>
    <x v="3"/>
    <n v="5"/>
    <m/>
    <m/>
    <m/>
    <m/>
    <m/>
    <s v="36 DÍAS"/>
    <s v="TRONCO DE LEÑA"/>
    <s v="CONTRATADO"/>
  </r>
  <r>
    <m/>
    <m/>
    <x v="0"/>
    <s v="ALICORP SAA"/>
    <s v="SIDSUR"/>
    <s v="SIDSUR"/>
    <x v="1"/>
    <s v="FIDEERIA"/>
    <d v="2023-03-15T00:00:00"/>
    <n v="11"/>
    <m/>
    <x v="6"/>
    <m/>
    <m/>
    <s v="MAÑANA"/>
    <x v="0"/>
    <s v="ALICORP"/>
    <s v="LAYME"/>
    <s v="MACHACA"/>
    <s v="MAXIMO RENE"/>
    <s v="M"/>
    <n v="60"/>
    <s v="MECANICO DE TURNO"/>
    <m/>
    <s v="Pérdida de falange distal superior del dedo medio de la mano derecha mientras se encontraba realizando el alineamiento de cadenas en la zona de descarga de la línea 3. El trabajador retira la guarda de seguridad sin realizar el bloqueo. "/>
    <s v="AMPUTACIÓN"/>
    <m/>
    <x v="1"/>
    <m/>
    <s v="DURANTE SU RUTINA DE TRABAJO"/>
    <s v="AMPUTACIÓN"/>
    <x v="5"/>
    <n v="30"/>
    <n v="75"/>
    <n v="105"/>
    <m/>
    <m/>
    <m/>
    <s v="22 AÑOS"/>
    <s v="CADENA + GUARDA DE SEGURIDAD"/>
    <m/>
  </r>
  <r>
    <m/>
    <m/>
    <x v="3"/>
    <s v="VITAPRO"/>
    <s v="CHILE"/>
    <s v="CHILE"/>
    <x v="1"/>
    <s v="SALMOFOOD"/>
    <d v="2023-03-22T00:00:00"/>
    <n v="12"/>
    <m/>
    <x v="6"/>
    <m/>
    <m/>
    <s v="TARDE"/>
    <x v="0"/>
    <s v="SALMOFOOD"/>
    <s v="OYARZUN"/>
    <s v="ANDRADE"/>
    <s v="VICTOR HUGO"/>
    <s v="M"/>
    <n v="43"/>
    <s v="ASISTENTE DE EXTRUSORISTA"/>
    <m/>
    <s v="Liberación de energía residual (vapor y producto), que entra en contacto con el brazo derecho del trabajador quien se encontraba realizando labores de limpieza en la punta del extrusor 3, mientras el personal de mantenimiento intervenía el equipo por una parada inesperada. "/>
    <s v="CONTACTO CON"/>
    <m/>
    <x v="6"/>
    <m/>
    <s v="DURANTE SU RUTINA DE TRABAJO"/>
    <s v="QUEMADURA"/>
    <x v="7"/>
    <n v="10"/>
    <m/>
    <m/>
    <m/>
    <m/>
    <m/>
    <s v="12 AÑOS"/>
    <s v="VAPOR"/>
    <m/>
  </r>
  <r>
    <m/>
    <m/>
    <x v="0"/>
    <s v="ALICORP SAA"/>
    <s v="CALLAO"/>
    <s v="MOLINO CALLAO"/>
    <x v="3"/>
    <s v="TALLER MANTENIMIENTO"/>
    <d v="2023-04-07T00:00:00"/>
    <n v="14"/>
    <m/>
    <x v="6"/>
    <m/>
    <m/>
    <s v="MAÑANA"/>
    <x v="0"/>
    <s v="ALICORP"/>
    <s v="SACHA"/>
    <s v="QUISPE"/>
    <s v="ANDERSON"/>
    <s v="M"/>
    <n v="30"/>
    <s v="Mecánico de mantenimiento"/>
    <m/>
    <s v="Herida de la cabeza, el colaborador se encontraba realizando labores de mantenimiento en el taller en un rollo de banco de cilindros"/>
    <s v="CONTACTO CON"/>
    <m/>
    <x v="7"/>
    <m/>
    <s v="Mantenimiento"/>
    <s v="HERIDA"/>
    <x v="3"/>
    <n v="5"/>
    <m/>
    <n v="5"/>
    <m/>
    <m/>
    <m/>
    <s v="3 AÑOS Y 11 MESES"/>
    <s v="CILINDROS"/>
    <m/>
  </r>
  <r>
    <m/>
    <m/>
    <x v="0"/>
    <s v="ALICORP SAA"/>
    <s v="HUACHIPA"/>
    <s v="CD HUACHIPA"/>
    <x v="2"/>
    <s v="MUELLE DE DESCARGA"/>
    <d v="2023-04-10T00:00:00"/>
    <n v="15"/>
    <m/>
    <x v="6"/>
    <m/>
    <m/>
    <s v="TARDE"/>
    <x v="0"/>
    <s v="ALICORP"/>
    <m/>
    <m/>
    <s v="s"/>
    <s v="M"/>
    <m/>
    <s v="AYUDANTE DE ALMACEN"/>
    <m/>
    <s v="Queratoconjuntivitis, el colaborador se encontraba recibiendo productos rechazados de un cliente, había 05 paletas "/>
    <s v="CONTACTO CON"/>
    <m/>
    <x v="7"/>
    <m/>
    <s v="DURANTE SU RUTINA DE TRABAJO"/>
    <s v="QUERATOCONJUNTIVITIS"/>
    <x v="0"/>
    <n v="1"/>
    <m/>
    <n v="1"/>
    <m/>
    <m/>
    <m/>
    <s v="2 AÑOS Y 6 MESES"/>
    <s v="PRODUCTO"/>
    <m/>
  </r>
  <r>
    <m/>
    <m/>
    <x v="0"/>
    <s v="ALICORP SAA"/>
    <s v="CALLAO"/>
    <s v="COPSA"/>
    <x v="6"/>
    <s v="VESTUARIO"/>
    <d v="2023-04-21T00:00:00"/>
    <n v="16"/>
    <m/>
    <x v="6"/>
    <m/>
    <m/>
    <s v="TARDE"/>
    <x v="0"/>
    <s v="ALICORP"/>
    <m/>
    <m/>
    <s v="d"/>
    <s v="M"/>
    <m/>
    <s v="OPERADOR DE ENFARDADO "/>
    <m/>
    <s v="Esguince y torcedura del tobillo izquierdo, producida al bajar de las escaleras del vestuario "/>
    <s v="CAIDA A UN NIVEL BAJO"/>
    <m/>
    <x v="2"/>
    <m/>
    <s v="TRASLADANDOSE"/>
    <s v="ESGUINCE"/>
    <x v="2"/>
    <n v="14"/>
    <m/>
    <n v="14"/>
    <m/>
    <m/>
    <m/>
    <s v="9 AÑOS"/>
    <s v="ESCALERAS"/>
    <m/>
  </r>
  <r>
    <m/>
    <m/>
    <x v="0"/>
    <s v="ALICORP SAA"/>
    <s v="CALLAO"/>
    <s v="GALLETERIA"/>
    <x v="1"/>
    <s v="LÍNEA 3"/>
    <d v="2023-04-25T00:00:00"/>
    <n v="17"/>
    <m/>
    <x v="6"/>
    <m/>
    <m/>
    <s v="MAÑANA"/>
    <x v="0"/>
    <s v="ALICORP"/>
    <m/>
    <m/>
    <s v="d"/>
    <s v="M"/>
    <m/>
    <s v="Operador de Máquina Envasadora"/>
    <m/>
    <s v="Corrosión de la córnea y saco conjuntival, causada por frascos vacíos de tintas de tintas y solventes generando que le salpicara unas gotas de residuo de tinta hacia su ojo izquierdo "/>
    <s v="CONTACTO CON"/>
    <m/>
    <x v="0"/>
    <m/>
    <s v="DURANTE SU RUTINA DE TRABAJO"/>
    <s v="QUERATOCONJUNTIVITIS"/>
    <x v="0"/>
    <n v="2"/>
    <m/>
    <n v="2"/>
    <m/>
    <m/>
    <m/>
    <s v="2 AÑOS"/>
    <s v="FRASCO TINTA"/>
    <m/>
  </r>
  <r>
    <m/>
    <m/>
    <x v="2"/>
    <s v="VITAPRO"/>
    <s v="ECUADOR"/>
    <s v="VITAPRO"/>
    <x v="1"/>
    <s v="ENVASADO AUTOMATICO"/>
    <d v="2023-04-25T00:00:00"/>
    <n v="17"/>
    <m/>
    <x v="6"/>
    <m/>
    <m/>
    <s v="NOCHE"/>
    <x v="0"/>
    <s v="VITAPRO"/>
    <m/>
    <m/>
    <s v="f"/>
    <s v="M"/>
    <m/>
    <s v="Embolsador "/>
    <m/>
    <s v="Herida en dedo anular de mano izquierda, mientras retiraba un saco de la línea envasadora automática N°01 que venía mal cosido "/>
    <s v="CONTACTO CON"/>
    <m/>
    <x v="1"/>
    <m/>
    <s v="DURANTE SU RUTINA DE TRABAJO"/>
    <s v="HERIDA"/>
    <x v="3"/>
    <n v="4"/>
    <m/>
    <n v="4"/>
    <m/>
    <m/>
    <m/>
    <s v="12 DIAS"/>
    <s v="EQUIPO"/>
    <s v="CONTRATADO"/>
  </r>
  <r>
    <m/>
    <m/>
    <x v="1"/>
    <s v="ALICORP BOLIVIA"/>
    <m/>
    <s v="COCHABAMBA"/>
    <x v="7"/>
    <m/>
    <d v="2023-04-26T00:00:00"/>
    <n v="17"/>
    <m/>
    <x v="6"/>
    <m/>
    <m/>
    <s v="TARDE"/>
    <x v="0"/>
    <s v="FINO"/>
    <m/>
    <m/>
    <s v="g"/>
    <s v="M"/>
    <m/>
    <s v="Operador de Campac"/>
    <m/>
    <s v="Contusión mano y espalda por caída al mismo nivel, causada por un derrame de aceite vegetal causado por la fuga de una manguera, resbala golpeándose la espalda y codo"/>
    <s v="CAIDA"/>
    <m/>
    <x v="9"/>
    <m/>
    <s v="DURANTE SU RUTINA DE TRABAJO"/>
    <s v="CONTUSIONES"/>
    <x v="4"/>
    <n v="16"/>
    <m/>
    <n v="16"/>
    <m/>
    <m/>
    <m/>
    <s v="3 AÑOS"/>
    <s v="ACEITE"/>
    <m/>
  </r>
  <r>
    <m/>
    <m/>
    <x v="2"/>
    <s v="VITAPRO"/>
    <s v="ECUADOR"/>
    <s v="VITAPRO"/>
    <x v="7"/>
    <s v="MANTENIMIENTO"/>
    <d v="2023-05-02T00:00:00"/>
    <n v="18"/>
    <m/>
    <x v="6"/>
    <m/>
    <m/>
    <s v="NOCHE"/>
    <x v="0"/>
    <m/>
    <m/>
    <m/>
    <s v="JUAN JUAREZ"/>
    <s v="M"/>
    <n v="28"/>
    <s v="TECNICO DE AUTOMATICIÓN "/>
    <m/>
    <s v="Esguince de tobillo izquierdo, el colaborador procedió a revisar una falla del helicoidal del Silo 131, debido a que se había trabado (no giraba), entonces se procedió a revisar y al momento de bajar el colaborador pisa en el tubo de la bomba soplante donde se resbalo hacia el suelo a una altura de 30 cm, al momento de caer se dobló el pie y se apoyó en su compañero para no caer totalmente al suelo "/>
    <s v="SOBREESFUERZO"/>
    <m/>
    <x v="2"/>
    <m/>
    <s v="DURANTE SU RUTINA DE TRABAJO"/>
    <s v="ESGUINCE"/>
    <x v="2"/>
    <n v="6"/>
    <m/>
    <n v="6"/>
    <m/>
    <m/>
    <m/>
    <s v="6 AÑOS Y 3 MESES"/>
    <s v="TUBO DE BOMBA"/>
    <m/>
  </r>
  <r>
    <m/>
    <m/>
    <x v="0"/>
    <s v="OTROS"/>
    <s v="OTROS"/>
    <s v="OTROS"/>
    <x v="8"/>
    <s v="PATIO DE MANIOBRAS"/>
    <d v="2023-05-10T00:00:00"/>
    <n v="19"/>
    <m/>
    <x v="6"/>
    <m/>
    <m/>
    <s v="MAÑANA"/>
    <x v="0"/>
    <m/>
    <m/>
    <m/>
    <s v="HAYDE AVENDAÑO"/>
    <s v="F"/>
    <m/>
    <s v="OPERARIO DE PRODUCCIÓN"/>
    <m/>
    <s v="Traumatismo del tendón del manguito rotatorio del hombro, la colaboradora se encontraba retornando a planta posterior a una cita médica, mientras se estaba trasladando por la senda peatonal pisa un leve desnivel, lo cual genera que pierda el equilibrio y cae sobre su brazo izquierdo. Generándole un raspón en el brazo y contusión en el hombro "/>
    <s v="CAIDA A UN MISMO NIVEL"/>
    <m/>
    <x v="6"/>
    <m/>
    <s v="TRASLADANDOSE"/>
    <s v="TRAUMATISMO"/>
    <x v="4"/>
    <n v="20"/>
    <m/>
    <n v="20"/>
    <m/>
    <m/>
    <m/>
    <s v="21 AÑOS"/>
    <s v="PISO"/>
    <m/>
  </r>
  <r>
    <m/>
    <m/>
    <x v="0"/>
    <s v="ALICORP SAA"/>
    <s v="CALLAO"/>
    <s v="MOLINO CALLAO"/>
    <x v="1"/>
    <s v="EMBOLSADO DE PRODUCTOS"/>
    <d v="2023-05-18T00:00:00"/>
    <n v="20"/>
    <m/>
    <x v="6"/>
    <m/>
    <m/>
    <s v="TARDE"/>
    <x v="0"/>
    <m/>
    <m/>
    <m/>
    <s v="WALTER RICHARDE"/>
    <s v="F"/>
    <m/>
    <s v="OPERARIO DE PRODUCCIÓN"/>
    <m/>
    <s v="Contusión de dedo medio de la mano derecha, el colaborador levanta una tapa de rebose con la mano izquierda mientras que la mano derecha la ubica en la estructura de la rosca para proceder a retirar el producto, cuando suelta la tapa y ésta le cae en la mano derecha ocasionando un corte en el dedo medio y contusión alrededor del corte de la mano derecha"/>
    <s v="Golpeado por"/>
    <m/>
    <x v="1"/>
    <m/>
    <s v="DURANTE SU RUTINA DE TRABAJO"/>
    <s v="CONTUSION"/>
    <x v="4"/>
    <n v="10"/>
    <m/>
    <n v="10"/>
    <m/>
    <m/>
    <m/>
    <s v="20 AÑOS"/>
    <s v="ROSCA"/>
    <m/>
  </r>
  <r>
    <m/>
    <m/>
    <x v="0"/>
    <s v="ALICORP SAA"/>
    <s v="MIRAFLORES"/>
    <s v="EDIFICIO MIRAFLORES"/>
    <x v="6"/>
    <s v="ESCALERA PISO 7 AL 8"/>
    <d v="2023-05-23T00:00:00"/>
    <n v="21"/>
    <m/>
    <x v="6"/>
    <m/>
    <m/>
    <s v="MAÑANA"/>
    <x v="4"/>
    <s v="ALTELIZA"/>
    <m/>
    <m/>
    <s v="MARIA KARINA TORRES ANAYA"/>
    <s v="F"/>
    <m/>
    <s v="OPERARIO DE LIMPIEZA"/>
    <m/>
    <s v="Esguince de Tobillo derecho, la colaboradora se encontraba trasladándose del piso 8 al piso 7, pierde el equilibrio y tropieza cayéndose en los últimos escalenos de la escalera. La operaria da aviso a la supervisora de grupo quien auxilia y se comunica con el tópico. Luego es trasladad a la clínica internacional"/>
    <s v="CAIDA A UN NIVEL BAJO"/>
    <m/>
    <x v="2"/>
    <m/>
    <s v="DURANTE SU RUTINA DE TRABAJO"/>
    <s v="ESGUINCE"/>
    <x v="2"/>
    <n v="17"/>
    <m/>
    <n v="17"/>
    <m/>
    <m/>
    <m/>
    <m/>
    <s v="ESCALERA"/>
    <s v="TERCERO"/>
  </r>
  <r>
    <m/>
    <m/>
    <x v="0"/>
    <s v="ALICORP SAA"/>
    <s v="CALLAO"/>
    <s v="GALLETERIA"/>
    <x v="9"/>
    <s v="COMEDOR"/>
    <d v="2023-06-02T00:00:00"/>
    <n v="22"/>
    <m/>
    <x v="6"/>
    <m/>
    <m/>
    <s v="MAÑANA"/>
    <x v="3"/>
    <m/>
    <m/>
    <m/>
    <s v="LORENA ESTEFANY MAMANI GONZALES"/>
    <s v="F"/>
    <m/>
    <s v="AYUDANTE DE COCINA"/>
    <m/>
    <s v="Corte en el dedo pulgar de la mano izquierda, el colaborador se encontraba cortando tubérculos, y es cuando sufre el corte en el dedo pulgar de la mano izquierda, ocasionándole un sangrado de regular cantidad."/>
    <s v="CORTE"/>
    <m/>
    <x v="1"/>
    <m/>
    <s v="DURANTE SU RUTINA DE TRABAJO"/>
    <s v="CORTE"/>
    <x v="1"/>
    <n v="10"/>
    <m/>
    <n v="10"/>
    <m/>
    <m/>
    <m/>
    <m/>
    <s v="CUCHILLO"/>
    <s v="TERCERO"/>
  </r>
  <r>
    <m/>
    <m/>
    <x v="0"/>
    <s v="ALICORP SAA"/>
    <s v="CALLAO"/>
    <s v="MOLINO CALLAO"/>
    <x v="1"/>
    <s v="  EMBOLSADO DE FOODSERVICE"/>
    <d v="2023-06-04T00:00:00"/>
    <n v="22"/>
    <m/>
    <x v="6"/>
    <m/>
    <m/>
    <s v="TARDE"/>
    <x v="0"/>
    <m/>
    <m/>
    <m/>
    <s v="GUILLERMO HERMOSA CARDENAS "/>
    <s v="M"/>
    <n v="27"/>
    <s v="AYUDANTE DE PLANTA"/>
    <m/>
    <s v="Traumatismo superficial de la muñeca y mano izquierda el colaborador mientras se disponía a realizar la actividad de cosido de saco de papel se percata que su compañero que se encontraba junto a él tenía dificultades para colocar el saco en el bocasaco de la embolsadora "/>
    <s v="Golpeado por"/>
    <m/>
    <x v="1"/>
    <m/>
    <s v="DURANTE SU RUTINA DE TRABAJO"/>
    <s v="TRAUMATISMO"/>
    <x v="4"/>
    <n v="34"/>
    <m/>
    <n v="34"/>
    <m/>
    <m/>
    <m/>
    <s v="1 MES"/>
    <s v="SACO"/>
    <m/>
  </r>
  <r>
    <m/>
    <m/>
    <x v="0"/>
    <s v="ALICORP SAA"/>
    <s v="CALLAO"/>
    <s v="SALSAS 4"/>
    <x v="4"/>
    <s v="PROYECTOS SALSAS 4"/>
    <d v="2023-06-13T00:00:00"/>
    <n v="24"/>
    <m/>
    <x v="6"/>
    <m/>
    <m/>
    <s v="MAÑANA"/>
    <x v="0"/>
    <m/>
    <m/>
    <m/>
    <s v="JOSE BUSTAMANTE"/>
    <s v="M"/>
    <m/>
    <s v="OPERARIO"/>
    <m/>
    <s v="Fractura de la mano izquierda, el colaborador mientras habilitaba la herramienta, el operario coloca un clavo en la boquilla sin percatarse de que la pistola tenía el fulminante puesto. Al ejercer presión con su mano sobre la boquilla y apretar el gatillo, el clavo se incrustó en su mano izquierda. "/>
    <s v="Golpeado por"/>
    <m/>
    <x v="1"/>
    <m/>
    <s v="DURANTE SU RUTINA DE TRABAJO"/>
    <s v="FRACTURA"/>
    <x v="6"/>
    <n v="30"/>
    <m/>
    <n v="30"/>
    <m/>
    <m/>
    <m/>
    <m/>
    <s v="CLAVO"/>
    <s v="TERCERO"/>
  </r>
  <r>
    <m/>
    <m/>
    <x v="0"/>
    <s v="ALICORP SAA"/>
    <s v="LURIN"/>
    <s v="LATAM 400"/>
    <x v="2"/>
    <s v="PASILLO 10"/>
    <d v="2023-06-20T00:00:00"/>
    <n v="25"/>
    <m/>
    <x v="6"/>
    <m/>
    <m/>
    <s v="MAÑANA"/>
    <x v="0"/>
    <m/>
    <m/>
    <m/>
    <s v="JULIO NAVARRO"/>
    <s v="M"/>
    <n v="31"/>
    <s v="AYUDANTE DE ALMACEN"/>
    <m/>
    <s v="Esguinces y torceduras de las articulaciones del hombro derecho, se asignó a dos trabajadores que vayan al pasillo 10 para realizar el retiro de las cajas de la ubicación. El procedimiento que se indicó es utilizar una canastilla con arnés con el cual el Sr. Julio Navarro subió al nivel 5 para comenzar a realizar la actividad. Mientras la ejecutaba el trabajador sintió dolor en el hombro derecho "/>
    <s v="ESGUINCES"/>
    <m/>
    <x v="9"/>
    <m/>
    <s v="DURANTE SU RUTINA DE TRABAJO"/>
    <s v="ESGUINCE"/>
    <x v="2"/>
    <n v="4"/>
    <m/>
    <n v="4"/>
    <m/>
    <m/>
    <m/>
    <s v="1AÑO Y 2MESES"/>
    <s v="CAJAS"/>
    <m/>
  </r>
  <r>
    <m/>
    <m/>
    <x v="0"/>
    <s v="ALICORP SAA"/>
    <s v="CALLAO"/>
    <s v="SALSAS 3"/>
    <x v="1"/>
    <s v="SALSAS 3"/>
    <d v="2023-06-28T00:00:00"/>
    <n v="26"/>
    <m/>
    <x v="6"/>
    <m/>
    <m/>
    <s v="MAÑANA"/>
    <x v="0"/>
    <m/>
    <m/>
    <m/>
    <s v="JAVIER REYES MARIN"/>
    <s v="M"/>
    <n v="33"/>
    <s v="OPERARIO DE PRODUCCIÓN"/>
    <m/>
    <s v="Atricción dedo meñique mano derecha, el colaborador se encontraba realizando corrección de peso de cajas rechazadas por balanza en línea. Una caja ingresó desalineada y quedó retenida en las guías. Introdujo la mano por debajo del protector hasta la base de la caja para corregir la posición, ingresando su dedo meñique derecho entre la faja y el polín de paso "/>
    <s v="ATRAPADO POR"/>
    <m/>
    <x v="1"/>
    <m/>
    <s v="DURANTE SU RUTINA DE TRABAJO"/>
    <s v="ATRICCIÓN "/>
    <x v="3"/>
    <n v="3"/>
    <m/>
    <n v="3"/>
    <m/>
    <m/>
    <m/>
    <s v="1 MES"/>
    <s v="CAJAS"/>
    <s v="CONTRATADO"/>
  </r>
  <r>
    <m/>
    <m/>
    <x v="1"/>
    <s v="ALICORP BOLIVIA"/>
    <m/>
    <s v="COCHABAMBA"/>
    <x v="10"/>
    <s v="RECURSOS HUMANOS"/>
    <d v="2023-06-13T00:00:00"/>
    <n v="24"/>
    <m/>
    <x v="6"/>
    <m/>
    <m/>
    <s v="MAÑANA"/>
    <x v="4"/>
    <m/>
    <m/>
    <m/>
    <s v="TERESA ESQUIVEL"/>
    <s v="F"/>
    <n v="43"/>
    <s v="OPERARIO DE LIMPIEZA"/>
    <m/>
    <s v="Esguince por torcedura de tobillo, el colaborador resbala y cae sentada al estar caminando sobre el piso mojado luego de trapear el sector del comedor"/>
    <s v="ESGUINCES"/>
    <m/>
    <x v="2"/>
    <m/>
    <s v="DURANTE SU RUTINA DE TRABAJO"/>
    <s v="ESGUINCES"/>
    <x v="2"/>
    <n v="7"/>
    <m/>
    <n v="7"/>
    <m/>
    <m/>
    <m/>
    <s v="3 AÑOS"/>
    <s v="PISO"/>
    <s v="TERCERO"/>
  </r>
  <r>
    <m/>
    <m/>
    <x v="2"/>
    <s v="VITAPRO"/>
    <s v="ECUADOR"/>
    <s v="INBALNOR"/>
    <x v="4"/>
    <s v="PROYECTO BICIS 2"/>
    <d v="2023-06-18T00:00:00"/>
    <n v="24"/>
    <m/>
    <x v="6"/>
    <m/>
    <m/>
    <s v="TARDE"/>
    <x v="3"/>
    <m/>
    <m/>
    <m/>
    <s v="RAMON WILFRIDO CUERO NAZARENO"/>
    <s v="M"/>
    <n v="39"/>
    <s v="ARMADOR DE ESTRUCTURAS"/>
    <m/>
    <s v="Trauma superficial región lumbo sacra y rodilla derecha, hematoma a nivel de ojo izquierdo, el colaborador se encontraba en el nivel +10.5 realizando actividades preliminares en las vigas colaborantes que se encontraban acopiadas en el piso antes de realizar el montaje de estas._x000a_En ese momento resbala perdiendo el equilibrio e impacta frontalmente con las vigas. Efecto de este golpe cae hacia atrás y al querer ponerse de pie, pisa la eslinga de su arnés provocándole caída al mismo nivel y múltiples golpes en el cuerpo"/>
    <s v="TRUMA"/>
    <m/>
    <x v="9"/>
    <m/>
    <s v="DURANTE SU RUTINA DE TRABAJO"/>
    <s v="CONTUSION"/>
    <x v="4"/>
    <n v="2"/>
    <m/>
    <n v="2"/>
    <m/>
    <m/>
    <m/>
    <m/>
    <s v="VIGAS"/>
    <s v="TERCERO"/>
  </r>
  <r>
    <m/>
    <m/>
    <x v="4"/>
    <s v="VITAPRO"/>
    <s v="HONDURAS"/>
    <s v="HONDURAS"/>
    <x v="7"/>
    <s v="ESCALERA NIVEL 3 "/>
    <d v="2023-06-30T00:00:00"/>
    <n v="26"/>
    <m/>
    <x v="6"/>
    <m/>
    <m/>
    <s v="MAÑANA"/>
    <x v="0"/>
    <m/>
    <m/>
    <m/>
    <s v="MORENO HERNANDEZ MARIO RENE"/>
    <s v="M"/>
    <n v="45"/>
    <s v="OPERADOR DE CALDERAS"/>
    <m/>
    <s v="El trabajador se encontraba realizando la tarea del descenso de la pieza por medio de un tecle con el objetivo de trasladarlo al taller de mantenimiento, la actividad se realizó entre 5 técnicos y la aprobación del jefe de mantenimiento"/>
    <s v="FACTURA"/>
    <m/>
    <x v="1"/>
    <m/>
    <s v="DURANTE SU RUTINA DE TRABAJO"/>
    <s v="FACTURA"/>
    <x v="6"/>
    <n v="21"/>
    <m/>
    <n v="21"/>
    <m/>
    <m/>
    <m/>
    <s v="3 AÑOS Y 5 MESES"/>
    <s v="ESCALERA"/>
    <m/>
  </r>
  <r>
    <m/>
    <m/>
    <x v="0"/>
    <s v="ALICORP SAA"/>
    <s v="CALLAO"/>
    <s v="DETERGENTES"/>
    <x v="1"/>
    <m/>
    <d v="2023-07-01T00:00:00"/>
    <n v="26"/>
    <m/>
    <x v="6"/>
    <m/>
    <m/>
    <s v="MAÑANA"/>
    <x v="0"/>
    <m/>
    <m/>
    <m/>
    <s v="ccc"/>
    <s v="M"/>
    <m/>
    <s v="OPERADOR DE BOQUILLAS "/>
    <m/>
    <s v="Herida de dedo de la mano, sin daño de la uña, el colaborador se encontraba culminado la limpieza del sistema de aspiración de polvos. "/>
    <s v="CONTACTO CON"/>
    <m/>
    <x v="1"/>
    <m/>
    <s v="DURANTE SU RUTINA DE TRABAJO"/>
    <s v="HERIDA"/>
    <x v="3"/>
    <n v="5"/>
    <m/>
    <n v="5"/>
    <m/>
    <m/>
    <m/>
    <s v="17 AÑOS"/>
    <s v="EQUIPO"/>
    <m/>
  </r>
  <r>
    <m/>
    <m/>
    <x v="0"/>
    <s v="ALICORP SAA"/>
    <s v="CALLAO"/>
    <s v="GALLETERA"/>
    <x v="1"/>
    <m/>
    <d v="2023-07-03T00:00:00"/>
    <n v="27"/>
    <m/>
    <x v="6"/>
    <m/>
    <m/>
    <s v="TARDE"/>
    <x v="0"/>
    <m/>
    <m/>
    <m/>
    <s v="Orlando Manuel Ramos Marquina"/>
    <s v="M"/>
    <m/>
    <s v="Operador de máquina envasadora"/>
    <m/>
    <s v="Queratoconjuntivitis, Ojo Izquierdo, el colaborador se encontraba en el área de lavado de instantáneos, realizando labores de trasvase de detergente neutro M&amp;M 2000 hacia un vaso plástico; y en ese momento salpica una gota de detergente en su vista izquierda, ocasionándole enrojecimiento y ardor en la zona afectada"/>
    <s v="CONTACTO CON"/>
    <m/>
    <x v="0"/>
    <m/>
    <s v="DURANTE SU RUTINA DE TRABAJO"/>
    <s v="QUEROCONJUNTIVIS"/>
    <x v="0"/>
    <n v="2"/>
    <m/>
    <n v="2"/>
    <m/>
    <m/>
    <m/>
    <s v="10 AÑOS"/>
    <s v="DETERGENTE"/>
    <m/>
  </r>
  <r>
    <m/>
    <m/>
    <x v="2"/>
    <s v="VITAPRO"/>
    <s v="ECUADOR"/>
    <s v="VITAPRO"/>
    <x v="1"/>
    <m/>
    <d v="2023-07-03T00:00:00"/>
    <n v="27"/>
    <m/>
    <x v="6"/>
    <m/>
    <m/>
    <s v="MAÑANA"/>
    <x v="0"/>
    <m/>
    <m/>
    <m/>
    <s v="Jose Castillo (27 años) "/>
    <s v="M"/>
    <n v="27"/>
    <s v="Embolsador "/>
    <m/>
    <s v="Corte en dedo anular de mano derecha, el colaborador se encontraba realizando limpieza en la tolva live in de la prensa 6, al momento de retirar el producto manualmente desde de la tolva esta choca con una arista del eje rotativo el cual le genero el corte en el dedo anular derecho. "/>
    <s v="CONTACTO CON"/>
    <m/>
    <x v="1"/>
    <m/>
    <s v="DURANTE SU RUTINA DE TRABAJO"/>
    <s v="CORTE"/>
    <x v="1"/>
    <n v="11"/>
    <m/>
    <n v="11"/>
    <m/>
    <m/>
    <m/>
    <s v="4 meses y 20 días "/>
    <s v="EQUIPO"/>
    <s v="CONTRATADO"/>
  </r>
  <r>
    <m/>
    <m/>
    <x v="0"/>
    <s v="ALICORP SAA"/>
    <s v="CALLAO"/>
    <s v="MOLINO CALLAO"/>
    <x v="1"/>
    <m/>
    <d v="2023-07-04T00:00:00"/>
    <n v="27"/>
    <m/>
    <x v="6"/>
    <m/>
    <m/>
    <s v="MAÑANA"/>
    <x v="0"/>
    <m/>
    <m/>
    <m/>
    <s v="Elmer Juarez "/>
    <s v="M"/>
    <m/>
    <s v="Ayudante de Planta"/>
    <m/>
    <s v="Cuerpo extraño en saco conjuntival, queratoconjuntivitis, el colaborador se encontraba realizando la tarea ayudar a su compañero Lucio Rodriguez de recibir los cajones del Plansifter de Plástico del Sangatti a diferente nivel, en una de esas actividades repetitivas el colaborador siente que el ojo izquierdo le molestaba. "/>
    <s v="CONTACTO CON"/>
    <m/>
    <x v="0"/>
    <m/>
    <s v="DURANTE SU RUTINA DE TRABAJO"/>
    <s v="QUEROCONJUNTIVIS"/>
    <x v="0"/>
    <n v="2"/>
    <m/>
    <n v="2"/>
    <m/>
    <m/>
    <m/>
    <s v="7 MESES"/>
    <s v="HARINA"/>
    <m/>
  </r>
  <r>
    <m/>
    <m/>
    <x v="0"/>
    <s v="ALICORP SAA"/>
    <s v="CALLAO"/>
    <s v="MOLINO CALLAO"/>
    <x v="1"/>
    <m/>
    <d v="2023-07-07T00:00:00"/>
    <n v="27"/>
    <m/>
    <x v="6"/>
    <m/>
    <m/>
    <s v="TARDE"/>
    <x v="3"/>
    <m/>
    <m/>
    <m/>
    <s v="Alexander Neciosupe"/>
    <s v="M"/>
    <m/>
    <s v="Operario (Proveedor Corporación Heredia)"/>
    <m/>
    <s v="Fractura y lesiones en tendón del dedo pulgar derecho, el colaborador se encontraba realizando la tarea de limpieza de superficies de paredes, pisos y recoger harina de los pisos para la cual estaba contratada; mientras ejecutaba su actividad observó una fuga de harina en el equipo disgregador del diagrama “A”, se acercó sin autorización al equipo para retirar el producto y cerrar la tapa haciendo contacto con el equipo en movimiento. "/>
    <s v="CONTACTO CON"/>
    <m/>
    <x v="1"/>
    <m/>
    <s v="DURANTE SU RUTINA DE TRABAJO"/>
    <s v="FRACTURA"/>
    <x v="6"/>
    <n v="49"/>
    <m/>
    <n v="49"/>
    <m/>
    <m/>
    <m/>
    <s v="2 AÑOS"/>
    <s v="EQUIPO EN MOVIMIENTO"/>
    <s v="TERCERO"/>
  </r>
  <r>
    <m/>
    <m/>
    <x v="0"/>
    <s v="ALICORP SAA"/>
    <s v="CALLAO"/>
    <s v="GALLETERA"/>
    <x v="1"/>
    <m/>
    <d v="2023-07-07T00:00:00"/>
    <n v="27"/>
    <m/>
    <x v="6"/>
    <m/>
    <m/>
    <s v="MAÑANA"/>
    <x v="0"/>
    <m/>
    <m/>
    <m/>
    <s v="Eder Zúñiga Camayo"/>
    <s v="M"/>
    <m/>
    <s v="Mezclador Instantáneos"/>
    <m/>
    <s v="Traumatismo superficial en pierna derecha no especificado, el colaborador se trasladaba peatonalmente, desde el encajado automático hacia el área de encajado manual de Casino Torre, cuando el montacargas del almacén de cajas sobrepasó las cortinas que limitan al almacén con el área, impactando el pallet de cajas vacías contra el hombro y pierna derecha del colaborador. "/>
    <s v="CONTACTO CON"/>
    <m/>
    <x v="9"/>
    <m/>
    <s v="TRASLADANDOSE"/>
    <s v="GOLPE"/>
    <x v="4"/>
    <n v="8"/>
    <m/>
    <n v="8"/>
    <m/>
    <m/>
    <m/>
    <s v="15 AÑOS"/>
    <s v="MONTACARGA"/>
    <m/>
  </r>
  <r>
    <m/>
    <m/>
    <x v="0"/>
    <s v="ALICORP SAA"/>
    <s v="CALLAO"/>
    <s v="MOLINO FAUCETT"/>
    <x v="1"/>
    <m/>
    <d v="2023-07-10T00:00:00"/>
    <n v="28"/>
    <m/>
    <x v="6"/>
    <m/>
    <m/>
    <s v="NOCHE"/>
    <x v="0"/>
    <m/>
    <m/>
    <m/>
    <s v="Perez Diaz, Hugo Ernesto"/>
    <s v="M"/>
    <m/>
    <s v="AYUDANTE DE PLANTA"/>
    <m/>
    <s v="Fractura de falange distal dedo medio mano izquierda, el colaborador se encontraba realizando la actividad del embolsado de subproducto (afrecho), cuando al colocar el saco para descargar el afrecho de la balanza, procede a activar los sensores para el cierre de la mordaza de sujeción de sacos, en ese instante se percata que el lado izquierdo del saco no queda bien posicionado y trata de acomodarlo. "/>
    <s v="ATRICCIÓN "/>
    <m/>
    <x v="1"/>
    <m/>
    <s v="DURANTE SU RUTINA DE TRABAJO"/>
    <s v="FRACTURA"/>
    <x v="6"/>
    <n v="30"/>
    <m/>
    <n v="30"/>
    <m/>
    <m/>
    <m/>
    <s v="1 SEMANA"/>
    <s v="MORDAZA EMBOLSADORA"/>
    <m/>
  </r>
  <r>
    <m/>
    <m/>
    <x v="0"/>
    <s v="ALICORP SAA"/>
    <s v="CALLAO"/>
    <s v="GALLETERA"/>
    <x v="1"/>
    <m/>
    <d v="2023-07-15T00:00:00"/>
    <n v="28"/>
    <m/>
    <x v="6"/>
    <m/>
    <m/>
    <s v="MAÑANA"/>
    <x v="0"/>
    <m/>
    <m/>
    <m/>
    <s v="Luis Ricardo Garcia La Rosa"/>
    <s v="M"/>
    <m/>
    <s v="Operador masero"/>
    <m/>
    <s v="Herida de segundo dedo de la mano derecha, sin daño de uña, el colaborador se encontraba en el área de lavado de bandejas, realizando labores de limpieza del imán que previamente fue desmontado de la batidora de masas #1, dejó la tapa del imán abierta en posición vertical "/>
    <s v="CONTACTO CON"/>
    <m/>
    <x v="1"/>
    <m/>
    <s v="DURANTE SU RUTINA DE TRABAJO"/>
    <s v="HERIDA"/>
    <x v="3"/>
    <n v="4"/>
    <m/>
    <n v="4"/>
    <m/>
    <m/>
    <m/>
    <s v="6 años"/>
    <s v="IMAN"/>
    <m/>
  </r>
  <r>
    <m/>
    <m/>
    <x v="0"/>
    <s v="ALICORP SAA"/>
    <s v="AGUSTINO"/>
    <s v="CD AGUSTINO"/>
    <x v="2"/>
    <s v="CD AGUSTINO"/>
    <d v="2023-07-22T00:00:00"/>
    <n v="29"/>
    <m/>
    <x v="6"/>
    <m/>
    <m/>
    <s v="MAÑANA"/>
    <x v="6"/>
    <m/>
    <m/>
    <m/>
    <s v="Guiliano Guillermo Sandoval Lancha"/>
    <s v="M"/>
    <m/>
    <s v="Personal de carga IOLSA"/>
    <m/>
    <s v="Herida del dedo de la mano derecha, sin daño de uña, el colaborador se encontraba en el proceso de estibado de sacos de harina en unidad furgón para cliente. Al momento de dejar uno de los sacos acerca su mano hacia la pared del camión y de manera rápida la eleva pasando todo el borde de su dedo contra uno de los bordes de la unidad, lo que le genera un corte en la parte lateral del dedo"/>
    <s v="CONTACTO CON"/>
    <m/>
    <x v="1"/>
    <m/>
    <s v="DURANTE SU RUTINA DE TRABAJO"/>
    <s v="HERIDA"/>
    <x v="3"/>
    <n v="3"/>
    <m/>
    <n v="3"/>
    <m/>
    <m/>
    <m/>
    <s v="3 años y 6 meses"/>
    <s v="PARED LATERAL DEL CAMION"/>
    <s v="TERCERO"/>
  </r>
  <r>
    <m/>
    <m/>
    <x v="0"/>
    <s v="ALICORP SAA"/>
    <s v="CALLAO"/>
    <s v="MOLINO FAUCETT"/>
    <x v="1"/>
    <s v="Primer piso del diagrama A"/>
    <d v="2023-08-09T00:00:00"/>
    <n v="32"/>
    <m/>
    <x v="6"/>
    <m/>
    <m/>
    <s v="TARDE"/>
    <x v="0"/>
    <m/>
    <m/>
    <m/>
    <s v="ESPICHAN GODOY DIUWER ALEX"/>
    <s v="M"/>
    <n v="45"/>
    <s v="OPERADOR 2 DE MOLINO"/>
    <m/>
    <s v="Afectación del 2do al 5to dedo de la mano derecha, el diagrama A se encontraba en proceso de vaciado de línea por el término de molienda de sémola, durante la verificación del correcto vaciado del producto el colaborador abre la tapa para una inspección visual, lamentablemente introduce la mano y es atrapada en el banco. "/>
    <s v="ATRAPADO POR"/>
    <m/>
    <x v="1"/>
    <m/>
    <s v="DURANTE SU RUTINA DE TRABAJO"/>
    <s v="ATRICCIÓN "/>
    <x v="5"/>
    <s v="Por confirmar"/>
    <m/>
    <s v="Por confirmar"/>
    <m/>
    <m/>
    <m/>
    <s v="13 AÑOS"/>
    <s v="TAPA"/>
    <m/>
  </r>
  <r>
    <m/>
    <m/>
    <x v="0"/>
    <s v="ALICORP SAA"/>
    <s v="CALLAO"/>
    <s v="GALLETERA"/>
    <x v="1"/>
    <s v="Producción Línea "/>
    <d v="2023-08-15T00:00:00"/>
    <n v="33"/>
    <m/>
    <x v="6"/>
    <m/>
    <m/>
    <s v="MAÑANA"/>
    <x v="0"/>
    <m/>
    <m/>
    <m/>
    <s v="CALERO JULCA MILDRE ESTEFANI"/>
    <s v="M"/>
    <n v="25"/>
    <s v="OPERARIO DE PRODUCCION"/>
    <m/>
    <s v="Esguince y torcedura de muñeca, el colaborador se encontraba alimentando la línea 1, se dirige a botar una bolsa que contenía residuos plásticos cuando tropieza con una platina de recubrimiento de la junta de dilatación cayendo sobre su muñeca izquierda, ocasionándole un esguince y torcedura de muñeca "/>
    <s v="CAIDA A UN MISMO NIVEL"/>
    <m/>
    <x v="1"/>
    <m/>
    <s v="DURANTE SU RUTINA DE TRABAJO"/>
    <s v="ESGUINCES"/>
    <x v="2"/>
    <n v="6"/>
    <m/>
    <n v="6"/>
    <m/>
    <m/>
    <m/>
    <s v="4 AÑOS"/>
    <s v="Platina"/>
    <m/>
  </r>
  <r>
    <m/>
    <m/>
    <x v="0"/>
    <s v="ALICORP SAA"/>
    <s v="CALLAO"/>
    <s v="MOLINO CALLAO"/>
    <x v="1"/>
    <s v="Tercer piso del Embolsado de harina"/>
    <d v="2023-08-25T00:00:00"/>
    <n v="34"/>
    <m/>
    <x v="6"/>
    <m/>
    <m/>
    <s v="MAÑANA"/>
    <x v="0"/>
    <m/>
    <m/>
    <m/>
    <s v="PALOMO DIONICIO HILDEBRAND"/>
    <s v="M"/>
    <n v="27"/>
    <s v="AYUDANTE DE PLANTA"/>
    <m/>
    <s v="Contusión de dedo índice de la mano izquierda con daño de la uña, el colaborador mientras iniciaba la actividad de cosido de sacos de harina sin aditivo, observa que el hilo estaba enredado en la aguja de la máquina. El colaborador prende la máquina para que la aguja se ponga en posición y poder retirar el hilo sin percatarse que su dedo de su mano izquierda se encontraba sobre el empeine de la misma máquina. Es en este momento siente el golpe sobre el dedo "/>
    <s v="CONTUSIÓN"/>
    <m/>
    <x v="1"/>
    <m/>
    <s v="DURANTE SU RUTINA DE TRABAJO"/>
    <s v="CONTUSIÓN"/>
    <x v="4"/>
    <n v="3"/>
    <m/>
    <n v="3"/>
    <m/>
    <m/>
    <m/>
    <s v="6 MESES"/>
    <s v="SACOS DE ARINA"/>
    <m/>
  </r>
  <r>
    <m/>
    <m/>
    <x v="0"/>
    <s v="ALICORP SAA"/>
    <s v="CALLAO"/>
    <s v="GALLETERA"/>
    <x v="1"/>
    <s v="Producción Línea 2- PACK A2"/>
    <d v="2023-08-29T00:00:00"/>
    <n v="35"/>
    <m/>
    <x v="6"/>
    <m/>
    <m/>
    <s v="NOCHE"/>
    <x v="0"/>
    <m/>
    <m/>
    <m/>
    <s v="SAAVEDRA RAMIREZ HUBER JHONNY"/>
    <s v="M"/>
    <n v="44"/>
    <s v="OPERARIO DE PRODUCCION"/>
    <m/>
    <s v="Traumatismo en la cabeza zona occipital, el colaborador recoge packs que habían caído de la faja transportadora y al levantarse se golpea la cabeza con el soporte de los conectores de aire "/>
    <s v="TRAUMATISMO"/>
    <m/>
    <x v="7"/>
    <m/>
    <s v="DURANTE SU RUTINA DE TRABAJO"/>
    <s v="TRAUMATISMO"/>
    <x v="4"/>
    <n v="3"/>
    <m/>
    <n v="3"/>
    <m/>
    <m/>
    <m/>
    <s v="13 AÑOS"/>
    <s v="SOPORTE  DE CONECTORES DE AIRE"/>
    <m/>
  </r>
  <r>
    <m/>
    <m/>
    <x v="2"/>
    <s v="VITAPRO"/>
    <s v="ECUADOR"/>
    <s v="INBALNOR"/>
    <x v="4"/>
    <s v="INBALNOR-BICIS 2"/>
    <d v="2023-08-21T00:00:00"/>
    <n v="34"/>
    <m/>
    <x v="6"/>
    <m/>
    <m/>
    <s v="TARDE"/>
    <x v="3"/>
    <m/>
    <m/>
    <m/>
    <s v="JUNIOR ALFREDO GALARZA CHENCHE"/>
    <s v="M"/>
    <n v="29"/>
    <m/>
    <m/>
    <s v="Herida corto contundente en cigomático izquierdo, Los trabajadores de la subcontratista GEOFORCE, Junior Galarza y Jimmy Soriano, se encontraban en un elevador de personas instalando elemento metálico en la cubierta auxiliar del proyecto Almacén de Soya. "/>
    <s v="GOLPE"/>
    <m/>
    <x v="7"/>
    <m/>
    <s v="DURANTE SU RUTINA DE TRABAJO"/>
    <s v="HERIDA"/>
    <x v="3"/>
    <n v="4"/>
    <m/>
    <n v="4"/>
    <m/>
    <m/>
    <m/>
    <s v="6DIAZ"/>
    <s v="CUERDA Y VARILLA"/>
    <s v="TERCERO"/>
  </r>
  <r>
    <m/>
    <m/>
    <x v="1"/>
    <s v="ALICORP BOLIVIA"/>
    <m/>
    <s v="DON FELIPE"/>
    <x v="7"/>
    <s v="DON FELIPE"/>
    <d v="2023-08-31T00:00:00"/>
    <n v="35"/>
    <m/>
    <x v="6"/>
    <m/>
    <m/>
    <s v="TARDE"/>
    <x v="0"/>
    <m/>
    <m/>
    <m/>
    <s v="JESIEL ABEDNEGO MAMANI MAFA"/>
    <s v="M"/>
    <n v="28"/>
    <s v="AYUDANTE DE SILOS"/>
    <m/>
    <s v="Fractura expuesta del 1er dedo de mano izquierda, trauma de mano izquierda y ruptura de tendón dedo índice, el colaborador realizaba la limpieza del sistema de válvulas de descarga de la torre 6, aproximando una manguera de aire comprimido a las ventanillas de limpieza de estas válvulas "/>
    <s v="FRACTURA"/>
    <m/>
    <x v="1"/>
    <m/>
    <s v="DURANTE SU RUTINA DE TRABAJO"/>
    <s v="FRACTURA"/>
    <x v="6"/>
    <s v="Por confirmar"/>
    <m/>
    <s v="Por confirmar"/>
    <m/>
    <m/>
    <m/>
    <s v="9AÑOS"/>
    <s v="MANGUERA"/>
    <m/>
  </r>
  <r>
    <m/>
    <m/>
    <x v="0"/>
    <s v="ALICORP SAA"/>
    <s v="CALLAO"/>
    <s v="DETERGENTES"/>
    <x v="1"/>
    <s v="PRODUCCIÓN"/>
    <d v="2023-09-01T00:00:00"/>
    <n v="35"/>
    <m/>
    <x v="6"/>
    <m/>
    <m/>
    <s v="NOCHE"/>
    <x v="0"/>
    <m/>
    <m/>
    <m/>
    <s v="CARLOS ALCANTARA LABRIN "/>
    <s v="M"/>
    <n v="26"/>
    <s v="AYUDANTE DE PLATAN"/>
    <m/>
    <s v="Fractura de otro dedo de la mano, el colaborador sufre un tirón en el dedo índice de la mano izquierda lamentablemente su dedo quedo atrapado entre la polea y la faja, de inmediato logra retirar la mano presentando un corte"/>
    <s v="FACTURA"/>
    <m/>
    <x v="1"/>
    <m/>
    <s v="DURANTE SU RUTINA DE TRABAJO"/>
    <s v="FACTURA"/>
    <x v="6"/>
    <n v="32"/>
    <m/>
    <n v="32"/>
    <m/>
    <m/>
    <m/>
    <s v="3 MESES "/>
    <s v="FAJA"/>
    <m/>
  </r>
  <r>
    <m/>
    <m/>
    <x v="0"/>
    <s v="ALICORP SAA"/>
    <s v="CALLAO"/>
    <s v="COPSA"/>
    <x v="1"/>
    <s v="SALSAS 3"/>
    <d v="2023-09-01T00:00:00"/>
    <n v="35"/>
    <m/>
    <x v="6"/>
    <m/>
    <m/>
    <s v="MAÑANA"/>
    <x v="0"/>
    <m/>
    <m/>
    <m/>
    <s v="CORTEZ VASQUEZ YORDI ANTHONY"/>
    <s v="M"/>
    <n v="26"/>
    <s v="PESADOR INGREDIENTES SALSAS"/>
    <m/>
    <s v="Inflamación de la córnea en ojo izquierdo, el colaborador se encontraba añadiendo ingredientes líquidos en la tolva respectiva para la preparación de un batch en manufactura salsas. Al momento de terminar de agregar éstos, le salpica una gota de la mezcla cerca del ojo izquierdo"/>
    <s v="INFLAMACIÓN DE LA CORNEA"/>
    <m/>
    <x v="7"/>
    <m/>
    <s v="DURANTE SU RUTINA DE TRABAJO"/>
    <s v="INFLAMACIÓN DE LA CORNEA"/>
    <x v="0"/>
    <n v="3"/>
    <m/>
    <n v="3"/>
    <m/>
    <m/>
    <m/>
    <s v="1 AÑO"/>
    <s v="TOLVA "/>
    <m/>
  </r>
  <r>
    <m/>
    <m/>
    <x v="0"/>
    <s v="ALICORP SAA"/>
    <s v="AREQUIPA"/>
    <s v="CD AREQUIPA"/>
    <x v="2"/>
    <s v="CD AREQUIPA"/>
    <d v="2023-09-04T00:00:00"/>
    <n v="36"/>
    <m/>
    <x v="6"/>
    <m/>
    <m/>
    <s v="TARDE"/>
    <x v="7"/>
    <m/>
    <m/>
    <m/>
    <s v="Fredy Jesus Velazco Carpio"/>
    <s v="M"/>
    <m/>
    <m/>
    <m/>
    <s v="Fractura del maléolo interno, el colaborador se encontraba abriendo las cortinas de su unidad paletizada con placa C8I747 para descargar mercadería desde Lima, una de las cortinas que jalaba el conductor se traba y la faja se rompe ocasionando que el conductor pierda el equilibrio y se caiga; sufriendo una lesión en el tobillo "/>
    <s v="LESIÓN"/>
    <m/>
    <x v="2"/>
    <m/>
    <s v="DURANTE SU RUTINA DE TRABAJO"/>
    <s v="LESIÓN"/>
    <x v="6"/>
    <n v="5"/>
    <m/>
    <n v="5"/>
    <m/>
    <m/>
    <m/>
    <s v="1 AÑO Y 8 MESES "/>
    <s v="CORTINA"/>
    <m/>
  </r>
  <r>
    <m/>
    <m/>
    <x v="0"/>
    <s v="ALICORP SAA"/>
    <s v="LURIN"/>
    <s v="LATAM 600"/>
    <x v="2"/>
    <s v="LATAM 600"/>
    <d v="2023-09-15T00:00:00"/>
    <n v="37"/>
    <m/>
    <x v="6"/>
    <m/>
    <m/>
    <s v="MAÑANA"/>
    <x v="0"/>
    <m/>
    <m/>
    <m/>
    <s v="aaa"/>
    <s v="M"/>
    <n v="33"/>
    <s v="AYUDNATE DE ALMACEN "/>
    <m/>
    <s v="Traumatismo intracraneal producto de sincope, el colaborador se encontraba manejando su equipo ERE asignado hacia la zona de estacionamiento cuando se desvanece (Sincope) y su cuerpo termino desplomándose contra el suelo impactando la cabeza contra el piso "/>
    <s v="TRAUMATISMO INTRACRANEAL "/>
    <m/>
    <x v="7"/>
    <m/>
    <s v="DURANTE SU RUTINA DE TRABAJO"/>
    <s v="TRAUMATISMO INTRACRANEAL "/>
    <x v="4"/>
    <n v="8"/>
    <m/>
    <n v="8"/>
    <m/>
    <m/>
    <m/>
    <s v="1 AÑO Y 8 MESES "/>
    <s v="Equipo ERE "/>
    <m/>
  </r>
  <r>
    <m/>
    <m/>
    <x v="0"/>
    <s v="ALICORP SAA"/>
    <s v="CALLAO"/>
    <s v="GALLETERA "/>
    <x v="1"/>
    <s v="Producción Línea 4"/>
    <d v="2023-09-20T00:00:00"/>
    <n v="38"/>
    <m/>
    <x v="6"/>
    <m/>
    <m/>
    <s v="MAÑANA"/>
    <x v="0"/>
    <m/>
    <m/>
    <m/>
    <s v="CORONADO PORRAS CRISTIAN"/>
    <s v="M"/>
    <m/>
    <s v="ALIMENTADOR"/>
    <m/>
    <s v="Herida en el dedo pulgar - mano izquierda, el colaborador se encontraba la envasadora primaria D3; es cuando se golpea la mano izquierda con la estructura del magazine afectando el dedo pulgar izquierdo "/>
    <s v="HERIDA EN EL DEDO PULGAR "/>
    <m/>
    <x v="1"/>
    <m/>
    <s v="DURANTE SU RUTINA DE TRABAJO"/>
    <s v="HERIDA EN EL DEDO PULGAR "/>
    <x v="3"/>
    <n v="4"/>
    <m/>
    <n v="4"/>
    <m/>
    <m/>
    <m/>
    <s v="4 MESES"/>
    <s v="ENVASADORA D3"/>
    <m/>
  </r>
  <r>
    <m/>
    <m/>
    <x v="0"/>
    <s v="ALICORP SAA"/>
    <s v="SIDSUR"/>
    <s v="FIDEERÍA"/>
    <x v="1"/>
    <s v="PLANTA FIDEERIA"/>
    <d v="2023-09-29T00:00:00"/>
    <n v="39"/>
    <m/>
    <x v="6"/>
    <m/>
    <m/>
    <s v="TARDE"/>
    <x v="0"/>
    <m/>
    <m/>
    <m/>
    <s v="LAYME IDME JUAN GERARDO"/>
    <s v="M"/>
    <n v="43"/>
    <s v="MECANICO DE TURNO"/>
    <m/>
    <s v="Pérdida de falange distal del dedo pulgar izquierdo, el colaborador procedía a retirar el portamolde la línea 3, como parte de las actividades de limpieza y mantenimiento. El accidentado coloca un tubo metálico como accesorio que complementa la prensa (actividad rutinaria identificada en el IPERC) y lo sostiene con su mano izquierda para guiarlo "/>
    <s v="PÉRDIDA DE FALANGE DISTAL DEL DEDO PULGAR "/>
    <m/>
    <x v="1"/>
    <m/>
    <s v="DURANTE SU RUTINA DE TRABAJO"/>
    <s v="PÉRDIDA DE FALANGE DISTAL DEL DEDO PULGAR "/>
    <x v="5"/>
    <n v="30"/>
    <m/>
    <n v="30"/>
    <m/>
    <m/>
    <m/>
    <m/>
    <s v="PRENSA HIDRÁULICA"/>
    <m/>
  </r>
  <r>
    <m/>
    <m/>
    <x v="3"/>
    <s v="VITAPRO"/>
    <s v="CHILE"/>
    <s v="VITAPRO CHILE "/>
    <x v="7"/>
    <s v="Salmofood"/>
    <d v="2023-09-26T00:00:00"/>
    <n v="39"/>
    <m/>
    <x v="6"/>
    <m/>
    <m/>
    <s v="MAÑANA"/>
    <x v="0"/>
    <m/>
    <m/>
    <m/>
    <s v="Nelson Sánchez"/>
    <s v="M"/>
    <n v="39"/>
    <s v="OPERARIO DE PRODUCCION"/>
    <m/>
    <s v="Herida en el dedo índice - mano izquierda, mientras el trabajador realizaba el corte de un seguro la guarda plástica de la hoja cortante cede, haciendo que la hoja pase de largo generando un corte en la misma mano en la cual el trabajador sostenía la herramienta, producto de esto el trabajador resulto con un corte en el dedo índice y pulgar de la mano izquierda"/>
    <s v="HERIDA EN EL DEDO INDICE "/>
    <m/>
    <x v="1"/>
    <m/>
    <s v="DURANTE SU RUTINA DE TRABAJO"/>
    <s v="HERIDA EN EL DEDO INDICE "/>
    <x v="3"/>
    <n v="4"/>
    <m/>
    <n v="4"/>
    <m/>
    <m/>
    <m/>
    <s v="4 AÑOS"/>
    <s v="GUARDA DE PLASTICO"/>
    <m/>
  </r>
  <r>
    <m/>
    <m/>
    <x v="0"/>
    <s v="ALICORP SAA"/>
    <s v="SIDSUR"/>
    <s v="SIDSUR"/>
    <x v="1"/>
    <s v="Envasado Línea 1"/>
    <d v="2023-10-03T00:00:00"/>
    <n v="40"/>
    <m/>
    <x v="6"/>
    <m/>
    <m/>
    <s v="MAÑANA"/>
    <x v="0"/>
    <m/>
    <m/>
    <m/>
    <s v="CRUZ QUEA MICHAEL ANTHONNY"/>
    <s v="M"/>
    <m/>
    <s v="OPERARIO DE PRODUCCION"/>
    <m/>
    <s v="Esguince de mano derecha, el colaborador se encontraba en la posición de apilado sentado en una silla sobre una plataforma. En un momento se levanta para acomodar la galleta en línea y al momento de sentarse, la silla se inclina hacia atrás "/>
    <m/>
    <m/>
    <x v="1"/>
    <m/>
    <s v="DURANTE SU RUTINA DE TRABAJO"/>
    <s v="ESGUINCE DE MANO DERECHA"/>
    <x v="2"/>
    <m/>
    <m/>
    <m/>
    <m/>
    <m/>
    <m/>
    <s v="16 DIAS "/>
    <s v="SILLA"/>
    <m/>
  </r>
  <r>
    <m/>
    <m/>
    <x v="0"/>
    <s v="ALICORP SAA"/>
    <s v="CALLAO"/>
    <s v="GALLETERA "/>
    <x v="8"/>
    <s v="AREAS VERDES DEL CDC"/>
    <d v="2023-10-07T00:00:00"/>
    <n v="40"/>
    <m/>
    <x v="6"/>
    <m/>
    <m/>
    <s v="TARDE"/>
    <x v="0"/>
    <m/>
    <m/>
    <m/>
    <s v="WILMER URIARTE / OSCAR YATACO"/>
    <s v="M"/>
    <m/>
    <s v="OPERADOR DE MÁQUINA / PESADO DE INGREDIENTES"/>
    <m/>
    <s v="Quemadura del ojo, se había programado la práctica de lucha contra incendios en zonas aledañas al almacén CDC (predio central), los colaboradores en mención asumen la posición de pitoneros direccionando el agua de la red contra incendios hacia las áreas "/>
    <m/>
    <m/>
    <x v="0"/>
    <m/>
    <s v="DURANTE SU RUTINA DE TRABAJO"/>
    <s v="QUEMADURA DEL OJO"/>
    <x v="0"/>
    <m/>
    <m/>
    <m/>
    <m/>
    <m/>
    <m/>
    <s v="16 AÑOS Y 7 MESES"/>
    <s v="MANGUERA"/>
    <m/>
  </r>
  <r>
    <m/>
    <m/>
    <x v="0"/>
    <s v="ALICORP SAA"/>
    <s v="CALLAO"/>
    <s v="MOLINO CALLAO"/>
    <x v="1"/>
    <s v="MICROINGREDIENTES MCA"/>
    <d v="2023-10-11T00:00:00"/>
    <n v="41"/>
    <m/>
    <x v="6"/>
    <m/>
    <m/>
    <s v="TARDE"/>
    <x v="0"/>
    <m/>
    <m/>
    <m/>
    <s v="ROLANDO ALEXANDER COHELO ROMAYNA"/>
    <s v="M"/>
    <m/>
    <s v="OPERADOR DE PLANTA"/>
    <m/>
    <s v="Herida de otras partes de la muñeca y de la mano izquierda, el colaborador se encontraba realizando la limpieza de superficies en la zona de externa de microingredientes. En la zona hay topes metálicos que separan las paletas de la pared, es ahí donde el trabajador golpea el tope metálico con la escoba, la cual se encontraba sin el mango superior y se realiza un corte en la palma de la mano izquierda entre el dedo anular y dedo medio de aproximadamente 1.5 "/>
    <m/>
    <m/>
    <x v="1"/>
    <m/>
    <s v="DURANTE SU RUTINA DE TRABAJO"/>
    <s v="HERIDA EN LA MUÑECA Y MANO"/>
    <x v="3"/>
    <m/>
    <m/>
    <m/>
    <m/>
    <m/>
    <m/>
    <s v="7AÑOS"/>
    <s v="TOPE METALICO"/>
    <m/>
  </r>
  <r>
    <m/>
    <m/>
    <x v="0"/>
    <s v="VITAPRO"/>
    <s v="TRUJILLO"/>
    <s v="VITAPRO TRUJILLO"/>
    <x v="1"/>
    <s v="PROODUCCIÓN"/>
    <d v="2023-10-11T00:00:00"/>
    <n v="41"/>
    <m/>
    <x v="6"/>
    <m/>
    <m/>
    <s v="MAÑANA"/>
    <x v="0"/>
    <m/>
    <m/>
    <m/>
    <s v="JIMMY CHAVES VARGAS"/>
    <s v="M"/>
    <m/>
    <s v="OPERADOR DE ENVASADOS"/>
    <m/>
    <s v="Herida en el dedo índice de la mano izquierda, el colaborador realizó el retiro un saco con defectos que había identificado previamente, sosteniéndolo desde la parte superior del saco circunstancias en las tiene un contacto con la tenaza del volteador de sacos, la parte afectada resultó el dedo índice de la mano izquierda donde sufre una lesión de aproximadamente 3 cm cerca a los nudillos "/>
    <m/>
    <m/>
    <x v="1"/>
    <m/>
    <s v="DURANTE SU RUTINA DE TRABAJO"/>
    <s v="HERIDA EN EL DEDO ÍNDICE DE LA MANO IZQUIERDA"/>
    <x v="3"/>
    <m/>
    <m/>
    <m/>
    <m/>
    <m/>
    <m/>
    <m/>
    <s v="SACO"/>
    <m/>
  </r>
  <r>
    <m/>
    <m/>
    <x v="0"/>
    <s v="ALICORP SAA"/>
    <s v="CALLAO"/>
    <s v="DISTRIBUCIÓN LIMA"/>
    <x v="2"/>
    <s v="APT - FIDEERIA"/>
    <d v="2023-10-14T00:00:00"/>
    <n v="41"/>
    <m/>
    <x v="6"/>
    <m/>
    <m/>
    <s v="MAÑANA"/>
    <x v="0"/>
    <m/>
    <m/>
    <m/>
    <s v="ACUÑA MESIAS SIMON MANUELITO"/>
    <s v="M"/>
    <m/>
    <s v="AYUDANTE DE ALMACEN"/>
    <m/>
    <s v="Dermatitis alérgica de contacto, el colaborador se dirige a la sala de batería a realizar el cambio de batería de su equipo Apilador. _x000a_Al hacer el cambio, le salpica al brazo un polvillo de color blanco ubicado encima de la batería cargada; generándole picazón en los brazos. "/>
    <m/>
    <m/>
    <x v="6"/>
    <m/>
    <s v="DURANTE SU RUTINA DE TRABAJO"/>
    <s v="DERMATITIS ALÉRGICA DE CONTACTO"/>
    <x v="10"/>
    <m/>
    <m/>
    <m/>
    <m/>
    <m/>
    <m/>
    <s v="9 AÑOS"/>
    <s v="BATERIA"/>
    <m/>
  </r>
  <r>
    <m/>
    <m/>
    <x v="0"/>
    <s v="ALICORP SAA"/>
    <s v="CALLAO"/>
    <s v="DETERGENTES CALLAO"/>
    <x v="1"/>
    <s v="PRODUCCIÓN"/>
    <d v="2023-10-17T00:00:00"/>
    <n v="42"/>
    <m/>
    <x v="6"/>
    <m/>
    <m/>
    <s v="MAÑANA"/>
    <x v="0"/>
    <m/>
    <m/>
    <m/>
    <s v="YATACO CORTEZ JOSE GABRIEL"/>
    <s v="M"/>
    <m/>
    <s v="AYUDANTE DE PLANTA"/>
    <m/>
    <s v="Corrosión de la córnea y saco conjuntival, el colaborador se encontraba estibando y haciendo el paletizado manual, al acomodar los sacos de 13.5 kg dando palmadas, le salpico polvo de detergente al ojo izquierdo, se lavó la vista con agua, dio aviso al operador y enseguida es derivado al tópico para su evaluación.  "/>
    <m/>
    <m/>
    <x v="0"/>
    <m/>
    <s v="DURANTE SU RUTINA DE TRABAJO"/>
    <s v="CORROSIÓN DE LA CÓRNEA Y SACO CONJUNTIVAL."/>
    <x v="0"/>
    <m/>
    <m/>
    <m/>
    <m/>
    <m/>
    <m/>
    <s v="14 DÍAS "/>
    <s v="SACO"/>
    <m/>
  </r>
  <r>
    <m/>
    <m/>
    <x v="2"/>
    <s v="VITAPRO"/>
    <s v="INBALNOR"/>
    <s v="INBALNOR"/>
    <x v="1"/>
    <s v="ÁREA DE CALDEROS"/>
    <d v="2023-10-18T00:00:00"/>
    <n v="42"/>
    <m/>
    <x v="6"/>
    <m/>
    <m/>
    <s v="MAÑANA"/>
    <x v="3"/>
    <s v="LLANURDIBON"/>
    <m/>
    <m/>
    <s v="CARLOS ALBERTO ZAVALA AMEN "/>
    <s v="M"/>
    <m/>
    <s v="ALBAÑIL"/>
    <m/>
    <s v="Amputación parcial de dedo anular derecho, Los trabajadores de la contratista LLANURDIBON, Carlos Zavala y Roger Ramírez se encontraban realizando actividades de obra civil, haciendo cortes y preparación de madera para armar encofrado para las bases del desairado que se va a instalar en el área de ampliación de la zona de calderos. "/>
    <m/>
    <m/>
    <x v="1"/>
    <m/>
    <s v="DURANTE SU RUTINA DE TRABAJO"/>
    <s v="AMPUTACIÓN PARCIAL DE DEDO ANULAR DERECHO "/>
    <x v="5"/>
    <m/>
    <m/>
    <m/>
    <m/>
    <m/>
    <m/>
    <s v="19 DIAS "/>
    <s v="MADERA"/>
    <m/>
  </r>
  <r>
    <m/>
    <m/>
    <x v="0"/>
    <s v="ALICORP SAA"/>
    <s v="CALLAO"/>
    <s v="ADMINISTRACIÓN"/>
    <x v="6"/>
    <s v="SSHH Caballeros "/>
    <d v="2023-11-11T00:00:00"/>
    <n v="45"/>
    <m/>
    <x v="6"/>
    <m/>
    <m/>
    <s v="MAÑANA"/>
    <x v="4"/>
    <s v="ALTELIZA S.A.C"/>
    <m/>
    <m/>
    <s v="xxxxxx"/>
    <s v="M"/>
    <m/>
    <s v="OPERARIO DE LIMPIEZA "/>
    <m/>
    <s v="Herida del 2do dedo de la mano derecha, La colaboradora procede a dirigirse a los SSHH después de limpiar las oficinas. Al ingresar e iniciar la limpieza de las partes altas de las puertas de los inodoros, por frotación con paño microfibra, es cuando ella se rasga los guantes y sus dedos al sobar el marco de varilla con el paño de limpieza"/>
    <m/>
    <m/>
    <x v="1"/>
    <m/>
    <s v="DURANTE SU RUTINA DE TRABAJO"/>
    <m/>
    <x v="3"/>
    <m/>
    <m/>
    <m/>
    <m/>
    <m/>
    <m/>
    <s v="4 AÑOS Y MEDIO"/>
    <s v="PUERTA"/>
    <m/>
  </r>
  <r>
    <m/>
    <m/>
    <x v="0"/>
    <s v="ALICORP SAA"/>
    <s v="CALLAO"/>
    <s v="COPSA"/>
    <x v="1"/>
    <s v="ACEITES"/>
    <n v="45254"/>
    <n v="47"/>
    <m/>
    <x v="6"/>
    <m/>
    <m/>
    <s v="TARDE"/>
    <x v="8"/>
    <s v="San Miguel Industrias PET"/>
    <m/>
    <m/>
    <s v="CHRISTOPHER PEREZ CABELLO"/>
    <s v="M"/>
    <m/>
    <s v="OPERADOR TÉCNICO DE LÍNEA DE SOPLADO SMI"/>
    <m/>
    <s v="Herida en canilla, el colaborador se procede a realizar el pintado de la torre de enfriamiento de la operación In House de soplado PET. Es en el momento de pintar la parte superior de la torre que se apoya en el borde de la cubierta de seguridad de una de las bombas de recirculación y ésta se voltea ocasionándole un golpe en la canilla de la pierna derecha.                 "/>
    <m/>
    <m/>
    <x v="8"/>
    <m/>
    <s v="DURANTE SU RUTINA DE TRABAJO"/>
    <m/>
    <x v="3"/>
    <m/>
    <m/>
    <m/>
    <m/>
    <m/>
    <m/>
    <s v="5AÑOS"/>
    <s v="BOMBAS "/>
    <m/>
  </r>
  <r>
    <m/>
    <m/>
    <x v="0"/>
    <s v="ALICORP SAA"/>
    <s v="CALLAO"/>
    <s v="DISTRIBUCIÓN"/>
    <x v="2"/>
    <s v="LATAM 600"/>
    <n v="45260"/>
    <n v="48"/>
    <m/>
    <x v="6"/>
    <m/>
    <m/>
    <s v="NOCHE"/>
    <x v="0"/>
    <m/>
    <m/>
    <m/>
    <s v="xxxxxxxxxxxx"/>
    <m/>
    <m/>
    <s v="AYUDANTE DE ALMACEN"/>
    <m/>
    <s v="Lumbago no especificado, el colaborador se encontraba manejando su equipo ERD asignado para trasladar una paleta. Durante el retroceso el equipo sufrió un atasco con un pedazo de madera el cual desequilibró la máquina provocando que el trabajador cayera del equipo y tenga como consecuencia la lesión descrita"/>
    <m/>
    <m/>
    <x v="9"/>
    <m/>
    <s v="DURANTE SU RUTINA DE TRABAJO"/>
    <m/>
    <x v="4"/>
    <m/>
    <m/>
    <m/>
    <m/>
    <m/>
    <m/>
    <s v="1 AÑO Y 3 MESES"/>
    <s v="MAQUINA"/>
    <m/>
  </r>
  <r>
    <m/>
    <m/>
    <x v="4"/>
    <s v="VITAPRO"/>
    <s v="HONDURAS"/>
    <s v="VITAPRO HONDURAS"/>
    <x v="7"/>
    <s v="ÁREA DE CALDERAS"/>
    <n v="45247"/>
    <n v="46"/>
    <m/>
    <x v="6"/>
    <m/>
    <m/>
    <s v="MAÑANA"/>
    <x v="0"/>
    <m/>
    <m/>
    <m/>
    <s v="AYALA CASTILLO ROGER OMAR"/>
    <s v="M"/>
    <m/>
    <s v="OPERADOR DE CALDERAS"/>
    <m/>
    <s v="Quemadura leve de primer grado, el colaborador se dirigió a revisar el nivel de búnker en el tanque diario para verificar si necesitaba recargar combustible antes del cierre de turno. Al momento de abrir la compuerta del tanque para hacer la revisión manual, se levantó una burbuja de gas caliente la cual se elevó y le ocasionó quemaduras en la cara y ambos brazos "/>
    <m/>
    <m/>
    <x v="7"/>
    <m/>
    <s v="DURANTE SU RUTINA DE TRABAJO"/>
    <m/>
    <x v="7"/>
    <m/>
    <m/>
    <m/>
    <m/>
    <m/>
    <m/>
    <s v="5 AÑO Y 5 MESES"/>
    <s v="COMPUERTA DEL TANQUE "/>
    <m/>
  </r>
  <r>
    <m/>
    <m/>
    <x v="0"/>
    <s v="ALICORP SAA"/>
    <s v="CALLAO"/>
    <s v="MOLINO CALLAO "/>
    <x v="3"/>
    <s v="MANTENIMIENTO"/>
    <n v="45272"/>
    <n v="50"/>
    <m/>
    <x v="6"/>
    <m/>
    <m/>
    <s v="MAÑANA"/>
    <x v="0"/>
    <m/>
    <m/>
    <m/>
    <s v="SOSA ZAPATA CESAR IVAN "/>
    <s v="M"/>
    <m/>
    <s v="MECANICO E MANTIENIMIENTO "/>
    <m/>
    <s v="Fractura de dedo de la mano, el colaborador se encontraba realizando la actividad de izaje de rollo que estaba ubicado en caballete para realizar su respectivo mecanizado en la máquina rayadora. Para ello coloca los accesorios y procede a presionar el mando de subida del tecle eléctrico. De forma súbita, el tecle se detiene lo cual ocasiona que el rollo se ladee en dirección al hombro derecho del trabajador "/>
    <m/>
    <m/>
    <x v="1"/>
    <m/>
    <s v="DURANTE SU RUTINA DE TRABAJO"/>
    <m/>
    <x v="6"/>
    <m/>
    <m/>
    <m/>
    <m/>
    <m/>
    <m/>
    <m/>
    <s v="MAQUINA RAYADORA"/>
    <m/>
  </r>
  <r>
    <m/>
    <m/>
    <x v="0"/>
    <s v="ALICORP SAA"/>
    <s v="CALLAO"/>
    <s v="MOLINO CALLAO "/>
    <x v="11"/>
    <s v="APT-PROYECTOS"/>
    <n v="45273"/>
    <n v="50"/>
    <m/>
    <x v="6"/>
    <m/>
    <m/>
    <s v="TARDE"/>
    <x v="3"/>
    <s v="BUILMEP SAC"/>
    <m/>
    <m/>
    <s v="MINGUILLO AGURTO JOSE LUIS"/>
    <s v="M"/>
    <m/>
    <s v="OPERARIO MECANICO"/>
    <m/>
    <s v="Herida expuesta en dedo medio mano derecha, el colaborador se encontraba cortando (a nivel de piso) con tijera hojalatera las calaminas desmontadas del techo. En una calamina quedó un tramo pequeño por cortar, en lugar de seguir cortando con la tijera, el trabajador usa ambas manos para intentar cortarla y es donde se genera la herida en el dedo medio de la mano derecha"/>
    <m/>
    <m/>
    <x v="1"/>
    <m/>
    <s v="DURANTE SU RUTINA DE TRABAJO"/>
    <m/>
    <x v="3"/>
    <m/>
    <m/>
    <m/>
    <m/>
    <m/>
    <m/>
    <m/>
    <s v="TIJERA"/>
    <m/>
  </r>
  <r>
    <m/>
    <m/>
    <x v="0"/>
    <s v="ALICORP SAA"/>
    <s v="CALLAO"/>
    <s v="MOLINO CALLAO "/>
    <x v="1"/>
    <s v="PRODUCCIÓN "/>
    <n v="45278"/>
    <n v="51"/>
    <m/>
    <x v="6"/>
    <m/>
    <m/>
    <s v="TARDE"/>
    <x v="0"/>
    <m/>
    <m/>
    <m/>
    <s v="MANUEL YAMUNAQUE MOSCOL"/>
    <s v="M"/>
    <m/>
    <s v="AYUDANTE DE PRODUCCIÓN"/>
    <m/>
    <s v="Cuerpo extraño ocular, el colaborador se encontraba cortando (a nivel de piso) con tijera hojalatera las calaminas desmontadas del techo. En una calamina quedó un tramo pequeño por cortar, en lugar de seguir cortando con la tijera, el trabajador usa ambas manos para intentar cortarla y es donde se genera la herida en el dedo medio de la mano derecha. "/>
    <m/>
    <m/>
    <x v="7"/>
    <m/>
    <s v="DURANTE SU RUTINA DE TRABAJO"/>
    <m/>
    <x v="11"/>
    <m/>
    <m/>
    <m/>
    <m/>
    <m/>
    <m/>
    <m/>
    <s v="MANGA DE EQUIPO CERNEDOR "/>
    <m/>
  </r>
  <r>
    <m/>
    <m/>
    <x v="0"/>
    <s v="ALICORP SAA"/>
    <s v="CALLAO"/>
    <s v="ADMINISTRACIÓN"/>
    <x v="6"/>
    <s v="MOLINO TRUJILLOA"/>
    <n v="45280"/>
    <n v="51"/>
    <m/>
    <x v="6"/>
    <m/>
    <m/>
    <s v="TARDE"/>
    <x v="3"/>
    <s v="J G Electric Metal EIRL"/>
    <m/>
    <m/>
    <s v="BLANCO ESPÍNOLA MANUEL MOISES"/>
    <s v="M"/>
    <m/>
    <s v="OPERARIO ELECTRICISTA"/>
    <m/>
    <s v="Traumatismo del ojo derecho y de la órbita, El   colaborador estuvo realizando el levantamiento del cable con la ayuda de una pata de cabra para que este se cortado. Cuando la pata de cabra se desganchó del cable, terminó golpeando el rostro del Trabajador a la altura del ojo derecho, generándole un corte"/>
    <m/>
    <m/>
    <x v="7"/>
    <m/>
    <s v="DURANTE SU RUTINA DE TRABAJO"/>
    <m/>
    <x v="4"/>
    <m/>
    <m/>
    <m/>
    <m/>
    <m/>
    <m/>
    <s v="20 DÍAS"/>
    <s v="CABLES "/>
    <m/>
  </r>
  <r>
    <m/>
    <m/>
    <x v="0"/>
    <s v="ALICORP SAA"/>
    <s v="CALLAO"/>
    <s v="ADMINISTRACIÓN"/>
    <x v="6"/>
    <s v="AREAS COMUNES -COPSA "/>
    <n v="45281"/>
    <n v="51"/>
    <m/>
    <x v="6"/>
    <m/>
    <m/>
    <s v="TARDE"/>
    <x v="4"/>
    <s v="ALTA TECNOLOGÍA EN LIMPIEZA S.A.C. "/>
    <m/>
    <m/>
    <s v="SILVA PEÑA LORENA "/>
    <s v="F"/>
    <m/>
    <s v="OPERARIO DE LIMPIEZA"/>
    <m/>
    <s v="Traumatismo por aplastamiento del pulgar y otros dedos, la colaboradora refiere que estando en su puesto de trabajo, en sus actividades rutinarias, al momento de cerrar la puerta del almacén de materiales que se encontraba limpiando, queda su mano atrapada en la misma, ocasionándole contusión en dedo medio de la mano izquierda. La operaria notifica media hora después del evento sucedido. Se dirige al tópico para su evaluación y luego de ser revisada es trasladada a la Clínica san Gabriel para su atención médica. "/>
    <m/>
    <m/>
    <x v="1"/>
    <m/>
    <s v="DURANTE SU RUTINA DE TRABAJO"/>
    <m/>
    <x v="4"/>
    <m/>
    <m/>
    <m/>
    <m/>
    <m/>
    <m/>
    <s v="1 MES Y 19 DIAS "/>
    <s v="PUERTA"/>
    <m/>
  </r>
  <r>
    <m/>
    <m/>
    <x v="0"/>
    <s v="ALICORP SAA"/>
    <s v="CALLAO"/>
    <s v="DISTRIBUCIÓN"/>
    <x v="2"/>
    <s v="ZONA DE LIMPIEZA DE PALETAS"/>
    <n v="45286"/>
    <n v="52"/>
    <m/>
    <x v="6"/>
    <m/>
    <m/>
    <s v="MAÑANA"/>
    <x v="4"/>
    <s v="ALTA TECNOLOGÍA EN LIMPIEZA S.A.C. "/>
    <m/>
    <m/>
    <s v="DOMYNICK HERRERA ATOCHE"/>
    <s v="F"/>
    <m/>
    <s v="OPERARIO DE LIMPIEZA"/>
    <m/>
    <s v="Contusión de otras partes y de las no especificadas del pie, el colaborador realizaba el apilado de paletas durante el proceso de limpieza con el colaborador Agüero, al voltear la paleta esta se le resbala de las manos y en consecuencia la esquina del pallet cae sobre el empeine del colaborador"/>
    <m/>
    <m/>
    <x v="8"/>
    <m/>
    <s v="DURANTE SU RUTINA DE TRABAJO"/>
    <m/>
    <x v="4"/>
    <m/>
    <m/>
    <m/>
    <m/>
    <m/>
    <m/>
    <s v="3 MESES"/>
    <s v="PALETAS DE MADERA"/>
    <m/>
  </r>
  <r>
    <m/>
    <m/>
    <x v="0"/>
    <s v="INTRADEVCO INDUSTRIAL SA"/>
    <s v="CHORRILLOS"/>
    <s v="Chorrillos"/>
    <x v="1"/>
    <s v="Intralab"/>
    <d v="2023-11-21T00:00:00"/>
    <n v="47"/>
    <n v="21"/>
    <x v="7"/>
    <n v="2023"/>
    <d v="1899-12-30T15:18:00"/>
    <s v="1er turno"/>
    <x v="1"/>
    <s v="CONSULTING"/>
    <s v="SANTISTEBAN "/>
    <s v="MUGUERZA "/>
    <s v="CESAR DANIEL "/>
    <s v="M"/>
    <n v="42"/>
    <s v="OPERARIO DE PRODUCCIÓN"/>
    <m/>
    <s v="El 20 de noviembre a las 15:18pm aproximadamente, el trabajador SANTISTEBAN MUGUERZA CESAR DANIEL se encontraba trasladando silica (sacos de 25 kg) del cuarto piso al primer piso. El trabajador Santisteban manifiesta que en el peldaño del último escalón de la escalera (del cuarto al tercer piso contando de arriba hacia abajo) pisa el filo del último peldaño con la mitad del pie (pisa en falso), ocasionando una torcedura en el tobillo del pie derecho, cayendo de costado al piso (en la zona de descanso entre el 4to y 3er piso), sintiendo dolor en todo el pie.  Se informo de manera inmediata de lo sucedido, al área médica, al área de seguridad y al área de producción. A las 3:24 pm es trasladado al tópico en donde se le administro una pastilla para el dolor y asimismo se ordenó la activación del SCTR. "/>
    <s v="Caída a diferente nivel"/>
    <s v="Pie"/>
    <x v="2"/>
    <s v="Traslado de sacos"/>
    <s v="Operación regular"/>
    <s v="Esguince y torcedura de tobillo"/>
    <x v="2"/>
    <n v="48"/>
    <n v="0"/>
    <n v="48"/>
    <s v="Continúa de DM"/>
    <n v="8"/>
    <s v="Puesto Regular"/>
    <s v="&gt; 6 meses"/>
    <m/>
    <m/>
  </r>
  <r>
    <m/>
    <m/>
    <x v="0"/>
    <s v="INTRADEVCO INDUSTRIAL SA"/>
    <s v="LURIN"/>
    <s v="Lurin 4_Detergentes"/>
    <x v="1"/>
    <s v="Empacado"/>
    <d v="2023-12-22T00:00:00"/>
    <n v="51"/>
    <n v="22"/>
    <x v="8"/>
    <n v="2023"/>
    <d v="1899-12-30T00:20:00"/>
    <s v="2do turno"/>
    <x v="1"/>
    <s v="CONSULTING"/>
    <s v="VELASQUEZ"/>
    <s v="POMATANTA"/>
    <s v="CARLOS"/>
    <s v="M"/>
    <n v="36"/>
    <s v="OPERARIO DE PRODUCCIÓN"/>
    <d v="2022-01-11T00:00:00"/>
    <s v="El colaborador Carlos se encontraba realizando sus actividades en la zona de Empacado - Mezzanine. Siendo aproximadamente las 12:20am observa que las bolsas de detergente empiezan acumularse sobre la faja transportadora, por lo que el colaborador procede a apagar la máquina desde el botón de emergencia. En el transcurso del camino, se impacta la rodilla izquierda contra la esquina de la guarda de seguridad de la faja transportadora lo que genera una herida en la zona mencionada."/>
    <s v="Contacto con superficie cortante"/>
    <s v="Rodilla"/>
    <x v="3"/>
    <s v="Operación de equipo"/>
    <s v="Operación regular"/>
    <s v="Herida de la rodilla"/>
    <x v="3"/>
    <n v="12"/>
    <n v="0"/>
    <n v="12"/>
    <s v="Laborando"/>
    <n v="23"/>
    <s v="Puesto Regular"/>
    <s v="&gt; 1 año"/>
    <m/>
    <m/>
  </r>
  <r>
    <m/>
    <m/>
    <x v="0"/>
    <s v="INTRADEVCO INDUSTRIAL SA"/>
    <s v="CHORRILLOS"/>
    <s v="Chorrillos"/>
    <x v="10"/>
    <s v="Comedor"/>
    <d v="2023-10-20T00:00:00"/>
    <n v="42"/>
    <n v="20"/>
    <x v="9"/>
    <n v="2023"/>
    <d v="1899-12-30T10:00:00"/>
    <s v="1er turno"/>
    <x v="9"/>
    <s v="RyO"/>
    <s v="QUISPE"/>
    <s v="DIAZ"/>
    <s v="ROSA"/>
    <s v="F"/>
    <n v="34"/>
    <s v="Ayudante de cocina"/>
    <m/>
    <s v="La colaboradora de la empresa RyO, Rosa Quispe, en colaboración con su compañero Gerardo Reyes. Se encontraba moviendo la olla de refresco caliente, en dirección al piso, momento en el cual, a centímetros de la ubicación final, esta se le resbala y cae. Producto de ello el agua cliente salpica sobre la colaboradora, afectando gran parte de su brazo derecho. "/>
    <s v="Contacto con superficie caliente caliente"/>
    <s v="Brazo"/>
    <x v="6"/>
    <s v="Traslado de olla con agua caliente"/>
    <s v="Operación regular"/>
    <s v="Quemadura de 2do grado"/>
    <x v="7"/>
    <n v="10"/>
    <n v="0"/>
    <n v="10"/>
    <s v="Laborando"/>
    <m/>
    <s v="Puesto Regular"/>
    <s v="&lt; 6 meses"/>
    <m/>
    <m/>
  </r>
  <r>
    <m/>
    <m/>
    <x v="0"/>
    <s v="INTRADEVCO INDUSTRIAL SA"/>
    <s v="LURIN"/>
    <s v="Lurin 3_Sulfonación"/>
    <x v="6"/>
    <s v="Garita de vigilancia"/>
    <d v="2023-11-23T00:00:00"/>
    <n v="47"/>
    <n v="23"/>
    <x v="7"/>
    <n v="2023"/>
    <d v="1899-12-30T16:50:00"/>
    <s v="1er turno"/>
    <x v="10"/>
    <s v="J &amp; V Resguardo (Liderman)"/>
    <s v="PANDURO"/>
    <s v="PACHECO"/>
    <s v="MAY LISBETH"/>
    <s v="F"/>
    <n v="40"/>
    <s v="Agente de seguridad"/>
    <m/>
    <s v="Alrededor de las 4:50 pm, la colaboradora se encontraba cerrando una de las hojas del portón de acceso vehicular, cuando al retroceder el pie izquierdo, este ingresa en un orificio presente en la vereda, perdiendo el equilibrio y doblándose el tobillo. Posteriormente la colaboradora se para y continúa con el cierre del portón. La colaboradora reporta lo ocurrido vía whatsaap a su supervisor, toma un analgésico que traía consigo y continúa con sus actividades hasta finalizar el turno. A las 6:55 pm la colaboradora releva con el turno entrante y se acerca al predio Lurín N° 2 a reportar que el dolor se había incrementado significativamente. Se comunica el evento a Seguridad Industrial y se solicita la atención médica de Cardiomóvil. La colaboradora es trasladada a la clínica en donde diagnostican un Esguince y le otorgan 5 días de descanso médico."/>
    <s v="Caída al mismo nivel"/>
    <s v="Pie"/>
    <x v="2"/>
    <s v="Cierre de portón"/>
    <s v="Operación regular"/>
    <s v="Esguince y torcedura de tobillo"/>
    <x v="2"/>
    <n v="5"/>
    <n v="0"/>
    <n v="5"/>
    <s v="Reincorporado"/>
    <n v="46"/>
    <s v="Puesto Regular"/>
    <s v="&gt; 1 año"/>
    <m/>
    <m/>
  </r>
  <r>
    <m/>
    <m/>
    <x v="0"/>
    <s v="INTRADEVCO INDUSTRIAL SA"/>
    <s v="CHORRILLOS"/>
    <s v="Chorrillos"/>
    <x v="1"/>
    <s v="Destileria"/>
    <d v="2023-11-29T00:00:00"/>
    <n v="48"/>
    <n v="29"/>
    <x v="7"/>
    <n v="2023"/>
    <d v="1899-12-30T13:15:00"/>
    <s v="1er turno"/>
    <x v="0"/>
    <s v="INTRADEVCO INDUSTRIAL"/>
    <s v="PEREA "/>
    <s v="RUIZ "/>
    <s v="GEORGE LUIS "/>
    <s v="M"/>
    <n v="20"/>
    <s v="OPERARIO DE PRODUCCIÓN"/>
    <d v="2023-01-23T00:00:00"/>
    <s v="El trabajador se encontraba de apoyo desocupando materiales del almacén de mantenimiento, al manipular unas cajas del anaquel del área, no se percató que el rollo de empaquetadura se encontraba en la parte superior y este con el movimiento cayó impactando la nariz del colaborador, luego fue derivado al tópico y luego de la evaluación se le trasladó a la clínica Santa Marta del sur para su atención. "/>
    <s v="Golpeado por"/>
    <s v="Nariz"/>
    <x v="4"/>
    <s v="Traslado de materiales"/>
    <s v="Apoyo a mantenimiento"/>
    <s v="Herida en nariz"/>
    <x v="4"/>
    <n v="2"/>
    <n v="0"/>
    <n v="2"/>
    <s v="Laborando"/>
    <n v="135"/>
    <s v="Puesto Regular"/>
    <s v="&gt; 1 año"/>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n v="52"/>
    <m/>
    <x v="6"/>
    <m/>
    <m/>
    <m/>
    <x v="11"/>
    <m/>
    <m/>
    <m/>
    <m/>
    <m/>
    <m/>
    <m/>
    <m/>
    <m/>
    <m/>
    <m/>
    <x v="10"/>
    <m/>
    <m/>
    <m/>
    <x v="12"/>
    <m/>
    <m/>
    <m/>
    <m/>
    <m/>
    <m/>
    <m/>
    <m/>
    <m/>
  </r>
  <r>
    <m/>
    <m/>
    <x v="5"/>
    <m/>
    <m/>
    <m/>
    <x v="7"/>
    <m/>
    <m/>
    <m/>
    <m/>
    <x v="6"/>
    <m/>
    <m/>
    <m/>
    <x v="11"/>
    <m/>
    <m/>
    <m/>
    <m/>
    <m/>
    <m/>
    <m/>
    <m/>
    <m/>
    <m/>
    <m/>
    <x v="10"/>
    <m/>
    <m/>
    <m/>
    <x v="12"/>
    <m/>
    <m/>
    <m/>
    <m/>
    <m/>
    <m/>
    <m/>
    <m/>
    <m/>
  </r>
  <r>
    <m/>
    <m/>
    <x v="5"/>
    <m/>
    <m/>
    <m/>
    <x v="7"/>
    <m/>
    <m/>
    <m/>
    <m/>
    <x v="6"/>
    <m/>
    <m/>
    <m/>
    <x v="11"/>
    <m/>
    <m/>
    <m/>
    <m/>
    <m/>
    <m/>
    <m/>
    <m/>
    <m/>
    <m/>
    <m/>
    <x v="10"/>
    <m/>
    <m/>
    <m/>
    <x v="12"/>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54DB5C-A301-4A8A-8316-2DE2E560D5FF}"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B14" firstHeaderRow="1" firstDataRow="1" firstDataCol="1" rowPageCount="1" colPageCount="1"/>
  <pivotFields count="41">
    <pivotField showAll="0"/>
    <pivotField showAll="0"/>
    <pivotField axis="axisPage" multipleItemSelectionAllowed="1" showAll="0">
      <items count="7">
        <item h="1" x="1"/>
        <item h="1" x="3"/>
        <item h="1" x="2"/>
        <item h="1" x="4"/>
        <item x="0"/>
        <item h="1" x="5"/>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descending">
      <items count="13">
        <item x="6"/>
        <item x="7"/>
        <item x="9"/>
        <item x="1"/>
        <item x="0"/>
        <item x="2"/>
        <item m="1" x="11"/>
        <item x="8"/>
        <item x="10"/>
        <item x="3"/>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7"/>
  </rowFields>
  <rowItems count="11">
    <i>
      <x v="3"/>
    </i>
    <i>
      <x v="5"/>
    </i>
    <i>
      <x v="1"/>
    </i>
    <i>
      <x v="4"/>
    </i>
    <i>
      <x v="2"/>
    </i>
    <i>
      <x/>
    </i>
    <i>
      <x v="7"/>
    </i>
    <i>
      <x v="9"/>
    </i>
    <i>
      <x v="10"/>
    </i>
    <i>
      <x v="11"/>
    </i>
    <i t="grand">
      <x/>
    </i>
  </rowItems>
  <colItems count="1">
    <i/>
  </colItems>
  <pageFields count="1">
    <pageField fld="2" hier="-1"/>
  </pageFields>
  <dataFields count="1">
    <dataField name="% Accidentes" fld="24" subtotal="count" showDataAs="percentOfTotal" baseField="0" baseItem="0" numFmtId="10"/>
  </dataFields>
  <formats count="4">
    <format dxfId="63">
      <pivotArea collapsedLevelsAreSubtotals="1" fieldPosition="0">
        <references count="1">
          <reference field="27" count="10">
            <x v="0"/>
            <x v="1"/>
            <x v="2"/>
            <x v="3"/>
            <x v="4"/>
            <x v="5"/>
            <x v="7"/>
            <x v="9"/>
            <x v="10"/>
            <x v="11"/>
          </reference>
        </references>
      </pivotArea>
    </format>
    <format dxfId="62">
      <pivotArea outline="0" collapsedLevelsAreSubtotals="1" fieldPosition="0"/>
    </format>
    <format dxfId="61">
      <pivotArea dataOnly="0" labelOnly="1" outline="0" fieldPosition="0">
        <references count="1">
          <reference field="2" count="0"/>
        </references>
      </pivotArea>
    </format>
    <format dxfId="6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13">
      <pivotArea type="data" outline="0" fieldPosition="0">
        <references count="2">
          <reference field="4294967294" count="1" selected="0">
            <x v="0"/>
          </reference>
          <reference field="27" count="1" selected="0">
            <x v="3"/>
          </reference>
        </references>
      </pivotArea>
    </chartFormat>
    <chartFormat chart="1" format="14">
      <pivotArea type="data" outline="0" fieldPosition="0">
        <references count="2">
          <reference field="4294967294" count="1" selected="0">
            <x v="0"/>
          </reference>
          <reference field="27" count="1" selected="0">
            <x v="5"/>
          </reference>
        </references>
      </pivotArea>
    </chartFormat>
    <chartFormat chart="1" format="15">
      <pivotArea type="data" outline="0" fieldPosition="0">
        <references count="2">
          <reference field="4294967294" count="1" selected="0">
            <x v="0"/>
          </reference>
          <reference field="27" count="1" selected="0">
            <x v="1"/>
          </reference>
        </references>
      </pivotArea>
    </chartFormat>
    <chartFormat chart="1" format="16">
      <pivotArea type="data" outline="0" fieldPosition="0">
        <references count="2">
          <reference field="4294967294" count="1" selected="0">
            <x v="0"/>
          </reference>
          <reference field="27" count="1" selected="0">
            <x v="4"/>
          </reference>
        </references>
      </pivotArea>
    </chartFormat>
    <chartFormat chart="1" format="17">
      <pivotArea type="data" outline="0" fieldPosition="0">
        <references count="2">
          <reference field="4294967294" count="1" selected="0">
            <x v="0"/>
          </reference>
          <reference field="27" count="1" selected="0">
            <x v="2"/>
          </reference>
        </references>
      </pivotArea>
    </chartFormat>
    <chartFormat chart="1" format="18">
      <pivotArea type="data" outline="0" fieldPosition="0">
        <references count="2">
          <reference field="4294967294" count="1" selected="0">
            <x v="0"/>
          </reference>
          <reference field="27" count="1" selected="0">
            <x v="0"/>
          </reference>
        </references>
      </pivotArea>
    </chartFormat>
    <chartFormat chart="1" format="19">
      <pivotArea type="data" outline="0" fieldPosition="0">
        <references count="2">
          <reference field="4294967294" count="1" selected="0">
            <x v="0"/>
          </reference>
          <reference field="27" count="1" selected="0">
            <x v="7"/>
          </reference>
        </references>
      </pivotArea>
    </chartFormat>
    <chartFormat chart="1" format="20">
      <pivotArea type="data" outline="0" fieldPosition="0">
        <references count="2">
          <reference field="4294967294" count="1" selected="0">
            <x v="0"/>
          </reference>
          <reference field="27" count="1" selected="0">
            <x v="9"/>
          </reference>
        </references>
      </pivotArea>
    </chartFormat>
    <chartFormat chart="1" format="21">
      <pivotArea type="data" outline="0" fieldPosition="0">
        <references count="2">
          <reference field="4294967294" count="1" selected="0">
            <x v="0"/>
          </reference>
          <reference field="27" count="1" selected="0">
            <x v="10"/>
          </reference>
        </references>
      </pivotArea>
    </chartFormat>
    <chartFormat chart="1" format="22">
      <pivotArea type="data" outline="0" fieldPosition="0">
        <references count="2">
          <reference field="4294967294" count="1" selected="0">
            <x v="0"/>
          </reference>
          <reference field="27"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91E427-BB6C-49AF-885A-B3FFEED0641C}"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3">
  <location ref="A3:C16" firstHeaderRow="0" firstDataRow="1" firstDataCol="1" rowPageCount="1" colPageCount="1"/>
  <pivotFields count="41">
    <pivotField showAll="0"/>
    <pivotField showAll="0"/>
    <pivotField axis="axisPage" multipleItemSelectionAllowed="1" showAll="0">
      <items count="7">
        <item x="1"/>
        <item x="3"/>
        <item x="2"/>
        <item x="4"/>
        <item x="0"/>
        <item x="5"/>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1">
        <item x="5"/>
        <item m="1" x="21"/>
        <item m="1" x="25"/>
        <item m="1" x="24"/>
        <item x="4"/>
        <item m="1" x="20"/>
        <item m="1" x="23"/>
        <item m="1" x="29"/>
        <item x="1"/>
        <item x="11"/>
        <item x="10"/>
        <item m="1" x="13"/>
        <item x="8"/>
        <item m="1" x="19"/>
        <item x="2"/>
        <item x="6"/>
        <item m="1" x="14"/>
        <item m="1" x="22"/>
        <item m="1" x="16"/>
        <item x="3"/>
        <item m="1" x="15"/>
        <item m="1" x="27"/>
        <item m="1" x="28"/>
        <item m="1" x="17"/>
        <item x="7"/>
        <item x="0"/>
        <item m="1" x="26"/>
        <item m="1" x="18"/>
        <item h="1" x="12"/>
        <item x="9"/>
        <item t="default"/>
      </items>
    </pivotField>
    <pivotField showAll="0"/>
    <pivotField showAll="0"/>
    <pivotField showAll="0"/>
    <pivotField showAll="0"/>
    <pivotField showAll="0"/>
    <pivotField showAll="0"/>
    <pivotField showAll="0"/>
    <pivotField showAll="0"/>
    <pivotField showAll="0"/>
  </pivotFields>
  <rowFields count="1">
    <field x="31"/>
  </rowFields>
  <rowItems count="13">
    <i>
      <x/>
    </i>
    <i>
      <x v="4"/>
    </i>
    <i>
      <x v="8"/>
    </i>
    <i>
      <x v="9"/>
    </i>
    <i>
      <x v="10"/>
    </i>
    <i>
      <x v="12"/>
    </i>
    <i>
      <x v="14"/>
    </i>
    <i>
      <x v="15"/>
    </i>
    <i>
      <x v="19"/>
    </i>
    <i>
      <x v="24"/>
    </i>
    <i>
      <x v="25"/>
    </i>
    <i>
      <x v="29"/>
    </i>
    <i t="grand">
      <x/>
    </i>
  </rowItems>
  <colFields count="1">
    <field x="-2"/>
  </colFields>
  <colItems count="2">
    <i>
      <x/>
    </i>
    <i i="1">
      <x v="1"/>
    </i>
  </colItems>
  <pageFields count="1">
    <pageField fld="2" hier="-1"/>
  </pageFields>
  <dataFields count="2">
    <dataField name="% Accidentes" fld="24" subtotal="count" showDataAs="percentOfTotal" baseField="0" baseItem="0" numFmtId="10"/>
    <dataField name="N° Accidentes" fld="19" subtotal="count" baseField="0" baseItem="0"/>
  </dataFields>
  <formats count="10">
    <format dxfId="59">
      <pivotArea collapsedLevelsAreSubtotals="1" fieldPosition="0">
        <references count="1">
          <reference field="31" count="12">
            <x v="0"/>
            <x v="4"/>
            <x v="8"/>
            <x v="9"/>
            <x v="10"/>
            <x v="11"/>
            <x v="12"/>
            <x v="14"/>
            <x v="15"/>
            <x v="19"/>
            <x v="24"/>
            <x v="25"/>
          </reference>
        </references>
      </pivotArea>
    </format>
    <format dxfId="58">
      <pivotArea outline="0" collapsedLevelsAreSubtotals="1" fieldPosition="0"/>
    </format>
    <format dxfId="57">
      <pivotArea dataOnly="0" labelOnly="1" outline="0" fieldPosition="0">
        <references count="1">
          <reference field="2" count="0"/>
        </references>
      </pivotArea>
    </format>
    <format dxfId="56">
      <pivotArea dataOnly="0" labelOnly="1" outline="0" axis="axisValues" fieldPosition="0"/>
    </format>
    <format dxfId="55">
      <pivotArea collapsedLevelsAreSubtotals="1" fieldPosition="0">
        <references count="1">
          <reference field="31" count="12">
            <x v="0"/>
            <x v="4"/>
            <x v="8"/>
            <x v="9"/>
            <x v="10"/>
            <x v="12"/>
            <x v="14"/>
            <x v="15"/>
            <x v="19"/>
            <x v="24"/>
            <x v="25"/>
            <x v="29"/>
          </reference>
        </references>
      </pivotArea>
    </format>
    <format dxfId="54">
      <pivotArea collapsedLevelsAreSubtotals="1" fieldPosition="0">
        <references count="2">
          <reference field="4294967294" count="1" selected="0">
            <x v="1"/>
          </reference>
          <reference field="31" count="0"/>
        </references>
      </pivotArea>
    </format>
    <format dxfId="53">
      <pivotArea collapsedLevelsAreSubtotals="1" fieldPosition="0">
        <references count="2">
          <reference field="4294967294" count="1" selected="0">
            <x v="1"/>
          </reference>
          <reference field="31" count="0"/>
        </references>
      </pivotArea>
    </format>
    <format dxfId="52">
      <pivotArea collapsedLevelsAreSubtotals="1" fieldPosition="0">
        <references count="2">
          <reference field="4294967294" count="1" selected="0">
            <x v="1"/>
          </reference>
          <reference field="31" count="0"/>
        </references>
      </pivotArea>
    </format>
    <format dxfId="51">
      <pivotArea outline="0" collapsedLevelsAreSubtotals="1" fieldPosition="0">
        <references count="1">
          <reference field="4294967294" count="1" selected="0">
            <x v="1"/>
          </reference>
        </references>
      </pivotArea>
    </format>
    <format dxfId="50">
      <pivotArea dataOnly="0" labelOnly="1" outline="0" fieldPosition="0">
        <references count="1">
          <reference field="4294967294" count="1">
            <x v="1"/>
          </reference>
        </references>
      </pivotArea>
    </format>
  </formats>
  <chartFormats count="2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0"/>
          </reference>
        </references>
      </pivotArea>
    </chartFormat>
    <chartFormat chart="2" format="24" series="1">
      <pivotArea type="data" outline="0" fieldPosition="0">
        <references count="1">
          <reference field="4294967294" count="1" selected="0">
            <x v="1"/>
          </reference>
        </references>
      </pivotArea>
    </chartFormat>
    <chartFormat chart="2" format="25">
      <pivotArea type="data" outline="0" fieldPosition="0">
        <references count="2">
          <reference field="4294967294" count="1" selected="0">
            <x v="0"/>
          </reference>
          <reference field="31" count="1" selected="0">
            <x v="0"/>
          </reference>
        </references>
      </pivotArea>
    </chartFormat>
    <chartFormat chart="2" format="26">
      <pivotArea type="data" outline="0" fieldPosition="0">
        <references count="2">
          <reference field="4294967294" count="1" selected="0">
            <x v="0"/>
          </reference>
          <reference field="31" count="1" selected="0">
            <x v="4"/>
          </reference>
        </references>
      </pivotArea>
    </chartFormat>
    <chartFormat chart="2" format="27">
      <pivotArea type="data" outline="0" fieldPosition="0">
        <references count="2">
          <reference field="4294967294" count="1" selected="0">
            <x v="0"/>
          </reference>
          <reference field="31" count="1" selected="0">
            <x v="8"/>
          </reference>
        </references>
      </pivotArea>
    </chartFormat>
    <chartFormat chart="2" format="28">
      <pivotArea type="data" outline="0" fieldPosition="0">
        <references count="2">
          <reference field="4294967294" count="1" selected="0">
            <x v="0"/>
          </reference>
          <reference field="31" count="1" selected="0">
            <x v="9"/>
          </reference>
        </references>
      </pivotArea>
    </chartFormat>
    <chartFormat chart="2" format="29">
      <pivotArea type="data" outline="0" fieldPosition="0">
        <references count="2">
          <reference field="4294967294" count="1" selected="0">
            <x v="0"/>
          </reference>
          <reference field="31" count="1" selected="0">
            <x v="10"/>
          </reference>
        </references>
      </pivotArea>
    </chartFormat>
    <chartFormat chart="2" format="30">
      <pivotArea type="data" outline="0" fieldPosition="0">
        <references count="2">
          <reference field="4294967294" count="1" selected="0">
            <x v="0"/>
          </reference>
          <reference field="31" count="1" selected="0">
            <x v="12"/>
          </reference>
        </references>
      </pivotArea>
    </chartFormat>
    <chartFormat chart="2" format="31">
      <pivotArea type="data" outline="0" fieldPosition="0">
        <references count="2">
          <reference field="4294967294" count="1" selected="0">
            <x v="0"/>
          </reference>
          <reference field="31" count="1" selected="0">
            <x v="14"/>
          </reference>
        </references>
      </pivotArea>
    </chartFormat>
    <chartFormat chart="2" format="32">
      <pivotArea type="data" outline="0" fieldPosition="0">
        <references count="2">
          <reference field="4294967294" count="1" selected="0">
            <x v="0"/>
          </reference>
          <reference field="31" count="1" selected="0">
            <x v="15"/>
          </reference>
        </references>
      </pivotArea>
    </chartFormat>
    <chartFormat chart="2" format="33">
      <pivotArea type="data" outline="0" fieldPosition="0">
        <references count="2">
          <reference field="4294967294" count="1" selected="0">
            <x v="0"/>
          </reference>
          <reference field="31" count="1" selected="0">
            <x v="19"/>
          </reference>
        </references>
      </pivotArea>
    </chartFormat>
    <chartFormat chart="2" format="34">
      <pivotArea type="data" outline="0" fieldPosition="0">
        <references count="2">
          <reference field="4294967294" count="1" selected="0">
            <x v="0"/>
          </reference>
          <reference field="31" count="1" selected="0">
            <x v="24"/>
          </reference>
        </references>
      </pivotArea>
    </chartFormat>
    <chartFormat chart="2" format="35">
      <pivotArea type="data" outline="0" fieldPosition="0">
        <references count="2">
          <reference field="4294967294" count="1" selected="0">
            <x v="0"/>
          </reference>
          <reference field="31" count="1" selected="0">
            <x v="25"/>
          </reference>
        </references>
      </pivotArea>
    </chartFormat>
    <chartFormat chart="2" format="36">
      <pivotArea type="data" outline="0" fieldPosition="0">
        <references count="2">
          <reference field="4294967294" count="1" selected="0">
            <x v="0"/>
          </reference>
          <reference field="31" count="1" selected="0">
            <x v="29"/>
          </reference>
        </references>
      </pivotArea>
    </chartFormat>
    <chartFormat chart="2" format="37">
      <pivotArea type="data" outline="0" fieldPosition="0">
        <references count="2">
          <reference field="4294967294" count="1" selected="0">
            <x v="1"/>
          </reference>
          <reference field="31" count="1" selected="0">
            <x v="0"/>
          </reference>
        </references>
      </pivotArea>
    </chartFormat>
    <chartFormat chart="2" format="38">
      <pivotArea type="data" outline="0" fieldPosition="0">
        <references count="2">
          <reference field="4294967294" count="1" selected="0">
            <x v="1"/>
          </reference>
          <reference field="31" count="1" selected="0">
            <x v="4"/>
          </reference>
        </references>
      </pivotArea>
    </chartFormat>
    <chartFormat chart="2" format="39">
      <pivotArea type="data" outline="0" fieldPosition="0">
        <references count="2">
          <reference field="4294967294" count="1" selected="0">
            <x v="1"/>
          </reference>
          <reference field="31" count="1" selected="0">
            <x v="8"/>
          </reference>
        </references>
      </pivotArea>
    </chartFormat>
    <chartFormat chart="2" format="40">
      <pivotArea type="data" outline="0" fieldPosition="0">
        <references count="2">
          <reference field="4294967294" count="1" selected="0">
            <x v="1"/>
          </reference>
          <reference field="31" count="1" selected="0">
            <x v="9"/>
          </reference>
        </references>
      </pivotArea>
    </chartFormat>
    <chartFormat chart="2" format="41">
      <pivotArea type="data" outline="0" fieldPosition="0">
        <references count="2">
          <reference field="4294967294" count="1" selected="0">
            <x v="1"/>
          </reference>
          <reference field="31" count="1" selected="0">
            <x v="10"/>
          </reference>
        </references>
      </pivotArea>
    </chartFormat>
    <chartFormat chart="2" format="42">
      <pivotArea type="data" outline="0" fieldPosition="0">
        <references count="2">
          <reference field="4294967294" count="1" selected="0">
            <x v="1"/>
          </reference>
          <reference field="31" count="1" selected="0">
            <x v="12"/>
          </reference>
        </references>
      </pivotArea>
    </chartFormat>
    <chartFormat chart="2" format="43">
      <pivotArea type="data" outline="0" fieldPosition="0">
        <references count="2">
          <reference field="4294967294" count="1" selected="0">
            <x v="1"/>
          </reference>
          <reference field="31" count="1" selected="0">
            <x v="14"/>
          </reference>
        </references>
      </pivotArea>
    </chartFormat>
    <chartFormat chart="2" format="44">
      <pivotArea type="data" outline="0" fieldPosition="0">
        <references count="2">
          <reference field="4294967294" count="1" selected="0">
            <x v="1"/>
          </reference>
          <reference field="31" count="1" selected="0">
            <x v="15"/>
          </reference>
        </references>
      </pivotArea>
    </chartFormat>
    <chartFormat chart="2" format="45">
      <pivotArea type="data" outline="0" fieldPosition="0">
        <references count="2">
          <reference field="4294967294" count="1" selected="0">
            <x v="1"/>
          </reference>
          <reference field="31" count="1" selected="0">
            <x v="19"/>
          </reference>
        </references>
      </pivotArea>
    </chartFormat>
    <chartFormat chart="2" format="46">
      <pivotArea type="data" outline="0" fieldPosition="0">
        <references count="2">
          <reference field="4294967294" count="1" selected="0">
            <x v="1"/>
          </reference>
          <reference field="31" count="1" selected="0">
            <x v="24"/>
          </reference>
        </references>
      </pivotArea>
    </chartFormat>
    <chartFormat chart="2" format="47">
      <pivotArea type="data" outline="0" fieldPosition="0">
        <references count="2">
          <reference field="4294967294" count="1" selected="0">
            <x v="1"/>
          </reference>
          <reference field="31" count="1" selected="0">
            <x v="25"/>
          </reference>
        </references>
      </pivotArea>
    </chartFormat>
    <chartFormat chart="2" format="48">
      <pivotArea type="data" outline="0" fieldPosition="0">
        <references count="2">
          <reference field="4294967294" count="1" selected="0">
            <x v="1"/>
          </reference>
          <reference field="31" count="1" selected="0">
            <x v="2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5D8D2B-BC33-41FE-9CC7-7E4D4E8FF7DF}"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
  <location ref="A3:B15" firstHeaderRow="1" firstDataRow="1" firstDataCol="1" rowPageCount="1" colPageCount="1"/>
  <pivotFields count="41">
    <pivotField showAll="0"/>
    <pivotField showAll="0"/>
    <pivotField axis="axisPage" multipleItemSelectionAllowed="1" showAll="0">
      <items count="7">
        <item h="1" x="1"/>
        <item h="1" x="3"/>
        <item h="1" x="2"/>
        <item h="1" x="4"/>
        <item x="0"/>
        <item h="1" x="5"/>
        <item t="default"/>
      </items>
    </pivotField>
    <pivotField showAll="0"/>
    <pivotField showAll="0"/>
    <pivotField showAll="0"/>
    <pivotField axis="axisRow" showAll="0" sortType="descending">
      <items count="14">
        <item m="1" x="12"/>
        <item x="6"/>
        <item x="4"/>
        <item x="2"/>
        <item x="3"/>
        <item x="0"/>
        <item x="1"/>
        <item n="Proyectos de Ingeniería" x="11"/>
        <item x="10"/>
        <item x="7"/>
        <item x="5"/>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2">
    <i>
      <x v="6"/>
    </i>
    <i>
      <x v="3"/>
    </i>
    <i>
      <x v="1"/>
    </i>
    <i>
      <x v="4"/>
    </i>
    <i>
      <x v="2"/>
    </i>
    <i>
      <x v="11"/>
    </i>
    <i>
      <x v="5"/>
    </i>
    <i>
      <x v="10"/>
    </i>
    <i>
      <x v="8"/>
    </i>
    <i>
      <x v="12"/>
    </i>
    <i>
      <x v="7"/>
    </i>
    <i t="grand">
      <x/>
    </i>
  </rowItems>
  <colItems count="1">
    <i/>
  </colItems>
  <pageFields count="1">
    <pageField fld="2" hier="-1"/>
  </pageFields>
  <dataFields count="1">
    <dataField name="% Accidentes" fld="24" subtotal="count" showDataAs="percentOfTotal" baseField="0" baseItem="0" numFmtId="10"/>
  </dataFields>
  <formats count="3">
    <format dxfId="49">
      <pivotArea collapsedLevelsAreSubtotals="1" fieldPosition="0">
        <references count="1">
          <reference field="6" count="11">
            <x v="1"/>
            <x v="2"/>
            <x v="3"/>
            <x v="4"/>
            <x v="5"/>
            <x v="6"/>
            <x v="7"/>
            <x v="8"/>
            <x v="10"/>
            <x v="11"/>
            <x v="12"/>
          </reference>
        </references>
      </pivotArea>
    </format>
    <format dxfId="48">
      <pivotArea collapsedLevelsAreSubtotals="1" fieldPosition="0">
        <references count="1">
          <reference field="6" count="11">
            <x v="1"/>
            <x v="2"/>
            <x v="3"/>
            <x v="4"/>
            <x v="5"/>
            <x v="6"/>
            <x v="7"/>
            <x v="8"/>
            <x v="10"/>
            <x v="11"/>
            <x v="12"/>
          </reference>
        </references>
      </pivotArea>
    </format>
    <format dxfId="47">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6"/>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0" format="6">
      <pivotArea type="data" outline="0" fieldPosition="0">
        <references count="2">
          <reference field="4294967294" count="1" selected="0">
            <x v="0"/>
          </reference>
          <reference field="6" count="1" selected="0">
            <x v="11"/>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0"/>
          </reference>
          <reference field="6" count="1" selected="0">
            <x v="10"/>
          </reference>
        </references>
      </pivotArea>
    </chartFormat>
    <chartFormat chart="0" format="9">
      <pivotArea type="data" outline="0" fieldPosition="0">
        <references count="2">
          <reference field="4294967294" count="1" selected="0">
            <x v="0"/>
          </reference>
          <reference field="6" count="1" selected="0">
            <x v="8"/>
          </reference>
        </references>
      </pivotArea>
    </chartFormat>
    <chartFormat chart="0" format="10">
      <pivotArea type="data" outline="0" fieldPosition="0">
        <references count="2">
          <reference field="4294967294" count="1" selected="0">
            <x v="0"/>
          </reference>
          <reference field="6" count="1" selected="0">
            <x v="12"/>
          </reference>
        </references>
      </pivotArea>
    </chartFormat>
    <chartFormat chart="0" format="11">
      <pivotArea type="data" outline="0" fieldPosition="0">
        <references count="2">
          <reference field="4294967294" count="1" selected="0">
            <x v="0"/>
          </reference>
          <reference field="6"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CEC1D8-0D54-42EF-9AD1-E2E4083A562F}"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3:B16" firstHeaderRow="1" firstDataRow="1" firstDataCol="1"/>
  <pivotFields count="41">
    <pivotField showAll="0"/>
    <pivotField showAll="0"/>
    <pivotField multipleItemSelectionAllowe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axis="axisRow" showAll="0" sortType="descending">
      <items count="13">
        <item x="0"/>
        <item x="1"/>
        <item n="Contratista" x="3"/>
        <item x="11"/>
        <item x="2"/>
        <item x="4"/>
        <item x="5"/>
        <item x="6"/>
        <item x="7"/>
        <item x="8"/>
        <item x="9"/>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3">
    <i>
      <x/>
    </i>
    <i>
      <x v="2"/>
    </i>
    <i>
      <x v="1"/>
    </i>
    <i>
      <x v="5"/>
    </i>
    <i>
      <x v="4"/>
    </i>
    <i>
      <x v="9"/>
    </i>
    <i>
      <x v="6"/>
    </i>
    <i>
      <x v="10"/>
    </i>
    <i>
      <x v="11"/>
    </i>
    <i>
      <x v="8"/>
    </i>
    <i>
      <x v="7"/>
    </i>
    <i>
      <x v="3"/>
    </i>
    <i t="grand">
      <x/>
    </i>
  </rowItems>
  <colItems count="1">
    <i/>
  </colItems>
  <dataFields count="1">
    <dataField name="% Accidentes" fld="24" subtotal="count" showDataAs="percentOfTotal" baseField="0" baseItem="0" numFmtId="10"/>
  </dataFields>
  <formats count="4">
    <format dxfId="45">
      <pivotArea collapsedLevelsAreSubtotals="1" fieldPosition="0">
        <references count="1">
          <reference field="15" count="0"/>
        </references>
      </pivotArea>
    </format>
    <format dxfId="44">
      <pivotArea collapsedLevelsAreSubtotals="1" fieldPosition="0">
        <references count="1">
          <reference field="15" count="0"/>
        </references>
      </pivotArea>
    </format>
    <format dxfId="43">
      <pivotArea outline="0" collapsedLevelsAreSubtotals="1" fieldPosition="0"/>
    </format>
    <format dxfId="4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13">
      <pivotArea type="data" outline="0" fieldPosition="0">
        <references count="2">
          <reference field="4294967294" count="1" selected="0">
            <x v="0"/>
          </reference>
          <reference field="15" count="1" selected="0">
            <x v="0"/>
          </reference>
        </references>
      </pivotArea>
    </chartFormat>
    <chartFormat chart="1" format="14">
      <pivotArea type="data" outline="0" fieldPosition="0">
        <references count="2">
          <reference field="4294967294" count="1" selected="0">
            <x v="0"/>
          </reference>
          <reference field="15" count="1" selected="0">
            <x v="2"/>
          </reference>
        </references>
      </pivotArea>
    </chartFormat>
    <chartFormat chart="1" format="15">
      <pivotArea type="data" outline="0" fieldPosition="0">
        <references count="2">
          <reference field="4294967294" count="1" selected="0">
            <x v="0"/>
          </reference>
          <reference field="15" count="1" selected="0">
            <x v="1"/>
          </reference>
        </references>
      </pivotArea>
    </chartFormat>
    <chartFormat chart="1" format="16">
      <pivotArea type="data" outline="0" fieldPosition="0">
        <references count="2">
          <reference field="4294967294" count="1" selected="0">
            <x v="0"/>
          </reference>
          <reference field="15" count="1" selected="0">
            <x v="5"/>
          </reference>
        </references>
      </pivotArea>
    </chartFormat>
    <chartFormat chart="1" format="17">
      <pivotArea type="data" outline="0" fieldPosition="0">
        <references count="2">
          <reference field="4294967294" count="1" selected="0">
            <x v="0"/>
          </reference>
          <reference field="15" count="1" selected="0">
            <x v="4"/>
          </reference>
        </references>
      </pivotArea>
    </chartFormat>
    <chartFormat chart="1" format="18">
      <pivotArea type="data" outline="0" fieldPosition="0">
        <references count="2">
          <reference field="4294967294" count="1" selected="0">
            <x v="0"/>
          </reference>
          <reference field="15" count="1" selected="0">
            <x v="9"/>
          </reference>
        </references>
      </pivotArea>
    </chartFormat>
    <chartFormat chart="1" format="19">
      <pivotArea type="data" outline="0" fieldPosition="0">
        <references count="2">
          <reference field="4294967294" count="1" selected="0">
            <x v="0"/>
          </reference>
          <reference field="15" count="1" selected="0">
            <x v="6"/>
          </reference>
        </references>
      </pivotArea>
    </chartFormat>
    <chartFormat chart="1" format="20">
      <pivotArea type="data" outline="0" fieldPosition="0">
        <references count="2">
          <reference field="4294967294" count="1" selected="0">
            <x v="0"/>
          </reference>
          <reference field="15" count="1" selected="0">
            <x v="10"/>
          </reference>
        </references>
      </pivotArea>
    </chartFormat>
    <chartFormat chart="1" format="21">
      <pivotArea type="data" outline="0" fieldPosition="0">
        <references count="2">
          <reference field="4294967294" count="1" selected="0">
            <x v="0"/>
          </reference>
          <reference field="15" count="1" selected="0">
            <x v="11"/>
          </reference>
        </references>
      </pivotArea>
    </chartFormat>
    <chartFormat chart="1" format="22">
      <pivotArea type="data" outline="0" fieldPosition="0">
        <references count="2">
          <reference field="4294967294" count="1" selected="0">
            <x v="0"/>
          </reference>
          <reference field="15" count="1" selected="0">
            <x v="8"/>
          </reference>
        </references>
      </pivotArea>
    </chartFormat>
    <chartFormat chart="1" format="23">
      <pivotArea type="data" outline="0" fieldPosition="0">
        <references count="2">
          <reference field="4294967294" count="1" selected="0">
            <x v="0"/>
          </reference>
          <reference field="15" count="1" selected="0">
            <x v="7"/>
          </reference>
        </references>
      </pivotArea>
    </chartFormat>
    <chartFormat chart="1" format="24">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A3E904-EB42-4767-8E14-BF5C6E15E391}"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1:B5"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0" showAll="0"/>
    <pivotField showAll="0"/>
    <pivotField showAll="0"/>
    <pivotField axis="axisRow" dataField="1" showAll="0">
      <items count="15">
        <item x="1"/>
        <item x="0"/>
        <item h="1" m="1" x="13"/>
        <item x="2"/>
        <item h="1" x="3"/>
        <item h="1" x="4"/>
        <item h="1" x="5"/>
        <item h="1" x="6"/>
        <item h="1" x="7"/>
        <item h="1" x="8"/>
        <item h="1" x="9"/>
        <item h="1" x="10"/>
        <item h="1" x="11"/>
        <item h="1" x="12"/>
        <item t="default"/>
      </items>
    </pivotField>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4">
    <i>
      <x/>
    </i>
    <i>
      <x v="1"/>
    </i>
    <i>
      <x v="3"/>
    </i>
    <i t="grand">
      <x/>
    </i>
  </rowItems>
  <colItems count="1">
    <i/>
  </colItems>
  <dataFields count="1">
    <dataField name="Cuenta de EMPRESA" fld="16"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1"/>
          </reference>
        </references>
      </pivotArea>
    </chartFormat>
    <chartFormat chart="3" format="2">
      <pivotArea type="data" outline="0" fieldPosition="0">
        <references count="2">
          <reference field="4294967294" count="1" selected="0">
            <x v="0"/>
          </reference>
          <reference field="16" count="1" selected="0">
            <x v="0"/>
          </reference>
        </references>
      </pivotArea>
    </chartFormat>
    <chartFormat chart="3"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2AB8B4-5547-4A06-97DE-B07A2EDF775E}" name="TablaDiná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8">
  <location ref="A25:B36" firstHeaderRow="1" firstDataRow="1" firstDataCol="1"/>
  <pivotFields count="39">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 showAll="0"/>
    <pivotField showAll="0"/>
    <pivotField numFmtId="14" showAll="0"/>
    <pivotField showAll="0"/>
    <pivotField axis="axisRow" dataField="1" showAll="0">
      <items count="6">
        <item x="2"/>
        <item x="3"/>
        <item x="1"/>
        <item x="0"/>
        <item x="4"/>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2">
    <field x="25"/>
    <field x="26"/>
  </rowFields>
  <rowItems count="11">
    <i>
      <x/>
    </i>
    <i r="1">
      <x v="2"/>
    </i>
    <i>
      <x v="1"/>
    </i>
    <i r="1">
      <x v="3"/>
    </i>
    <i>
      <x v="2"/>
    </i>
    <i r="1">
      <x/>
    </i>
    <i>
      <x v="3"/>
    </i>
    <i r="1">
      <x v="1"/>
    </i>
    <i>
      <x v="4"/>
    </i>
    <i r="1">
      <x v="2"/>
    </i>
    <i t="grand">
      <x/>
    </i>
  </rowItems>
  <colItems count="1">
    <i/>
  </colItems>
  <dataFields count="1">
    <dataField name="Cuenta de Tipo de Contacto" fld="25"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48D889-283E-4B4F-9E4D-8F1A2706856A}" name="TablaDinámica5"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18:B23" firstHeaderRow="1" firstDataRow="1" firstDataCol="1"/>
  <pivotFields count="39">
    <pivotField showAll="0"/>
    <pivotField showAll="0"/>
    <pivotField showAll="0"/>
    <pivotField showAll="0"/>
    <pivotField showAll="0"/>
    <pivotField axis="axisRow" dataField="1" showAll="0">
      <items count="8">
        <item m="1" x="5"/>
        <item m="1" x="6"/>
        <item x="0"/>
        <item m="1" x="4"/>
        <item x="1"/>
        <item x="2"/>
        <item x="3"/>
        <item t="default"/>
      </items>
    </pivotField>
    <pivotField showAll="0"/>
    <pivotField showAll="0"/>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v="2"/>
    </i>
    <i>
      <x v="4"/>
    </i>
    <i>
      <x v="5"/>
    </i>
    <i>
      <x v="6"/>
    </i>
    <i t="grand">
      <x/>
    </i>
  </rowItems>
  <colItems count="1">
    <i/>
  </colItems>
  <dataFields count="1">
    <dataField name="Cuenta de Planta" fld="5"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F34AB1-3280-4BC0-9991-6625853911B2}" name="TablaDinámica3"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10">
  <location ref="A11:B15" firstHeaderRow="1" firstDataRow="1" firstDataCol="1"/>
  <pivotFields count="39">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numFmtId="20"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Cuenta de Dirección" fld="6" subtotal="count" baseField="0" baseItem="0"/>
  </dataFields>
  <chartFormats count="4">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6" count="1" selected="0">
            <x v="0"/>
          </reference>
        </references>
      </pivotArea>
    </chartFormat>
    <chartFormat chart="7" format="2">
      <pivotArea type="data" outline="0" fieldPosition="0">
        <references count="2">
          <reference field="4294967294" count="1" selected="0">
            <x v="0"/>
          </reference>
          <reference field="6" count="1" selected="0">
            <x v="1"/>
          </reference>
        </references>
      </pivotArea>
    </chartFormat>
    <chartFormat chart="7"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F0520E-404A-414B-BCFB-4D16AA98C767}" name="TablaDiná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3:J16" firstHeaderRow="1" firstDataRow="2" firstDataCol="1"/>
  <pivotFields count="39">
    <pivotField showAll="0"/>
    <pivotField showAll="0"/>
    <pivotField showAll="0"/>
    <pivotField showAll="0"/>
    <pivotField showAll="0"/>
    <pivotField axis="axisRow" showAll="0">
      <items count="18">
        <item m="1" x="14"/>
        <item m="1" x="16"/>
        <item x="5"/>
        <item m="1" x="12"/>
        <item m="1" x="15"/>
        <item m="1" x="13"/>
        <item x="0"/>
        <item x="1"/>
        <item x="2"/>
        <item x="3"/>
        <item m="1" x="11"/>
        <item x="4"/>
        <item x="6"/>
        <item x="7"/>
        <item x="8"/>
        <item x="9"/>
        <item x="10"/>
        <item t="default"/>
      </items>
    </pivotField>
    <pivotField showAll="0"/>
    <pivotField showAll="0"/>
    <pivotField showAll="0"/>
    <pivotField numFmtId="1" showAll="0"/>
    <pivotField showAll="0"/>
    <pivotField showAll="0"/>
    <pivotField showAll="0"/>
    <pivotField showAll="0"/>
    <pivotField axis="axisCol" showAll="0">
      <items count="9">
        <item x="2"/>
        <item x="1"/>
        <item x="0"/>
        <item m="1" x="7"/>
        <item x="3"/>
        <item x="4"/>
        <item x="5"/>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12">
    <i>
      <x v="2"/>
    </i>
    <i>
      <x v="6"/>
    </i>
    <i>
      <x v="7"/>
    </i>
    <i>
      <x v="8"/>
    </i>
    <i>
      <x v="9"/>
    </i>
    <i>
      <x v="11"/>
    </i>
    <i>
      <x v="12"/>
    </i>
    <i>
      <x v="13"/>
    </i>
    <i>
      <x v="14"/>
    </i>
    <i>
      <x v="15"/>
    </i>
    <i>
      <x v="16"/>
    </i>
    <i t="grand">
      <x/>
    </i>
  </rowItems>
  <colFields count="1">
    <field x="14"/>
  </colFields>
  <colItems count="8">
    <i>
      <x/>
    </i>
    <i>
      <x v="1"/>
    </i>
    <i>
      <x v="2"/>
    </i>
    <i>
      <x v="4"/>
    </i>
    <i>
      <x v="5"/>
    </i>
    <i>
      <x v="6"/>
    </i>
    <i>
      <x v="7"/>
    </i>
    <i t="grand">
      <x/>
    </i>
  </colItems>
  <dataFields count="1">
    <dataField name="Cuenta de APELLIDO PATERNO" fld="17" subtotal="count" baseField="0" baseItem="0"/>
  </dataFields>
  <formats count="9">
    <format dxfId="41">
      <pivotArea outline="0" collapsedLevelsAreSubtotals="1" fieldPosition="0">
        <references count="1">
          <reference field="14" count="0" selected="0"/>
        </references>
      </pivotArea>
    </format>
    <format dxfId="40">
      <pivotArea field="14" type="button" dataOnly="0" labelOnly="1" outline="0" axis="axisCol" fieldPosition="0"/>
    </format>
    <format dxfId="39">
      <pivotArea type="topRight" dataOnly="0" labelOnly="1" outline="0" fieldPosition="0"/>
    </format>
    <format dxfId="38">
      <pivotArea dataOnly="0" labelOnly="1" fieldPosition="0">
        <references count="1">
          <reference field="14" count="0"/>
        </references>
      </pivotArea>
    </format>
    <format dxfId="37">
      <pivotArea outline="0" collapsedLevelsAreSubtotals="1" fieldPosition="0">
        <references count="1">
          <reference field="14" count="0" selected="0"/>
        </references>
      </pivotArea>
    </format>
    <format dxfId="36">
      <pivotArea field="14" type="button" dataOnly="0" labelOnly="1" outline="0" axis="axisCol" fieldPosition="0"/>
    </format>
    <format dxfId="35">
      <pivotArea type="topRight" dataOnly="0" labelOnly="1" outline="0" fieldPosition="0"/>
    </format>
    <format dxfId="34">
      <pivotArea dataOnly="0" labelOnly="1" fieldPosition="0">
        <references count="1">
          <reference field="14" count="0"/>
        </references>
      </pivotArea>
    </format>
    <format dxfId="33">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7B142E-28C2-4601-B179-7E640BE215D7}" name="Tabla dinámica1" cacheId="3"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2:C12" firstHeaderRow="0" firstDataRow="1" firstDataCol="1"/>
  <pivotFields count="4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Row" dataField="1" compact="0" outline="0" showAll="0">
      <items count="14">
        <item x="0"/>
        <item x="1"/>
        <item m="1" x="11"/>
        <item m="1" x="12"/>
        <item x="2"/>
        <item m="1" x="10"/>
        <item x="3"/>
        <item x="4"/>
        <item h="1" x="6"/>
        <item x="5"/>
        <item x="7"/>
        <item x="8"/>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0">
    <i>
      <x/>
    </i>
    <i>
      <x v="1"/>
    </i>
    <i>
      <x v="4"/>
    </i>
    <i>
      <x v="6"/>
    </i>
    <i>
      <x v="7"/>
    </i>
    <i>
      <x v="9"/>
    </i>
    <i>
      <x v="10"/>
    </i>
    <i>
      <x v="11"/>
    </i>
    <i>
      <x v="12"/>
    </i>
    <i t="grand">
      <x/>
    </i>
  </rowItems>
  <colFields count="1">
    <field x="-2"/>
  </colFields>
  <colItems count="2">
    <i>
      <x/>
    </i>
    <i i="1">
      <x v="1"/>
    </i>
  </colItems>
  <dataFields count="2">
    <dataField name="Cant. accidentes" fld="11" subtotal="count" baseField="0" baseItem="0"/>
    <dataField name="Suma de Dias de D.M." fld="32" baseField="0" baseItem="0"/>
  </dataFields>
  <formats count="28">
    <format dxfId="101">
      <pivotArea outline="0" fieldPosition="0">
        <references count="1">
          <reference field="11" count="1" selected="0">
            <x v="6"/>
          </reference>
        </references>
      </pivotArea>
    </format>
    <format dxfId="100">
      <pivotArea dataOnly="0" labelOnly="1" outline="0" fieldPosition="0">
        <references count="1">
          <reference field="11" count="1">
            <x v="6"/>
          </reference>
        </references>
      </pivotArea>
    </format>
    <format dxfId="99">
      <pivotArea outline="0" fieldPosition="0">
        <references count="1">
          <reference field="11" count="1" selected="0">
            <x v="6"/>
          </reference>
        </references>
      </pivotArea>
    </format>
    <format dxfId="98">
      <pivotArea dataOnly="0" labelOnly="1" outline="0" fieldPosition="0">
        <references count="1">
          <reference field="11" count="1">
            <x v="6"/>
          </reference>
        </references>
      </pivotArea>
    </format>
    <format dxfId="97">
      <pivotArea type="all" dataOnly="0" outline="0" fieldPosition="0"/>
    </format>
    <format dxfId="96">
      <pivotArea outline="0" collapsedLevelsAreSubtotals="1" fieldPosition="0"/>
    </format>
    <format dxfId="95">
      <pivotArea field="11" type="button" dataOnly="0" labelOnly="1" outline="0" axis="axisRow" fieldPosition="0"/>
    </format>
    <format dxfId="94">
      <pivotArea dataOnly="0" labelOnly="1" outline="0" fieldPosition="0">
        <references count="1">
          <reference field="11" count="0"/>
        </references>
      </pivotArea>
    </format>
    <format dxfId="93">
      <pivotArea dataOnly="0" labelOnly="1" grandRow="1" outline="0" fieldPosition="0"/>
    </format>
    <format dxfId="92">
      <pivotArea dataOnly="0" labelOnly="1" outline="0" fieldPosition="0">
        <references count="1">
          <reference field="4294967294" count="2">
            <x v="0"/>
            <x v="1"/>
          </reference>
        </references>
      </pivotArea>
    </format>
    <format dxfId="91">
      <pivotArea type="all" dataOnly="0" outline="0" fieldPosition="0"/>
    </format>
    <format dxfId="90">
      <pivotArea outline="0" collapsedLevelsAreSubtotals="1" fieldPosition="0"/>
    </format>
    <format dxfId="89">
      <pivotArea field="11" type="button" dataOnly="0" labelOnly="1" outline="0" axis="axisRow" fieldPosition="0"/>
    </format>
    <format dxfId="88">
      <pivotArea dataOnly="0" labelOnly="1" outline="0" fieldPosition="0">
        <references count="1">
          <reference field="11" count="0"/>
        </references>
      </pivotArea>
    </format>
    <format dxfId="87">
      <pivotArea dataOnly="0" labelOnly="1" grandRow="1" outline="0" fieldPosition="0"/>
    </format>
    <format dxfId="86">
      <pivotArea dataOnly="0" labelOnly="1" outline="0" fieldPosition="0">
        <references count="1">
          <reference field="4294967294" count="2">
            <x v="0"/>
            <x v="1"/>
          </reference>
        </references>
      </pivotArea>
    </format>
    <format dxfId="85">
      <pivotArea type="all" dataOnly="0" outline="0" fieldPosition="0"/>
    </format>
    <format dxfId="84">
      <pivotArea outline="0" collapsedLevelsAreSubtotals="1" fieldPosition="0"/>
    </format>
    <format dxfId="83">
      <pivotArea field="11" type="button" dataOnly="0" labelOnly="1" outline="0" axis="axisRow" fieldPosition="0"/>
    </format>
    <format dxfId="82">
      <pivotArea dataOnly="0" labelOnly="1" outline="0" fieldPosition="0">
        <references count="1">
          <reference field="11" count="0"/>
        </references>
      </pivotArea>
    </format>
    <format dxfId="81">
      <pivotArea dataOnly="0" labelOnly="1" grandRow="1" outline="0" fieldPosition="0"/>
    </format>
    <format dxfId="80">
      <pivotArea dataOnly="0" labelOnly="1" outline="0" fieldPosition="0">
        <references count="1">
          <reference field="4294967294" count="2">
            <x v="0"/>
            <x v="1"/>
          </reference>
        </references>
      </pivotArea>
    </format>
    <format dxfId="79">
      <pivotArea outline="0" fieldPosition="0">
        <references count="1">
          <reference field="11" count="1" selected="0">
            <x v="1"/>
          </reference>
        </references>
      </pivotArea>
    </format>
    <format dxfId="78">
      <pivotArea dataOnly="0" labelOnly="1" outline="0" fieldPosition="0">
        <references count="1">
          <reference field="11" count="1">
            <x v="1"/>
          </reference>
        </references>
      </pivotArea>
    </format>
    <format dxfId="77">
      <pivotArea outline="0" fieldPosition="0">
        <references count="1">
          <reference field="11" count="1" selected="0">
            <x v="2"/>
          </reference>
        </references>
      </pivotArea>
    </format>
    <format dxfId="76">
      <pivotArea dataOnly="0" labelOnly="1" outline="0" fieldPosition="0">
        <references count="1">
          <reference field="11" count="1">
            <x v="2"/>
          </reference>
        </references>
      </pivotArea>
    </format>
    <format dxfId="75">
      <pivotArea outline="0" fieldPosition="0">
        <references count="1">
          <reference field="11" count="1" selected="0">
            <x v="5"/>
          </reference>
        </references>
      </pivotArea>
    </format>
    <format dxfId="74">
      <pivotArea dataOnly="0" labelOnly="1" outline="0" fieldPosition="0">
        <references count="1">
          <reference field="11"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863B2A-93F2-4C75-BE5F-D7E780CD5BDC}" name="Base_Accidentes_2023" displayName="Base_Accidentes_2023" ref="A1:AO309" totalsRowShown="0" headerRowDxfId="73" tableBorderDxfId="72">
  <autoFilter ref="A1:AO309" xr:uid="{C6863B2A-93F2-4C75-BE5F-D7E780CD5BDC}"/>
  <sortState xmlns:xlrd2="http://schemas.microsoft.com/office/spreadsheetml/2017/richdata2" ref="A2:AO309">
    <sortCondition ref="I1:I309"/>
  </sortState>
  <tableColumns count="41">
    <tableColumn id="1" xr3:uid="{77339BF3-94E3-4AEF-B65E-35C6924EFAA8}" name="Item"/>
    <tableColumn id="2" xr3:uid="{30C4227B-187B-414C-A9E6-D33603FC3F81}" name="N° ROM" dataDxfId="71"/>
    <tableColumn id="39" xr3:uid="{4268E00A-F152-4013-9DE9-02A2B48EAF73}" name="PAIS" dataDxfId="70"/>
    <tableColumn id="38" xr3:uid="{3B7026D5-9F66-4143-BDF8-5380E4D90D9A}" name="SOCIEDAD" dataDxfId="69"/>
    <tableColumn id="3" xr3:uid="{B52B019D-91C3-4BAC-BBAE-60C18D4E4CB5}" name="Predio"/>
    <tableColumn id="4" xr3:uid="{80EB1659-95D8-4997-9B99-BB7E57529832}" name="Planta"/>
    <tableColumn id="5" xr3:uid="{46AB90EB-14BD-452C-978D-768228AD21E0}" name="Dirección"/>
    <tableColumn id="6" xr3:uid="{C94D42EE-19D9-4365-BD66-A1813BDAED90}" name="Area"/>
    <tableColumn id="7" xr3:uid="{2AFD9AD1-FFCD-4AEB-851F-40A780845183}" name="Fecha"/>
    <tableColumn id="37" xr3:uid="{DD76E748-EE80-4A48-B7E5-3C1CD8C47111}" name="Sem" dataDxfId="68">
      <calculatedColumnFormula>_xlfn.ISOWEEKNUM(Base_Accidentes_2023[[#This Row],[Fecha]])</calculatedColumnFormula>
    </tableColumn>
    <tableColumn id="8" xr3:uid="{BA94A559-1A78-47FB-9CE6-8BC9C6C34DC7}" name="Día"/>
    <tableColumn id="9" xr3:uid="{EEB6D07D-9820-4F6A-9090-2E004264B809}" name="Mes"/>
    <tableColumn id="10" xr3:uid="{DC45E392-BA9A-433E-AAD8-2A6A683E3106}" name="Año"/>
    <tableColumn id="11" xr3:uid="{87D83539-1F35-44EE-9B3B-82022EA5ABA7}" name="Hora"/>
    <tableColumn id="12" xr3:uid="{98E05D1A-3E37-49E3-9994-EE0D2DEF7D05}" name="Turno"/>
    <tableColumn id="13" xr3:uid="{79510D25-0B1E-49FC-8C99-CF1596C225ED}" name="Tipo de Trabajador"/>
    <tableColumn id="14" xr3:uid="{4DE7EEA2-CAB4-40EC-9F7C-CCD0AF6D1992}" name="EMPRESA"/>
    <tableColumn id="15" xr3:uid="{1A5A55B0-5FA3-4DB9-822C-816D780844BF}" name="APELLIDO PATERNO"/>
    <tableColumn id="16" xr3:uid="{E7CD1B72-2856-49AC-B706-6FFB68C716C4}" name="APELLIDO MATERNO"/>
    <tableColumn id="17" xr3:uid="{989B75A2-C3E8-4E50-9016-F1F7ED9F316F}" name="NOMBRES" dataDxfId="67"/>
    <tableColumn id="18" xr3:uid="{6B014874-DE34-4DB6-A345-94A46FEA3555}" name="SEXO"/>
    <tableColumn id="19" xr3:uid="{06C08249-C750-4832-8165-F3C007E304D3}" name="Edad"/>
    <tableColumn id="20" xr3:uid="{F5C51067-EBBA-4372-8329-9E4C5DC73DCE}" name="Puesto de Trabajo"/>
    <tableColumn id="21" xr3:uid="{D358C2EA-695B-4345-A393-62F0DF4C5761}" name="Fecha de Ingreso a Labores"/>
    <tableColumn id="22" xr3:uid="{4027E58F-AA5A-4641-B60D-C9059C8B1DF9}" name="DESCRIPCION DEL ACCIDENTE"/>
    <tableColumn id="23" xr3:uid="{43B24F9B-27C1-4F71-85C7-FDC1CB7186BA}" name="Tipo de Contacto"/>
    <tableColumn id="24" xr3:uid="{BA97A286-93BF-4345-860D-BD8BC057AAF3}" name="Parte del Cuerpo Afectada"/>
    <tableColumn id="25" xr3:uid="{A6C63575-97F6-49E2-B951-59BABF9E15D7}" name="Parte del Cuerpo Afectada 2"/>
    <tableColumn id="26" xr3:uid="{813873EF-E1EC-4AF7-BA04-FA8D866406B9}" name="Actividad Realizada"/>
    <tableColumn id="27" xr3:uid="{446DF697-0EBF-44C9-8E03-3D8F3F24ACBC}" name="Proceso"/>
    <tableColumn id="28" xr3:uid="{7B48F9BC-D4E0-4907-BC0A-0A6C5BBB3A49}" name="DIAGNOSTICO"/>
    <tableColumn id="29" xr3:uid="{3EF56563-8766-49EB-B76B-AFD8F7578A40}" name="Lesión"/>
    <tableColumn id="30" xr3:uid="{9B3ACF5D-70DD-4D70-B8AC-EB4C4F0CD7D4}" name="Dias de D.M."/>
    <tableColumn id="31" xr3:uid="{44AE34D1-0816-4ACE-AAE2-038003EE1D67}" name="Cargo ANSI "/>
    <tableColumn id="32" xr3:uid="{775F4BC0-D4C9-4C1C-B45F-2757CDEE5FA0}" name="Dias DM Total Indicador"/>
    <tableColumn id="33" xr3:uid="{B39A28BF-3B08-4EC2-9CC6-BC94BD729C6C}" name="Situación Actual"/>
    <tableColumn id="34" xr3:uid="{ED1F2665-71F6-4476-8F05-AE5240D7710F}" name="Tiempo experiencia_x000a_(meses)"/>
    <tableColumn id="35" xr3:uid="{AF33B748-399A-4DB7-A188-A1AF22244057}" name="Puesto"/>
    <tableColumn id="36" xr3:uid="{8C915FB4-B0BD-4ED7-9601-BA0366CF57C0}" name="Antigüedad" dataDxfId="66"/>
    <tableColumn id="40" xr3:uid="{ADAA126C-36A6-4BB9-A3C6-7E9A5964D0F3}" name="FUENTE DE PELIGRO" dataDxfId="65"/>
    <tableColumn id="41" xr3:uid="{F6927C99-9BDF-42BF-9871-A445B087C18F}" name="TIPO DE CONTRATO" dataDxfId="6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D2C1E6-7BF1-40AB-986C-9816831A5784}" name="Tabla5" displayName="Tabla5" ref="A3:AO13" totalsRowShown="0">
  <autoFilter ref="A3:AO13" xr:uid="{F3D2C1E6-7BF1-40AB-986C-9816831A5784}"/>
  <tableColumns count="41">
    <tableColumn id="1" xr3:uid="{D962DF51-F1E8-48AD-9F80-54BAB0392008}" name="Item"/>
    <tableColumn id="2" xr3:uid="{9CE84CA9-3CAF-45DF-98B2-0E22EFCA534A}" name="N° ROM"/>
    <tableColumn id="3" xr3:uid="{5E70F31F-15C2-4C44-8786-8C1DC39B5C37}" name="PAIS"/>
    <tableColumn id="4" xr3:uid="{E7BC2548-ECEA-4B25-9A2D-65AC732E96E9}" name="SOCIEDAD"/>
    <tableColumn id="5" xr3:uid="{3EFD1744-69F4-4C05-9AC0-0F0424F988E9}" name="Predio"/>
    <tableColumn id="6" xr3:uid="{68B23BC2-32FC-4216-BCFA-D52267E600A9}" name="Planta"/>
    <tableColumn id="7" xr3:uid="{80D73555-25D6-452A-B622-71A594C9394F}" name="Dirección"/>
    <tableColumn id="8" xr3:uid="{B2BB292A-77FE-4529-B67B-D84DE356F920}" name="Area"/>
    <tableColumn id="9" xr3:uid="{7B1BF2AD-D179-4483-A24F-DA66216448A1}" name="Fecha" dataDxfId="46"/>
    <tableColumn id="10" xr3:uid="{3CBDE7EC-EDA6-4527-9579-EF2B35D77A1A}" name="Sem"/>
    <tableColumn id="11" xr3:uid="{21D36012-2323-4BD8-B6A5-7E390AD9FC7F}" name="Día"/>
    <tableColumn id="12" xr3:uid="{325B6AF8-3C4B-4093-88F9-4A24DAB9CF03}" name="Mes"/>
    <tableColumn id="13" xr3:uid="{29CEF749-086E-407E-AC70-9C1D96CAAA0C}" name="Año"/>
    <tableColumn id="14" xr3:uid="{7014EEFB-CE16-48AE-9780-7B22AFD4B75F}" name="Hora"/>
    <tableColumn id="15" xr3:uid="{5D1031A0-4738-462E-8A9A-4C29C414B2A9}" name="Turno"/>
    <tableColumn id="16" xr3:uid="{E3E1B7E9-A365-4008-9262-957A3928D915}" name="Tipo de Trabajador"/>
    <tableColumn id="17" xr3:uid="{55259A95-5874-4891-BCE5-4A387CEDE777}" name="EMPRESA"/>
    <tableColumn id="18" xr3:uid="{6EAD3C78-6D49-4FB1-A4CB-C1CB86582A4C}" name="APELLIDO PATERNO"/>
    <tableColumn id="19" xr3:uid="{0C5117DF-AB61-454C-BC46-041BE00EAE5B}" name="APELLIDO MATERNO"/>
    <tableColumn id="20" xr3:uid="{33DF4BF9-762A-4311-B997-01BF3BB32623}" name="NOMBRES"/>
    <tableColumn id="21" xr3:uid="{E48B5BE8-F8E7-428F-B203-DE4DCB8932DA}" name="SEXO"/>
    <tableColumn id="22" xr3:uid="{C97B6754-9438-4CDE-A97C-EB2EB8273978}" name="Edad"/>
    <tableColumn id="23" xr3:uid="{F053A8C1-0B6D-4DED-B098-062B4DCCB7E3}" name="Puesto de Trabajo"/>
    <tableColumn id="24" xr3:uid="{4117187A-B6C8-4E48-9E2A-3A714A93EBB0}" name="Fecha de Ingreso a Labores"/>
    <tableColumn id="25" xr3:uid="{82B9BBEB-AFBE-47A9-8FF7-8FAF42D1DBBF}" name="DESCRIPCION DEL ACCIDENTE"/>
    <tableColumn id="26" xr3:uid="{0099C3DC-A066-4BBF-9D14-8681111DE062}" name="Tipo de Contacto"/>
    <tableColumn id="27" xr3:uid="{100E85F0-28F8-470E-A940-B54DDAE89709}" name="Parte del Cuerpo Afectada"/>
    <tableColumn id="28" xr3:uid="{00902B2F-E9EB-4CA4-A48C-45A2C2400E88}" name="Parte del Cuerpo Afectada 2"/>
    <tableColumn id="29" xr3:uid="{18886BF0-0C9D-4AAA-B6AD-0D7B2C9A7FE5}" name="Actividad Realizada"/>
    <tableColumn id="30" xr3:uid="{3D40A923-2C25-40DD-B929-73F8CD6C6B03}" name="Proceso"/>
    <tableColumn id="31" xr3:uid="{CB05891A-5845-4F86-AA2A-1481089B10D3}" name="DIAGNOSTICO"/>
    <tableColumn id="32" xr3:uid="{95C581F1-1DF3-4B6D-9616-440545C0E956}" name="Lesión"/>
    <tableColumn id="33" xr3:uid="{20CC9FCC-4C88-4874-ADEA-E8430A3E957E}" name="Dias de D.M."/>
    <tableColumn id="34" xr3:uid="{03A109AF-3BEE-4400-8B60-999AFDBD1580}" name="Cargo ANSI "/>
    <tableColumn id="35" xr3:uid="{3AEB3045-6F45-4D98-9166-CE73BA1A84AA}" name="Dias DM Total Indicador"/>
    <tableColumn id="36" xr3:uid="{49721A9C-4FC2-49E8-9D40-4673DF318FBC}" name="Situación Actual"/>
    <tableColumn id="37" xr3:uid="{AC80A659-4BDE-4272-AF8E-744A2FBC8B51}" name="Tiempo experiencia_x000a_(meses)"/>
    <tableColumn id="38" xr3:uid="{AF460141-5910-40FF-8559-8D5ECA210387}" name="Puesto"/>
    <tableColumn id="39" xr3:uid="{4E10F650-5385-4665-9402-91E891727362}" name="Antigüedad"/>
    <tableColumn id="40" xr3:uid="{3AD19EC9-0B34-4D6C-9BB5-F42819DAE59B}" name="FUENTE DE PELIGRO"/>
    <tableColumn id="41" xr3:uid="{1EFA021A-1CC7-4FEA-887A-84CF683EF462}" name="TIPO DE CONTRAT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E01829A-2AED-44F2-BA66-015013990705}" name="Tabla23" displayName="Tabla23" ref="B3:B13" totalsRowShown="0" headerRowDxfId="32" dataDxfId="31">
  <autoFilter ref="B3:B13" xr:uid="{6E01829A-2AED-44F2-BA66-015013990705}"/>
  <tableColumns count="1">
    <tableColumn id="1" xr3:uid="{D82E3B34-BD2B-450E-AB45-1596D859C155}" name="DIRECCIÓN" dataDxfId="3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359E50C-4BC1-4B9B-9A2F-0AFA9DA05C3F}" name="Tabla24" displayName="Tabla24" ref="D3:D12" totalsRowShown="0" headerRowDxfId="29" dataDxfId="28">
  <autoFilter ref="D3:D12" xr:uid="{3359E50C-4BC1-4B9B-9A2F-0AFA9DA05C3F}"/>
  <tableColumns count="1">
    <tableColumn id="1" xr3:uid="{AB5466DB-497B-48E8-A8CF-7CCD3BA735AE}" name="PLANTAS" dataDxfId="27"/>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C457DB13-97E4-49E7-BE5D-41853AA9D8E7}" name="Tabla25" displayName="Tabla25" ref="F3:F11" totalsRowShown="0" headerRowDxfId="26" dataDxfId="25">
  <autoFilter ref="F3:F11" xr:uid="{C457DB13-97E4-49E7-BE5D-41853AA9D8E7}"/>
  <tableColumns count="1">
    <tableColumn id="1" xr3:uid="{00CAFB1F-0C41-4154-B731-6ACBA7FCE5D4}" name="TIPO DE TRABAJADOR" dataDxfId="2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A2E779B-1663-4658-9E32-43E417218AA5}" name="Tabla26" displayName="Tabla26" ref="H3:H10" totalsRowShown="0" headerRowDxfId="23" dataDxfId="22">
  <autoFilter ref="H3:H10" xr:uid="{0A2E779B-1663-4658-9E32-43E417218AA5}"/>
  <tableColumns count="1">
    <tableColumn id="1" xr3:uid="{BC1EEE75-3B16-4EBE-A257-4A9812287759}" name="ANTIGÜEDAD" dataDxfId="2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EC74E01-1C99-4054-AAE4-AC511B16A205}" name="Tabla27" displayName="Tabla27" ref="J3:J14" totalsRowShown="0" headerRowDxfId="20" dataDxfId="19">
  <autoFilter ref="J3:J14" xr:uid="{BEC74E01-1C99-4054-AAE4-AC511B16A205}"/>
  <tableColumns count="1">
    <tableColumn id="1" xr3:uid="{E8084DAA-7287-4EE8-A98F-AB8438F3FF2A}" name="TIPO DE CONTACTO" dataDxfId="18"/>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E34DCA-31B5-4E3C-B63B-989F0A506C8A}" name="Tabla22" displayName="Tabla22" ref="B2:B5" totalsRowShown="0" headerRowDxfId="17">
  <autoFilter ref="B2:B5" xr:uid="{04263F51-9015-4C02-951E-ABC73536336E}"/>
  <tableColumns count="1">
    <tableColumn id="1" xr3:uid="{E6B87C1B-4969-4710-8F36-AC80F422CD1B}" name="CAUSAS INMEDIATAS"/>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E7584C-C399-4687-955E-0404CB1C2781}" name="Tabla3" displayName="Tabla3" ref="D2:D25" totalsRowShown="0" headerRowDxfId="16">
  <autoFilter ref="D2:D25" xr:uid="{262DB52F-B540-423C-9D7C-30FB87D6ABB4}"/>
  <tableColumns count="1">
    <tableColumn id="1" xr3:uid="{D82E28DE-E4CC-4F72-B12D-1B9F86E03DE5}" name="ACTO SUB ESTANDAR"/>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0735F2-7FD6-4AA4-9C55-313E33C51CED}" name="Tabla4" displayName="Tabla4" ref="F2:F29" totalsRowShown="0" headerRowDxfId="15">
  <autoFilter ref="F2:F29" xr:uid="{03E58471-9C00-4E16-A4AC-F41D4F0560F7}"/>
  <tableColumns count="1">
    <tableColumn id="1" xr3:uid="{2FFF20FE-BA9F-4F28-B347-3524E7FBB94D}" name="CONDICIÓN SUB ESTANDAR"/>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61A7C9-722B-4EA8-87FE-8C28D8880070}" name="Capacidad_Física_Biológica_Inadecuada_1" displayName="Capacidad_Física_Biológica_Inadecuada_1" ref="B5:B23" totalsRowShown="0" headerRowDxfId="14">
  <autoFilter ref="B5:B23" xr:uid="{6496BD4B-F467-4A0A-8CD5-3DF0CCD8CCB7}"/>
  <tableColumns count="1">
    <tableColumn id="1" xr3:uid="{67B3C983-0D86-4593-A57F-20E8AD7A54C1}" name="Capacidad_Física_Biológica_Inadecuada_1"/>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36FC80F-E77A-4138-87C9-11D64CB8CEE9}" name="Capacidad_Mental_Psicológica_Inadecuada_2" displayName="Capacidad_Mental_Psicológica_Inadecuada_2" ref="C5:C23" totalsRowShown="0" headerRowDxfId="13">
  <autoFilter ref="C5:C23" xr:uid="{E1857A5D-DF02-4006-8EBB-DD5E4047A91C}"/>
  <tableColumns count="1">
    <tableColumn id="1" xr3:uid="{AB6521FC-5BDA-4FE9-9063-3AFFE77A5F43}" name="Capacidad_Mental_Psicológica_Inadecuada_2"/>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7F423CF-C88B-4213-8084-28369A56DE30}" name="Tensión_física_o_fisiológica_3" displayName="Tensión_física_o_fisiológica_3" ref="D5:D23" totalsRowShown="0" headerRowDxfId="12">
  <autoFilter ref="D5:D23" xr:uid="{D5A6A436-3935-4087-BAF5-4C3F186556A7}"/>
  <tableColumns count="1">
    <tableColumn id="1" xr3:uid="{B84071FE-BBE4-4139-8DE4-FD3E4A6A2100}" name="Tensión_física_o_fisiológica_3"/>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AE91990-C973-4781-A657-218E47EC74F3}" name="Tensión_Mental_o_Psicológica_4" displayName="Tensión_Mental_o_Psicológica_4" ref="E5:E23" totalsRowShown="0" headerRowDxfId="11" headerRowCellStyle="Normal 2">
  <autoFilter ref="E5:E23" xr:uid="{1F3FBA8E-D583-4005-9F9C-A39198CE28EE}"/>
  <tableColumns count="1">
    <tableColumn id="1" xr3:uid="{E9EFBDE1-042E-48E3-97F6-11834EBFDC52}" name="Tensión_Mental_o_Psicológica_4"/>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6193E9-39F3-46AA-8225-594F89D4F19C}" name="Motivación_Inadecuada_5" displayName="Motivación_Inadecuada_5" ref="F5:F23" totalsRowShown="0" headerRowDxfId="10">
  <autoFilter ref="F5:F23" xr:uid="{1A951227-7B2E-4A1B-AF89-1D4ED46889D2}"/>
  <tableColumns count="1">
    <tableColumn id="1" xr3:uid="{12403A60-CE82-44C7-9B06-81F498EA6DF8}" name="Motivación_Inadecuada_5"/>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1D9B7B6-1E5A-4FAC-8A87-B3096DFC5735}" name="Abuso_o_Mal_Uso_6" displayName="Abuso_o_Mal_Uso_6" ref="G5:G23" totalsRowShown="0" headerRowDxfId="9">
  <autoFilter ref="G5:G23" xr:uid="{01A1ED0E-63B9-4B54-88A0-22FFA356D0B5}"/>
  <tableColumns count="1">
    <tableColumn id="1" xr3:uid="{FA500531-4001-4F79-9777-2161897807C5}" name="Abuso_o_Mal_Uso_6"/>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5D3A210-D4F6-4CB4-BB0B-AC764375E98C}" name="Liderazgo_y_o_Supervisión_Inadecuada_7" displayName="Liderazgo_y_o_Supervisión_Inadecuada_7" ref="B5:B25" totalsRowShown="0" headerRowDxfId="8">
  <autoFilter ref="B5:B25" xr:uid="{7C33FC59-4A08-44E0-8772-FCCCC8857CDB}"/>
  <tableColumns count="1">
    <tableColumn id="1" xr3:uid="{1347155B-7A15-4EFE-8F4A-61456465CF7F}" name="Liderazgo_y_o_Supervisión_Inadecuada_7"/>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8027586-EF60-4EF8-9252-F2C192A647B4}" name="Ingeniería_Gestión_de_Proyectos_Inadecuada_8" displayName="Ingeniería_Gestión_de_Proyectos_Inadecuada_8" ref="C5:C26" totalsRowShown="0" headerRowDxfId="7">
  <autoFilter ref="C5:C26" xr:uid="{6714A020-8743-468B-B9DA-43F433E44590}"/>
  <tableColumns count="1">
    <tableColumn id="1" xr3:uid="{8CEF9104-8843-44B0-9ACD-D3B012127E69}" name="Ingeniería_Gestión_de_Proyectos_Inadecuada_8"/>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15B761C-4762-457F-9610-DF9B23583B67}" name="Adquisiciones_Inadecuadas_9" displayName="Adquisiciones_Inadecuadas_9" ref="D5:D26" totalsRowShown="0" headerRowDxfId="6">
  <autoFilter ref="D5:D26" xr:uid="{D4C7E67B-5516-48F7-8AD7-B8B45FAD9037}"/>
  <tableColumns count="1">
    <tableColumn id="1" xr3:uid="{D8560D44-81BE-4865-B250-4DA04A5FCDEF}" name="Adquisiciones_Inadecuadas_9"/>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00DD7FB-D56D-4389-8D88-679039E84139}" name="Mantenimiento_Inadecuado_10" displayName="Mantenimiento_Inadecuado_10" ref="E5:E26" totalsRowShown="0" headerRowDxfId="5">
  <autoFilter ref="E5:E26" xr:uid="{70950EA9-C894-447B-BF7E-4A1238482BFB}"/>
  <tableColumns count="1">
    <tableColumn id="1" xr3:uid="{E5ACD248-AE9C-4D9D-A587-9A9D596342E9}" name="Mantenimiento_Inadecuado_10"/>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674B2F0C-CE33-4245-86DF-AB52F50B3BBF}" name="Herramientas_y_Equipos_Inadecuadas_11" displayName="Herramientas_y_Equipos_Inadecuadas_11" ref="F5:F26" totalsRowShown="0" headerRowDxfId="4">
  <autoFilter ref="F5:F26" xr:uid="{DACCF517-59E2-4477-9501-24D9A6A6A31D}"/>
  <tableColumns count="1">
    <tableColumn id="1" xr3:uid="{B0EFB81A-A874-4581-AB5B-81138FB6E121}" name="Herramientas_y_Equipos_Inadecuadas_11"/>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FF59555-2A30-4BD0-938A-48A477E20BC2}" name="Estándares_de_Trabajo_Inadecuados_12" displayName="Estándares_de_Trabajo_Inadecuados_12" ref="G5:G26" totalsRowShown="0" headerRowDxfId="3">
  <autoFilter ref="G5:G26" xr:uid="{0A328935-8547-4D04-AE96-712A5BCDFDE7}"/>
  <tableColumns count="1">
    <tableColumn id="1" xr3:uid="{4A25D09F-E55E-484B-AD4A-C1F368BF7A0E}" name="Estándares_de_Trabajo_Inadecuados_12"/>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E5FBA70-D7B8-4169-B279-848A7B225703}" name="Uso_y_Desgaste_Excesivo_13" displayName="Uso_y_Desgaste_Excesivo_13" ref="H5:H26" totalsRowShown="0" headerRowDxfId="2">
  <autoFilter ref="H5:H26" xr:uid="{BA9E8869-B711-4257-AB88-2C099C74D2B6}"/>
  <tableColumns count="1">
    <tableColumn id="1" xr3:uid="{84204733-79CC-45B7-9A53-32C755F03328}" name="Uso_y_Desgaste_Excesivo_13"/>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5B027B-9EDA-4BF5-B1E6-C095AD2AC099}" name="Comunicación_Inadecuada_14" displayName="Comunicación_Inadecuada_14" ref="I5:I26" totalsRowShown="0" headerRowDxfId="1">
  <autoFilter ref="I5:I26" xr:uid="{A73F3DB3-E202-4AA9-9310-0043F4A65483}"/>
  <tableColumns count="1">
    <tableColumn id="1" xr3:uid="{169BA927-4E4E-40D4-B1BD-5CB0A9881D09}" name="Comunicación_Inadecuada_14"/>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7DCEE63-34CE-4F6F-91C5-DD83F6E0CD1A}" name="Competencia_Inadecuada" displayName="Competencia_Inadecuada" ref="J5:J26" totalsRowShown="0" headerRowDxfId="0">
  <autoFilter ref="J5:J26" xr:uid="{893149E6-2723-4450-90CB-40AD9F35C620}"/>
  <tableColumns count="1">
    <tableColumn id="1" xr3:uid="{2FCAC0E4-7AF8-4051-959E-637288BAADD5}" name="Competencia_Inadecuada"/>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E9DDB79-BB58-4C31-89D4-44C7D2F12433}">
  <we:reference id="WA200009404" version="1.0.0.8" store="Omex" storeType="OMEX"/>
  <we:alternateReferences>
    <we:reference id="WA200009404" version="1.0.0.8" store="WA200009404" storeType="OMEX"/>
  </we:alternateReferences>
  <we:properties>
    <we:property name="claude.fileId" value="&quot;56f0fad9-a413-4aaa-b319-7201a43e717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customProperty" Target="../customProperty4.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customProperty" Target="../customProperty5.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5.xml"/><Relationship Id="rId5" Type="http://schemas.openxmlformats.org/officeDocument/2006/relationships/customProperty" Target="../customProperty6.bin"/><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customProperty" Target="../customProperty8.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customProperty" Target="../customProperty9.bin"/><Relationship Id="rId1" Type="http://schemas.openxmlformats.org/officeDocument/2006/relationships/printerSettings" Target="../printerSettings/printerSettings2.bin"/><Relationship Id="rId5" Type="http://schemas.openxmlformats.org/officeDocument/2006/relationships/table" Target="../tables/table10.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customProperty" Target="../customProperty10.bin"/><Relationship Id="rId1" Type="http://schemas.openxmlformats.org/officeDocument/2006/relationships/printerSettings" Target="../printerSettings/printerSettings3.bin"/><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customProperty" Target="../customProperty11.bin"/><Relationship Id="rId1" Type="http://schemas.openxmlformats.org/officeDocument/2006/relationships/printerSettings" Target="../printerSettings/printerSettings4.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974"/>
  <sheetViews>
    <sheetView zoomScale="70" zoomScaleNormal="70" workbookViewId="0">
      <pane ySplit="1" topLeftCell="A8" activePane="bottomLeft" state="frozen"/>
      <selection pane="bottomLeft" activeCell="D61" sqref="D61"/>
    </sheetView>
  </sheetViews>
  <sheetFormatPr baseColWidth="10" defaultColWidth="14.44140625" defaultRowHeight="15" customHeight="1" x14ac:dyDescent="0.3"/>
  <cols>
    <col min="1" max="1" width="5.44140625" customWidth="1"/>
    <col min="2" max="2" width="8.5546875" style="22" customWidth="1"/>
    <col min="3" max="3" width="13.44140625" style="22" customWidth="1"/>
    <col min="4" max="4" width="17.5546875" style="22" customWidth="1"/>
    <col min="5" max="5" width="14.5546875" customWidth="1"/>
    <col min="6" max="6" width="21.44140625" customWidth="1"/>
    <col min="7" max="7" width="19.44140625" customWidth="1"/>
    <col min="8" max="8" width="25" customWidth="1"/>
    <col min="9" max="9" width="16.44140625" customWidth="1"/>
    <col min="10" max="10" width="9" hidden="1" customWidth="1"/>
    <col min="11" max="12" width="7.21875" hidden="1" customWidth="1"/>
    <col min="13" max="13" width="9.5546875" hidden="1" customWidth="1"/>
    <col min="14" max="14" width="9" hidden="1" customWidth="1"/>
    <col min="15" max="15" width="9.5546875" hidden="1" customWidth="1"/>
    <col min="16" max="16" width="15.5546875" hidden="1" customWidth="1"/>
    <col min="17" max="17" width="17" hidden="1" customWidth="1"/>
    <col min="18" max="18" width="9.44140625" hidden="1" customWidth="1"/>
    <col min="19" max="19" width="8.5546875" hidden="1" customWidth="1"/>
    <col min="20" max="20" width="16.5546875" style="22" hidden="1" customWidth="1"/>
    <col min="21" max="22" width="6.44140625" hidden="1" customWidth="1"/>
    <col min="23" max="23" width="13.44140625" hidden="1" customWidth="1"/>
    <col min="24" max="24" width="12.44140625" hidden="1" customWidth="1"/>
    <col min="25" max="25" width="92.5546875" customWidth="1"/>
    <col min="26" max="26" width="27.44140625" customWidth="1"/>
    <col min="27" max="27" width="16.5546875" customWidth="1"/>
    <col min="28" max="28" width="15.5546875" customWidth="1"/>
    <col min="29" max="29" width="17.5546875" customWidth="1"/>
    <col min="30" max="30" width="14.5546875" customWidth="1"/>
    <col min="31" max="31" width="18.44140625" customWidth="1"/>
    <col min="32" max="32" width="22.44140625" customWidth="1"/>
    <col min="33" max="34" width="10.5546875" customWidth="1"/>
    <col min="35" max="35" width="11.44140625" customWidth="1"/>
    <col min="36" max="36" width="11.5546875" customWidth="1"/>
    <col min="37" max="38" width="11.44140625" customWidth="1"/>
    <col min="39" max="39" width="11.44140625" style="22" customWidth="1"/>
    <col min="40" max="41" width="14.44140625" style="9"/>
    <col min="16362" max="16384" width="9.44140625" customWidth="1"/>
  </cols>
  <sheetData>
    <row r="1" spans="1:41" s="90" customFormat="1" ht="39.6" x14ac:dyDescent="0.3">
      <c r="A1" s="82" t="s">
        <v>0</v>
      </c>
      <c r="B1" s="82" t="s">
        <v>1</v>
      </c>
      <c r="C1" s="83" t="s">
        <v>2</v>
      </c>
      <c r="D1" s="83" t="s">
        <v>3</v>
      </c>
      <c r="E1" s="82" t="s">
        <v>4</v>
      </c>
      <c r="F1" s="83" t="s">
        <v>5</v>
      </c>
      <c r="G1" s="83" t="s">
        <v>6</v>
      </c>
      <c r="H1" s="83" t="s">
        <v>7</v>
      </c>
      <c r="I1" s="83" t="s">
        <v>8</v>
      </c>
      <c r="J1" s="83" t="s">
        <v>9</v>
      </c>
      <c r="K1" s="84" t="s">
        <v>10</v>
      </c>
      <c r="L1" s="84" t="s">
        <v>11</v>
      </c>
      <c r="M1" s="84" t="s">
        <v>12</v>
      </c>
      <c r="N1" s="82" t="s">
        <v>13</v>
      </c>
      <c r="O1" s="83" t="s">
        <v>14</v>
      </c>
      <c r="P1" s="82" t="s">
        <v>15</v>
      </c>
      <c r="Q1" s="83" t="s">
        <v>16</v>
      </c>
      <c r="R1" s="82" t="s">
        <v>17</v>
      </c>
      <c r="S1" s="82" t="s">
        <v>18</v>
      </c>
      <c r="T1" s="82" t="s">
        <v>19</v>
      </c>
      <c r="U1" s="83" t="s">
        <v>20</v>
      </c>
      <c r="V1" s="83" t="s">
        <v>21</v>
      </c>
      <c r="W1" s="82" t="s">
        <v>22</v>
      </c>
      <c r="X1" s="82" t="s">
        <v>23</v>
      </c>
      <c r="Y1" s="10" t="s">
        <v>24</v>
      </c>
      <c r="Z1" s="85" t="s">
        <v>25</v>
      </c>
      <c r="AA1" s="10" t="s">
        <v>26</v>
      </c>
      <c r="AB1" s="85" t="s">
        <v>27</v>
      </c>
      <c r="AC1" s="10" t="s">
        <v>28</v>
      </c>
      <c r="AD1" s="10" t="s">
        <v>29</v>
      </c>
      <c r="AE1" s="10" t="s">
        <v>30</v>
      </c>
      <c r="AF1" s="85" t="s">
        <v>31</v>
      </c>
      <c r="AG1" s="10" t="s">
        <v>32</v>
      </c>
      <c r="AH1" s="2" t="s">
        <v>33</v>
      </c>
      <c r="AI1" s="2" t="s">
        <v>34</v>
      </c>
      <c r="AJ1" s="10" t="s">
        <v>35</v>
      </c>
      <c r="AK1" s="86" t="s">
        <v>36</v>
      </c>
      <c r="AL1" s="87" t="s">
        <v>37</v>
      </c>
      <c r="AM1" s="88" t="s">
        <v>38</v>
      </c>
      <c r="AN1" s="89" t="s">
        <v>39</v>
      </c>
      <c r="AO1" s="89" t="s">
        <v>40</v>
      </c>
    </row>
    <row r="2" spans="1:41" ht="76.349999999999994" customHeight="1" x14ac:dyDescent="0.3">
      <c r="A2" s="12"/>
      <c r="B2" s="12"/>
      <c r="C2" s="12" t="s">
        <v>41</v>
      </c>
      <c r="D2" s="12" t="s">
        <v>42</v>
      </c>
      <c r="E2" s="74" t="s">
        <v>43</v>
      </c>
      <c r="F2" s="74" t="s">
        <v>44</v>
      </c>
      <c r="G2" s="74" t="s">
        <v>45</v>
      </c>
      <c r="H2" s="74" t="s">
        <v>46</v>
      </c>
      <c r="I2" s="75">
        <v>45282</v>
      </c>
      <c r="J2" s="14">
        <f>_xlfn.ISOWEEKNUM(Base_Accidentes_2023[[#This Row],[Fecha]])</f>
        <v>51</v>
      </c>
      <c r="K2" s="74">
        <v>22</v>
      </c>
      <c r="L2" s="74">
        <v>12</v>
      </c>
      <c r="M2" s="74">
        <v>2023</v>
      </c>
      <c r="N2" s="76">
        <v>1.3888888888888888E-2</v>
      </c>
      <c r="O2" s="74" t="s">
        <v>47</v>
      </c>
      <c r="P2" s="74" t="s">
        <v>48</v>
      </c>
      <c r="Q2" s="74" t="s">
        <v>49</v>
      </c>
      <c r="R2" s="74" t="s">
        <v>50</v>
      </c>
      <c r="S2" s="74" t="s">
        <v>51</v>
      </c>
      <c r="T2" s="74" t="s">
        <v>52</v>
      </c>
      <c r="U2" s="74" t="s">
        <v>53</v>
      </c>
      <c r="V2" s="74">
        <v>36</v>
      </c>
      <c r="W2" s="74" t="s">
        <v>54</v>
      </c>
      <c r="X2" s="75">
        <v>44572</v>
      </c>
      <c r="Y2" s="77" t="s">
        <v>55</v>
      </c>
      <c r="Z2" s="74" t="s">
        <v>56</v>
      </c>
      <c r="AA2" s="74" t="s">
        <v>57</v>
      </c>
      <c r="AB2" s="74" t="s">
        <v>58</v>
      </c>
      <c r="AC2" s="74" t="s">
        <v>59</v>
      </c>
      <c r="AD2" s="74" t="s">
        <v>60</v>
      </c>
      <c r="AE2" s="74" t="s">
        <v>61</v>
      </c>
      <c r="AF2" s="74" t="s">
        <v>62</v>
      </c>
      <c r="AG2" s="74">
        <v>12</v>
      </c>
      <c r="AH2" s="74">
        <v>0</v>
      </c>
      <c r="AI2" s="74">
        <v>12</v>
      </c>
      <c r="AJ2" s="74" t="s">
        <v>63</v>
      </c>
      <c r="AK2" s="74">
        <v>23</v>
      </c>
      <c r="AL2" s="77" t="s">
        <v>64</v>
      </c>
      <c r="AM2" s="23" t="s">
        <v>65</v>
      </c>
      <c r="AN2" s="64"/>
      <c r="AO2" s="64"/>
    </row>
    <row r="3" spans="1:41" ht="82.35" customHeight="1" x14ac:dyDescent="0.3">
      <c r="A3" s="65"/>
      <c r="B3" s="12"/>
      <c r="C3" s="12" t="s">
        <v>66</v>
      </c>
      <c r="D3" s="12" t="s">
        <v>67</v>
      </c>
      <c r="E3" s="12"/>
      <c r="F3" s="12" t="s">
        <v>68</v>
      </c>
      <c r="G3" s="12"/>
      <c r="H3" s="105" t="s">
        <v>69</v>
      </c>
      <c r="I3" s="61">
        <v>45277</v>
      </c>
      <c r="J3" s="14">
        <f>_xlfn.ISOWEEKNUM(Base_Accidentes_2023[[#This Row],[Fecha]])</f>
        <v>50</v>
      </c>
      <c r="K3" s="12"/>
      <c r="L3" s="12"/>
      <c r="M3" s="12"/>
      <c r="N3" s="56"/>
      <c r="O3" s="12" t="s">
        <v>70</v>
      </c>
      <c r="P3" s="12" t="s">
        <v>71</v>
      </c>
      <c r="Q3" s="12" t="s">
        <v>72</v>
      </c>
      <c r="R3" s="12" t="s">
        <v>73</v>
      </c>
      <c r="S3" s="12"/>
      <c r="T3" s="12" t="s">
        <v>74</v>
      </c>
      <c r="U3" s="12" t="s">
        <v>53</v>
      </c>
      <c r="V3" s="12">
        <v>34</v>
      </c>
      <c r="W3" s="43" t="s">
        <v>75</v>
      </c>
      <c r="X3" s="61"/>
      <c r="Y3" s="13" t="s">
        <v>76</v>
      </c>
      <c r="Z3" s="12" t="s">
        <v>77</v>
      </c>
      <c r="AA3" s="12"/>
      <c r="AB3" s="12" t="s">
        <v>78</v>
      </c>
      <c r="AC3" s="12"/>
      <c r="AD3" s="12" t="s">
        <v>79</v>
      </c>
      <c r="AE3" s="12" t="s">
        <v>77</v>
      </c>
      <c r="AF3" s="12" t="s">
        <v>80</v>
      </c>
      <c r="AG3" s="12">
        <v>90</v>
      </c>
      <c r="AH3" s="12"/>
      <c r="AI3" s="12">
        <v>90</v>
      </c>
      <c r="AJ3" s="12"/>
      <c r="AK3" s="12"/>
      <c r="AL3" s="13"/>
      <c r="AM3" s="23" t="s">
        <v>81</v>
      </c>
      <c r="AN3" s="64" t="s">
        <v>82</v>
      </c>
      <c r="AO3" s="64" t="s">
        <v>83</v>
      </c>
    </row>
    <row r="4" spans="1:41" ht="115.35" customHeight="1" x14ac:dyDescent="0.3">
      <c r="A4" s="12"/>
      <c r="B4" s="12"/>
      <c r="C4" s="12" t="s">
        <v>41</v>
      </c>
      <c r="D4" s="12" t="s">
        <v>42</v>
      </c>
      <c r="E4" s="69" t="s">
        <v>84</v>
      </c>
      <c r="F4" s="69" t="s">
        <v>85</v>
      </c>
      <c r="G4" s="69" t="s">
        <v>45</v>
      </c>
      <c r="H4" s="69" t="s">
        <v>86</v>
      </c>
      <c r="I4" s="70">
        <v>45259</v>
      </c>
      <c r="J4" s="14">
        <f>_xlfn.ISOWEEKNUM(Base_Accidentes_2023[[#This Row],[Fecha]])</f>
        <v>48</v>
      </c>
      <c r="K4" s="69">
        <v>29</v>
      </c>
      <c r="L4" s="69">
        <v>11</v>
      </c>
      <c r="M4" s="69">
        <v>2023</v>
      </c>
      <c r="N4" s="71">
        <v>0.55208333333333337</v>
      </c>
      <c r="O4" s="69" t="s">
        <v>87</v>
      </c>
      <c r="P4" s="69" t="s">
        <v>88</v>
      </c>
      <c r="Q4" s="69" t="s">
        <v>89</v>
      </c>
      <c r="R4" s="69" t="s">
        <v>90</v>
      </c>
      <c r="S4" s="69" t="s">
        <v>91</v>
      </c>
      <c r="T4" s="69" t="s">
        <v>92</v>
      </c>
      <c r="U4" s="69" t="s">
        <v>53</v>
      </c>
      <c r="V4" s="69">
        <v>20</v>
      </c>
      <c r="W4" s="69" t="s">
        <v>54</v>
      </c>
      <c r="X4" s="70">
        <v>44949</v>
      </c>
      <c r="Y4" s="72" t="s">
        <v>93</v>
      </c>
      <c r="Z4" s="69" t="s">
        <v>94</v>
      </c>
      <c r="AA4" s="69" t="s">
        <v>95</v>
      </c>
      <c r="AB4" s="69" t="s">
        <v>96</v>
      </c>
      <c r="AC4" s="69" t="s">
        <v>97</v>
      </c>
      <c r="AD4" s="69" t="s">
        <v>98</v>
      </c>
      <c r="AE4" s="69" t="s">
        <v>99</v>
      </c>
      <c r="AF4" s="12" t="s">
        <v>100</v>
      </c>
      <c r="AG4" s="69">
        <v>2</v>
      </c>
      <c r="AH4" s="69">
        <v>0</v>
      </c>
      <c r="AI4" s="69">
        <v>2</v>
      </c>
      <c r="AJ4" s="69" t="s">
        <v>63</v>
      </c>
      <c r="AK4" s="69">
        <v>135</v>
      </c>
      <c r="AL4" s="72" t="s">
        <v>64</v>
      </c>
      <c r="AM4" s="73" t="s">
        <v>65</v>
      </c>
      <c r="AN4" s="64"/>
      <c r="AO4" s="64"/>
    </row>
    <row r="5" spans="1:41" ht="79.2" x14ac:dyDescent="0.3">
      <c r="A5" s="12"/>
      <c r="B5" s="12"/>
      <c r="C5" s="12" t="s">
        <v>41</v>
      </c>
      <c r="D5" s="12" t="s">
        <v>42</v>
      </c>
      <c r="E5" s="74" t="s">
        <v>43</v>
      </c>
      <c r="F5" s="74" t="s">
        <v>101</v>
      </c>
      <c r="G5" s="74" t="s">
        <v>102</v>
      </c>
      <c r="H5" s="74" t="s">
        <v>103</v>
      </c>
      <c r="I5" s="75">
        <v>45253</v>
      </c>
      <c r="J5" s="14">
        <f>_xlfn.ISOWEEKNUM(Base_Accidentes_2023[[#This Row],[Fecha]])</f>
        <v>47</v>
      </c>
      <c r="K5" s="69">
        <v>23</v>
      </c>
      <c r="L5" s="69">
        <v>11</v>
      </c>
      <c r="M5" s="69">
        <v>2023</v>
      </c>
      <c r="N5" s="71">
        <v>0.70138888888888884</v>
      </c>
      <c r="O5" s="69" t="s">
        <v>87</v>
      </c>
      <c r="P5" s="69" t="s">
        <v>104</v>
      </c>
      <c r="Q5" s="69" t="s">
        <v>105</v>
      </c>
      <c r="R5" s="69" t="s">
        <v>106</v>
      </c>
      <c r="S5" s="69" t="s">
        <v>107</v>
      </c>
      <c r="T5" s="69" t="s">
        <v>108</v>
      </c>
      <c r="U5" s="69" t="s">
        <v>109</v>
      </c>
      <c r="V5" s="69">
        <v>40</v>
      </c>
      <c r="W5" s="69" t="s">
        <v>110</v>
      </c>
      <c r="X5" s="69"/>
      <c r="Y5" s="72" t="s">
        <v>111</v>
      </c>
      <c r="Z5" s="69" t="s">
        <v>112</v>
      </c>
      <c r="AA5" s="69" t="s">
        <v>113</v>
      </c>
      <c r="AB5" s="69" t="s">
        <v>78</v>
      </c>
      <c r="AC5" s="69" t="s">
        <v>114</v>
      </c>
      <c r="AD5" s="69" t="s">
        <v>60</v>
      </c>
      <c r="AE5" s="69" t="s">
        <v>115</v>
      </c>
      <c r="AF5" s="69" t="s">
        <v>116</v>
      </c>
      <c r="AG5" s="69">
        <v>5</v>
      </c>
      <c r="AH5" s="69">
        <v>0</v>
      </c>
      <c r="AI5" s="69">
        <v>5</v>
      </c>
      <c r="AJ5" s="69" t="s">
        <v>117</v>
      </c>
      <c r="AK5" s="69">
        <v>46</v>
      </c>
      <c r="AL5" s="72" t="s">
        <v>64</v>
      </c>
      <c r="AM5" s="73" t="s">
        <v>65</v>
      </c>
      <c r="AN5" s="64"/>
      <c r="AO5" s="64"/>
    </row>
    <row r="6" spans="1:41" ht="79.2" x14ac:dyDescent="0.3">
      <c r="A6" s="12"/>
      <c r="B6" s="12"/>
      <c r="C6" s="12" t="s">
        <v>41</v>
      </c>
      <c r="D6" s="12" t="s">
        <v>42</v>
      </c>
      <c r="E6" s="69" t="s">
        <v>84</v>
      </c>
      <c r="F6" s="69" t="s">
        <v>85</v>
      </c>
      <c r="G6" s="69" t="s">
        <v>45</v>
      </c>
      <c r="H6" s="69" t="s">
        <v>118</v>
      </c>
      <c r="I6" s="70">
        <v>45251</v>
      </c>
      <c r="J6" s="14">
        <f>_xlfn.ISOWEEKNUM(Base_Accidentes_2023[[#This Row],[Fecha]])</f>
        <v>47</v>
      </c>
      <c r="K6" s="69">
        <v>21</v>
      </c>
      <c r="L6" s="69">
        <v>11</v>
      </c>
      <c r="M6" s="69">
        <v>2023</v>
      </c>
      <c r="N6" s="71">
        <v>0.63750000000000007</v>
      </c>
      <c r="O6" s="69" t="s">
        <v>87</v>
      </c>
      <c r="P6" s="69" t="s">
        <v>48</v>
      </c>
      <c r="Q6" s="69" t="s">
        <v>49</v>
      </c>
      <c r="R6" s="69" t="s">
        <v>119</v>
      </c>
      <c r="S6" s="69" t="s">
        <v>120</v>
      </c>
      <c r="T6" s="69" t="s">
        <v>121</v>
      </c>
      <c r="U6" s="69" t="s">
        <v>53</v>
      </c>
      <c r="V6" s="69">
        <v>42</v>
      </c>
      <c r="W6" s="69" t="s">
        <v>54</v>
      </c>
      <c r="X6" s="69"/>
      <c r="Y6" s="72" t="s">
        <v>122</v>
      </c>
      <c r="Z6" s="69" t="s">
        <v>123</v>
      </c>
      <c r="AA6" s="69" t="s">
        <v>113</v>
      </c>
      <c r="AB6" s="69" t="s">
        <v>78</v>
      </c>
      <c r="AC6" s="69" t="s">
        <v>124</v>
      </c>
      <c r="AD6" s="69" t="s">
        <v>60</v>
      </c>
      <c r="AE6" s="69" t="s">
        <v>115</v>
      </c>
      <c r="AF6" s="69" t="s">
        <v>116</v>
      </c>
      <c r="AG6" s="69">
        <v>48</v>
      </c>
      <c r="AH6" s="69">
        <v>0</v>
      </c>
      <c r="AI6" s="69">
        <v>48</v>
      </c>
      <c r="AJ6" s="69" t="s">
        <v>125</v>
      </c>
      <c r="AK6" s="69">
        <v>8</v>
      </c>
      <c r="AL6" s="72" t="s">
        <v>64</v>
      </c>
      <c r="AM6" s="73" t="s">
        <v>126</v>
      </c>
      <c r="AN6" s="64"/>
      <c r="AO6" s="64"/>
    </row>
    <row r="7" spans="1:41" ht="115.35" customHeight="1" x14ac:dyDescent="0.3">
      <c r="A7" s="12"/>
      <c r="B7" s="12"/>
      <c r="C7" s="12" t="s">
        <v>41</v>
      </c>
      <c r="D7" s="12" t="s">
        <v>42</v>
      </c>
      <c r="E7" s="69" t="s">
        <v>84</v>
      </c>
      <c r="F7" s="69" t="s">
        <v>85</v>
      </c>
      <c r="G7" s="69" t="s">
        <v>127</v>
      </c>
      <c r="H7" s="69" t="s">
        <v>128</v>
      </c>
      <c r="I7" s="70">
        <v>45219</v>
      </c>
      <c r="J7" s="14">
        <f>_xlfn.ISOWEEKNUM(Base_Accidentes_2023[[#This Row],[Fecha]])</f>
        <v>42</v>
      </c>
      <c r="K7" s="69">
        <v>20</v>
      </c>
      <c r="L7" s="69">
        <v>10</v>
      </c>
      <c r="M7" s="69">
        <v>2023</v>
      </c>
      <c r="N7" s="71">
        <v>0.41666666666666669</v>
      </c>
      <c r="O7" s="69" t="s">
        <v>87</v>
      </c>
      <c r="P7" s="69" t="s">
        <v>129</v>
      </c>
      <c r="Q7" s="69" t="s">
        <v>130</v>
      </c>
      <c r="R7" s="69" t="s">
        <v>131</v>
      </c>
      <c r="S7" s="69" t="s">
        <v>132</v>
      </c>
      <c r="T7" s="69" t="s">
        <v>133</v>
      </c>
      <c r="U7" s="69" t="s">
        <v>109</v>
      </c>
      <c r="V7" s="69">
        <v>34</v>
      </c>
      <c r="W7" s="69" t="s">
        <v>134</v>
      </c>
      <c r="X7" s="69"/>
      <c r="Y7" s="72" t="s">
        <v>135</v>
      </c>
      <c r="Z7" s="69" t="s">
        <v>136</v>
      </c>
      <c r="AA7" s="69" t="s">
        <v>137</v>
      </c>
      <c r="AB7" s="69" t="s">
        <v>138</v>
      </c>
      <c r="AC7" s="69" t="s">
        <v>139</v>
      </c>
      <c r="AD7" s="69" t="s">
        <v>60</v>
      </c>
      <c r="AE7" s="69" t="s">
        <v>140</v>
      </c>
      <c r="AF7" s="69" t="s">
        <v>141</v>
      </c>
      <c r="AG7" s="69">
        <v>10</v>
      </c>
      <c r="AH7" s="69">
        <v>0</v>
      </c>
      <c r="AI7" s="69">
        <v>10</v>
      </c>
      <c r="AJ7" s="69" t="s">
        <v>63</v>
      </c>
      <c r="AK7" s="69"/>
      <c r="AL7" s="72" t="s">
        <v>64</v>
      </c>
      <c r="AM7" s="73" t="s">
        <v>142</v>
      </c>
      <c r="AN7" s="64"/>
      <c r="AO7" s="64"/>
    </row>
    <row r="8" spans="1:41" ht="102" customHeight="1" x14ac:dyDescent="0.3">
      <c r="A8" s="65"/>
      <c r="B8" s="12"/>
      <c r="C8" s="12" t="s">
        <v>41</v>
      </c>
      <c r="D8" s="12" t="s">
        <v>143</v>
      </c>
      <c r="E8" s="12" t="s">
        <v>144</v>
      </c>
      <c r="F8" s="12" t="s">
        <v>145</v>
      </c>
      <c r="G8" s="12" t="s">
        <v>146</v>
      </c>
      <c r="H8" s="12" t="s">
        <v>147</v>
      </c>
      <c r="I8" s="61">
        <v>44930</v>
      </c>
      <c r="J8" s="14">
        <f>_xlfn.ISOWEEKNUM(Base_Accidentes_2023[[#This Row],[Fecha]])</f>
        <v>1</v>
      </c>
      <c r="K8" s="12"/>
      <c r="L8" s="12"/>
      <c r="M8" s="12"/>
      <c r="N8" s="56"/>
      <c r="O8" s="12" t="s">
        <v>148</v>
      </c>
      <c r="P8" s="12" t="s">
        <v>88</v>
      </c>
      <c r="Q8" s="12" t="s">
        <v>149</v>
      </c>
      <c r="R8" s="12" t="s">
        <v>150</v>
      </c>
      <c r="S8" s="12" t="s">
        <v>151</v>
      </c>
      <c r="T8" s="12" t="s">
        <v>152</v>
      </c>
      <c r="U8" s="12" t="s">
        <v>53</v>
      </c>
      <c r="V8" s="12">
        <v>24</v>
      </c>
      <c r="W8" s="97" t="s">
        <v>153</v>
      </c>
      <c r="X8" s="61"/>
      <c r="Y8" s="13" t="s">
        <v>154</v>
      </c>
      <c r="Z8" s="12" t="s">
        <v>155</v>
      </c>
      <c r="AA8" s="12"/>
      <c r="AB8" s="12" t="s">
        <v>78</v>
      </c>
      <c r="AC8" s="12"/>
      <c r="AD8" s="12" t="s">
        <v>79</v>
      </c>
      <c r="AE8" s="12" t="s">
        <v>156</v>
      </c>
      <c r="AF8" s="12" t="s">
        <v>116</v>
      </c>
      <c r="AG8" s="12">
        <v>23</v>
      </c>
      <c r="AH8" s="12"/>
      <c r="AI8" s="12"/>
      <c r="AJ8" s="12"/>
      <c r="AK8" s="12"/>
      <c r="AL8" s="13"/>
      <c r="AM8" s="23" t="s">
        <v>157</v>
      </c>
      <c r="AN8" s="64" t="s">
        <v>158</v>
      </c>
      <c r="AO8" s="64" t="s">
        <v>159</v>
      </c>
    </row>
    <row r="9" spans="1:41" ht="161.85" customHeight="1" x14ac:dyDescent="0.3">
      <c r="A9" s="65"/>
      <c r="B9" s="12"/>
      <c r="C9" s="12" t="s">
        <v>41</v>
      </c>
      <c r="D9" s="12" t="s">
        <v>42</v>
      </c>
      <c r="E9" s="12" t="s">
        <v>84</v>
      </c>
      <c r="F9" s="12" t="s">
        <v>84</v>
      </c>
      <c r="G9" s="12" t="s">
        <v>45</v>
      </c>
      <c r="H9" s="12" t="s">
        <v>118</v>
      </c>
      <c r="I9" s="61">
        <v>45195</v>
      </c>
      <c r="J9" s="14">
        <f>_xlfn.ISOWEEKNUM(Base_Accidentes_2023[[#This Row],[Fecha]])</f>
        <v>39</v>
      </c>
      <c r="K9" s="12">
        <v>26</v>
      </c>
      <c r="L9" s="12">
        <v>9</v>
      </c>
      <c r="M9" s="12">
        <v>2023</v>
      </c>
      <c r="N9" s="56">
        <v>0.20833333333333334</v>
      </c>
      <c r="O9" s="12" t="s">
        <v>47</v>
      </c>
      <c r="P9" s="12" t="s">
        <v>48</v>
      </c>
      <c r="Q9" s="12" t="s">
        <v>49</v>
      </c>
      <c r="R9" s="12" t="s">
        <v>160</v>
      </c>
      <c r="S9" s="12" t="s">
        <v>161</v>
      </c>
      <c r="T9" s="12" t="s">
        <v>162</v>
      </c>
      <c r="U9" s="12" t="s">
        <v>53</v>
      </c>
      <c r="V9" s="12">
        <v>20</v>
      </c>
      <c r="W9" s="12" t="s">
        <v>54</v>
      </c>
      <c r="X9" s="61">
        <v>44949</v>
      </c>
      <c r="Y9" s="13" t="s">
        <v>163</v>
      </c>
      <c r="Z9" s="12" t="s">
        <v>164</v>
      </c>
      <c r="AA9" s="12" t="s">
        <v>165</v>
      </c>
      <c r="AB9" s="12" t="s">
        <v>166</v>
      </c>
      <c r="AC9" s="12" t="s">
        <v>167</v>
      </c>
      <c r="AD9" s="12" t="s">
        <v>60</v>
      </c>
      <c r="AE9" s="12" t="s">
        <v>140</v>
      </c>
      <c r="AF9" s="12" t="s">
        <v>141</v>
      </c>
      <c r="AG9" s="12">
        <v>20</v>
      </c>
      <c r="AH9" s="12">
        <v>0</v>
      </c>
      <c r="AI9" s="12">
        <v>20</v>
      </c>
      <c r="AJ9" s="12" t="s">
        <v>168</v>
      </c>
      <c r="AK9" s="12">
        <v>8</v>
      </c>
      <c r="AL9" s="13" t="s">
        <v>169</v>
      </c>
      <c r="AM9" s="23" t="s">
        <v>142</v>
      </c>
      <c r="AN9" s="64"/>
      <c r="AO9" s="64"/>
    </row>
    <row r="10" spans="1:41" ht="26.4" x14ac:dyDescent="0.3">
      <c r="A10" s="65"/>
      <c r="B10" s="12"/>
      <c r="C10" s="12" t="s">
        <v>41</v>
      </c>
      <c r="D10" s="12" t="s">
        <v>143</v>
      </c>
      <c r="E10" s="12" t="s">
        <v>144</v>
      </c>
      <c r="F10" s="12" t="s">
        <v>145</v>
      </c>
      <c r="G10" s="12" t="s">
        <v>146</v>
      </c>
      <c r="H10" s="12" t="s">
        <v>170</v>
      </c>
      <c r="I10" s="61">
        <v>44932</v>
      </c>
      <c r="J10" s="14">
        <f>_xlfn.ISOWEEKNUM(Base_Accidentes_2023[[#This Row],[Fecha]])</f>
        <v>1</v>
      </c>
      <c r="K10" s="12"/>
      <c r="L10" s="12"/>
      <c r="M10" s="12"/>
      <c r="N10" s="56"/>
      <c r="O10" s="12" t="s">
        <v>70</v>
      </c>
      <c r="P10" s="12" t="s">
        <v>88</v>
      </c>
      <c r="Q10" s="12" t="s">
        <v>149</v>
      </c>
      <c r="R10" s="12" t="s">
        <v>171</v>
      </c>
      <c r="S10" s="12" t="s">
        <v>172</v>
      </c>
      <c r="T10" s="12" t="s">
        <v>173</v>
      </c>
      <c r="U10" s="12" t="s">
        <v>53</v>
      </c>
      <c r="V10" s="12">
        <v>29</v>
      </c>
      <c r="W10" s="98" t="s">
        <v>153</v>
      </c>
      <c r="X10" s="61"/>
      <c r="Y10" s="13" t="s">
        <v>174</v>
      </c>
      <c r="Z10" s="12" t="s">
        <v>155</v>
      </c>
      <c r="AA10" s="12"/>
      <c r="AB10" s="12" t="s">
        <v>138</v>
      </c>
      <c r="AC10" s="12"/>
      <c r="AD10" s="12" t="s">
        <v>175</v>
      </c>
      <c r="AE10" s="12" t="s">
        <v>176</v>
      </c>
      <c r="AF10" s="12" t="s">
        <v>100</v>
      </c>
      <c r="AG10" s="12">
        <v>1</v>
      </c>
      <c r="AH10" s="12"/>
      <c r="AI10" s="12"/>
      <c r="AJ10" s="12"/>
      <c r="AK10" s="12"/>
      <c r="AL10" s="13"/>
      <c r="AM10" s="23" t="s">
        <v>177</v>
      </c>
      <c r="AN10" s="64" t="s">
        <v>178</v>
      </c>
      <c r="AO10" s="64" t="s">
        <v>179</v>
      </c>
    </row>
    <row r="11" spans="1:41" ht="153" customHeight="1" x14ac:dyDescent="0.3">
      <c r="A11" s="65"/>
      <c r="B11" s="12"/>
      <c r="C11" s="12" t="s">
        <v>41</v>
      </c>
      <c r="D11" s="12" t="s">
        <v>143</v>
      </c>
      <c r="E11" s="12" t="s">
        <v>144</v>
      </c>
      <c r="F11" s="12" t="s">
        <v>180</v>
      </c>
      <c r="G11" s="12" t="s">
        <v>45</v>
      </c>
      <c r="H11" s="12" t="s">
        <v>181</v>
      </c>
      <c r="I11" s="61">
        <v>44932</v>
      </c>
      <c r="J11" s="14">
        <f>_xlfn.ISOWEEKNUM(Base_Accidentes_2023[[#This Row],[Fecha]])</f>
        <v>1</v>
      </c>
      <c r="K11" s="12"/>
      <c r="L11" s="12"/>
      <c r="M11" s="12"/>
      <c r="N11" s="56"/>
      <c r="O11" s="12" t="s">
        <v>70</v>
      </c>
      <c r="P11" s="12" t="s">
        <v>88</v>
      </c>
      <c r="Q11" s="12" t="s">
        <v>149</v>
      </c>
      <c r="R11" s="12" t="s">
        <v>182</v>
      </c>
      <c r="S11" s="12" t="s">
        <v>183</v>
      </c>
      <c r="T11" s="12" t="s">
        <v>184</v>
      </c>
      <c r="U11" s="12" t="s">
        <v>53</v>
      </c>
      <c r="V11" s="12">
        <v>41</v>
      </c>
      <c r="W11" s="97" t="s">
        <v>54</v>
      </c>
      <c r="X11" s="61"/>
      <c r="Y11" s="107" t="s">
        <v>185</v>
      </c>
      <c r="Z11" s="12" t="s">
        <v>186</v>
      </c>
      <c r="AA11" s="12"/>
      <c r="AB11" s="12" t="s">
        <v>187</v>
      </c>
      <c r="AC11" s="12"/>
      <c r="AD11" s="12" t="s">
        <v>79</v>
      </c>
      <c r="AE11" s="12" t="s">
        <v>176</v>
      </c>
      <c r="AF11" s="12" t="s">
        <v>100</v>
      </c>
      <c r="AG11" s="12">
        <v>2</v>
      </c>
      <c r="AH11" s="12"/>
      <c r="AI11" s="12"/>
      <c r="AJ11" s="12"/>
      <c r="AK11" s="12"/>
      <c r="AL11" s="13"/>
      <c r="AM11" s="23" t="s">
        <v>188</v>
      </c>
      <c r="AN11" s="64" t="s">
        <v>189</v>
      </c>
      <c r="AO11" s="64" t="s">
        <v>159</v>
      </c>
    </row>
    <row r="12" spans="1:41" ht="66" x14ac:dyDescent="0.3">
      <c r="A12" s="65"/>
      <c r="B12" s="12"/>
      <c r="C12" s="12" t="s">
        <v>41</v>
      </c>
      <c r="D12" s="12" t="s">
        <v>42</v>
      </c>
      <c r="E12" s="12" t="s">
        <v>84</v>
      </c>
      <c r="F12" s="12" t="s">
        <v>84</v>
      </c>
      <c r="G12" s="12" t="s">
        <v>45</v>
      </c>
      <c r="H12" s="12" t="s">
        <v>190</v>
      </c>
      <c r="I12" s="61">
        <v>45173</v>
      </c>
      <c r="J12" s="14">
        <f>_xlfn.ISOWEEKNUM(Base_Accidentes_2023[[#This Row],[Fecha]])</f>
        <v>36</v>
      </c>
      <c r="K12" s="12">
        <v>4</v>
      </c>
      <c r="L12" s="12">
        <v>9</v>
      </c>
      <c r="M12" s="12">
        <v>2023</v>
      </c>
      <c r="N12" s="56">
        <v>0.3125</v>
      </c>
      <c r="O12" s="12" t="s">
        <v>87</v>
      </c>
      <c r="P12" s="12" t="s">
        <v>88</v>
      </c>
      <c r="Q12" s="12" t="s">
        <v>89</v>
      </c>
      <c r="R12" s="12" t="s">
        <v>191</v>
      </c>
      <c r="S12" s="12" t="s">
        <v>192</v>
      </c>
      <c r="T12" s="12" t="s">
        <v>193</v>
      </c>
      <c r="U12" s="12" t="s">
        <v>53</v>
      </c>
      <c r="V12" s="12">
        <v>39</v>
      </c>
      <c r="W12" s="12" t="s">
        <v>194</v>
      </c>
      <c r="X12" s="61">
        <v>41043</v>
      </c>
      <c r="Y12" s="13" t="s">
        <v>195</v>
      </c>
      <c r="Z12" s="12" t="s">
        <v>196</v>
      </c>
      <c r="AA12" s="12" t="s">
        <v>197</v>
      </c>
      <c r="AB12" s="12" t="s">
        <v>198</v>
      </c>
      <c r="AC12" s="12" t="s">
        <v>199</v>
      </c>
      <c r="AD12" s="12" t="s">
        <v>200</v>
      </c>
      <c r="AE12" s="12" t="s">
        <v>201</v>
      </c>
      <c r="AF12" s="12" t="s">
        <v>116</v>
      </c>
      <c r="AG12" s="12">
        <v>51</v>
      </c>
      <c r="AH12" s="12">
        <v>0</v>
      </c>
      <c r="AI12" s="12">
        <v>51</v>
      </c>
      <c r="AJ12" s="12" t="s">
        <v>168</v>
      </c>
      <c r="AK12" s="12">
        <v>135</v>
      </c>
      <c r="AL12" s="13" t="s">
        <v>64</v>
      </c>
      <c r="AM12" s="23" t="s">
        <v>65</v>
      </c>
      <c r="AN12" s="64"/>
      <c r="AO12" s="64"/>
    </row>
    <row r="13" spans="1:41" ht="39.6" x14ac:dyDescent="0.3">
      <c r="A13" s="65"/>
      <c r="B13" s="12"/>
      <c r="C13" s="12" t="s">
        <v>41</v>
      </c>
      <c r="D13" s="12" t="s">
        <v>143</v>
      </c>
      <c r="E13" s="12" t="s">
        <v>144</v>
      </c>
      <c r="F13" s="12" t="s">
        <v>180</v>
      </c>
      <c r="G13" s="12" t="s">
        <v>45</v>
      </c>
      <c r="H13" s="12" t="s">
        <v>202</v>
      </c>
      <c r="I13" s="61">
        <v>44939</v>
      </c>
      <c r="J13" s="14">
        <f>_xlfn.ISOWEEKNUM(Base_Accidentes_2023[[#This Row],[Fecha]])</f>
        <v>2</v>
      </c>
      <c r="K13" s="12"/>
      <c r="L13" s="12"/>
      <c r="M13" s="12"/>
      <c r="N13" s="56"/>
      <c r="O13" s="12" t="s">
        <v>70</v>
      </c>
      <c r="P13" s="12" t="s">
        <v>88</v>
      </c>
      <c r="Q13" s="12" t="s">
        <v>149</v>
      </c>
      <c r="R13" s="12" t="s">
        <v>203</v>
      </c>
      <c r="S13" s="12" t="s">
        <v>204</v>
      </c>
      <c r="T13" s="12" t="s">
        <v>205</v>
      </c>
      <c r="U13" s="12" t="s">
        <v>109</v>
      </c>
      <c r="V13" s="12">
        <v>19</v>
      </c>
      <c r="W13" s="46" t="s">
        <v>206</v>
      </c>
      <c r="X13" s="61"/>
      <c r="Y13" s="13" t="s">
        <v>207</v>
      </c>
      <c r="Z13" s="12" t="s">
        <v>208</v>
      </c>
      <c r="AA13" s="12"/>
      <c r="AB13" s="12" t="s">
        <v>166</v>
      </c>
      <c r="AC13" s="12"/>
      <c r="AD13" s="12" t="s">
        <v>79</v>
      </c>
      <c r="AE13" s="12" t="s">
        <v>209</v>
      </c>
      <c r="AF13" s="12" t="s">
        <v>141</v>
      </c>
      <c r="AG13" s="12">
        <v>5</v>
      </c>
      <c r="AH13" s="12"/>
      <c r="AI13" s="12"/>
      <c r="AJ13" s="12"/>
      <c r="AK13" s="12"/>
      <c r="AL13" s="13"/>
      <c r="AM13" s="23" t="s">
        <v>210</v>
      </c>
      <c r="AN13" s="64" t="s">
        <v>211</v>
      </c>
      <c r="AO13" s="64" t="s">
        <v>212</v>
      </c>
    </row>
    <row r="14" spans="1:41" ht="44.1" customHeight="1" x14ac:dyDescent="0.3">
      <c r="A14" s="65"/>
      <c r="B14" s="12"/>
      <c r="C14" s="12" t="s">
        <v>41</v>
      </c>
      <c r="D14" s="12" t="s">
        <v>143</v>
      </c>
      <c r="E14" s="12" t="s">
        <v>144</v>
      </c>
      <c r="F14" s="12" t="s">
        <v>213</v>
      </c>
      <c r="G14" s="12" t="s">
        <v>214</v>
      </c>
      <c r="H14" s="12" t="s">
        <v>215</v>
      </c>
      <c r="I14" s="61">
        <v>44949</v>
      </c>
      <c r="J14" s="14">
        <f>_xlfn.ISOWEEKNUM(Base_Accidentes_2023[[#This Row],[Fecha]])</f>
        <v>4</v>
      </c>
      <c r="K14" s="12"/>
      <c r="L14" s="12"/>
      <c r="M14" s="12"/>
      <c r="N14" s="56"/>
      <c r="O14" s="12" t="s">
        <v>216</v>
      </c>
      <c r="P14" s="12" t="s">
        <v>88</v>
      </c>
      <c r="Q14" s="12" t="s">
        <v>149</v>
      </c>
      <c r="R14" s="12" t="s">
        <v>217</v>
      </c>
      <c r="S14" s="12" t="s">
        <v>218</v>
      </c>
      <c r="T14" s="12" t="s">
        <v>219</v>
      </c>
      <c r="U14" s="12" t="s">
        <v>109</v>
      </c>
      <c r="V14" s="12">
        <v>43</v>
      </c>
      <c r="W14" s="98" t="s">
        <v>220</v>
      </c>
      <c r="X14" s="61"/>
      <c r="Y14" s="13" t="s">
        <v>221</v>
      </c>
      <c r="Z14" s="12" t="s">
        <v>208</v>
      </c>
      <c r="AA14" s="12"/>
      <c r="AB14" s="12" t="s">
        <v>138</v>
      </c>
      <c r="AC14" s="12"/>
      <c r="AD14" s="12" t="s">
        <v>79</v>
      </c>
      <c r="AE14" s="12" t="s">
        <v>209</v>
      </c>
      <c r="AF14" s="12" t="s">
        <v>141</v>
      </c>
      <c r="AG14" s="12">
        <v>2</v>
      </c>
      <c r="AH14" s="12"/>
      <c r="AI14" s="12"/>
      <c r="AJ14" s="12"/>
      <c r="AK14" s="12"/>
      <c r="AL14" s="13"/>
      <c r="AM14" s="23" t="s">
        <v>222</v>
      </c>
      <c r="AN14" s="64" t="s">
        <v>223</v>
      </c>
      <c r="AO14" s="64" t="s">
        <v>224</v>
      </c>
    </row>
    <row r="15" spans="1:41" ht="43.35" customHeight="1" x14ac:dyDescent="0.3">
      <c r="A15" s="65"/>
      <c r="B15" s="12"/>
      <c r="C15" s="12" t="s">
        <v>41</v>
      </c>
      <c r="D15" s="12" t="s">
        <v>143</v>
      </c>
      <c r="E15" s="12" t="s">
        <v>144</v>
      </c>
      <c r="F15" s="12" t="s">
        <v>225</v>
      </c>
      <c r="G15" s="12" t="s">
        <v>45</v>
      </c>
      <c r="H15" s="12" t="s">
        <v>226</v>
      </c>
      <c r="I15" s="61">
        <v>44952</v>
      </c>
      <c r="J15" s="14">
        <f>_xlfn.ISOWEEKNUM(Base_Accidentes_2023[[#This Row],[Fecha]])</f>
        <v>4</v>
      </c>
      <c r="K15" s="12"/>
      <c r="L15" s="12"/>
      <c r="M15" s="12"/>
      <c r="N15" s="56"/>
      <c r="O15" s="12" t="s">
        <v>216</v>
      </c>
      <c r="P15" s="12" t="s">
        <v>88</v>
      </c>
      <c r="Q15" s="12" t="s">
        <v>149</v>
      </c>
      <c r="R15" s="12" t="s">
        <v>227</v>
      </c>
      <c r="S15" s="12" t="s">
        <v>228</v>
      </c>
      <c r="T15" s="12" t="s">
        <v>229</v>
      </c>
      <c r="U15" s="12" t="s">
        <v>109</v>
      </c>
      <c r="V15" s="12">
        <v>34</v>
      </c>
      <c r="W15" s="97" t="s">
        <v>54</v>
      </c>
      <c r="X15" s="61"/>
      <c r="Y15" s="13" t="s">
        <v>230</v>
      </c>
      <c r="Z15" s="12" t="s">
        <v>208</v>
      </c>
      <c r="AA15" s="12"/>
      <c r="AB15" s="12" t="s">
        <v>231</v>
      </c>
      <c r="AC15" s="12"/>
      <c r="AD15" s="12" t="s">
        <v>79</v>
      </c>
      <c r="AE15" s="12" t="s">
        <v>232</v>
      </c>
      <c r="AF15" s="12" t="s">
        <v>233</v>
      </c>
      <c r="AG15" s="12">
        <v>3</v>
      </c>
      <c r="AH15" s="12"/>
      <c r="AI15" s="12"/>
      <c r="AJ15" s="12"/>
      <c r="AK15" s="12"/>
      <c r="AL15" s="13"/>
      <c r="AM15" s="23" t="s">
        <v>234</v>
      </c>
      <c r="AN15" s="64" t="s">
        <v>235</v>
      </c>
      <c r="AO15" s="64" t="s">
        <v>159</v>
      </c>
    </row>
    <row r="16" spans="1:41" ht="41.85" customHeight="1" x14ac:dyDescent="0.3">
      <c r="A16" s="65"/>
      <c r="B16" s="12"/>
      <c r="C16" s="12" t="s">
        <v>66</v>
      </c>
      <c r="D16" s="12" t="s">
        <v>67</v>
      </c>
      <c r="E16" s="12"/>
      <c r="F16" s="12" t="s">
        <v>236</v>
      </c>
      <c r="G16" s="12"/>
      <c r="H16" s="12" t="s">
        <v>236</v>
      </c>
      <c r="I16" s="61">
        <v>45169</v>
      </c>
      <c r="J16" s="14">
        <f>_xlfn.ISOWEEKNUM(Base_Accidentes_2023[[#This Row],[Fecha]])</f>
        <v>35</v>
      </c>
      <c r="K16" s="12"/>
      <c r="L16" s="12"/>
      <c r="M16" s="12"/>
      <c r="N16" s="56"/>
      <c r="O16" s="12" t="s">
        <v>216</v>
      </c>
      <c r="P16" s="12" t="s">
        <v>88</v>
      </c>
      <c r="Q16" s="12"/>
      <c r="R16" s="12"/>
      <c r="S16" s="12"/>
      <c r="T16" s="12" t="s">
        <v>237</v>
      </c>
      <c r="U16" s="12" t="s">
        <v>53</v>
      </c>
      <c r="V16" s="12">
        <v>28</v>
      </c>
      <c r="W16" s="43" t="s">
        <v>238</v>
      </c>
      <c r="X16" s="61"/>
      <c r="Y16" s="13" t="s">
        <v>239</v>
      </c>
      <c r="Z16" s="12" t="s">
        <v>77</v>
      </c>
      <c r="AA16" s="12"/>
      <c r="AB16" s="12" t="s">
        <v>166</v>
      </c>
      <c r="AC16" s="12"/>
      <c r="AD16" s="12" t="s">
        <v>79</v>
      </c>
      <c r="AE16" s="12" t="s">
        <v>77</v>
      </c>
      <c r="AF16" s="12" t="s">
        <v>80</v>
      </c>
      <c r="AG16" s="12" t="s">
        <v>240</v>
      </c>
      <c r="AH16" s="12"/>
      <c r="AI16" s="12" t="s">
        <v>240</v>
      </c>
      <c r="AJ16" s="12"/>
      <c r="AK16" s="12"/>
      <c r="AL16" s="13"/>
      <c r="AM16" s="23" t="s">
        <v>241</v>
      </c>
      <c r="AN16" s="64" t="s">
        <v>242</v>
      </c>
      <c r="AO16" s="64"/>
    </row>
    <row r="17" spans="1:41" ht="39.6" x14ac:dyDescent="0.3">
      <c r="A17" s="65"/>
      <c r="B17" s="12"/>
      <c r="C17" s="12" t="s">
        <v>41</v>
      </c>
      <c r="D17" s="12" t="s">
        <v>143</v>
      </c>
      <c r="E17" s="12" t="s">
        <v>144</v>
      </c>
      <c r="F17" s="12" t="s">
        <v>180</v>
      </c>
      <c r="G17" s="12" t="s">
        <v>45</v>
      </c>
      <c r="H17" s="12" t="s">
        <v>181</v>
      </c>
      <c r="I17" s="61">
        <v>44957</v>
      </c>
      <c r="J17" s="14">
        <f>_xlfn.ISOWEEKNUM(Base_Accidentes_2023[[#This Row],[Fecha]])</f>
        <v>5</v>
      </c>
      <c r="K17" s="12"/>
      <c r="L17" s="12"/>
      <c r="M17" s="12"/>
      <c r="N17" s="56"/>
      <c r="O17" s="12" t="s">
        <v>148</v>
      </c>
      <c r="P17" s="12" t="s">
        <v>88</v>
      </c>
      <c r="Q17" s="12" t="s">
        <v>149</v>
      </c>
      <c r="R17" s="12" t="s">
        <v>50</v>
      </c>
      <c r="S17" s="12" t="s">
        <v>243</v>
      </c>
      <c r="T17" s="12" t="s">
        <v>244</v>
      </c>
      <c r="U17" s="12" t="s">
        <v>53</v>
      </c>
      <c r="V17" s="12">
        <v>19</v>
      </c>
      <c r="W17" s="97" t="s">
        <v>54</v>
      </c>
      <c r="X17" s="61"/>
      <c r="Y17" s="13" t="s">
        <v>245</v>
      </c>
      <c r="Z17" s="12" t="s">
        <v>246</v>
      </c>
      <c r="AA17" s="12"/>
      <c r="AB17" s="12" t="s">
        <v>166</v>
      </c>
      <c r="AC17" s="12"/>
      <c r="AD17" s="12" t="s">
        <v>79</v>
      </c>
      <c r="AE17" s="12" t="s">
        <v>176</v>
      </c>
      <c r="AF17" s="12" t="s">
        <v>100</v>
      </c>
      <c r="AG17" s="12">
        <v>2</v>
      </c>
      <c r="AH17" s="12"/>
      <c r="AI17" s="12"/>
      <c r="AJ17" s="12"/>
      <c r="AK17" s="12"/>
      <c r="AL17" s="13"/>
      <c r="AM17" s="23" t="s">
        <v>247</v>
      </c>
      <c r="AN17" s="64" t="s">
        <v>248</v>
      </c>
      <c r="AO17" s="64" t="s">
        <v>159</v>
      </c>
    </row>
    <row r="18" spans="1:41" ht="20.399999999999999" x14ac:dyDescent="0.3">
      <c r="A18" s="65"/>
      <c r="B18" s="12"/>
      <c r="C18" s="12" t="s">
        <v>41</v>
      </c>
      <c r="D18" s="12" t="s">
        <v>143</v>
      </c>
      <c r="E18" s="12" t="s">
        <v>144</v>
      </c>
      <c r="F18" s="12" t="s">
        <v>145</v>
      </c>
      <c r="G18" s="12" t="s">
        <v>249</v>
      </c>
      <c r="H18" s="12" t="s">
        <v>250</v>
      </c>
      <c r="I18" s="61">
        <v>44959</v>
      </c>
      <c r="J18" s="14">
        <f>_xlfn.ISOWEEKNUM(Base_Accidentes_2023[[#This Row],[Fecha]])</f>
        <v>5</v>
      </c>
      <c r="K18" s="12"/>
      <c r="L18" s="12"/>
      <c r="M18" s="12"/>
      <c r="N18" s="56"/>
      <c r="O18" s="12" t="s">
        <v>70</v>
      </c>
      <c r="P18" s="12" t="s">
        <v>88</v>
      </c>
      <c r="Q18" s="12" t="s">
        <v>149</v>
      </c>
      <c r="R18" s="12" t="s">
        <v>251</v>
      </c>
      <c r="S18" s="12" t="s">
        <v>252</v>
      </c>
      <c r="T18" s="12" t="s">
        <v>253</v>
      </c>
      <c r="U18" s="12" t="s">
        <v>53</v>
      </c>
      <c r="V18" s="12">
        <v>43</v>
      </c>
      <c r="W18" s="98" t="s">
        <v>254</v>
      </c>
      <c r="X18" s="61"/>
      <c r="Y18" s="13" t="s">
        <v>255</v>
      </c>
      <c r="Z18" s="12" t="s">
        <v>155</v>
      </c>
      <c r="AA18" s="12"/>
      <c r="AB18" s="12" t="s">
        <v>256</v>
      </c>
      <c r="AC18" s="12"/>
      <c r="AD18" s="12" t="s">
        <v>175</v>
      </c>
      <c r="AE18" s="12" t="s">
        <v>257</v>
      </c>
      <c r="AF18" s="12" t="s">
        <v>258</v>
      </c>
      <c r="AG18" s="12">
        <v>28</v>
      </c>
      <c r="AH18" s="12"/>
      <c r="AI18" s="12"/>
      <c r="AJ18" s="12"/>
      <c r="AK18" s="12"/>
      <c r="AL18" s="13"/>
      <c r="AM18" s="23" t="s">
        <v>259</v>
      </c>
      <c r="AN18" s="64" t="s">
        <v>260</v>
      </c>
      <c r="AO18" s="64"/>
    </row>
    <row r="19" spans="1:41" ht="118.8" x14ac:dyDescent="0.3">
      <c r="A19" s="65"/>
      <c r="B19" s="12" t="s">
        <v>261</v>
      </c>
      <c r="C19" s="12" t="s">
        <v>41</v>
      </c>
      <c r="D19" s="12" t="s">
        <v>42</v>
      </c>
      <c r="E19" s="12" t="s">
        <v>43</v>
      </c>
      <c r="F19" s="12" t="s">
        <v>262</v>
      </c>
      <c r="G19" s="12" t="s">
        <v>263</v>
      </c>
      <c r="H19" s="12" t="s">
        <v>263</v>
      </c>
      <c r="I19" s="61">
        <v>45161</v>
      </c>
      <c r="J19" s="14">
        <v>34</v>
      </c>
      <c r="K19" s="12">
        <v>23</v>
      </c>
      <c r="L19" s="12">
        <v>8</v>
      </c>
      <c r="M19" s="12">
        <v>2023</v>
      </c>
      <c r="N19" s="56">
        <v>0.25694444444444448</v>
      </c>
      <c r="O19" s="12" t="s">
        <v>47</v>
      </c>
      <c r="P19" s="12" t="s">
        <v>264</v>
      </c>
      <c r="Q19" s="12" t="s">
        <v>265</v>
      </c>
      <c r="R19" s="12" t="s">
        <v>266</v>
      </c>
      <c r="S19" s="12" t="s">
        <v>267</v>
      </c>
      <c r="T19" s="12" t="s">
        <v>268</v>
      </c>
      <c r="U19" s="12" t="s">
        <v>53</v>
      </c>
      <c r="V19" s="12">
        <v>20</v>
      </c>
      <c r="W19" s="12" t="s">
        <v>269</v>
      </c>
      <c r="X19" s="61"/>
      <c r="Y19" s="13" t="s">
        <v>270</v>
      </c>
      <c r="Z19" s="12" t="s">
        <v>164</v>
      </c>
      <c r="AA19" s="12" t="s">
        <v>271</v>
      </c>
      <c r="AB19" s="12" t="s">
        <v>166</v>
      </c>
      <c r="AC19" s="12" t="s">
        <v>272</v>
      </c>
      <c r="AD19" s="12" t="s">
        <v>60</v>
      </c>
      <c r="AE19" s="12" t="s">
        <v>273</v>
      </c>
      <c r="AF19" s="12" t="s">
        <v>80</v>
      </c>
      <c r="AG19" s="12">
        <v>60</v>
      </c>
      <c r="AH19" s="12">
        <v>0</v>
      </c>
      <c r="AI19" s="12">
        <v>60</v>
      </c>
      <c r="AJ19" s="12" t="s">
        <v>274</v>
      </c>
      <c r="AK19" s="12" t="s">
        <v>275</v>
      </c>
      <c r="AL19" s="13" t="s">
        <v>64</v>
      </c>
      <c r="AM19" s="23" t="s">
        <v>142</v>
      </c>
      <c r="AN19" s="64"/>
      <c r="AO19" s="64"/>
    </row>
    <row r="20" spans="1:41" ht="42.6" customHeight="1" x14ac:dyDescent="0.3">
      <c r="A20" s="65"/>
      <c r="B20" s="12" t="s">
        <v>276</v>
      </c>
      <c r="C20" s="12" t="s">
        <v>41</v>
      </c>
      <c r="D20" s="12" t="s">
        <v>42</v>
      </c>
      <c r="E20" s="12" t="s">
        <v>43</v>
      </c>
      <c r="F20" s="12" t="s">
        <v>277</v>
      </c>
      <c r="G20" s="12" t="s">
        <v>45</v>
      </c>
      <c r="H20" s="12" t="s">
        <v>278</v>
      </c>
      <c r="I20" s="61">
        <v>45160</v>
      </c>
      <c r="J20" s="14">
        <f>_xlfn.ISOWEEKNUM(Base_Accidentes_2023[[#This Row],[Fecha]])</f>
        <v>34</v>
      </c>
      <c r="K20" s="12">
        <v>22</v>
      </c>
      <c r="L20" s="12">
        <v>8</v>
      </c>
      <c r="M20" s="12">
        <v>2023</v>
      </c>
      <c r="N20" s="56">
        <v>0.78125</v>
      </c>
      <c r="O20" s="12" t="s">
        <v>279</v>
      </c>
      <c r="P20" s="12" t="s">
        <v>88</v>
      </c>
      <c r="Q20" s="12" t="s">
        <v>89</v>
      </c>
      <c r="R20" s="12" t="s">
        <v>280</v>
      </c>
      <c r="S20" s="12" t="s">
        <v>281</v>
      </c>
      <c r="T20" s="12" t="s">
        <v>282</v>
      </c>
      <c r="U20" s="12" t="s">
        <v>109</v>
      </c>
      <c r="V20" s="12">
        <v>35</v>
      </c>
      <c r="W20" s="12" t="s">
        <v>283</v>
      </c>
      <c r="X20" s="61">
        <v>39286</v>
      </c>
      <c r="Y20" s="13" t="s">
        <v>284</v>
      </c>
      <c r="Z20" s="12" t="s">
        <v>164</v>
      </c>
      <c r="AA20" s="12" t="s">
        <v>271</v>
      </c>
      <c r="AB20" s="12" t="s">
        <v>166</v>
      </c>
      <c r="AC20" s="12" t="s">
        <v>285</v>
      </c>
      <c r="AD20" s="12" t="s">
        <v>286</v>
      </c>
      <c r="AE20" s="12" t="s">
        <v>287</v>
      </c>
      <c r="AF20" s="12" t="s">
        <v>62</v>
      </c>
      <c r="AG20" s="12">
        <v>40</v>
      </c>
      <c r="AH20" s="12">
        <v>0</v>
      </c>
      <c r="AI20" s="12">
        <v>40</v>
      </c>
      <c r="AJ20" s="12" t="s">
        <v>117</v>
      </c>
      <c r="AK20" s="12" t="s">
        <v>288</v>
      </c>
      <c r="AL20" s="13" t="s">
        <v>289</v>
      </c>
      <c r="AM20" s="23" t="s">
        <v>142</v>
      </c>
      <c r="AN20" s="64"/>
      <c r="AO20" s="64"/>
    </row>
    <row r="21" spans="1:41" ht="42.6" customHeight="1" x14ac:dyDescent="0.3">
      <c r="A21" s="65"/>
      <c r="B21" s="12"/>
      <c r="C21" s="12" t="s">
        <v>41</v>
      </c>
      <c r="D21" s="12" t="s">
        <v>143</v>
      </c>
      <c r="E21" s="12" t="s">
        <v>144</v>
      </c>
      <c r="F21" s="12" t="s">
        <v>180</v>
      </c>
      <c r="G21" s="12" t="s">
        <v>146</v>
      </c>
      <c r="H21" s="12" t="s">
        <v>290</v>
      </c>
      <c r="I21" s="61">
        <v>44959</v>
      </c>
      <c r="J21" s="14">
        <f>_xlfn.ISOWEEKNUM(Base_Accidentes_2023[[#This Row],[Fecha]])</f>
        <v>5</v>
      </c>
      <c r="K21" s="12"/>
      <c r="L21" s="12"/>
      <c r="M21" s="12"/>
      <c r="N21" s="56"/>
      <c r="O21" s="12" t="s">
        <v>70</v>
      </c>
      <c r="P21" s="12" t="s">
        <v>88</v>
      </c>
      <c r="Q21" s="12" t="s">
        <v>149</v>
      </c>
      <c r="R21" s="12" t="s">
        <v>291</v>
      </c>
      <c r="S21" s="12" t="s">
        <v>292</v>
      </c>
      <c r="T21" s="12" t="s">
        <v>293</v>
      </c>
      <c r="U21" s="12" t="s">
        <v>53</v>
      </c>
      <c r="V21" s="12">
        <v>27</v>
      </c>
      <c r="W21" s="97" t="s">
        <v>75</v>
      </c>
      <c r="X21" s="61"/>
      <c r="Y21" s="13" t="s">
        <v>294</v>
      </c>
      <c r="Z21" s="12" t="s">
        <v>155</v>
      </c>
      <c r="AA21" s="12"/>
      <c r="AB21" s="12" t="s">
        <v>166</v>
      </c>
      <c r="AC21" s="12"/>
      <c r="AD21" s="12" t="s">
        <v>79</v>
      </c>
      <c r="AE21" s="12" t="s">
        <v>156</v>
      </c>
      <c r="AF21" s="12" t="s">
        <v>116</v>
      </c>
      <c r="AG21" s="12">
        <v>27</v>
      </c>
      <c r="AH21" s="12"/>
      <c r="AI21" s="12"/>
      <c r="AJ21" s="12"/>
      <c r="AK21" s="12"/>
      <c r="AL21" s="13"/>
      <c r="AM21" s="23" t="s">
        <v>295</v>
      </c>
      <c r="AN21" s="64" t="s">
        <v>296</v>
      </c>
      <c r="AO21" s="64" t="s">
        <v>159</v>
      </c>
    </row>
    <row r="22" spans="1:41" ht="39.6" x14ac:dyDescent="0.3">
      <c r="A22" s="65"/>
      <c r="B22" s="12"/>
      <c r="C22" s="12" t="s">
        <v>41</v>
      </c>
      <c r="D22" s="12" t="s">
        <v>143</v>
      </c>
      <c r="E22" s="12" t="s">
        <v>144</v>
      </c>
      <c r="F22" s="12" t="s">
        <v>297</v>
      </c>
      <c r="G22" s="12" t="s">
        <v>263</v>
      </c>
      <c r="H22" s="12" t="s">
        <v>298</v>
      </c>
      <c r="I22" s="61">
        <v>44963</v>
      </c>
      <c r="J22" s="14">
        <f>_xlfn.ISOWEEKNUM(Base_Accidentes_2023[[#This Row],[Fecha]])</f>
        <v>6</v>
      </c>
      <c r="K22" s="12"/>
      <c r="L22" s="12"/>
      <c r="M22" s="12"/>
      <c r="N22" s="56"/>
      <c r="O22" s="12" t="s">
        <v>70</v>
      </c>
      <c r="P22" s="12" t="s">
        <v>71</v>
      </c>
      <c r="Q22" s="12" t="s">
        <v>299</v>
      </c>
      <c r="R22" s="12" t="s">
        <v>300</v>
      </c>
      <c r="S22" s="12" t="s">
        <v>301</v>
      </c>
      <c r="T22" s="12" t="s">
        <v>302</v>
      </c>
      <c r="U22" s="12" t="s">
        <v>53</v>
      </c>
      <c r="V22" s="12">
        <v>50</v>
      </c>
      <c r="W22" s="98" t="s">
        <v>303</v>
      </c>
      <c r="X22" s="61"/>
      <c r="Y22" s="13" t="s">
        <v>304</v>
      </c>
      <c r="Z22" s="12" t="s">
        <v>186</v>
      </c>
      <c r="AA22" s="12"/>
      <c r="AB22" s="12" t="s">
        <v>256</v>
      </c>
      <c r="AC22" s="12"/>
      <c r="AD22" s="12" t="s">
        <v>79</v>
      </c>
      <c r="AE22" s="12" t="s">
        <v>176</v>
      </c>
      <c r="AF22" s="12" t="s">
        <v>100</v>
      </c>
      <c r="AG22" s="12">
        <v>19</v>
      </c>
      <c r="AH22" s="12"/>
      <c r="AI22" s="12"/>
      <c r="AJ22" s="12"/>
      <c r="AK22" s="12"/>
      <c r="AL22" s="13"/>
      <c r="AM22" s="23" t="s">
        <v>305</v>
      </c>
      <c r="AN22" s="64" t="s">
        <v>306</v>
      </c>
      <c r="AO22" s="64" t="s">
        <v>83</v>
      </c>
    </row>
    <row r="23" spans="1:41" ht="65.099999999999994" customHeight="1" x14ac:dyDescent="0.3">
      <c r="A23" s="65"/>
      <c r="B23" s="12"/>
      <c r="C23" s="12" t="s">
        <v>307</v>
      </c>
      <c r="D23" s="12" t="s">
        <v>308</v>
      </c>
      <c r="E23" s="12" t="s">
        <v>307</v>
      </c>
      <c r="F23" s="12" t="s">
        <v>309</v>
      </c>
      <c r="G23" s="12" t="s">
        <v>45</v>
      </c>
      <c r="H23" s="12" t="s">
        <v>309</v>
      </c>
      <c r="I23" s="61">
        <v>44946</v>
      </c>
      <c r="J23" s="14">
        <f>_xlfn.ISOWEEKNUM(Base_Accidentes_2023[[#This Row],[Fecha]])</f>
        <v>3</v>
      </c>
      <c r="K23" s="12"/>
      <c r="L23" s="12"/>
      <c r="M23" s="12"/>
      <c r="N23" s="56"/>
      <c r="O23" s="12" t="s">
        <v>148</v>
      </c>
      <c r="P23" s="12" t="s">
        <v>88</v>
      </c>
      <c r="Q23" s="12" t="s">
        <v>309</v>
      </c>
      <c r="R23" s="12" t="s">
        <v>310</v>
      </c>
      <c r="S23" s="12" t="s">
        <v>311</v>
      </c>
      <c r="T23" s="12" t="s">
        <v>312</v>
      </c>
      <c r="U23" s="12" t="s">
        <v>53</v>
      </c>
      <c r="V23" s="12">
        <v>38</v>
      </c>
      <c r="W23" s="44" t="s">
        <v>313</v>
      </c>
      <c r="X23" s="61"/>
      <c r="Y23" s="13" t="s">
        <v>314</v>
      </c>
      <c r="Z23" s="12" t="s">
        <v>315</v>
      </c>
      <c r="AA23" s="12"/>
      <c r="AB23" s="12" t="s">
        <v>138</v>
      </c>
      <c r="AC23" s="12"/>
      <c r="AD23" s="12" t="s">
        <v>79</v>
      </c>
      <c r="AE23" s="12" t="s">
        <v>316</v>
      </c>
      <c r="AF23" s="12" t="s">
        <v>116</v>
      </c>
      <c r="AG23" s="12">
        <v>20</v>
      </c>
      <c r="AH23" s="12"/>
      <c r="AI23" s="12"/>
      <c r="AJ23" s="12"/>
      <c r="AK23" s="12"/>
      <c r="AL23" s="13"/>
      <c r="AM23" s="23" t="s">
        <v>317</v>
      </c>
      <c r="AN23" s="64" t="s">
        <v>318</v>
      </c>
      <c r="AO23" s="64"/>
    </row>
    <row r="24" spans="1:41" ht="118.8" x14ac:dyDescent="0.3">
      <c r="A24" s="65"/>
      <c r="B24" s="12" t="s">
        <v>319</v>
      </c>
      <c r="C24" s="12" t="s">
        <v>41</v>
      </c>
      <c r="D24" s="12" t="s">
        <v>42</v>
      </c>
      <c r="E24" s="12" t="s">
        <v>43</v>
      </c>
      <c r="F24" s="12" t="s">
        <v>320</v>
      </c>
      <c r="G24" s="12" t="s">
        <v>45</v>
      </c>
      <c r="H24" s="12" t="s">
        <v>321</v>
      </c>
      <c r="I24" s="61">
        <v>45140</v>
      </c>
      <c r="J24" s="14">
        <v>31</v>
      </c>
      <c r="K24" s="12">
        <v>2</v>
      </c>
      <c r="L24" s="12">
        <v>8</v>
      </c>
      <c r="M24" s="12">
        <v>2023</v>
      </c>
      <c r="N24" s="56">
        <v>0.65625</v>
      </c>
      <c r="O24" s="12" t="s">
        <v>87</v>
      </c>
      <c r="P24" s="12" t="s">
        <v>48</v>
      </c>
      <c r="Q24" s="12" t="s">
        <v>49</v>
      </c>
      <c r="R24" s="12" t="s">
        <v>322</v>
      </c>
      <c r="S24" s="12" t="s">
        <v>323</v>
      </c>
      <c r="T24" s="12" t="s">
        <v>324</v>
      </c>
      <c r="U24" s="12" t="s">
        <v>53</v>
      </c>
      <c r="V24" s="12">
        <v>18</v>
      </c>
      <c r="W24" s="12" t="s">
        <v>54</v>
      </c>
      <c r="X24" s="61">
        <v>45050</v>
      </c>
      <c r="Y24" s="13" t="s">
        <v>325</v>
      </c>
      <c r="Z24" s="12" t="s">
        <v>164</v>
      </c>
      <c r="AA24" s="12" t="s">
        <v>271</v>
      </c>
      <c r="AB24" s="12" t="s">
        <v>166</v>
      </c>
      <c r="AC24" s="12" t="s">
        <v>326</v>
      </c>
      <c r="AD24" s="12" t="s">
        <v>60</v>
      </c>
      <c r="AE24" s="12" t="s">
        <v>327</v>
      </c>
      <c r="AF24" s="12" t="s">
        <v>328</v>
      </c>
      <c r="AG24" s="12">
        <v>59</v>
      </c>
      <c r="AH24" s="12">
        <v>845</v>
      </c>
      <c r="AI24" s="12">
        <v>904</v>
      </c>
      <c r="AJ24" s="12" t="s">
        <v>274</v>
      </c>
      <c r="AK24" s="12" t="s">
        <v>275</v>
      </c>
      <c r="AL24" s="13" t="s">
        <v>64</v>
      </c>
      <c r="AM24" s="23" t="s">
        <v>142</v>
      </c>
      <c r="AN24" s="64"/>
      <c r="AO24" s="64"/>
    </row>
    <row r="25" spans="1:41" ht="39.6" x14ac:dyDescent="0.3">
      <c r="A25" s="65"/>
      <c r="B25" s="12"/>
      <c r="C25" s="12" t="s">
        <v>41</v>
      </c>
      <c r="D25" s="12" t="s">
        <v>143</v>
      </c>
      <c r="E25" s="12" t="s">
        <v>144</v>
      </c>
      <c r="F25" s="12" t="s">
        <v>225</v>
      </c>
      <c r="G25" s="12" t="s">
        <v>45</v>
      </c>
      <c r="H25" s="12" t="s">
        <v>226</v>
      </c>
      <c r="I25" s="61">
        <v>44965</v>
      </c>
      <c r="J25" s="14">
        <f>_xlfn.ISOWEEKNUM(Base_Accidentes_2023[[#This Row],[Fecha]])</f>
        <v>6</v>
      </c>
      <c r="K25" s="12"/>
      <c r="L25" s="12"/>
      <c r="M25" s="12"/>
      <c r="N25" s="56"/>
      <c r="O25" s="12" t="s">
        <v>70</v>
      </c>
      <c r="P25" s="12" t="s">
        <v>48</v>
      </c>
      <c r="Q25" s="12" t="s">
        <v>49</v>
      </c>
      <c r="R25" s="12" t="s">
        <v>329</v>
      </c>
      <c r="S25" s="12" t="s">
        <v>330</v>
      </c>
      <c r="T25" s="12" t="s">
        <v>331</v>
      </c>
      <c r="U25" s="12" t="s">
        <v>53</v>
      </c>
      <c r="V25" s="12"/>
      <c r="W25" s="98" t="s">
        <v>332</v>
      </c>
      <c r="X25" s="61"/>
      <c r="Y25" s="13" t="s">
        <v>333</v>
      </c>
      <c r="Z25" s="12" t="s">
        <v>246</v>
      </c>
      <c r="AA25" s="12"/>
      <c r="AB25" s="12" t="s">
        <v>256</v>
      </c>
      <c r="AC25" s="12"/>
      <c r="AD25" s="12" t="s">
        <v>79</v>
      </c>
      <c r="AE25" s="12" t="s">
        <v>176</v>
      </c>
      <c r="AF25" s="12" t="s">
        <v>100</v>
      </c>
      <c r="AG25" s="12">
        <v>3</v>
      </c>
      <c r="AH25" s="12"/>
      <c r="AI25" s="12"/>
      <c r="AJ25" s="12"/>
      <c r="AK25" s="12"/>
      <c r="AL25" s="13"/>
      <c r="AM25" s="23" t="s">
        <v>334</v>
      </c>
      <c r="AN25" s="64" t="s">
        <v>335</v>
      </c>
      <c r="AO25" s="64" t="s">
        <v>83</v>
      </c>
    </row>
    <row r="26" spans="1:41" ht="39.6" x14ac:dyDescent="0.3">
      <c r="A26" s="65"/>
      <c r="B26" s="12"/>
      <c r="C26" s="12" t="s">
        <v>41</v>
      </c>
      <c r="D26" s="12" t="s">
        <v>143</v>
      </c>
      <c r="E26" s="12" t="s">
        <v>336</v>
      </c>
      <c r="F26" s="12" t="s">
        <v>336</v>
      </c>
      <c r="G26" s="12" t="s">
        <v>102</v>
      </c>
      <c r="H26" s="12" t="s">
        <v>337</v>
      </c>
      <c r="I26" s="61">
        <v>44966</v>
      </c>
      <c r="J26" s="14">
        <f>_xlfn.ISOWEEKNUM(Base_Accidentes_2023[[#This Row],[Fecha]])</f>
        <v>6</v>
      </c>
      <c r="K26" s="12"/>
      <c r="L26" s="12"/>
      <c r="M26" s="12"/>
      <c r="N26" s="56"/>
      <c r="O26" s="12" t="s">
        <v>70</v>
      </c>
      <c r="P26" s="12" t="s">
        <v>338</v>
      </c>
      <c r="Q26" s="12" t="s">
        <v>339</v>
      </c>
      <c r="R26" s="12" t="s">
        <v>340</v>
      </c>
      <c r="S26" s="12" t="s">
        <v>341</v>
      </c>
      <c r="T26" s="12" t="s">
        <v>342</v>
      </c>
      <c r="U26" s="12" t="s">
        <v>109</v>
      </c>
      <c r="V26" s="12">
        <v>36</v>
      </c>
      <c r="W26" s="98" t="s">
        <v>343</v>
      </c>
      <c r="X26" s="61"/>
      <c r="Y26" s="13" t="s">
        <v>344</v>
      </c>
      <c r="Z26" s="12" t="s">
        <v>345</v>
      </c>
      <c r="AA26" s="12"/>
      <c r="AB26" s="12" t="s">
        <v>346</v>
      </c>
      <c r="AC26" s="12"/>
      <c r="AD26" s="12" t="s">
        <v>79</v>
      </c>
      <c r="AE26" s="12" t="s">
        <v>176</v>
      </c>
      <c r="AF26" s="12" t="s">
        <v>100</v>
      </c>
      <c r="AG26" s="12">
        <v>2</v>
      </c>
      <c r="AH26" s="12"/>
      <c r="AI26" s="12"/>
      <c r="AJ26" s="12"/>
      <c r="AK26" s="12"/>
      <c r="AL26" s="13"/>
      <c r="AM26" s="23" t="s">
        <v>157</v>
      </c>
      <c r="AN26" s="64" t="s">
        <v>347</v>
      </c>
      <c r="AO26" s="64" t="s">
        <v>83</v>
      </c>
    </row>
    <row r="27" spans="1:41" ht="39.6" x14ac:dyDescent="0.3">
      <c r="A27" s="65"/>
      <c r="B27" s="12"/>
      <c r="C27" s="12" t="s">
        <v>41</v>
      </c>
      <c r="D27" s="12" t="s">
        <v>143</v>
      </c>
      <c r="E27" s="12" t="s">
        <v>144</v>
      </c>
      <c r="F27" s="12" t="s">
        <v>225</v>
      </c>
      <c r="G27" s="12" t="s">
        <v>45</v>
      </c>
      <c r="H27" s="12" t="s">
        <v>348</v>
      </c>
      <c r="I27" s="61">
        <v>44973</v>
      </c>
      <c r="J27" s="14">
        <f>_xlfn.ISOWEEKNUM(Base_Accidentes_2023[[#This Row],[Fecha]])</f>
        <v>7</v>
      </c>
      <c r="K27" s="12"/>
      <c r="L27" s="12"/>
      <c r="M27" s="12"/>
      <c r="N27" s="56"/>
      <c r="O27" s="12" t="s">
        <v>148</v>
      </c>
      <c r="P27" s="12" t="s">
        <v>88</v>
      </c>
      <c r="Q27" s="12" t="s">
        <v>149</v>
      </c>
      <c r="R27" s="12" t="s">
        <v>349</v>
      </c>
      <c r="S27" s="12" t="s">
        <v>350</v>
      </c>
      <c r="T27" s="12" t="s">
        <v>351</v>
      </c>
      <c r="U27" s="12" t="s">
        <v>53</v>
      </c>
      <c r="V27" s="12">
        <v>55</v>
      </c>
      <c r="W27" s="98" t="s">
        <v>352</v>
      </c>
      <c r="X27" s="61"/>
      <c r="Y27" s="13" t="s">
        <v>353</v>
      </c>
      <c r="Z27" s="12" t="s">
        <v>345</v>
      </c>
      <c r="AA27" s="12"/>
      <c r="AB27" s="12" t="s">
        <v>256</v>
      </c>
      <c r="AC27" s="12"/>
      <c r="AD27" s="12" t="s">
        <v>79</v>
      </c>
      <c r="AE27" s="12" t="s">
        <v>176</v>
      </c>
      <c r="AF27" s="12" t="s">
        <v>100</v>
      </c>
      <c r="AG27" s="12">
        <v>8</v>
      </c>
      <c r="AH27" s="12"/>
      <c r="AI27" s="12"/>
      <c r="AJ27" s="12"/>
      <c r="AK27" s="12"/>
      <c r="AL27" s="13"/>
      <c r="AM27" s="23" t="s">
        <v>354</v>
      </c>
      <c r="AN27" s="64" t="s">
        <v>355</v>
      </c>
      <c r="AO27" s="64"/>
    </row>
    <row r="28" spans="1:41" ht="39.6" x14ac:dyDescent="0.3">
      <c r="A28" s="65"/>
      <c r="B28" s="12"/>
      <c r="C28" s="12" t="s">
        <v>41</v>
      </c>
      <c r="D28" s="12" t="s">
        <v>143</v>
      </c>
      <c r="E28" s="12" t="s">
        <v>356</v>
      </c>
      <c r="F28" s="12" t="s">
        <v>357</v>
      </c>
      <c r="G28" s="12" t="s">
        <v>102</v>
      </c>
      <c r="H28" s="12" t="s">
        <v>357</v>
      </c>
      <c r="I28" s="61">
        <v>44977</v>
      </c>
      <c r="J28" s="14">
        <f>_xlfn.ISOWEEKNUM(Base_Accidentes_2023[[#This Row],[Fecha]])</f>
        <v>8</v>
      </c>
      <c r="K28" s="12"/>
      <c r="L28" s="12"/>
      <c r="M28" s="12"/>
      <c r="N28" s="56"/>
      <c r="O28" s="12" t="s">
        <v>216</v>
      </c>
      <c r="P28" s="12" t="s">
        <v>71</v>
      </c>
      <c r="Q28" s="12" t="s">
        <v>358</v>
      </c>
      <c r="R28" s="12" t="s">
        <v>359</v>
      </c>
      <c r="S28" s="12" t="s">
        <v>360</v>
      </c>
      <c r="T28" s="12" t="s">
        <v>361</v>
      </c>
      <c r="U28" s="12" t="s">
        <v>109</v>
      </c>
      <c r="V28" s="12"/>
      <c r="W28" s="98" t="s">
        <v>362</v>
      </c>
      <c r="X28" s="61"/>
      <c r="Y28" s="13" t="s">
        <v>363</v>
      </c>
      <c r="Z28" s="12" t="s">
        <v>345</v>
      </c>
      <c r="AA28" s="12"/>
      <c r="AB28" s="12" t="s">
        <v>346</v>
      </c>
      <c r="AC28" s="12"/>
      <c r="AD28" s="12" t="s">
        <v>79</v>
      </c>
      <c r="AE28" s="12" t="s">
        <v>176</v>
      </c>
      <c r="AF28" s="12" t="s">
        <v>100</v>
      </c>
      <c r="AG28" s="12">
        <v>3</v>
      </c>
      <c r="AH28" s="12"/>
      <c r="AI28" s="12"/>
      <c r="AJ28" s="12"/>
      <c r="AK28" s="12"/>
      <c r="AL28" s="13"/>
      <c r="AM28" s="23" t="s">
        <v>334</v>
      </c>
      <c r="AN28" s="64" t="s">
        <v>178</v>
      </c>
      <c r="AO28" s="64" t="s">
        <v>83</v>
      </c>
    </row>
    <row r="29" spans="1:41" ht="39.6" x14ac:dyDescent="0.3">
      <c r="A29" s="65"/>
      <c r="B29" s="12"/>
      <c r="C29" s="12" t="s">
        <v>41</v>
      </c>
      <c r="D29" s="12" t="s">
        <v>143</v>
      </c>
      <c r="E29" s="12" t="s">
        <v>144</v>
      </c>
      <c r="F29" s="12" t="s">
        <v>364</v>
      </c>
      <c r="G29" s="12" t="s">
        <v>45</v>
      </c>
      <c r="H29" s="12" t="s">
        <v>365</v>
      </c>
      <c r="I29" s="61">
        <v>44985</v>
      </c>
      <c r="J29" s="14">
        <f>_xlfn.ISOWEEKNUM(Base_Accidentes_2023[[#This Row],[Fecha]])</f>
        <v>9</v>
      </c>
      <c r="K29" s="12"/>
      <c r="L29" s="12"/>
      <c r="M29" s="12"/>
      <c r="N29" s="56"/>
      <c r="O29" s="12" t="s">
        <v>216</v>
      </c>
      <c r="P29" s="12" t="s">
        <v>88</v>
      </c>
      <c r="Q29" s="12" t="s">
        <v>149</v>
      </c>
      <c r="R29" s="12" t="s">
        <v>366</v>
      </c>
      <c r="S29" s="12" t="s">
        <v>367</v>
      </c>
      <c r="T29" s="12" t="s">
        <v>368</v>
      </c>
      <c r="U29" s="12" t="s">
        <v>53</v>
      </c>
      <c r="V29" s="12">
        <v>27</v>
      </c>
      <c r="W29" s="97" t="s">
        <v>369</v>
      </c>
      <c r="X29" s="61"/>
      <c r="Y29" s="13" t="s">
        <v>370</v>
      </c>
      <c r="Z29" s="12" t="s">
        <v>208</v>
      </c>
      <c r="AA29" s="12"/>
      <c r="AB29" s="12" t="s">
        <v>346</v>
      </c>
      <c r="AC29" s="12"/>
      <c r="AD29" s="12" t="s">
        <v>79</v>
      </c>
      <c r="AE29" s="12" t="s">
        <v>371</v>
      </c>
      <c r="AF29" s="12" t="s">
        <v>372</v>
      </c>
      <c r="AG29" s="12">
        <v>13</v>
      </c>
      <c r="AH29" s="12"/>
      <c r="AI29" s="12"/>
      <c r="AJ29" s="12"/>
      <c r="AK29" s="12"/>
      <c r="AL29" s="13"/>
      <c r="AM29" s="23" t="s">
        <v>373</v>
      </c>
      <c r="AN29" s="64" t="s">
        <v>374</v>
      </c>
      <c r="AO29" s="64" t="s">
        <v>159</v>
      </c>
    </row>
    <row r="30" spans="1:41" ht="66" x14ac:dyDescent="0.3">
      <c r="A30" s="65">
        <v>7</v>
      </c>
      <c r="B30" s="12" t="s">
        <v>375</v>
      </c>
      <c r="C30" s="12" t="s">
        <v>41</v>
      </c>
      <c r="D30" s="12" t="s">
        <v>42</v>
      </c>
      <c r="E30" s="12" t="s">
        <v>43</v>
      </c>
      <c r="F30" s="12" t="s">
        <v>44</v>
      </c>
      <c r="G30" s="12" t="s">
        <v>45</v>
      </c>
      <c r="H30" s="12" t="s">
        <v>46</v>
      </c>
      <c r="I30" s="61">
        <v>45113</v>
      </c>
      <c r="J30" s="14">
        <v>27</v>
      </c>
      <c r="K30" s="12">
        <v>6</v>
      </c>
      <c r="L30" s="12">
        <v>7</v>
      </c>
      <c r="M30" s="12">
        <v>2023</v>
      </c>
      <c r="N30" s="56">
        <v>0.90277777777777779</v>
      </c>
      <c r="O30" s="12" t="s">
        <v>47</v>
      </c>
      <c r="P30" s="12" t="s">
        <v>88</v>
      </c>
      <c r="Q30" s="12" t="s">
        <v>89</v>
      </c>
      <c r="R30" s="12" t="s">
        <v>376</v>
      </c>
      <c r="S30" s="12" t="s">
        <v>377</v>
      </c>
      <c r="T30" s="12" t="s">
        <v>378</v>
      </c>
      <c r="U30" s="12" t="s">
        <v>53</v>
      </c>
      <c r="V30" s="12">
        <v>38</v>
      </c>
      <c r="W30" s="12" t="s">
        <v>54</v>
      </c>
      <c r="X30" s="61"/>
      <c r="Y30" s="13" t="s">
        <v>379</v>
      </c>
      <c r="Z30" s="12" t="s">
        <v>94</v>
      </c>
      <c r="AA30" s="12" t="s">
        <v>95</v>
      </c>
      <c r="AB30" s="12" t="s">
        <v>96</v>
      </c>
      <c r="AC30" s="12" t="s">
        <v>380</v>
      </c>
      <c r="AD30" s="12" t="s">
        <v>60</v>
      </c>
      <c r="AE30" s="12" t="s">
        <v>381</v>
      </c>
      <c r="AF30" s="12" t="s">
        <v>100</v>
      </c>
      <c r="AG30" s="12">
        <v>56</v>
      </c>
      <c r="AH30" s="12">
        <v>0</v>
      </c>
      <c r="AI30" s="12">
        <v>56</v>
      </c>
      <c r="AJ30" s="12" t="s">
        <v>274</v>
      </c>
      <c r="AK30" s="12">
        <v>156</v>
      </c>
      <c r="AL30" s="13" t="s">
        <v>64</v>
      </c>
      <c r="AM30" s="23" t="s">
        <v>65</v>
      </c>
      <c r="AN30" s="64"/>
      <c r="AO30" s="64"/>
    </row>
    <row r="31" spans="1:41" ht="39.6" x14ac:dyDescent="0.3">
      <c r="A31" s="65"/>
      <c r="B31" s="12"/>
      <c r="C31" s="12" t="s">
        <v>41</v>
      </c>
      <c r="D31" s="12" t="s">
        <v>143</v>
      </c>
      <c r="E31" s="12" t="s">
        <v>144</v>
      </c>
      <c r="F31" s="12" t="s">
        <v>180</v>
      </c>
      <c r="G31" s="12" t="s">
        <v>45</v>
      </c>
      <c r="H31" s="12" t="s">
        <v>382</v>
      </c>
      <c r="I31" s="61">
        <v>44992</v>
      </c>
      <c r="J31" s="14">
        <f>_xlfn.ISOWEEKNUM(Base_Accidentes_2023[[#This Row],[Fecha]])</f>
        <v>10</v>
      </c>
      <c r="K31" s="12"/>
      <c r="L31" s="12"/>
      <c r="M31" s="12"/>
      <c r="N31" s="56"/>
      <c r="O31" s="12" t="s">
        <v>216</v>
      </c>
      <c r="P31" s="12" t="s">
        <v>88</v>
      </c>
      <c r="Q31" s="12" t="s">
        <v>149</v>
      </c>
      <c r="R31" s="12" t="s">
        <v>383</v>
      </c>
      <c r="S31" s="12" t="s">
        <v>384</v>
      </c>
      <c r="T31" s="12" t="s">
        <v>385</v>
      </c>
      <c r="U31" s="12" t="s">
        <v>53</v>
      </c>
      <c r="V31" s="12">
        <v>24</v>
      </c>
      <c r="W31" s="97" t="s">
        <v>332</v>
      </c>
      <c r="X31" s="61"/>
      <c r="Y31" s="13" t="s">
        <v>386</v>
      </c>
      <c r="Z31" s="12" t="s">
        <v>208</v>
      </c>
      <c r="AA31" s="12"/>
      <c r="AB31" s="12" t="s">
        <v>166</v>
      </c>
      <c r="AC31" s="12"/>
      <c r="AD31" s="12" t="s">
        <v>79</v>
      </c>
      <c r="AE31" s="12" t="s">
        <v>176</v>
      </c>
      <c r="AF31" s="12" t="s">
        <v>100</v>
      </c>
      <c r="AG31" s="12">
        <v>6</v>
      </c>
      <c r="AH31" s="12"/>
      <c r="AI31" s="12"/>
      <c r="AJ31" s="12"/>
      <c r="AK31" s="12"/>
      <c r="AL31" s="13"/>
      <c r="AM31" s="23" t="s">
        <v>387</v>
      </c>
      <c r="AN31" s="64" t="s">
        <v>388</v>
      </c>
      <c r="AO31" s="64" t="s">
        <v>159</v>
      </c>
    </row>
    <row r="32" spans="1:41" ht="39.6" x14ac:dyDescent="0.3">
      <c r="A32" s="65"/>
      <c r="B32" s="12"/>
      <c r="C32" s="12" t="s">
        <v>307</v>
      </c>
      <c r="D32" s="12" t="s">
        <v>308</v>
      </c>
      <c r="E32" s="12" t="s">
        <v>389</v>
      </c>
      <c r="F32" s="12" t="s">
        <v>390</v>
      </c>
      <c r="G32" s="12" t="s">
        <v>45</v>
      </c>
      <c r="H32" s="12" t="s">
        <v>390</v>
      </c>
      <c r="I32" s="61">
        <v>44978</v>
      </c>
      <c r="J32" s="14">
        <f>_xlfn.ISOWEEKNUM(Base_Accidentes_2023[[#This Row],[Fecha]])</f>
        <v>8</v>
      </c>
      <c r="K32" s="12"/>
      <c r="L32" s="12"/>
      <c r="M32" s="12"/>
      <c r="N32" s="56"/>
      <c r="O32" s="12" t="s">
        <v>148</v>
      </c>
      <c r="P32" s="12" t="s">
        <v>88</v>
      </c>
      <c r="Q32" s="12" t="s">
        <v>308</v>
      </c>
      <c r="R32" s="12" t="s">
        <v>391</v>
      </c>
      <c r="S32" s="12" t="s">
        <v>392</v>
      </c>
      <c r="T32" s="12" t="s">
        <v>393</v>
      </c>
      <c r="U32" s="12" t="s">
        <v>53</v>
      </c>
      <c r="V32" s="12">
        <v>25</v>
      </c>
      <c r="W32" s="46" t="s">
        <v>394</v>
      </c>
      <c r="X32" s="61"/>
      <c r="Y32" s="13" t="s">
        <v>395</v>
      </c>
      <c r="Z32" s="12" t="s">
        <v>186</v>
      </c>
      <c r="AA32" s="12"/>
      <c r="AB32" s="12" t="s">
        <v>166</v>
      </c>
      <c r="AC32" s="12"/>
      <c r="AD32" s="12" t="s">
        <v>79</v>
      </c>
      <c r="AE32" s="12" t="s">
        <v>77</v>
      </c>
      <c r="AF32" s="12" t="s">
        <v>80</v>
      </c>
      <c r="AG32" s="12">
        <v>37</v>
      </c>
      <c r="AH32" s="12"/>
      <c r="AI32" s="12"/>
      <c r="AJ32" s="12"/>
      <c r="AK32" s="12"/>
      <c r="AL32" s="13"/>
      <c r="AM32" s="23" t="s">
        <v>396</v>
      </c>
      <c r="AN32" s="64" t="s">
        <v>397</v>
      </c>
      <c r="AO32" s="64" t="s">
        <v>159</v>
      </c>
    </row>
    <row r="33" spans="1:41" ht="39.6" x14ac:dyDescent="0.3">
      <c r="A33" s="65"/>
      <c r="B33" s="12"/>
      <c r="C33" s="12" t="s">
        <v>41</v>
      </c>
      <c r="D33" s="12" t="s">
        <v>143</v>
      </c>
      <c r="E33" s="12" t="s">
        <v>144</v>
      </c>
      <c r="F33" s="12" t="s">
        <v>225</v>
      </c>
      <c r="G33" s="12" t="s">
        <v>45</v>
      </c>
      <c r="H33" s="12" t="s">
        <v>398</v>
      </c>
      <c r="I33" s="61">
        <v>44992</v>
      </c>
      <c r="J33" s="14">
        <f>_xlfn.ISOWEEKNUM(Base_Accidentes_2023[[#This Row],[Fecha]])</f>
        <v>10</v>
      </c>
      <c r="K33" s="12"/>
      <c r="L33" s="12"/>
      <c r="M33" s="12"/>
      <c r="N33" s="56"/>
      <c r="O33" s="12" t="s">
        <v>216</v>
      </c>
      <c r="P33" s="12" t="s">
        <v>88</v>
      </c>
      <c r="Q33" s="12" t="s">
        <v>149</v>
      </c>
      <c r="R33" s="12" t="s">
        <v>399</v>
      </c>
      <c r="S33" s="12" t="s">
        <v>400</v>
      </c>
      <c r="T33" s="12" t="s">
        <v>401</v>
      </c>
      <c r="U33" s="12" t="s">
        <v>53</v>
      </c>
      <c r="V33" s="12">
        <v>45</v>
      </c>
      <c r="W33" s="98" t="s">
        <v>332</v>
      </c>
      <c r="X33" s="61"/>
      <c r="Y33" s="13" t="s">
        <v>402</v>
      </c>
      <c r="Z33" s="12" t="s">
        <v>208</v>
      </c>
      <c r="AA33" s="12"/>
      <c r="AB33" s="12" t="s">
        <v>138</v>
      </c>
      <c r="AC33" s="12"/>
      <c r="AD33" s="12" t="s">
        <v>79</v>
      </c>
      <c r="AE33" s="12" t="s">
        <v>176</v>
      </c>
      <c r="AF33" s="12" t="s">
        <v>100</v>
      </c>
      <c r="AG33" s="12">
        <v>12</v>
      </c>
      <c r="AH33" s="12"/>
      <c r="AI33" s="12"/>
      <c r="AJ33" s="12"/>
      <c r="AK33" s="12"/>
      <c r="AL33" s="13"/>
      <c r="AM33" s="23" t="s">
        <v>403</v>
      </c>
      <c r="AN33" s="64" t="s">
        <v>404</v>
      </c>
      <c r="AO33" s="64"/>
    </row>
    <row r="34" spans="1:41" ht="39.6" x14ac:dyDescent="0.3">
      <c r="A34" s="65"/>
      <c r="B34" s="12"/>
      <c r="C34" s="12" t="s">
        <v>41</v>
      </c>
      <c r="D34" s="12" t="s">
        <v>143</v>
      </c>
      <c r="E34" s="12" t="s">
        <v>144</v>
      </c>
      <c r="F34" s="12" t="s">
        <v>364</v>
      </c>
      <c r="G34" s="12" t="s">
        <v>45</v>
      </c>
      <c r="H34" s="12" t="s">
        <v>405</v>
      </c>
      <c r="I34" s="61">
        <v>44992</v>
      </c>
      <c r="J34" s="14">
        <f>_xlfn.ISOWEEKNUM(Base_Accidentes_2023[[#This Row],[Fecha]])</f>
        <v>10</v>
      </c>
      <c r="K34" s="12"/>
      <c r="L34" s="12"/>
      <c r="M34" s="12"/>
      <c r="N34" s="56"/>
      <c r="O34" s="12" t="s">
        <v>216</v>
      </c>
      <c r="P34" s="12" t="s">
        <v>88</v>
      </c>
      <c r="Q34" s="12" t="s">
        <v>149</v>
      </c>
      <c r="R34" s="12" t="s">
        <v>406</v>
      </c>
      <c r="S34" s="12" t="s">
        <v>407</v>
      </c>
      <c r="T34" s="12" t="s">
        <v>408</v>
      </c>
      <c r="U34" s="12" t="s">
        <v>53</v>
      </c>
      <c r="V34" s="12">
        <v>45</v>
      </c>
      <c r="W34" s="98" t="s">
        <v>409</v>
      </c>
      <c r="X34" s="61"/>
      <c r="Y34" s="13" t="s">
        <v>410</v>
      </c>
      <c r="Z34" s="12" t="s">
        <v>411</v>
      </c>
      <c r="AA34" s="12"/>
      <c r="AB34" s="12" t="s">
        <v>166</v>
      </c>
      <c r="AC34" s="12"/>
      <c r="AD34" s="12" t="s">
        <v>79</v>
      </c>
      <c r="AE34" s="12" t="s">
        <v>176</v>
      </c>
      <c r="AF34" s="12" t="s">
        <v>100</v>
      </c>
      <c r="AG34" s="12">
        <v>8</v>
      </c>
      <c r="AH34" s="12"/>
      <c r="AI34" s="12"/>
      <c r="AJ34" s="12"/>
      <c r="AK34" s="12"/>
      <c r="AL34" s="13"/>
      <c r="AM34" s="23" t="s">
        <v>412</v>
      </c>
      <c r="AN34" s="64" t="s">
        <v>413</v>
      </c>
      <c r="AO34" s="64"/>
    </row>
    <row r="35" spans="1:41" ht="39.6" x14ac:dyDescent="0.3">
      <c r="A35" s="65"/>
      <c r="B35" s="12"/>
      <c r="C35" s="12" t="s">
        <v>41</v>
      </c>
      <c r="D35" s="12" t="s">
        <v>143</v>
      </c>
      <c r="E35" s="12" t="s">
        <v>336</v>
      </c>
      <c r="F35" s="12" t="s">
        <v>336</v>
      </c>
      <c r="G35" s="12" t="s">
        <v>45</v>
      </c>
      <c r="H35" s="12" t="s">
        <v>414</v>
      </c>
      <c r="I35" s="61">
        <v>45000</v>
      </c>
      <c r="J35" s="14">
        <f>_xlfn.ISOWEEKNUM(Base_Accidentes_2023[[#This Row],[Fecha]])</f>
        <v>11</v>
      </c>
      <c r="K35" s="12"/>
      <c r="L35" s="12"/>
      <c r="M35" s="12"/>
      <c r="N35" s="56"/>
      <c r="O35" s="12" t="s">
        <v>70</v>
      </c>
      <c r="P35" s="12" t="s">
        <v>88</v>
      </c>
      <c r="Q35" s="12" t="s">
        <v>149</v>
      </c>
      <c r="R35" s="12" t="s">
        <v>415</v>
      </c>
      <c r="S35" s="12" t="s">
        <v>416</v>
      </c>
      <c r="T35" s="12" t="s">
        <v>417</v>
      </c>
      <c r="U35" s="12" t="s">
        <v>53</v>
      </c>
      <c r="V35" s="12">
        <v>60</v>
      </c>
      <c r="W35" s="98" t="s">
        <v>418</v>
      </c>
      <c r="X35" s="61"/>
      <c r="Y35" s="13" t="s">
        <v>419</v>
      </c>
      <c r="Z35" s="12" t="s">
        <v>420</v>
      </c>
      <c r="AA35" s="12"/>
      <c r="AB35" s="12" t="s">
        <v>166</v>
      </c>
      <c r="AC35" s="12"/>
      <c r="AD35" s="12" t="s">
        <v>79</v>
      </c>
      <c r="AE35" s="12" t="s">
        <v>420</v>
      </c>
      <c r="AF35" s="12" t="s">
        <v>328</v>
      </c>
      <c r="AG35" s="12">
        <v>30</v>
      </c>
      <c r="AH35" s="12">
        <v>75</v>
      </c>
      <c r="AI35" s="12">
        <v>105</v>
      </c>
      <c r="AJ35" s="12"/>
      <c r="AK35" s="12"/>
      <c r="AL35" s="13"/>
      <c r="AM35" s="23" t="s">
        <v>421</v>
      </c>
      <c r="AN35" s="64" t="s">
        <v>422</v>
      </c>
      <c r="AO35" s="64"/>
    </row>
    <row r="36" spans="1:41" ht="20.399999999999999" x14ac:dyDescent="0.3">
      <c r="A36" s="65"/>
      <c r="B36" s="12"/>
      <c r="C36" s="12" t="s">
        <v>41</v>
      </c>
      <c r="D36" s="12" t="s">
        <v>143</v>
      </c>
      <c r="E36" s="12" t="s">
        <v>144</v>
      </c>
      <c r="F36" s="12" t="s">
        <v>145</v>
      </c>
      <c r="G36" s="12" t="s">
        <v>146</v>
      </c>
      <c r="H36" s="12" t="s">
        <v>423</v>
      </c>
      <c r="I36" s="61">
        <v>45023</v>
      </c>
      <c r="J36" s="14">
        <f>_xlfn.ISOWEEKNUM(Base_Accidentes_2023[[#This Row],[Fecha]])</f>
        <v>14</v>
      </c>
      <c r="K36" s="12"/>
      <c r="L36" s="12"/>
      <c r="M36" s="12"/>
      <c r="N36" s="56"/>
      <c r="O36" s="12" t="s">
        <v>70</v>
      </c>
      <c r="P36" s="12" t="s">
        <v>88</v>
      </c>
      <c r="Q36" s="12" t="s">
        <v>149</v>
      </c>
      <c r="R36" s="12" t="s">
        <v>424</v>
      </c>
      <c r="S36" s="12" t="s">
        <v>131</v>
      </c>
      <c r="T36" s="12" t="s">
        <v>425</v>
      </c>
      <c r="U36" s="12" t="s">
        <v>53</v>
      </c>
      <c r="V36" s="12">
        <v>30</v>
      </c>
      <c r="W36" s="98" t="s">
        <v>426</v>
      </c>
      <c r="X36" s="61"/>
      <c r="Y36" s="13" t="s">
        <v>427</v>
      </c>
      <c r="Z36" s="12" t="s">
        <v>208</v>
      </c>
      <c r="AA36" s="12"/>
      <c r="AB36" s="12" t="s">
        <v>187</v>
      </c>
      <c r="AC36" s="12"/>
      <c r="AD36" s="12" t="s">
        <v>146</v>
      </c>
      <c r="AE36" s="12" t="s">
        <v>428</v>
      </c>
      <c r="AF36" s="12" t="s">
        <v>62</v>
      </c>
      <c r="AG36" s="12">
        <v>5</v>
      </c>
      <c r="AH36" s="12"/>
      <c r="AI36" s="12">
        <v>5</v>
      </c>
      <c r="AJ36" s="12"/>
      <c r="AK36" s="12"/>
      <c r="AL36" s="13"/>
      <c r="AM36" s="23" t="s">
        <v>429</v>
      </c>
      <c r="AN36" s="64" t="s">
        <v>430</v>
      </c>
      <c r="AO36" s="64"/>
    </row>
    <row r="37" spans="1:41" ht="39.6" x14ac:dyDescent="0.3">
      <c r="A37" s="65"/>
      <c r="B37" s="12"/>
      <c r="C37" s="12" t="s">
        <v>41</v>
      </c>
      <c r="D37" s="12" t="s">
        <v>143</v>
      </c>
      <c r="E37" s="12" t="s">
        <v>431</v>
      </c>
      <c r="F37" s="12" t="s">
        <v>432</v>
      </c>
      <c r="G37" s="12" t="s">
        <v>263</v>
      </c>
      <c r="H37" s="12" t="s">
        <v>433</v>
      </c>
      <c r="I37" s="61">
        <v>45026</v>
      </c>
      <c r="J37" s="14">
        <f>_xlfn.ISOWEEKNUM(Base_Accidentes_2023[[#This Row],[Fecha]])</f>
        <v>15</v>
      </c>
      <c r="K37" s="12"/>
      <c r="L37" s="12"/>
      <c r="M37" s="12"/>
      <c r="N37" s="56"/>
      <c r="O37" s="12" t="s">
        <v>216</v>
      </c>
      <c r="P37" s="12" t="s">
        <v>88</v>
      </c>
      <c r="Q37" s="12" t="s">
        <v>149</v>
      </c>
      <c r="R37" s="12"/>
      <c r="S37" s="12"/>
      <c r="T37" s="110" t="s">
        <v>434</v>
      </c>
      <c r="U37" s="12" t="s">
        <v>53</v>
      </c>
      <c r="V37" s="12"/>
      <c r="W37" s="98" t="s">
        <v>435</v>
      </c>
      <c r="X37" s="61"/>
      <c r="Y37" s="13" t="s">
        <v>436</v>
      </c>
      <c r="Z37" s="12" t="s">
        <v>208</v>
      </c>
      <c r="AA37" s="12"/>
      <c r="AB37" s="12" t="s">
        <v>187</v>
      </c>
      <c r="AC37" s="12"/>
      <c r="AD37" s="12" t="s">
        <v>79</v>
      </c>
      <c r="AE37" s="12" t="s">
        <v>437</v>
      </c>
      <c r="AF37" s="12" t="s">
        <v>233</v>
      </c>
      <c r="AG37" s="12">
        <v>1</v>
      </c>
      <c r="AH37" s="12"/>
      <c r="AI37" s="12">
        <v>1</v>
      </c>
      <c r="AJ37" s="12"/>
      <c r="AK37" s="12"/>
      <c r="AL37" s="13"/>
      <c r="AM37" s="23" t="s">
        <v>438</v>
      </c>
      <c r="AN37" s="64" t="s">
        <v>439</v>
      </c>
      <c r="AO37" s="64"/>
    </row>
    <row r="38" spans="1:41" ht="39.6" x14ac:dyDescent="0.3">
      <c r="A38" s="65"/>
      <c r="B38" s="12"/>
      <c r="C38" s="12" t="s">
        <v>66</v>
      </c>
      <c r="D38" s="12" t="s">
        <v>67</v>
      </c>
      <c r="E38" s="12"/>
      <c r="F38" s="12" t="s">
        <v>68</v>
      </c>
      <c r="G38" s="12" t="s">
        <v>127</v>
      </c>
      <c r="H38" s="12" t="s">
        <v>440</v>
      </c>
      <c r="I38" s="61">
        <v>45090</v>
      </c>
      <c r="J38" s="14">
        <f>_xlfn.ISOWEEKNUM(Base_Accidentes_2023[[#This Row],[Fecha]])</f>
        <v>24</v>
      </c>
      <c r="K38" s="12"/>
      <c r="L38" s="12"/>
      <c r="M38" s="12"/>
      <c r="N38" s="56"/>
      <c r="O38" s="12" t="s">
        <v>70</v>
      </c>
      <c r="P38" s="12" t="s">
        <v>338</v>
      </c>
      <c r="Q38" s="12"/>
      <c r="R38" s="12"/>
      <c r="S38" s="12"/>
      <c r="T38" s="12" t="s">
        <v>441</v>
      </c>
      <c r="U38" s="12" t="s">
        <v>109</v>
      </c>
      <c r="V38" s="12">
        <v>43</v>
      </c>
      <c r="W38" s="48" t="s">
        <v>362</v>
      </c>
      <c r="X38" s="61"/>
      <c r="Y38" s="13" t="s">
        <v>442</v>
      </c>
      <c r="Z38" s="12" t="s">
        <v>443</v>
      </c>
      <c r="AA38" s="12"/>
      <c r="AB38" s="12" t="s">
        <v>78</v>
      </c>
      <c r="AC38" s="12"/>
      <c r="AD38" s="12" t="s">
        <v>79</v>
      </c>
      <c r="AE38" s="12" t="s">
        <v>443</v>
      </c>
      <c r="AF38" s="12" t="s">
        <v>116</v>
      </c>
      <c r="AG38" s="12">
        <v>7</v>
      </c>
      <c r="AH38" s="12"/>
      <c r="AI38" s="12">
        <v>7</v>
      </c>
      <c r="AJ38" s="12"/>
      <c r="AK38" s="12"/>
      <c r="AL38" s="13"/>
      <c r="AM38" s="23" t="s">
        <v>177</v>
      </c>
      <c r="AN38" s="64" t="s">
        <v>444</v>
      </c>
      <c r="AO38" s="64" t="s">
        <v>83</v>
      </c>
    </row>
    <row r="39" spans="1:41" ht="20.399999999999999" x14ac:dyDescent="0.3">
      <c r="A39" s="65"/>
      <c r="B39" s="12"/>
      <c r="C39" s="12" t="s">
        <v>41</v>
      </c>
      <c r="D39" s="12" t="s">
        <v>143</v>
      </c>
      <c r="E39" s="12" t="s">
        <v>144</v>
      </c>
      <c r="F39" s="12" t="s">
        <v>180</v>
      </c>
      <c r="G39" s="12" t="s">
        <v>102</v>
      </c>
      <c r="H39" s="12" t="s">
        <v>445</v>
      </c>
      <c r="I39" s="61">
        <v>45037</v>
      </c>
      <c r="J39" s="14">
        <f>_xlfn.ISOWEEKNUM(Base_Accidentes_2023[[#This Row],[Fecha]])</f>
        <v>16</v>
      </c>
      <c r="K39" s="12"/>
      <c r="L39" s="12"/>
      <c r="M39" s="12"/>
      <c r="N39" s="56"/>
      <c r="O39" s="12" t="s">
        <v>216</v>
      </c>
      <c r="P39" s="12" t="s">
        <v>88</v>
      </c>
      <c r="Q39" s="12" t="s">
        <v>149</v>
      </c>
      <c r="R39" s="12"/>
      <c r="S39" s="12"/>
      <c r="T39" s="12" t="s">
        <v>446</v>
      </c>
      <c r="U39" s="12" t="s">
        <v>53</v>
      </c>
      <c r="V39" s="12"/>
      <c r="W39" s="98" t="s">
        <v>447</v>
      </c>
      <c r="X39" s="61"/>
      <c r="Y39" s="107" t="s">
        <v>448</v>
      </c>
      <c r="Z39" s="12" t="s">
        <v>155</v>
      </c>
      <c r="AA39" s="12"/>
      <c r="AB39" s="12" t="s">
        <v>78</v>
      </c>
      <c r="AC39" s="12"/>
      <c r="AD39" s="12" t="s">
        <v>175</v>
      </c>
      <c r="AE39" s="12" t="s">
        <v>156</v>
      </c>
      <c r="AF39" s="12" t="s">
        <v>116</v>
      </c>
      <c r="AG39" s="12">
        <v>14</v>
      </c>
      <c r="AH39" s="12"/>
      <c r="AI39" s="12">
        <v>14</v>
      </c>
      <c r="AJ39" s="12"/>
      <c r="AK39" s="12"/>
      <c r="AL39" s="13"/>
      <c r="AM39" s="23" t="s">
        <v>449</v>
      </c>
      <c r="AN39" s="64" t="s">
        <v>296</v>
      </c>
      <c r="AO39" s="64"/>
    </row>
    <row r="40" spans="1:41" ht="39.6" x14ac:dyDescent="0.3">
      <c r="A40" s="65"/>
      <c r="B40" s="12"/>
      <c r="C40" s="12" t="s">
        <v>41</v>
      </c>
      <c r="D40" s="12" t="s">
        <v>143</v>
      </c>
      <c r="E40" s="12" t="s">
        <v>144</v>
      </c>
      <c r="F40" s="12" t="s">
        <v>225</v>
      </c>
      <c r="G40" s="12" t="s">
        <v>45</v>
      </c>
      <c r="H40" s="12" t="s">
        <v>450</v>
      </c>
      <c r="I40" s="61">
        <v>45041</v>
      </c>
      <c r="J40" s="14">
        <f>_xlfn.ISOWEEKNUM(Base_Accidentes_2023[[#This Row],[Fecha]])</f>
        <v>17</v>
      </c>
      <c r="K40" s="12"/>
      <c r="L40" s="12"/>
      <c r="M40" s="12"/>
      <c r="N40" s="56"/>
      <c r="O40" s="12" t="s">
        <v>70</v>
      </c>
      <c r="P40" s="12" t="s">
        <v>88</v>
      </c>
      <c r="Q40" s="12" t="s">
        <v>149</v>
      </c>
      <c r="R40" s="12"/>
      <c r="S40" s="12"/>
      <c r="T40" s="12" t="s">
        <v>446</v>
      </c>
      <c r="U40" s="12" t="s">
        <v>53</v>
      </c>
      <c r="V40" s="12"/>
      <c r="W40" s="99" t="s">
        <v>451</v>
      </c>
      <c r="X40" s="61"/>
      <c r="Y40" s="13" t="s">
        <v>452</v>
      </c>
      <c r="Z40" s="12" t="s">
        <v>208</v>
      </c>
      <c r="AA40" s="12"/>
      <c r="AB40" s="12" t="s">
        <v>231</v>
      </c>
      <c r="AC40" s="12"/>
      <c r="AD40" s="12" t="s">
        <v>79</v>
      </c>
      <c r="AE40" s="12" t="s">
        <v>437</v>
      </c>
      <c r="AF40" s="12" t="s">
        <v>233</v>
      </c>
      <c r="AG40" s="12">
        <v>2</v>
      </c>
      <c r="AH40" s="12"/>
      <c r="AI40" s="12">
        <v>2</v>
      </c>
      <c r="AJ40" s="12"/>
      <c r="AK40" s="12"/>
      <c r="AL40" s="13"/>
      <c r="AM40" s="23" t="s">
        <v>453</v>
      </c>
      <c r="AN40" s="64" t="s">
        <v>454</v>
      </c>
      <c r="AO40" s="64"/>
    </row>
    <row r="41" spans="1:41" ht="41.4" x14ac:dyDescent="0.3">
      <c r="A41" s="65"/>
      <c r="B41" s="12"/>
      <c r="C41" s="12" t="s">
        <v>307</v>
      </c>
      <c r="D41" s="12" t="s">
        <v>308</v>
      </c>
      <c r="E41" s="12" t="s">
        <v>307</v>
      </c>
      <c r="F41" s="12" t="s">
        <v>308</v>
      </c>
      <c r="G41" s="12"/>
      <c r="H41" s="12" t="s">
        <v>455</v>
      </c>
      <c r="I41" s="61">
        <v>44995</v>
      </c>
      <c r="J41" s="14">
        <f>_xlfn.ISOWEEKNUM(Base_Accidentes_2023[[#This Row],[Fecha]])</f>
        <v>10</v>
      </c>
      <c r="K41" s="12"/>
      <c r="L41" s="12"/>
      <c r="M41" s="12"/>
      <c r="N41" s="56"/>
      <c r="O41" s="12" t="s">
        <v>70</v>
      </c>
      <c r="P41" s="12" t="s">
        <v>88</v>
      </c>
      <c r="Q41" s="12" t="s">
        <v>308</v>
      </c>
      <c r="R41" s="12" t="s">
        <v>456</v>
      </c>
      <c r="S41" s="12" t="s">
        <v>457</v>
      </c>
      <c r="T41" s="12" t="s">
        <v>458</v>
      </c>
      <c r="U41" s="12" t="s">
        <v>109</v>
      </c>
      <c r="V41" s="12">
        <v>23</v>
      </c>
      <c r="W41" s="46" t="s">
        <v>459</v>
      </c>
      <c r="X41" s="61"/>
      <c r="Y41" s="13" t="s">
        <v>460</v>
      </c>
      <c r="Z41" s="12" t="s">
        <v>208</v>
      </c>
      <c r="AA41" s="12"/>
      <c r="AB41" s="12" t="s">
        <v>187</v>
      </c>
      <c r="AC41" s="12"/>
      <c r="AD41" s="12" t="s">
        <v>79</v>
      </c>
      <c r="AE41" s="12" t="s">
        <v>461</v>
      </c>
      <c r="AF41" s="12" t="s">
        <v>100</v>
      </c>
      <c r="AG41" s="12">
        <v>2</v>
      </c>
      <c r="AH41" s="12"/>
      <c r="AI41" s="12"/>
      <c r="AJ41" s="12"/>
      <c r="AK41" s="12"/>
      <c r="AL41" s="13"/>
      <c r="AM41" s="23" t="s">
        <v>462</v>
      </c>
      <c r="AN41" s="64" t="s">
        <v>463</v>
      </c>
      <c r="AO41" s="64" t="s">
        <v>464</v>
      </c>
    </row>
    <row r="42" spans="1:41" ht="30" customHeight="1" x14ac:dyDescent="0.3">
      <c r="A42" s="65"/>
      <c r="B42" s="12"/>
      <c r="C42" s="12" t="s">
        <v>465</v>
      </c>
      <c r="D42" s="12" t="s">
        <v>308</v>
      </c>
      <c r="E42" s="12" t="s">
        <v>465</v>
      </c>
      <c r="F42" s="12" t="s">
        <v>465</v>
      </c>
      <c r="G42" s="12"/>
      <c r="H42" s="12" t="s">
        <v>466</v>
      </c>
      <c r="I42" s="61">
        <v>44996</v>
      </c>
      <c r="J42" s="14">
        <f>_xlfn.ISOWEEKNUM(Base_Accidentes_2023[[#This Row],[Fecha]])</f>
        <v>10</v>
      </c>
      <c r="K42" s="12"/>
      <c r="L42" s="12"/>
      <c r="M42" s="12"/>
      <c r="N42" s="56"/>
      <c r="O42" s="12" t="s">
        <v>70</v>
      </c>
      <c r="P42" s="12" t="s">
        <v>88</v>
      </c>
      <c r="Q42" s="12" t="s">
        <v>466</v>
      </c>
      <c r="R42" s="12" t="s">
        <v>467</v>
      </c>
      <c r="S42" s="12" t="s">
        <v>468</v>
      </c>
      <c r="T42" s="12" t="s">
        <v>469</v>
      </c>
      <c r="U42" s="12" t="s">
        <v>53</v>
      </c>
      <c r="V42" s="12">
        <v>23</v>
      </c>
      <c r="W42" s="44" t="s">
        <v>470</v>
      </c>
      <c r="X42" s="61"/>
      <c r="Y42" s="13" t="s">
        <v>471</v>
      </c>
      <c r="Z42" s="12" t="s">
        <v>345</v>
      </c>
      <c r="AA42" s="12"/>
      <c r="AB42" s="12" t="s">
        <v>78</v>
      </c>
      <c r="AC42" s="12"/>
      <c r="AD42" s="12" t="s">
        <v>175</v>
      </c>
      <c r="AE42" s="12" t="s">
        <v>156</v>
      </c>
      <c r="AF42" s="12" t="s">
        <v>116</v>
      </c>
      <c r="AG42" s="12">
        <v>7</v>
      </c>
      <c r="AH42" s="12"/>
      <c r="AI42" s="12"/>
      <c r="AJ42" s="12"/>
      <c r="AK42" s="12"/>
      <c r="AL42" s="13"/>
      <c r="AM42" s="23" t="s">
        <v>453</v>
      </c>
      <c r="AN42" s="64" t="s">
        <v>472</v>
      </c>
      <c r="AO42" s="64"/>
    </row>
    <row r="43" spans="1:41" ht="39.6" x14ac:dyDescent="0.3">
      <c r="A43" s="65"/>
      <c r="B43" s="12"/>
      <c r="C43" s="12" t="s">
        <v>41</v>
      </c>
      <c r="D43" s="12" t="s">
        <v>143</v>
      </c>
      <c r="E43" s="12" t="s">
        <v>144</v>
      </c>
      <c r="F43" s="12" t="s">
        <v>145</v>
      </c>
      <c r="G43" s="12" t="s">
        <v>45</v>
      </c>
      <c r="H43" s="12" t="s">
        <v>473</v>
      </c>
      <c r="I43" s="61">
        <v>45064</v>
      </c>
      <c r="J43" s="14">
        <f>_xlfn.ISOWEEKNUM(Base_Accidentes_2023[[#This Row],[Fecha]])</f>
        <v>20</v>
      </c>
      <c r="K43" s="12"/>
      <c r="L43" s="12"/>
      <c r="M43" s="12"/>
      <c r="N43" s="56"/>
      <c r="O43" s="12" t="s">
        <v>216</v>
      </c>
      <c r="P43" s="12" t="s">
        <v>88</v>
      </c>
      <c r="Q43" s="12"/>
      <c r="R43" s="12"/>
      <c r="S43" s="12"/>
      <c r="T43" s="12" t="s">
        <v>474</v>
      </c>
      <c r="U43" s="12" t="s">
        <v>109</v>
      </c>
      <c r="V43" s="12"/>
      <c r="W43" s="98" t="s">
        <v>54</v>
      </c>
      <c r="X43" s="61"/>
      <c r="Y43" s="13" t="s">
        <v>475</v>
      </c>
      <c r="Z43" s="12" t="s">
        <v>186</v>
      </c>
      <c r="AA43" s="12"/>
      <c r="AB43" s="12" t="s">
        <v>166</v>
      </c>
      <c r="AC43" s="12"/>
      <c r="AD43" s="12" t="s">
        <v>79</v>
      </c>
      <c r="AE43" s="12" t="s">
        <v>476</v>
      </c>
      <c r="AF43" s="12" t="s">
        <v>100</v>
      </c>
      <c r="AG43" s="12">
        <v>10</v>
      </c>
      <c r="AH43" s="12"/>
      <c r="AI43" s="12">
        <v>10</v>
      </c>
      <c r="AJ43" s="12"/>
      <c r="AK43" s="12"/>
      <c r="AL43" s="13"/>
      <c r="AM43" s="23" t="s">
        <v>403</v>
      </c>
      <c r="AN43" s="64" t="s">
        <v>477</v>
      </c>
      <c r="AO43" s="64"/>
    </row>
    <row r="44" spans="1:41" ht="40.35" customHeight="1" x14ac:dyDescent="0.3">
      <c r="A44" s="65"/>
      <c r="B44" s="12"/>
      <c r="C44" s="12" t="s">
        <v>41</v>
      </c>
      <c r="D44" s="12" t="s">
        <v>143</v>
      </c>
      <c r="E44" s="12" t="s">
        <v>478</v>
      </c>
      <c r="F44" s="12" t="s">
        <v>479</v>
      </c>
      <c r="G44" s="12" t="s">
        <v>102</v>
      </c>
      <c r="H44" s="12" t="s">
        <v>480</v>
      </c>
      <c r="I44" s="61">
        <v>45069</v>
      </c>
      <c r="J44" s="14">
        <f>_xlfn.ISOWEEKNUM(Base_Accidentes_2023[[#This Row],[Fecha]])</f>
        <v>21</v>
      </c>
      <c r="K44" s="12"/>
      <c r="L44" s="12"/>
      <c r="M44" s="12"/>
      <c r="N44" s="56"/>
      <c r="O44" s="12" t="s">
        <v>70</v>
      </c>
      <c r="P44" s="12" t="s">
        <v>338</v>
      </c>
      <c r="Q44" s="12" t="s">
        <v>481</v>
      </c>
      <c r="R44" s="12"/>
      <c r="S44" s="12"/>
      <c r="T44" s="12" t="s">
        <v>482</v>
      </c>
      <c r="U44" s="12" t="s">
        <v>109</v>
      </c>
      <c r="V44" s="12"/>
      <c r="W44" s="98" t="s">
        <v>362</v>
      </c>
      <c r="X44" s="61"/>
      <c r="Y44" s="13" t="s">
        <v>483</v>
      </c>
      <c r="Z44" s="12" t="s">
        <v>155</v>
      </c>
      <c r="AA44" s="12"/>
      <c r="AB44" s="12" t="s">
        <v>78</v>
      </c>
      <c r="AC44" s="12"/>
      <c r="AD44" s="12" t="s">
        <v>79</v>
      </c>
      <c r="AE44" s="12" t="s">
        <v>156</v>
      </c>
      <c r="AF44" s="12" t="s">
        <v>116</v>
      </c>
      <c r="AG44" s="12">
        <v>17</v>
      </c>
      <c r="AH44" s="12"/>
      <c r="AI44" s="12">
        <v>17</v>
      </c>
      <c r="AJ44" s="12"/>
      <c r="AK44" s="12"/>
      <c r="AL44" s="13"/>
      <c r="AM44" s="23"/>
      <c r="AN44" s="64" t="s">
        <v>178</v>
      </c>
      <c r="AO44" s="64" t="s">
        <v>83</v>
      </c>
    </row>
    <row r="45" spans="1:41" ht="42.6" customHeight="1" x14ac:dyDescent="0.3">
      <c r="A45" s="65"/>
      <c r="B45" s="12"/>
      <c r="C45" s="12" t="s">
        <v>465</v>
      </c>
      <c r="D45" s="12" t="s">
        <v>308</v>
      </c>
      <c r="E45" s="12" t="s">
        <v>465</v>
      </c>
      <c r="F45" s="12" t="s">
        <v>465</v>
      </c>
      <c r="G45" s="12" t="s">
        <v>45</v>
      </c>
      <c r="H45" s="12" t="s">
        <v>466</v>
      </c>
      <c r="I45" s="61">
        <v>45007</v>
      </c>
      <c r="J45" s="14">
        <f>_xlfn.ISOWEEKNUM(Base_Accidentes_2023[[#This Row],[Fecha]])</f>
        <v>12</v>
      </c>
      <c r="K45" s="12"/>
      <c r="L45" s="12"/>
      <c r="M45" s="12"/>
      <c r="N45" s="56"/>
      <c r="O45" s="12" t="s">
        <v>216</v>
      </c>
      <c r="P45" s="12" t="s">
        <v>88</v>
      </c>
      <c r="Q45" s="12" t="s">
        <v>466</v>
      </c>
      <c r="R45" s="12" t="s">
        <v>484</v>
      </c>
      <c r="S45" s="12" t="s">
        <v>485</v>
      </c>
      <c r="T45" s="12" t="s">
        <v>486</v>
      </c>
      <c r="U45" s="12" t="s">
        <v>53</v>
      </c>
      <c r="V45" s="12">
        <v>43</v>
      </c>
      <c r="W45" s="44" t="s">
        <v>487</v>
      </c>
      <c r="X45" s="61"/>
      <c r="Y45" s="13" t="s">
        <v>488</v>
      </c>
      <c r="Z45" s="12" t="s">
        <v>208</v>
      </c>
      <c r="AA45" s="12"/>
      <c r="AB45" s="12" t="s">
        <v>138</v>
      </c>
      <c r="AC45" s="12"/>
      <c r="AD45" s="12" t="s">
        <v>79</v>
      </c>
      <c r="AE45" s="12" t="s">
        <v>209</v>
      </c>
      <c r="AF45" s="12" t="s">
        <v>141</v>
      </c>
      <c r="AG45" s="12">
        <v>10</v>
      </c>
      <c r="AH45" s="12"/>
      <c r="AI45" s="12"/>
      <c r="AJ45" s="12"/>
      <c r="AK45" s="12"/>
      <c r="AL45" s="13"/>
      <c r="AM45" s="23" t="s">
        <v>305</v>
      </c>
      <c r="AN45" s="64" t="s">
        <v>489</v>
      </c>
      <c r="AO45" s="64"/>
    </row>
    <row r="46" spans="1:41" ht="33" customHeight="1" x14ac:dyDescent="0.3">
      <c r="A46" s="65"/>
      <c r="B46" s="12"/>
      <c r="C46" s="12" t="s">
        <v>41</v>
      </c>
      <c r="D46" s="12" t="s">
        <v>490</v>
      </c>
      <c r="E46" s="12" t="s">
        <v>490</v>
      </c>
      <c r="F46" s="12" t="s">
        <v>490</v>
      </c>
      <c r="G46" s="12" t="s">
        <v>491</v>
      </c>
      <c r="H46" s="12" t="s">
        <v>492</v>
      </c>
      <c r="I46" s="61">
        <v>45056</v>
      </c>
      <c r="J46" s="14">
        <f>_xlfn.ISOWEEKNUM(Base_Accidentes_2023[[#This Row],[Fecha]])</f>
        <v>19</v>
      </c>
      <c r="K46" s="12"/>
      <c r="L46" s="12"/>
      <c r="M46" s="12"/>
      <c r="N46" s="56"/>
      <c r="O46" s="12" t="s">
        <v>70</v>
      </c>
      <c r="P46" s="12" t="s">
        <v>88</v>
      </c>
      <c r="Q46" s="12"/>
      <c r="R46" s="12"/>
      <c r="S46" s="12"/>
      <c r="T46" s="12" t="s">
        <v>493</v>
      </c>
      <c r="U46" s="12" t="s">
        <v>109</v>
      </c>
      <c r="V46" s="12"/>
      <c r="W46" s="42" t="s">
        <v>54</v>
      </c>
      <c r="X46" s="61"/>
      <c r="Y46" s="13" t="s">
        <v>494</v>
      </c>
      <c r="Z46" s="12" t="s">
        <v>345</v>
      </c>
      <c r="AA46" s="12"/>
      <c r="AB46" s="12" t="s">
        <v>138</v>
      </c>
      <c r="AC46" s="12"/>
      <c r="AD46" s="12" t="s">
        <v>175</v>
      </c>
      <c r="AE46" s="12" t="s">
        <v>461</v>
      </c>
      <c r="AF46" s="12" t="s">
        <v>100</v>
      </c>
      <c r="AG46" s="12">
        <v>20</v>
      </c>
      <c r="AH46" s="12"/>
      <c r="AI46" s="12">
        <v>20</v>
      </c>
      <c r="AJ46" s="12"/>
      <c r="AK46" s="12"/>
      <c r="AL46" s="13"/>
      <c r="AM46" s="23" t="s">
        <v>412</v>
      </c>
      <c r="AN46" s="64" t="s">
        <v>444</v>
      </c>
      <c r="AO46" s="64"/>
    </row>
    <row r="47" spans="1:41" ht="79.2" x14ac:dyDescent="0.3">
      <c r="A47" s="65">
        <v>6</v>
      </c>
      <c r="B47" s="12" t="s">
        <v>495</v>
      </c>
      <c r="C47" s="12" t="s">
        <v>41</v>
      </c>
      <c r="D47" s="12" t="s">
        <v>42</v>
      </c>
      <c r="E47" s="12" t="s">
        <v>43</v>
      </c>
      <c r="F47" s="12" t="s">
        <v>262</v>
      </c>
      <c r="G47" s="12" t="s">
        <v>263</v>
      </c>
      <c r="H47" s="12" t="s">
        <v>496</v>
      </c>
      <c r="I47" s="61">
        <v>45055</v>
      </c>
      <c r="J47" s="14">
        <v>20</v>
      </c>
      <c r="K47" s="12">
        <v>9</v>
      </c>
      <c r="L47" s="12">
        <v>5</v>
      </c>
      <c r="M47" s="12">
        <v>2023</v>
      </c>
      <c r="N47" s="56">
        <v>0.3125</v>
      </c>
      <c r="O47" s="12" t="s">
        <v>87</v>
      </c>
      <c r="P47" s="12" t="s">
        <v>264</v>
      </c>
      <c r="Q47" s="12" t="s">
        <v>265</v>
      </c>
      <c r="R47" s="12" t="s">
        <v>497</v>
      </c>
      <c r="S47" s="12" t="s">
        <v>498</v>
      </c>
      <c r="T47" s="41" t="s">
        <v>499</v>
      </c>
      <c r="U47" s="12" t="s">
        <v>109</v>
      </c>
      <c r="V47" s="12">
        <v>27</v>
      </c>
      <c r="W47" s="12" t="s">
        <v>269</v>
      </c>
      <c r="X47" s="61"/>
      <c r="Y47" s="13" t="s">
        <v>500</v>
      </c>
      <c r="Z47" s="12" t="s">
        <v>94</v>
      </c>
      <c r="AA47" s="12" t="s">
        <v>113</v>
      </c>
      <c r="AB47" s="12" t="s">
        <v>78</v>
      </c>
      <c r="AC47" s="12" t="s">
        <v>501</v>
      </c>
      <c r="AD47" s="12" t="s">
        <v>60</v>
      </c>
      <c r="AE47" s="12" t="s">
        <v>502</v>
      </c>
      <c r="AF47" s="12" t="s">
        <v>100</v>
      </c>
      <c r="AG47" s="12">
        <v>8</v>
      </c>
      <c r="AH47" s="12">
        <v>0</v>
      </c>
      <c r="AI47" s="12">
        <v>8</v>
      </c>
      <c r="AJ47" s="12" t="s">
        <v>63</v>
      </c>
      <c r="AK47" s="12">
        <v>13</v>
      </c>
      <c r="AL47" s="13" t="s">
        <v>64</v>
      </c>
      <c r="AM47" s="23" t="s">
        <v>126</v>
      </c>
      <c r="AN47" s="64"/>
      <c r="AO47" s="64"/>
    </row>
    <row r="48" spans="1:41" ht="39.6" x14ac:dyDescent="0.3">
      <c r="A48" s="65"/>
      <c r="B48" s="12"/>
      <c r="C48" s="12" t="s">
        <v>66</v>
      </c>
      <c r="D48" s="12" t="s">
        <v>67</v>
      </c>
      <c r="E48" s="12"/>
      <c r="F48" s="12" t="s">
        <v>68</v>
      </c>
      <c r="G48" s="12"/>
      <c r="H48" s="12"/>
      <c r="I48" s="61">
        <v>45042</v>
      </c>
      <c r="J48" s="14">
        <f>_xlfn.ISOWEEKNUM(Base_Accidentes_2023[[#This Row],[Fecha]])</f>
        <v>17</v>
      </c>
      <c r="K48" s="12"/>
      <c r="L48" s="12"/>
      <c r="M48" s="12"/>
      <c r="N48" s="56"/>
      <c r="O48" s="12" t="s">
        <v>216</v>
      </c>
      <c r="P48" s="12" t="s">
        <v>88</v>
      </c>
      <c r="Q48" s="12" t="s">
        <v>503</v>
      </c>
      <c r="R48" s="12"/>
      <c r="S48" s="12"/>
      <c r="T48" s="12" t="s">
        <v>504</v>
      </c>
      <c r="U48" s="12" t="s">
        <v>53</v>
      </c>
      <c r="V48" s="12"/>
      <c r="W48" s="67" t="s">
        <v>505</v>
      </c>
      <c r="X48" s="61"/>
      <c r="Y48" s="13" t="s">
        <v>506</v>
      </c>
      <c r="Z48" s="12" t="s">
        <v>507</v>
      </c>
      <c r="AA48" s="12"/>
      <c r="AB48" s="12" t="s">
        <v>346</v>
      </c>
      <c r="AC48" s="12"/>
      <c r="AD48" s="12" t="s">
        <v>79</v>
      </c>
      <c r="AE48" s="12" t="s">
        <v>508</v>
      </c>
      <c r="AF48" s="12" t="s">
        <v>100</v>
      </c>
      <c r="AG48" s="12">
        <v>16</v>
      </c>
      <c r="AH48" s="12"/>
      <c r="AI48" s="12">
        <v>16</v>
      </c>
      <c r="AJ48" s="12"/>
      <c r="AK48" s="12"/>
      <c r="AL48" s="13"/>
      <c r="AM48" s="23" t="s">
        <v>177</v>
      </c>
      <c r="AN48" s="64" t="s">
        <v>509</v>
      </c>
      <c r="AO48" s="64"/>
    </row>
    <row r="49" spans="1:41" ht="39.6" x14ac:dyDescent="0.3">
      <c r="A49" s="65"/>
      <c r="B49" s="12"/>
      <c r="C49" s="12" t="s">
        <v>41</v>
      </c>
      <c r="D49" s="12" t="s">
        <v>143</v>
      </c>
      <c r="E49" s="12" t="s">
        <v>144</v>
      </c>
      <c r="F49" s="12" t="s">
        <v>225</v>
      </c>
      <c r="G49" s="12" t="s">
        <v>510</v>
      </c>
      <c r="H49" s="12" t="s">
        <v>511</v>
      </c>
      <c r="I49" s="61">
        <v>45079</v>
      </c>
      <c r="J49" s="14">
        <f>_xlfn.ISOWEEKNUM(Base_Accidentes_2023[[#This Row],[Fecha]])</f>
        <v>22</v>
      </c>
      <c r="K49" s="12"/>
      <c r="L49" s="12"/>
      <c r="M49" s="12"/>
      <c r="N49" s="56"/>
      <c r="O49" s="12" t="s">
        <v>70</v>
      </c>
      <c r="P49" s="12" t="s">
        <v>71</v>
      </c>
      <c r="Q49" s="12"/>
      <c r="R49" s="12"/>
      <c r="S49" s="12"/>
      <c r="T49" s="12" t="s">
        <v>512</v>
      </c>
      <c r="U49" s="12" t="s">
        <v>109</v>
      </c>
      <c r="V49" s="12"/>
      <c r="W49" s="100" t="s">
        <v>513</v>
      </c>
      <c r="X49" s="61"/>
      <c r="Y49" s="13" t="s">
        <v>514</v>
      </c>
      <c r="Z49" s="12" t="s">
        <v>515</v>
      </c>
      <c r="AA49" s="12"/>
      <c r="AB49" s="12" t="s">
        <v>166</v>
      </c>
      <c r="AC49" s="12"/>
      <c r="AD49" s="12" t="s">
        <v>79</v>
      </c>
      <c r="AE49" s="12" t="s">
        <v>515</v>
      </c>
      <c r="AF49" s="12" t="s">
        <v>516</v>
      </c>
      <c r="AG49" s="12">
        <v>10</v>
      </c>
      <c r="AH49" s="12"/>
      <c r="AI49" s="12">
        <v>10</v>
      </c>
      <c r="AJ49" s="12"/>
      <c r="AK49" s="12"/>
      <c r="AL49" s="13"/>
      <c r="AM49" s="23"/>
      <c r="AN49" s="64" t="s">
        <v>517</v>
      </c>
      <c r="AO49" s="64" t="s">
        <v>83</v>
      </c>
    </row>
    <row r="50" spans="1:41" ht="39.6" x14ac:dyDescent="0.3">
      <c r="A50" s="65"/>
      <c r="B50" s="12"/>
      <c r="C50" s="12" t="s">
        <v>307</v>
      </c>
      <c r="D50" s="12" t="s">
        <v>308</v>
      </c>
      <c r="E50" s="12" t="s">
        <v>307</v>
      </c>
      <c r="F50" s="12" t="s">
        <v>308</v>
      </c>
      <c r="G50" s="12" t="s">
        <v>45</v>
      </c>
      <c r="H50" s="12" t="s">
        <v>518</v>
      </c>
      <c r="I50" s="61">
        <v>45041</v>
      </c>
      <c r="J50" s="14">
        <f>_xlfn.ISOWEEKNUM(Base_Accidentes_2023[[#This Row],[Fecha]])</f>
        <v>17</v>
      </c>
      <c r="K50" s="12"/>
      <c r="L50" s="12"/>
      <c r="M50" s="12"/>
      <c r="N50" s="56"/>
      <c r="O50" s="12" t="s">
        <v>148</v>
      </c>
      <c r="P50" s="12" t="s">
        <v>88</v>
      </c>
      <c r="Q50" s="12" t="s">
        <v>308</v>
      </c>
      <c r="R50" s="12"/>
      <c r="S50" s="12"/>
      <c r="T50" s="12" t="s">
        <v>519</v>
      </c>
      <c r="U50" s="12" t="s">
        <v>53</v>
      </c>
      <c r="V50" s="12"/>
      <c r="W50" s="47" t="s">
        <v>520</v>
      </c>
      <c r="X50" s="61"/>
      <c r="Y50" s="13" t="s">
        <v>521</v>
      </c>
      <c r="Z50" s="12" t="s">
        <v>208</v>
      </c>
      <c r="AA50" s="12"/>
      <c r="AB50" s="12" t="s">
        <v>166</v>
      </c>
      <c r="AC50" s="12"/>
      <c r="AD50" s="12" t="s">
        <v>79</v>
      </c>
      <c r="AE50" s="12" t="s">
        <v>428</v>
      </c>
      <c r="AF50" s="12" t="s">
        <v>62</v>
      </c>
      <c r="AG50" s="12">
        <v>4</v>
      </c>
      <c r="AH50" s="12"/>
      <c r="AI50" s="12">
        <v>4</v>
      </c>
      <c r="AJ50" s="12"/>
      <c r="AK50" s="12"/>
      <c r="AL50" s="13"/>
      <c r="AM50" s="23" t="s">
        <v>522</v>
      </c>
      <c r="AN50" s="64" t="s">
        <v>523</v>
      </c>
      <c r="AO50" s="64" t="s">
        <v>159</v>
      </c>
    </row>
    <row r="51" spans="1:41" ht="39.6" x14ac:dyDescent="0.3">
      <c r="A51" s="65"/>
      <c r="B51" s="12"/>
      <c r="C51" s="12" t="s">
        <v>41</v>
      </c>
      <c r="D51" s="12" t="s">
        <v>143</v>
      </c>
      <c r="E51" s="12" t="s">
        <v>144</v>
      </c>
      <c r="F51" s="12" t="s">
        <v>145</v>
      </c>
      <c r="G51" s="12" t="s">
        <v>45</v>
      </c>
      <c r="H51" s="12" t="s">
        <v>524</v>
      </c>
      <c r="I51" s="61">
        <v>45081</v>
      </c>
      <c r="J51" s="14">
        <f>_xlfn.ISOWEEKNUM(Base_Accidentes_2023[[#This Row],[Fecha]])</f>
        <v>22</v>
      </c>
      <c r="K51" s="12"/>
      <c r="L51" s="12"/>
      <c r="M51" s="12"/>
      <c r="N51" s="56"/>
      <c r="O51" s="12" t="s">
        <v>216</v>
      </c>
      <c r="P51" s="12" t="s">
        <v>88</v>
      </c>
      <c r="Q51" s="12"/>
      <c r="R51" s="12"/>
      <c r="S51" s="12"/>
      <c r="T51" s="12" t="s">
        <v>525</v>
      </c>
      <c r="U51" s="12" t="s">
        <v>53</v>
      </c>
      <c r="V51" s="12">
        <v>27</v>
      </c>
      <c r="W51" s="100" t="s">
        <v>526</v>
      </c>
      <c r="X51" s="61"/>
      <c r="Y51" s="13" t="s">
        <v>527</v>
      </c>
      <c r="Z51" s="12" t="s">
        <v>186</v>
      </c>
      <c r="AA51" s="12"/>
      <c r="AB51" s="12" t="s">
        <v>166</v>
      </c>
      <c r="AC51" s="12"/>
      <c r="AD51" s="12" t="s">
        <v>79</v>
      </c>
      <c r="AE51" s="12" t="s">
        <v>461</v>
      </c>
      <c r="AF51" s="12" t="s">
        <v>100</v>
      </c>
      <c r="AG51" s="12">
        <v>34</v>
      </c>
      <c r="AH51" s="12"/>
      <c r="AI51" s="12">
        <v>34</v>
      </c>
      <c r="AJ51" s="12"/>
      <c r="AK51" s="12"/>
      <c r="AL51" s="13"/>
      <c r="AM51" s="23" t="s">
        <v>334</v>
      </c>
      <c r="AN51" s="64" t="s">
        <v>528</v>
      </c>
      <c r="AO51" s="64"/>
    </row>
    <row r="52" spans="1:41" ht="39.6" x14ac:dyDescent="0.3">
      <c r="A52" s="65"/>
      <c r="B52" s="12"/>
      <c r="C52" s="12" t="s">
        <v>307</v>
      </c>
      <c r="D52" s="12" t="s">
        <v>308</v>
      </c>
      <c r="E52" s="12" t="s">
        <v>307</v>
      </c>
      <c r="F52" s="12" t="s">
        <v>308</v>
      </c>
      <c r="G52" s="12"/>
      <c r="H52" s="12" t="s">
        <v>529</v>
      </c>
      <c r="I52" s="61">
        <v>45048</v>
      </c>
      <c r="J52" s="14">
        <f>_xlfn.ISOWEEKNUM(Base_Accidentes_2023[[#This Row],[Fecha]])</f>
        <v>18</v>
      </c>
      <c r="K52" s="12"/>
      <c r="L52" s="12"/>
      <c r="M52" s="12"/>
      <c r="N52" s="56"/>
      <c r="O52" s="12" t="s">
        <v>148</v>
      </c>
      <c r="P52" s="12" t="s">
        <v>88</v>
      </c>
      <c r="Q52" s="12"/>
      <c r="R52" s="12"/>
      <c r="S52" s="12"/>
      <c r="T52" s="12" t="s">
        <v>530</v>
      </c>
      <c r="U52" s="12" t="s">
        <v>53</v>
      </c>
      <c r="V52" s="12">
        <v>28</v>
      </c>
      <c r="W52" s="44" t="s">
        <v>531</v>
      </c>
      <c r="X52" s="61"/>
      <c r="Y52" s="13" t="s">
        <v>532</v>
      </c>
      <c r="Z52" s="12" t="s">
        <v>315</v>
      </c>
      <c r="AA52" s="12"/>
      <c r="AB52" s="12" t="s">
        <v>78</v>
      </c>
      <c r="AC52" s="12"/>
      <c r="AD52" s="12" t="s">
        <v>79</v>
      </c>
      <c r="AE52" s="12" t="s">
        <v>156</v>
      </c>
      <c r="AF52" s="12" t="s">
        <v>116</v>
      </c>
      <c r="AG52" s="12">
        <v>6</v>
      </c>
      <c r="AH52" s="12"/>
      <c r="AI52" s="12">
        <v>6</v>
      </c>
      <c r="AJ52" s="12"/>
      <c r="AK52" s="12"/>
      <c r="AL52" s="13"/>
      <c r="AM52" s="23" t="s">
        <v>533</v>
      </c>
      <c r="AN52" s="64" t="s">
        <v>534</v>
      </c>
      <c r="AO52" s="64"/>
    </row>
    <row r="53" spans="1:41" ht="39.6" x14ac:dyDescent="0.3">
      <c r="A53" s="65"/>
      <c r="B53" s="12"/>
      <c r="C53" s="12" t="s">
        <v>41</v>
      </c>
      <c r="D53" s="12" t="s">
        <v>143</v>
      </c>
      <c r="E53" s="12" t="s">
        <v>144</v>
      </c>
      <c r="F53" s="12" t="s">
        <v>535</v>
      </c>
      <c r="G53" s="12" t="s">
        <v>214</v>
      </c>
      <c r="H53" s="12" t="s">
        <v>536</v>
      </c>
      <c r="I53" s="61">
        <v>45090</v>
      </c>
      <c r="J53" s="14">
        <f>_xlfn.ISOWEEKNUM(Base_Accidentes_2023[[#This Row],[Fecha]])</f>
        <v>24</v>
      </c>
      <c r="K53" s="12"/>
      <c r="L53" s="12"/>
      <c r="M53" s="12"/>
      <c r="N53" s="56"/>
      <c r="O53" s="12" t="s">
        <v>70</v>
      </c>
      <c r="P53" s="12" t="s">
        <v>88</v>
      </c>
      <c r="Q53" s="12"/>
      <c r="R53" s="12"/>
      <c r="S53" s="12"/>
      <c r="T53" s="12" t="s">
        <v>537</v>
      </c>
      <c r="U53" s="12" t="s">
        <v>53</v>
      </c>
      <c r="V53" s="12"/>
      <c r="W53" s="100" t="s">
        <v>470</v>
      </c>
      <c r="X53" s="61"/>
      <c r="Y53" s="13" t="s">
        <v>538</v>
      </c>
      <c r="Z53" s="12" t="s">
        <v>186</v>
      </c>
      <c r="AA53" s="12"/>
      <c r="AB53" s="12" t="s">
        <v>166</v>
      </c>
      <c r="AC53" s="12"/>
      <c r="AD53" s="12" t="s">
        <v>79</v>
      </c>
      <c r="AE53" s="12" t="s">
        <v>77</v>
      </c>
      <c r="AF53" s="12" t="s">
        <v>80</v>
      </c>
      <c r="AG53" s="12">
        <v>30</v>
      </c>
      <c r="AH53" s="12"/>
      <c r="AI53" s="12">
        <v>30</v>
      </c>
      <c r="AJ53" s="12"/>
      <c r="AK53" s="12"/>
      <c r="AL53" s="13"/>
      <c r="AM53" s="23"/>
      <c r="AN53" s="64" t="s">
        <v>539</v>
      </c>
      <c r="AO53" s="64" t="s">
        <v>83</v>
      </c>
    </row>
    <row r="54" spans="1:41" ht="39.6" x14ac:dyDescent="0.3">
      <c r="A54" s="65"/>
      <c r="B54" s="12"/>
      <c r="C54" s="12" t="s">
        <v>41</v>
      </c>
      <c r="D54" s="12" t="s">
        <v>143</v>
      </c>
      <c r="E54" s="12" t="s">
        <v>43</v>
      </c>
      <c r="F54" s="12" t="s">
        <v>540</v>
      </c>
      <c r="G54" s="12" t="s">
        <v>263</v>
      </c>
      <c r="H54" s="12" t="s">
        <v>541</v>
      </c>
      <c r="I54" s="61">
        <v>45097</v>
      </c>
      <c r="J54" s="14">
        <f>_xlfn.ISOWEEKNUM(Base_Accidentes_2023[[#This Row],[Fecha]])</f>
        <v>25</v>
      </c>
      <c r="K54" s="12"/>
      <c r="L54" s="12"/>
      <c r="M54" s="12"/>
      <c r="N54" s="56"/>
      <c r="O54" s="12" t="s">
        <v>70</v>
      </c>
      <c r="P54" s="12" t="s">
        <v>88</v>
      </c>
      <c r="Q54" s="12"/>
      <c r="R54" s="12"/>
      <c r="S54" s="12"/>
      <c r="T54" s="12" t="s">
        <v>542</v>
      </c>
      <c r="U54" s="12" t="s">
        <v>53</v>
      </c>
      <c r="V54" s="12">
        <v>31</v>
      </c>
      <c r="W54" s="100" t="s">
        <v>435</v>
      </c>
      <c r="X54" s="61"/>
      <c r="Y54" s="13" t="s">
        <v>543</v>
      </c>
      <c r="Z54" s="12" t="s">
        <v>443</v>
      </c>
      <c r="AA54" s="12"/>
      <c r="AB54" s="12" t="s">
        <v>346</v>
      </c>
      <c r="AC54" s="12"/>
      <c r="AD54" s="12" t="s">
        <v>79</v>
      </c>
      <c r="AE54" s="12" t="s">
        <v>156</v>
      </c>
      <c r="AF54" s="12" t="s">
        <v>116</v>
      </c>
      <c r="AG54" s="12">
        <v>4</v>
      </c>
      <c r="AH54" s="12"/>
      <c r="AI54" s="12">
        <v>4</v>
      </c>
      <c r="AJ54" s="12"/>
      <c r="AK54" s="12"/>
      <c r="AL54" s="13"/>
      <c r="AM54" s="23" t="s">
        <v>544</v>
      </c>
      <c r="AN54" s="64" t="s">
        <v>545</v>
      </c>
      <c r="AO54" s="64"/>
    </row>
    <row r="55" spans="1:41" ht="39.6" x14ac:dyDescent="0.3">
      <c r="A55" s="65"/>
      <c r="B55" s="12"/>
      <c r="C55" s="12" t="s">
        <v>41</v>
      </c>
      <c r="D55" s="12" t="s">
        <v>143</v>
      </c>
      <c r="E55" s="12" t="s">
        <v>144</v>
      </c>
      <c r="F55" s="12" t="s">
        <v>546</v>
      </c>
      <c r="G55" s="12" t="s">
        <v>45</v>
      </c>
      <c r="H55" s="12" t="s">
        <v>546</v>
      </c>
      <c r="I55" s="61">
        <v>45105</v>
      </c>
      <c r="J55" s="14">
        <f>_xlfn.ISOWEEKNUM(Base_Accidentes_2023[[#This Row],[Fecha]])</f>
        <v>26</v>
      </c>
      <c r="K55" s="12"/>
      <c r="L55" s="12"/>
      <c r="M55" s="12"/>
      <c r="N55" s="56"/>
      <c r="O55" s="12" t="s">
        <v>70</v>
      </c>
      <c r="P55" s="12" t="s">
        <v>88</v>
      </c>
      <c r="Q55" s="12"/>
      <c r="R55" s="12"/>
      <c r="S55" s="12"/>
      <c r="T55" s="12" t="s">
        <v>547</v>
      </c>
      <c r="U55" s="12" t="s">
        <v>53</v>
      </c>
      <c r="V55" s="12">
        <v>33</v>
      </c>
      <c r="W55" s="100" t="s">
        <v>54</v>
      </c>
      <c r="X55" s="61"/>
      <c r="Y55" s="13" t="s">
        <v>548</v>
      </c>
      <c r="Z55" s="12" t="s">
        <v>411</v>
      </c>
      <c r="AA55" s="12"/>
      <c r="AB55" s="12" t="s">
        <v>166</v>
      </c>
      <c r="AC55" s="12"/>
      <c r="AD55" s="12" t="s">
        <v>79</v>
      </c>
      <c r="AE55" s="12" t="s">
        <v>549</v>
      </c>
      <c r="AF55" s="12" t="s">
        <v>62</v>
      </c>
      <c r="AG55" s="12">
        <v>3</v>
      </c>
      <c r="AH55" s="12"/>
      <c r="AI55" s="12">
        <v>3</v>
      </c>
      <c r="AJ55" s="12"/>
      <c r="AK55" s="12"/>
      <c r="AL55" s="13"/>
      <c r="AM55" s="23" t="s">
        <v>334</v>
      </c>
      <c r="AN55" s="64" t="s">
        <v>545</v>
      </c>
      <c r="AO55" s="64" t="s">
        <v>159</v>
      </c>
    </row>
    <row r="56" spans="1:41" ht="39.6" x14ac:dyDescent="0.3">
      <c r="A56" s="65"/>
      <c r="B56" s="12"/>
      <c r="C56" s="12" t="s">
        <v>66</v>
      </c>
      <c r="D56" s="12" t="s">
        <v>67</v>
      </c>
      <c r="E56" s="12"/>
      <c r="F56" s="12" t="s">
        <v>66</v>
      </c>
      <c r="G56" s="12"/>
      <c r="H56" s="105" t="s">
        <v>550</v>
      </c>
      <c r="I56" s="61">
        <v>44997</v>
      </c>
      <c r="J56" s="14">
        <f>_xlfn.ISOWEEKNUM(Base_Accidentes_2023[[#This Row],[Fecha]])</f>
        <v>10</v>
      </c>
      <c r="K56" s="12"/>
      <c r="L56" s="12"/>
      <c r="M56" s="12"/>
      <c r="N56" s="56"/>
      <c r="O56" s="12" t="s">
        <v>70</v>
      </c>
      <c r="P56" s="12" t="s">
        <v>88</v>
      </c>
      <c r="Q56" s="12" t="s">
        <v>503</v>
      </c>
      <c r="R56" s="12" t="s">
        <v>551</v>
      </c>
      <c r="S56" s="12" t="s">
        <v>552</v>
      </c>
      <c r="T56" s="12" t="s">
        <v>553</v>
      </c>
      <c r="U56" s="12" t="s">
        <v>53</v>
      </c>
      <c r="V56" s="12">
        <v>30</v>
      </c>
      <c r="W56" s="46" t="s">
        <v>554</v>
      </c>
      <c r="X56" s="61"/>
      <c r="Y56" s="13" t="s">
        <v>555</v>
      </c>
      <c r="Z56" s="12" t="s">
        <v>411</v>
      </c>
      <c r="AA56" s="12"/>
      <c r="AB56" s="12" t="s">
        <v>166</v>
      </c>
      <c r="AC56" s="12"/>
      <c r="AD56" s="12" t="s">
        <v>79</v>
      </c>
      <c r="AE56" s="12" t="s">
        <v>428</v>
      </c>
      <c r="AF56" s="12" t="s">
        <v>62</v>
      </c>
      <c r="AG56" s="12">
        <v>5</v>
      </c>
      <c r="AH56" s="12"/>
      <c r="AI56" s="12"/>
      <c r="AJ56" s="12"/>
      <c r="AK56" s="12"/>
      <c r="AL56" s="13"/>
      <c r="AM56" s="23" t="s">
        <v>556</v>
      </c>
      <c r="AN56" s="64" t="s">
        <v>557</v>
      </c>
      <c r="AO56" s="64" t="s">
        <v>159</v>
      </c>
    </row>
    <row r="57" spans="1:41" ht="39.6" x14ac:dyDescent="0.3">
      <c r="A57" s="65"/>
      <c r="B57" s="12"/>
      <c r="C57" s="12" t="s">
        <v>41</v>
      </c>
      <c r="D57" s="12" t="s">
        <v>143</v>
      </c>
      <c r="E57" s="12" t="s">
        <v>144</v>
      </c>
      <c r="F57" s="96" t="s">
        <v>558</v>
      </c>
      <c r="G57" s="12" t="s">
        <v>45</v>
      </c>
      <c r="H57" s="12"/>
      <c r="I57" s="61">
        <v>45108</v>
      </c>
      <c r="J57" s="14">
        <f>_xlfn.ISOWEEKNUM(Base_Accidentes_2023[[#This Row],[Fecha]])</f>
        <v>26</v>
      </c>
      <c r="K57" s="12"/>
      <c r="L57" s="12"/>
      <c r="M57" s="12"/>
      <c r="N57" s="56"/>
      <c r="O57" s="12" t="s">
        <v>70</v>
      </c>
      <c r="P57" s="12" t="s">
        <v>88</v>
      </c>
      <c r="Q57" s="12"/>
      <c r="R57" s="12"/>
      <c r="S57" s="12"/>
      <c r="T57" s="12" t="s">
        <v>559</v>
      </c>
      <c r="U57" s="12" t="s">
        <v>53</v>
      </c>
      <c r="V57" s="12"/>
      <c r="W57" s="101" t="s">
        <v>560</v>
      </c>
      <c r="X57" s="61"/>
      <c r="Y57" s="13" t="s">
        <v>561</v>
      </c>
      <c r="Z57" s="12" t="s">
        <v>208</v>
      </c>
      <c r="AA57" s="12"/>
      <c r="AB57" s="12" t="s">
        <v>166</v>
      </c>
      <c r="AC57" s="12"/>
      <c r="AD57" s="12" t="s">
        <v>79</v>
      </c>
      <c r="AE57" s="12" t="s">
        <v>428</v>
      </c>
      <c r="AF57" s="12" t="s">
        <v>62</v>
      </c>
      <c r="AG57" s="12">
        <v>5</v>
      </c>
      <c r="AH57" s="12"/>
      <c r="AI57" s="12">
        <v>5</v>
      </c>
      <c r="AJ57" s="12"/>
      <c r="AK57" s="12"/>
      <c r="AL57" s="13"/>
      <c r="AM57" s="23" t="s">
        <v>562</v>
      </c>
      <c r="AN57" s="64" t="s">
        <v>523</v>
      </c>
      <c r="AO57" s="64"/>
    </row>
    <row r="58" spans="1:41" ht="39.6" x14ac:dyDescent="0.3">
      <c r="A58" s="65"/>
      <c r="B58" s="12"/>
      <c r="C58" s="12" t="s">
        <v>41</v>
      </c>
      <c r="D58" s="12" t="s">
        <v>143</v>
      </c>
      <c r="E58" s="12" t="s">
        <v>144</v>
      </c>
      <c r="F58" s="12" t="s">
        <v>563</v>
      </c>
      <c r="G58" s="12" t="s">
        <v>45</v>
      </c>
      <c r="H58" s="12"/>
      <c r="I58" s="61">
        <v>45110</v>
      </c>
      <c r="J58" s="14">
        <f>_xlfn.ISOWEEKNUM(Base_Accidentes_2023[[#This Row],[Fecha]])</f>
        <v>27</v>
      </c>
      <c r="K58" s="12"/>
      <c r="L58" s="12"/>
      <c r="M58" s="12"/>
      <c r="N58" s="56"/>
      <c r="O58" s="12" t="s">
        <v>216</v>
      </c>
      <c r="P58" s="12" t="s">
        <v>88</v>
      </c>
      <c r="Q58" s="12"/>
      <c r="R58" s="12"/>
      <c r="S58" s="12"/>
      <c r="T58" s="12" t="s">
        <v>564</v>
      </c>
      <c r="U58" s="12" t="s">
        <v>53</v>
      </c>
      <c r="V58" s="12"/>
      <c r="W58" s="101" t="s">
        <v>565</v>
      </c>
      <c r="X58" s="61"/>
      <c r="Y58" s="13" t="s">
        <v>566</v>
      </c>
      <c r="Z58" s="12" t="s">
        <v>208</v>
      </c>
      <c r="AA58" s="12"/>
      <c r="AB58" s="12" t="s">
        <v>231</v>
      </c>
      <c r="AC58" s="12"/>
      <c r="AD58" s="12" t="s">
        <v>79</v>
      </c>
      <c r="AE58" s="12" t="s">
        <v>567</v>
      </c>
      <c r="AF58" s="12" t="s">
        <v>233</v>
      </c>
      <c r="AG58" s="12">
        <v>2</v>
      </c>
      <c r="AH58" s="12"/>
      <c r="AI58" s="12">
        <v>2</v>
      </c>
      <c r="AJ58" s="12"/>
      <c r="AK58" s="12"/>
      <c r="AL58" s="13"/>
      <c r="AM58" s="23" t="s">
        <v>568</v>
      </c>
      <c r="AN58" s="64" t="s">
        <v>569</v>
      </c>
      <c r="AO58" s="64"/>
    </row>
    <row r="59" spans="1:41" ht="39.6" x14ac:dyDescent="0.3">
      <c r="A59" s="65"/>
      <c r="B59" s="12"/>
      <c r="C59" s="12" t="s">
        <v>41</v>
      </c>
      <c r="D59" s="12" t="s">
        <v>143</v>
      </c>
      <c r="E59" s="12" t="s">
        <v>144</v>
      </c>
      <c r="F59" s="12" t="s">
        <v>145</v>
      </c>
      <c r="G59" s="12" t="s">
        <v>45</v>
      </c>
      <c r="H59" s="12"/>
      <c r="I59" s="61">
        <v>45111</v>
      </c>
      <c r="J59" s="14">
        <f>_xlfn.ISOWEEKNUM(Base_Accidentes_2023[[#This Row],[Fecha]])</f>
        <v>27</v>
      </c>
      <c r="K59" s="12"/>
      <c r="L59" s="12"/>
      <c r="M59" s="12"/>
      <c r="N59" s="56"/>
      <c r="O59" s="12" t="s">
        <v>70</v>
      </c>
      <c r="P59" s="12" t="s">
        <v>88</v>
      </c>
      <c r="Q59" s="12"/>
      <c r="R59" s="12"/>
      <c r="S59" s="12"/>
      <c r="T59" s="12" t="s">
        <v>570</v>
      </c>
      <c r="U59" s="12" t="s">
        <v>53</v>
      </c>
      <c r="V59" s="12"/>
      <c r="W59" s="101" t="s">
        <v>571</v>
      </c>
      <c r="X59" s="61"/>
      <c r="Y59" s="13" t="s">
        <v>572</v>
      </c>
      <c r="Z59" s="12" t="s">
        <v>208</v>
      </c>
      <c r="AA59" s="12"/>
      <c r="AB59" s="12" t="s">
        <v>231</v>
      </c>
      <c r="AC59" s="12"/>
      <c r="AD59" s="12" t="s">
        <v>79</v>
      </c>
      <c r="AE59" s="12" t="s">
        <v>567</v>
      </c>
      <c r="AF59" s="12" t="s">
        <v>233</v>
      </c>
      <c r="AG59" s="12">
        <v>2</v>
      </c>
      <c r="AH59" s="12"/>
      <c r="AI59" s="12">
        <v>2</v>
      </c>
      <c r="AJ59" s="12"/>
      <c r="AK59" s="12"/>
      <c r="AL59" s="13"/>
      <c r="AM59" s="23" t="s">
        <v>573</v>
      </c>
      <c r="AN59" s="64" t="s">
        <v>574</v>
      </c>
      <c r="AO59" s="64"/>
    </row>
    <row r="60" spans="1:41" ht="52.8" x14ac:dyDescent="0.3">
      <c r="A60" s="65"/>
      <c r="B60" s="12"/>
      <c r="C60" s="12" t="s">
        <v>41</v>
      </c>
      <c r="D60" s="12" t="s">
        <v>143</v>
      </c>
      <c r="E60" s="12" t="s">
        <v>144</v>
      </c>
      <c r="F60" s="12" t="s">
        <v>145</v>
      </c>
      <c r="G60" s="12" t="s">
        <v>45</v>
      </c>
      <c r="H60" s="12"/>
      <c r="I60" s="61">
        <v>45114</v>
      </c>
      <c r="J60" s="14">
        <f>_xlfn.ISOWEEKNUM(Base_Accidentes_2023[[#This Row],[Fecha]])</f>
        <v>27</v>
      </c>
      <c r="K60" s="12"/>
      <c r="L60" s="12"/>
      <c r="M60" s="12"/>
      <c r="N60" s="56"/>
      <c r="O60" s="12" t="s">
        <v>216</v>
      </c>
      <c r="P60" s="12" t="s">
        <v>71</v>
      </c>
      <c r="Q60" s="12"/>
      <c r="R60" s="12"/>
      <c r="S60" s="12"/>
      <c r="T60" s="12" t="s">
        <v>575</v>
      </c>
      <c r="U60" s="12" t="s">
        <v>53</v>
      </c>
      <c r="V60" s="12"/>
      <c r="W60" s="101" t="s">
        <v>576</v>
      </c>
      <c r="X60" s="61"/>
      <c r="Y60" s="13" t="s">
        <v>577</v>
      </c>
      <c r="Z60" s="12" t="s">
        <v>208</v>
      </c>
      <c r="AA60" s="12"/>
      <c r="AB60" s="12" t="s">
        <v>166</v>
      </c>
      <c r="AC60" s="12"/>
      <c r="AD60" s="12" t="s">
        <v>79</v>
      </c>
      <c r="AE60" s="12" t="s">
        <v>77</v>
      </c>
      <c r="AF60" s="12" t="s">
        <v>80</v>
      </c>
      <c r="AG60" s="12">
        <v>49</v>
      </c>
      <c r="AH60" s="12"/>
      <c r="AI60" s="12">
        <v>49</v>
      </c>
      <c r="AJ60" s="12"/>
      <c r="AK60" s="12"/>
      <c r="AL60" s="13"/>
      <c r="AM60" s="23" t="s">
        <v>453</v>
      </c>
      <c r="AN60" s="64" t="s">
        <v>578</v>
      </c>
      <c r="AO60" s="64" t="s">
        <v>83</v>
      </c>
    </row>
    <row r="61" spans="1:41" ht="39.6" x14ac:dyDescent="0.3">
      <c r="A61" s="65"/>
      <c r="B61" s="12"/>
      <c r="C61" s="12" t="s">
        <v>41</v>
      </c>
      <c r="D61" s="12" t="s">
        <v>579</v>
      </c>
      <c r="E61" s="12" t="s">
        <v>580</v>
      </c>
      <c r="F61" s="12" t="s">
        <v>581</v>
      </c>
      <c r="G61" s="12" t="s">
        <v>45</v>
      </c>
      <c r="H61" s="12" t="s">
        <v>582</v>
      </c>
      <c r="I61" s="61">
        <v>44985</v>
      </c>
      <c r="J61" s="14">
        <f>_xlfn.ISOWEEKNUM(Base_Accidentes_2023[[#This Row],[Fecha]])</f>
        <v>9</v>
      </c>
      <c r="K61" s="12"/>
      <c r="L61" s="12"/>
      <c r="M61" s="12"/>
      <c r="N61" s="56"/>
      <c r="O61" s="12" t="s">
        <v>216</v>
      </c>
      <c r="P61" s="12" t="s">
        <v>88</v>
      </c>
      <c r="Q61" s="12" t="s">
        <v>579</v>
      </c>
      <c r="R61" s="12" t="s">
        <v>583</v>
      </c>
      <c r="S61" s="12" t="s">
        <v>584</v>
      </c>
      <c r="T61" s="12" t="s">
        <v>585</v>
      </c>
      <c r="U61" s="12" t="s">
        <v>53</v>
      </c>
      <c r="V61" s="12">
        <v>28</v>
      </c>
      <c r="W61" s="46" t="s">
        <v>332</v>
      </c>
      <c r="X61" s="61"/>
      <c r="Y61" s="13" t="s">
        <v>586</v>
      </c>
      <c r="Z61" s="12" t="s">
        <v>411</v>
      </c>
      <c r="AA61" s="12"/>
      <c r="AB61" s="12" t="s">
        <v>166</v>
      </c>
      <c r="AC61" s="12"/>
      <c r="AD61" s="12" t="s">
        <v>79</v>
      </c>
      <c r="AE61" s="12" t="s">
        <v>176</v>
      </c>
      <c r="AF61" s="12" t="s">
        <v>100</v>
      </c>
      <c r="AG61" s="12">
        <v>10</v>
      </c>
      <c r="AH61" s="12"/>
      <c r="AI61" s="12"/>
      <c r="AJ61" s="12"/>
      <c r="AK61" s="12"/>
      <c r="AL61" s="13"/>
      <c r="AM61" s="23" t="s">
        <v>587</v>
      </c>
      <c r="AN61" s="64" t="s">
        <v>588</v>
      </c>
      <c r="AO61" s="64" t="s">
        <v>159</v>
      </c>
    </row>
    <row r="62" spans="1:41" ht="52.8" x14ac:dyDescent="0.3">
      <c r="A62" s="65"/>
      <c r="B62" s="12"/>
      <c r="C62" s="12" t="s">
        <v>307</v>
      </c>
      <c r="D62" s="12" t="s">
        <v>308</v>
      </c>
      <c r="E62" s="12" t="s">
        <v>307</v>
      </c>
      <c r="F62" s="12" t="s">
        <v>309</v>
      </c>
      <c r="G62" s="12" t="s">
        <v>214</v>
      </c>
      <c r="H62" s="12" t="s">
        <v>589</v>
      </c>
      <c r="I62" s="61">
        <v>45095</v>
      </c>
      <c r="J62" s="14">
        <f>_xlfn.ISOWEEKNUM(Base_Accidentes_2023[[#This Row],[Fecha]])</f>
        <v>24</v>
      </c>
      <c r="K62" s="12"/>
      <c r="L62" s="12"/>
      <c r="M62" s="12"/>
      <c r="N62" s="56"/>
      <c r="O62" s="12" t="s">
        <v>216</v>
      </c>
      <c r="P62" s="12" t="s">
        <v>71</v>
      </c>
      <c r="Q62" s="12"/>
      <c r="R62" s="12"/>
      <c r="S62" s="12"/>
      <c r="T62" s="12" t="s">
        <v>590</v>
      </c>
      <c r="U62" s="12" t="s">
        <v>53</v>
      </c>
      <c r="V62" s="12">
        <v>39</v>
      </c>
      <c r="W62" s="48" t="s">
        <v>591</v>
      </c>
      <c r="X62" s="61"/>
      <c r="Y62" s="13" t="s">
        <v>592</v>
      </c>
      <c r="Z62" s="12" t="s">
        <v>593</v>
      </c>
      <c r="AA62" s="12"/>
      <c r="AB62" s="12" t="s">
        <v>346</v>
      </c>
      <c r="AC62" s="12"/>
      <c r="AD62" s="12" t="s">
        <v>79</v>
      </c>
      <c r="AE62" s="12" t="s">
        <v>476</v>
      </c>
      <c r="AF62" s="12" t="s">
        <v>100</v>
      </c>
      <c r="AG62" s="12">
        <v>2</v>
      </c>
      <c r="AH62" s="12"/>
      <c r="AI62" s="12">
        <v>2</v>
      </c>
      <c r="AJ62" s="12"/>
      <c r="AK62" s="12"/>
      <c r="AL62" s="13"/>
      <c r="AM62" s="23"/>
      <c r="AN62" s="64" t="s">
        <v>594</v>
      </c>
      <c r="AO62" s="64" t="s">
        <v>83</v>
      </c>
    </row>
    <row r="63" spans="1:41" ht="39.6" x14ac:dyDescent="0.3">
      <c r="A63" s="65"/>
      <c r="B63" s="12"/>
      <c r="C63" s="12" t="s">
        <v>595</v>
      </c>
      <c r="D63" s="12" t="s">
        <v>308</v>
      </c>
      <c r="E63" s="12" t="s">
        <v>595</v>
      </c>
      <c r="F63" s="12" t="s">
        <v>595</v>
      </c>
      <c r="G63" s="12"/>
      <c r="H63" s="12" t="s">
        <v>596</v>
      </c>
      <c r="I63" s="61">
        <v>45107</v>
      </c>
      <c r="J63" s="14">
        <f>_xlfn.ISOWEEKNUM(Base_Accidentes_2023[[#This Row],[Fecha]])</f>
        <v>26</v>
      </c>
      <c r="K63" s="12"/>
      <c r="L63" s="12"/>
      <c r="M63" s="12"/>
      <c r="N63" s="56"/>
      <c r="O63" s="12" t="s">
        <v>70</v>
      </c>
      <c r="P63" s="12" t="s">
        <v>88</v>
      </c>
      <c r="Q63" s="12"/>
      <c r="R63" s="12"/>
      <c r="S63" s="12"/>
      <c r="T63" s="12" t="s">
        <v>597</v>
      </c>
      <c r="U63" s="12" t="s">
        <v>53</v>
      </c>
      <c r="V63" s="12">
        <v>45</v>
      </c>
      <c r="W63" s="48" t="s">
        <v>598</v>
      </c>
      <c r="X63" s="61"/>
      <c r="Y63" s="13" t="s">
        <v>599</v>
      </c>
      <c r="Z63" s="12" t="s">
        <v>600</v>
      </c>
      <c r="AA63" s="12"/>
      <c r="AB63" s="12" t="s">
        <v>166</v>
      </c>
      <c r="AC63" s="12"/>
      <c r="AD63" s="12" t="s">
        <v>79</v>
      </c>
      <c r="AE63" s="12" t="s">
        <v>600</v>
      </c>
      <c r="AF63" s="12" t="s">
        <v>80</v>
      </c>
      <c r="AG63" s="12">
        <v>21</v>
      </c>
      <c r="AH63" s="12"/>
      <c r="AI63" s="12">
        <v>21</v>
      </c>
      <c r="AJ63" s="12"/>
      <c r="AK63" s="12"/>
      <c r="AL63" s="13"/>
      <c r="AM63" s="23" t="s">
        <v>601</v>
      </c>
      <c r="AN63" s="64" t="s">
        <v>178</v>
      </c>
      <c r="AO63" s="64"/>
    </row>
    <row r="64" spans="1:41" ht="39.6" x14ac:dyDescent="0.3">
      <c r="A64" s="65"/>
      <c r="B64" s="12"/>
      <c r="C64" s="12" t="s">
        <v>41</v>
      </c>
      <c r="D64" s="12" t="s">
        <v>143</v>
      </c>
      <c r="E64" s="12" t="s">
        <v>144</v>
      </c>
      <c r="F64" s="12" t="s">
        <v>563</v>
      </c>
      <c r="G64" s="12" t="s">
        <v>45</v>
      </c>
      <c r="H64" s="12"/>
      <c r="I64" s="61">
        <v>45114</v>
      </c>
      <c r="J64" s="14">
        <f>_xlfn.ISOWEEKNUM(Base_Accidentes_2023[[#This Row],[Fecha]])</f>
        <v>27</v>
      </c>
      <c r="K64" s="12"/>
      <c r="L64" s="12"/>
      <c r="M64" s="12"/>
      <c r="N64" s="56"/>
      <c r="O64" s="12" t="s">
        <v>70</v>
      </c>
      <c r="P64" s="12" t="s">
        <v>88</v>
      </c>
      <c r="Q64" s="12"/>
      <c r="R64" s="12"/>
      <c r="S64" s="12"/>
      <c r="T64" s="12" t="s">
        <v>602</v>
      </c>
      <c r="U64" s="12" t="s">
        <v>53</v>
      </c>
      <c r="V64" s="12"/>
      <c r="W64" s="101" t="s">
        <v>603</v>
      </c>
      <c r="X64" s="61"/>
      <c r="Y64" s="107" t="s">
        <v>604</v>
      </c>
      <c r="Z64" s="12" t="s">
        <v>208</v>
      </c>
      <c r="AA64" s="12"/>
      <c r="AB64" s="12" t="s">
        <v>346</v>
      </c>
      <c r="AC64" s="12"/>
      <c r="AD64" s="12" t="s">
        <v>175</v>
      </c>
      <c r="AE64" s="12" t="s">
        <v>605</v>
      </c>
      <c r="AF64" s="12" t="s">
        <v>100</v>
      </c>
      <c r="AG64" s="12">
        <v>8</v>
      </c>
      <c r="AH64" s="12"/>
      <c r="AI64" s="12">
        <v>8</v>
      </c>
      <c r="AJ64" s="12"/>
      <c r="AK64" s="12"/>
      <c r="AL64" s="13"/>
      <c r="AM64" s="23" t="s">
        <v>606</v>
      </c>
      <c r="AN64" s="64" t="s">
        <v>607</v>
      </c>
      <c r="AO64" s="64"/>
    </row>
    <row r="65" spans="1:41" ht="39.6" x14ac:dyDescent="0.3">
      <c r="A65" s="65"/>
      <c r="B65" s="12"/>
      <c r="C65" s="12" t="s">
        <v>41</v>
      </c>
      <c r="D65" s="12" t="s">
        <v>579</v>
      </c>
      <c r="E65" s="12" t="s">
        <v>580</v>
      </c>
      <c r="F65" s="12" t="s">
        <v>581</v>
      </c>
      <c r="G65" s="12" t="s">
        <v>45</v>
      </c>
      <c r="H65" s="12" t="s">
        <v>608</v>
      </c>
      <c r="I65" s="61">
        <v>44976</v>
      </c>
      <c r="J65" s="14">
        <f>_xlfn.ISOWEEKNUM(Base_Accidentes_2023[[#This Row],[Fecha]])</f>
        <v>7</v>
      </c>
      <c r="K65" s="12"/>
      <c r="L65" s="12"/>
      <c r="M65" s="12"/>
      <c r="N65" s="56"/>
      <c r="O65" s="12" t="s">
        <v>70</v>
      </c>
      <c r="P65" s="12" t="s">
        <v>88</v>
      </c>
      <c r="Q65" s="12" t="s">
        <v>579</v>
      </c>
      <c r="R65" s="12" t="s">
        <v>609</v>
      </c>
      <c r="S65" s="12" t="s">
        <v>610</v>
      </c>
      <c r="T65" s="12" t="s">
        <v>611</v>
      </c>
      <c r="U65" s="12" t="s">
        <v>53</v>
      </c>
      <c r="V65" s="12">
        <v>22</v>
      </c>
      <c r="W65" s="44" t="s">
        <v>332</v>
      </c>
      <c r="X65" s="61"/>
      <c r="Y65" s="13" t="s">
        <v>612</v>
      </c>
      <c r="Z65" s="12" t="s">
        <v>186</v>
      </c>
      <c r="AA65" s="12"/>
      <c r="AB65" s="12" t="s">
        <v>231</v>
      </c>
      <c r="AC65" s="12"/>
      <c r="AD65" s="12" t="s">
        <v>79</v>
      </c>
      <c r="AE65" s="12" t="s">
        <v>515</v>
      </c>
      <c r="AF65" s="12" t="s">
        <v>516</v>
      </c>
      <c r="AG65" s="12">
        <v>9</v>
      </c>
      <c r="AH65" s="12"/>
      <c r="AI65" s="12"/>
      <c r="AJ65" s="12"/>
      <c r="AK65" s="12"/>
      <c r="AL65" s="13"/>
      <c r="AM65" s="23" t="s">
        <v>613</v>
      </c>
      <c r="AN65" s="64" t="s">
        <v>614</v>
      </c>
      <c r="AO65" s="64"/>
    </row>
    <row r="66" spans="1:41" ht="39.6" x14ac:dyDescent="0.3">
      <c r="A66" s="65"/>
      <c r="B66" s="12"/>
      <c r="C66" s="12" t="s">
        <v>307</v>
      </c>
      <c r="D66" s="12" t="s">
        <v>308</v>
      </c>
      <c r="E66" s="12" t="s">
        <v>307</v>
      </c>
      <c r="F66" s="12" t="s">
        <v>308</v>
      </c>
      <c r="G66" s="12" t="s">
        <v>45</v>
      </c>
      <c r="H66" s="12"/>
      <c r="I66" s="61">
        <v>45110</v>
      </c>
      <c r="J66" s="14">
        <f>_xlfn.ISOWEEKNUM(Base_Accidentes_2023[[#This Row],[Fecha]])</f>
        <v>27</v>
      </c>
      <c r="K66" s="12"/>
      <c r="L66" s="12"/>
      <c r="M66" s="12"/>
      <c r="N66" s="56"/>
      <c r="O66" s="12" t="s">
        <v>70</v>
      </c>
      <c r="P66" s="12" t="s">
        <v>88</v>
      </c>
      <c r="Q66" s="12"/>
      <c r="R66" s="12"/>
      <c r="S66" s="12"/>
      <c r="T66" s="12" t="s">
        <v>615</v>
      </c>
      <c r="U66" s="12" t="s">
        <v>53</v>
      </c>
      <c r="V66" s="12">
        <v>27</v>
      </c>
      <c r="W66" s="45" t="s">
        <v>520</v>
      </c>
      <c r="X66" s="61"/>
      <c r="Y66" s="13" t="s">
        <v>616</v>
      </c>
      <c r="Z66" s="12" t="s">
        <v>208</v>
      </c>
      <c r="AA66" s="12"/>
      <c r="AB66" s="12" t="s">
        <v>166</v>
      </c>
      <c r="AC66" s="12"/>
      <c r="AD66" s="12" t="s">
        <v>79</v>
      </c>
      <c r="AE66" s="12" t="s">
        <v>515</v>
      </c>
      <c r="AF66" s="12" t="s">
        <v>516</v>
      </c>
      <c r="AG66" s="12">
        <v>11</v>
      </c>
      <c r="AH66" s="12"/>
      <c r="AI66" s="12">
        <v>11</v>
      </c>
      <c r="AJ66" s="12"/>
      <c r="AK66" s="12"/>
      <c r="AL66" s="13"/>
      <c r="AM66" s="23" t="s">
        <v>617</v>
      </c>
      <c r="AN66" s="64" t="s">
        <v>523</v>
      </c>
      <c r="AO66" s="64" t="s">
        <v>159</v>
      </c>
    </row>
    <row r="67" spans="1:41" ht="39.6" x14ac:dyDescent="0.3">
      <c r="A67" s="65"/>
      <c r="B67" s="12"/>
      <c r="C67" s="12" t="s">
        <v>41</v>
      </c>
      <c r="D67" s="12" t="s">
        <v>618</v>
      </c>
      <c r="E67" s="12" t="s">
        <v>618</v>
      </c>
      <c r="F67" s="12" t="s">
        <v>618</v>
      </c>
      <c r="G67" s="12" t="s">
        <v>263</v>
      </c>
      <c r="H67" s="12" t="s">
        <v>618</v>
      </c>
      <c r="I67" s="61">
        <v>44973</v>
      </c>
      <c r="J67" s="14">
        <f>_xlfn.ISOWEEKNUM(Base_Accidentes_2023[[#This Row],[Fecha]])</f>
        <v>7</v>
      </c>
      <c r="K67" s="12"/>
      <c r="L67" s="12"/>
      <c r="M67" s="12"/>
      <c r="N67" s="56"/>
      <c r="O67" s="12" t="s">
        <v>216</v>
      </c>
      <c r="P67" s="12" t="s">
        <v>618</v>
      </c>
      <c r="Q67" s="12" t="s">
        <v>618</v>
      </c>
      <c r="R67" s="12" t="s">
        <v>619</v>
      </c>
      <c r="S67" s="12" t="s">
        <v>620</v>
      </c>
      <c r="T67" s="12" t="s">
        <v>621</v>
      </c>
      <c r="U67" s="12" t="s">
        <v>53</v>
      </c>
      <c r="V67" s="12">
        <v>47</v>
      </c>
      <c r="W67" s="44" t="s">
        <v>622</v>
      </c>
      <c r="X67" s="61"/>
      <c r="Y67" s="13" t="s">
        <v>623</v>
      </c>
      <c r="Z67" s="12" t="s">
        <v>315</v>
      </c>
      <c r="AA67" s="12"/>
      <c r="AB67" s="12" t="s">
        <v>346</v>
      </c>
      <c r="AC67" s="12"/>
      <c r="AD67" s="12" t="s">
        <v>79</v>
      </c>
      <c r="AE67" s="12" t="s">
        <v>176</v>
      </c>
      <c r="AF67" s="12" t="s">
        <v>100</v>
      </c>
      <c r="AG67" s="12">
        <v>2</v>
      </c>
      <c r="AH67" s="12"/>
      <c r="AI67" s="12"/>
      <c r="AJ67" s="12"/>
      <c r="AK67" s="12"/>
      <c r="AL67" s="13"/>
      <c r="AM67" s="23" t="s">
        <v>624</v>
      </c>
      <c r="AN67" s="64" t="s">
        <v>625</v>
      </c>
      <c r="AO67" s="64"/>
    </row>
    <row r="68" spans="1:41" ht="39.6" x14ac:dyDescent="0.3">
      <c r="A68" s="65"/>
      <c r="B68" s="12"/>
      <c r="C68" s="12" t="s">
        <v>41</v>
      </c>
      <c r="D68" s="12" t="s">
        <v>143</v>
      </c>
      <c r="E68" s="12" t="s">
        <v>144</v>
      </c>
      <c r="F68" s="12" t="s">
        <v>364</v>
      </c>
      <c r="G68" s="12" t="s">
        <v>45</v>
      </c>
      <c r="H68" s="12"/>
      <c r="I68" s="61">
        <v>45117</v>
      </c>
      <c r="J68" s="14">
        <f>_xlfn.ISOWEEKNUM(Base_Accidentes_2023[[#This Row],[Fecha]])</f>
        <v>28</v>
      </c>
      <c r="K68" s="12"/>
      <c r="L68" s="12"/>
      <c r="M68" s="12"/>
      <c r="N68" s="56"/>
      <c r="O68" s="12" t="s">
        <v>148</v>
      </c>
      <c r="P68" s="12" t="s">
        <v>88</v>
      </c>
      <c r="Q68" s="12"/>
      <c r="R68" s="12"/>
      <c r="S68" s="12"/>
      <c r="T68" s="12" t="s">
        <v>626</v>
      </c>
      <c r="U68" s="12" t="s">
        <v>53</v>
      </c>
      <c r="V68" s="12"/>
      <c r="W68" s="101" t="s">
        <v>526</v>
      </c>
      <c r="X68" s="61"/>
      <c r="Y68" s="13" t="s">
        <v>627</v>
      </c>
      <c r="Z68" s="12" t="s">
        <v>549</v>
      </c>
      <c r="AA68" s="12"/>
      <c r="AB68" s="12" t="s">
        <v>166</v>
      </c>
      <c r="AC68" s="12"/>
      <c r="AD68" s="12" t="s">
        <v>79</v>
      </c>
      <c r="AE68" s="12" t="s">
        <v>77</v>
      </c>
      <c r="AF68" s="12" t="s">
        <v>80</v>
      </c>
      <c r="AG68" s="12">
        <v>30</v>
      </c>
      <c r="AH68" s="12"/>
      <c r="AI68" s="12">
        <v>30</v>
      </c>
      <c r="AJ68" s="12"/>
      <c r="AK68" s="12"/>
      <c r="AL68" s="13"/>
      <c r="AM68" s="23" t="s">
        <v>628</v>
      </c>
      <c r="AN68" s="64" t="s">
        <v>629</v>
      </c>
      <c r="AO68" s="64"/>
    </row>
    <row r="69" spans="1:41" ht="41.4" x14ac:dyDescent="0.3">
      <c r="A69" s="65"/>
      <c r="B69" s="12"/>
      <c r="C69" s="12" t="s">
        <v>66</v>
      </c>
      <c r="D69" s="12" t="s">
        <v>67</v>
      </c>
      <c r="E69" s="12"/>
      <c r="F69" s="12" t="s">
        <v>66</v>
      </c>
      <c r="G69" s="12" t="s">
        <v>45</v>
      </c>
      <c r="H69" s="12" t="s">
        <v>630</v>
      </c>
      <c r="I69" s="61">
        <v>44969</v>
      </c>
      <c r="J69" s="14">
        <f>_xlfn.ISOWEEKNUM(Base_Accidentes_2023[[#This Row],[Fecha]])</f>
        <v>6</v>
      </c>
      <c r="K69" s="12"/>
      <c r="L69" s="12"/>
      <c r="M69" s="12"/>
      <c r="N69" s="56"/>
      <c r="O69" s="12" t="s">
        <v>216</v>
      </c>
      <c r="P69" s="12" t="s">
        <v>88</v>
      </c>
      <c r="Q69" s="12" t="s">
        <v>503</v>
      </c>
      <c r="R69" s="12" t="s">
        <v>384</v>
      </c>
      <c r="S69" s="12"/>
      <c r="T69" s="12" t="s">
        <v>631</v>
      </c>
      <c r="U69" s="12" t="s">
        <v>53</v>
      </c>
      <c r="V69" s="12">
        <v>58</v>
      </c>
      <c r="W69" s="44" t="s">
        <v>632</v>
      </c>
      <c r="X69" s="61"/>
      <c r="Y69" s="13" t="s">
        <v>633</v>
      </c>
      <c r="Z69" s="12" t="s">
        <v>208</v>
      </c>
      <c r="AA69" s="12"/>
      <c r="AB69" s="12" t="s">
        <v>256</v>
      </c>
      <c r="AC69" s="12"/>
      <c r="AD69" s="12" t="s">
        <v>79</v>
      </c>
      <c r="AE69" s="12" t="s">
        <v>209</v>
      </c>
      <c r="AF69" s="12" t="s">
        <v>141</v>
      </c>
      <c r="AG69" s="12">
        <v>10</v>
      </c>
      <c r="AH69" s="12"/>
      <c r="AI69" s="12"/>
      <c r="AJ69" s="12"/>
      <c r="AK69" s="12"/>
      <c r="AL69" s="13"/>
      <c r="AM69" s="23" t="s">
        <v>634</v>
      </c>
      <c r="AN69" s="64" t="s">
        <v>489</v>
      </c>
      <c r="AO69" s="64"/>
    </row>
    <row r="70" spans="1:41" ht="39.6" x14ac:dyDescent="0.3">
      <c r="A70" s="65"/>
      <c r="B70" s="12"/>
      <c r="C70" s="12" t="s">
        <v>41</v>
      </c>
      <c r="D70" s="12" t="s">
        <v>143</v>
      </c>
      <c r="E70" s="12" t="s">
        <v>144</v>
      </c>
      <c r="F70" s="12" t="s">
        <v>563</v>
      </c>
      <c r="G70" s="12" t="s">
        <v>45</v>
      </c>
      <c r="H70" s="12"/>
      <c r="I70" s="61">
        <v>45122</v>
      </c>
      <c r="J70" s="14">
        <f>_xlfn.ISOWEEKNUM(Base_Accidentes_2023[[#This Row],[Fecha]])</f>
        <v>28</v>
      </c>
      <c r="K70" s="12"/>
      <c r="L70" s="12"/>
      <c r="M70" s="12"/>
      <c r="N70" s="56"/>
      <c r="O70" s="12" t="s">
        <v>70</v>
      </c>
      <c r="P70" s="12" t="s">
        <v>88</v>
      </c>
      <c r="Q70" s="12"/>
      <c r="R70" s="12"/>
      <c r="S70" s="12"/>
      <c r="T70" s="12" t="s">
        <v>635</v>
      </c>
      <c r="U70" s="12" t="s">
        <v>53</v>
      </c>
      <c r="V70" s="12"/>
      <c r="W70" s="102" t="s">
        <v>636</v>
      </c>
      <c r="X70" s="61"/>
      <c r="Y70" s="13" t="s">
        <v>637</v>
      </c>
      <c r="Z70" s="12" t="s">
        <v>208</v>
      </c>
      <c r="AA70" s="12"/>
      <c r="AB70" s="12" t="s">
        <v>166</v>
      </c>
      <c r="AC70" s="12"/>
      <c r="AD70" s="12" t="s">
        <v>79</v>
      </c>
      <c r="AE70" s="12" t="s">
        <v>428</v>
      </c>
      <c r="AF70" s="12" t="s">
        <v>62</v>
      </c>
      <c r="AG70" s="12">
        <v>4</v>
      </c>
      <c r="AH70" s="12"/>
      <c r="AI70" s="12">
        <v>4</v>
      </c>
      <c r="AJ70" s="12"/>
      <c r="AK70" s="12"/>
      <c r="AL70" s="13"/>
      <c r="AM70" s="23" t="s">
        <v>638</v>
      </c>
      <c r="AN70" s="64" t="s">
        <v>639</v>
      </c>
      <c r="AO70" s="64"/>
    </row>
    <row r="71" spans="1:41" ht="39.6" x14ac:dyDescent="0.3">
      <c r="A71" s="65"/>
      <c r="B71" s="12"/>
      <c r="C71" s="12" t="s">
        <v>41</v>
      </c>
      <c r="D71" s="12" t="s">
        <v>143</v>
      </c>
      <c r="E71" s="12" t="s">
        <v>640</v>
      </c>
      <c r="F71" s="12" t="s">
        <v>641</v>
      </c>
      <c r="G71" s="12" t="s">
        <v>263</v>
      </c>
      <c r="H71" s="12" t="s">
        <v>641</v>
      </c>
      <c r="I71" s="61">
        <v>45129</v>
      </c>
      <c r="J71" s="14">
        <f>_xlfn.ISOWEEKNUM(Base_Accidentes_2023[[#This Row],[Fecha]])</f>
        <v>29</v>
      </c>
      <c r="K71" s="12"/>
      <c r="L71" s="12"/>
      <c r="M71" s="12"/>
      <c r="N71" s="56"/>
      <c r="O71" s="12" t="s">
        <v>70</v>
      </c>
      <c r="P71" s="12" t="s">
        <v>303</v>
      </c>
      <c r="Q71" s="12"/>
      <c r="R71" s="12"/>
      <c r="S71" s="12"/>
      <c r="T71" s="12" t="s">
        <v>642</v>
      </c>
      <c r="U71" s="12" t="s">
        <v>53</v>
      </c>
      <c r="V71" s="12"/>
      <c r="W71" s="101" t="s">
        <v>643</v>
      </c>
      <c r="X71" s="61"/>
      <c r="Y71" s="13" t="s">
        <v>644</v>
      </c>
      <c r="Z71" s="12" t="s">
        <v>208</v>
      </c>
      <c r="AA71" s="12"/>
      <c r="AB71" s="12" t="s">
        <v>166</v>
      </c>
      <c r="AC71" s="12"/>
      <c r="AD71" s="12" t="s">
        <v>79</v>
      </c>
      <c r="AE71" s="12" t="s">
        <v>428</v>
      </c>
      <c r="AF71" s="12" t="s">
        <v>62</v>
      </c>
      <c r="AG71" s="12">
        <v>3</v>
      </c>
      <c r="AH71" s="12"/>
      <c r="AI71" s="12">
        <v>3</v>
      </c>
      <c r="AJ71" s="12"/>
      <c r="AK71" s="12"/>
      <c r="AL71" s="13"/>
      <c r="AM71" s="23" t="s">
        <v>645</v>
      </c>
      <c r="AN71" s="64" t="s">
        <v>646</v>
      </c>
      <c r="AO71" s="64" t="s">
        <v>83</v>
      </c>
    </row>
    <row r="72" spans="1:41" ht="39.6" x14ac:dyDescent="0.3">
      <c r="A72" s="65">
        <v>5</v>
      </c>
      <c r="B72" s="12" t="s">
        <v>647</v>
      </c>
      <c r="C72" s="12" t="s">
        <v>41</v>
      </c>
      <c r="D72" s="12" t="s">
        <v>42</v>
      </c>
      <c r="E72" s="12" t="s">
        <v>43</v>
      </c>
      <c r="F72" s="12" t="s">
        <v>44</v>
      </c>
      <c r="G72" s="12" t="s">
        <v>45</v>
      </c>
      <c r="H72" s="12" t="s">
        <v>648</v>
      </c>
      <c r="I72" s="61">
        <v>44964</v>
      </c>
      <c r="J72" s="14">
        <v>6</v>
      </c>
      <c r="K72" s="12">
        <v>7</v>
      </c>
      <c r="L72" s="12">
        <v>2</v>
      </c>
      <c r="M72" s="12">
        <v>2023</v>
      </c>
      <c r="N72" s="56">
        <v>0.73888888888888893</v>
      </c>
      <c r="O72" s="12" t="s">
        <v>87</v>
      </c>
      <c r="P72" s="12" t="s">
        <v>88</v>
      </c>
      <c r="Q72" s="12" t="s">
        <v>89</v>
      </c>
      <c r="R72" s="12" t="s">
        <v>649</v>
      </c>
      <c r="S72" s="12" t="s">
        <v>650</v>
      </c>
      <c r="T72" s="12" t="s">
        <v>651</v>
      </c>
      <c r="U72" s="12" t="s">
        <v>109</v>
      </c>
      <c r="V72" s="12">
        <v>49</v>
      </c>
      <c r="W72" s="12" t="s">
        <v>54</v>
      </c>
      <c r="X72" s="61">
        <v>42471</v>
      </c>
      <c r="Y72" s="13" t="s">
        <v>652</v>
      </c>
      <c r="Z72" s="12" t="s">
        <v>196</v>
      </c>
      <c r="AA72" s="12" t="s">
        <v>57</v>
      </c>
      <c r="AB72" s="12" t="s">
        <v>58</v>
      </c>
      <c r="AC72" s="12" t="s">
        <v>653</v>
      </c>
      <c r="AD72" s="12" t="s">
        <v>60</v>
      </c>
      <c r="AE72" s="12" t="s">
        <v>654</v>
      </c>
      <c r="AF72" s="12" t="s">
        <v>62</v>
      </c>
      <c r="AG72" s="12">
        <v>7</v>
      </c>
      <c r="AH72" s="12">
        <v>0</v>
      </c>
      <c r="AI72" s="12">
        <v>7</v>
      </c>
      <c r="AJ72" s="12" t="s">
        <v>63</v>
      </c>
      <c r="AK72" s="12">
        <v>72</v>
      </c>
      <c r="AL72" s="13" t="s">
        <v>64</v>
      </c>
      <c r="AM72" s="23" t="s">
        <v>65</v>
      </c>
      <c r="AN72" s="64"/>
      <c r="AO72" s="64"/>
    </row>
    <row r="73" spans="1:41" ht="39.6" x14ac:dyDescent="0.3">
      <c r="A73" s="65"/>
      <c r="B73" s="12"/>
      <c r="C73" s="12" t="s">
        <v>66</v>
      </c>
      <c r="D73" s="12" t="s">
        <v>67</v>
      </c>
      <c r="E73" s="12"/>
      <c r="F73" s="12" t="s">
        <v>66</v>
      </c>
      <c r="G73" s="12" t="s">
        <v>45</v>
      </c>
      <c r="H73" s="12" t="s">
        <v>630</v>
      </c>
      <c r="I73" s="61">
        <v>44964</v>
      </c>
      <c r="J73" s="14">
        <f>_xlfn.ISOWEEKNUM(Base_Accidentes_2023[[#This Row],[Fecha]])</f>
        <v>6</v>
      </c>
      <c r="K73" s="12"/>
      <c r="L73" s="12"/>
      <c r="M73" s="12"/>
      <c r="N73" s="56"/>
      <c r="O73" s="12" t="s">
        <v>70</v>
      </c>
      <c r="P73" s="12" t="s">
        <v>88</v>
      </c>
      <c r="Q73" s="12" t="s">
        <v>503</v>
      </c>
      <c r="R73" s="12" t="s">
        <v>655</v>
      </c>
      <c r="S73" s="12" t="s">
        <v>656</v>
      </c>
      <c r="T73" s="12" t="s">
        <v>657</v>
      </c>
      <c r="U73" s="12" t="s">
        <v>53</v>
      </c>
      <c r="V73" s="12">
        <v>33</v>
      </c>
      <c r="W73" s="44" t="s">
        <v>658</v>
      </c>
      <c r="X73" s="61"/>
      <c r="Y73" s="13" t="s">
        <v>659</v>
      </c>
      <c r="Z73" s="12" t="s">
        <v>411</v>
      </c>
      <c r="AA73" s="12"/>
      <c r="AB73" s="12" t="s">
        <v>166</v>
      </c>
      <c r="AC73" s="12"/>
      <c r="AD73" s="12" t="s">
        <v>79</v>
      </c>
      <c r="AE73" s="12" t="s">
        <v>77</v>
      </c>
      <c r="AF73" s="12" t="s">
        <v>80</v>
      </c>
      <c r="AG73" s="12">
        <v>34</v>
      </c>
      <c r="AH73" s="12"/>
      <c r="AI73" s="12"/>
      <c r="AJ73" s="12"/>
      <c r="AK73" s="12"/>
      <c r="AL73" s="13"/>
      <c r="AM73" s="23" t="s">
        <v>660</v>
      </c>
      <c r="AN73" s="64" t="s">
        <v>661</v>
      </c>
      <c r="AO73" s="64"/>
    </row>
    <row r="74" spans="1:41" ht="39.6" x14ac:dyDescent="0.3">
      <c r="A74" s="65"/>
      <c r="B74" s="12"/>
      <c r="C74" s="12" t="s">
        <v>41</v>
      </c>
      <c r="D74" s="12" t="s">
        <v>143</v>
      </c>
      <c r="E74" s="12" t="s">
        <v>144</v>
      </c>
      <c r="F74" s="12" t="s">
        <v>364</v>
      </c>
      <c r="G74" s="12" t="s">
        <v>45</v>
      </c>
      <c r="H74" s="12" t="s">
        <v>662</v>
      </c>
      <c r="I74" s="61">
        <v>45147</v>
      </c>
      <c r="J74" s="14">
        <f>_xlfn.ISOWEEKNUM(Base_Accidentes_2023[[#This Row],[Fecha]])</f>
        <v>32</v>
      </c>
      <c r="K74" s="12"/>
      <c r="L74" s="12"/>
      <c r="M74" s="12"/>
      <c r="N74" s="56"/>
      <c r="O74" s="12" t="s">
        <v>216</v>
      </c>
      <c r="P74" s="12" t="s">
        <v>88</v>
      </c>
      <c r="Q74" s="12"/>
      <c r="R74" s="12"/>
      <c r="S74" s="12"/>
      <c r="T74" s="12" t="s">
        <v>663</v>
      </c>
      <c r="U74" s="12" t="s">
        <v>53</v>
      </c>
      <c r="V74" s="12">
        <v>45</v>
      </c>
      <c r="W74" s="103" t="s">
        <v>409</v>
      </c>
      <c r="X74" s="61"/>
      <c r="Y74" s="13" t="s">
        <v>664</v>
      </c>
      <c r="Z74" s="12" t="s">
        <v>411</v>
      </c>
      <c r="AA74" s="12"/>
      <c r="AB74" s="12" t="s">
        <v>166</v>
      </c>
      <c r="AC74" s="12"/>
      <c r="AD74" s="12" t="s">
        <v>79</v>
      </c>
      <c r="AE74" s="12" t="s">
        <v>549</v>
      </c>
      <c r="AF74" s="12" t="s">
        <v>328</v>
      </c>
      <c r="AG74" s="12" t="s">
        <v>240</v>
      </c>
      <c r="AH74" s="12"/>
      <c r="AI74" s="12" t="s">
        <v>240</v>
      </c>
      <c r="AJ74" s="12"/>
      <c r="AK74" s="12"/>
      <c r="AL74" s="13"/>
      <c r="AM74" s="23" t="s">
        <v>665</v>
      </c>
      <c r="AN74" s="64" t="s">
        <v>666</v>
      </c>
      <c r="AO74" s="64"/>
    </row>
    <row r="75" spans="1:41" ht="39.6" x14ac:dyDescent="0.3">
      <c r="A75" s="65"/>
      <c r="B75" s="12"/>
      <c r="C75" s="12" t="s">
        <v>41</v>
      </c>
      <c r="D75" s="12" t="s">
        <v>143</v>
      </c>
      <c r="E75" s="12" t="s">
        <v>144</v>
      </c>
      <c r="F75" s="12" t="s">
        <v>563</v>
      </c>
      <c r="G75" s="12" t="s">
        <v>45</v>
      </c>
      <c r="H75" s="12" t="s">
        <v>667</v>
      </c>
      <c r="I75" s="61">
        <v>45153</v>
      </c>
      <c r="J75" s="14">
        <f>_xlfn.ISOWEEKNUM(Base_Accidentes_2023[[#This Row],[Fecha]])</f>
        <v>33</v>
      </c>
      <c r="K75" s="12"/>
      <c r="L75" s="12"/>
      <c r="M75" s="12"/>
      <c r="N75" s="56"/>
      <c r="O75" s="12" t="s">
        <v>70</v>
      </c>
      <c r="P75" s="12" t="s">
        <v>88</v>
      </c>
      <c r="Q75" s="12"/>
      <c r="R75" s="12"/>
      <c r="S75" s="12"/>
      <c r="T75" s="12" t="s">
        <v>668</v>
      </c>
      <c r="U75" s="12" t="s">
        <v>53</v>
      </c>
      <c r="V75" s="12">
        <v>25</v>
      </c>
      <c r="W75" s="103" t="s">
        <v>332</v>
      </c>
      <c r="X75" s="61"/>
      <c r="Y75" s="13" t="s">
        <v>669</v>
      </c>
      <c r="Z75" s="12" t="s">
        <v>345</v>
      </c>
      <c r="AA75" s="12"/>
      <c r="AB75" s="12" t="s">
        <v>166</v>
      </c>
      <c r="AC75" s="12"/>
      <c r="AD75" s="12" t="s">
        <v>79</v>
      </c>
      <c r="AE75" s="12" t="s">
        <v>443</v>
      </c>
      <c r="AF75" s="12" t="s">
        <v>116</v>
      </c>
      <c r="AG75" s="12">
        <v>6</v>
      </c>
      <c r="AH75" s="12"/>
      <c r="AI75" s="12">
        <v>6</v>
      </c>
      <c r="AJ75" s="12"/>
      <c r="AK75" s="12"/>
      <c r="AL75" s="13"/>
      <c r="AM75" s="23" t="s">
        <v>81</v>
      </c>
      <c r="AN75" s="64" t="s">
        <v>670</v>
      </c>
      <c r="AO75" s="64"/>
    </row>
    <row r="76" spans="1:41" ht="52.8" x14ac:dyDescent="0.3">
      <c r="A76" s="65"/>
      <c r="B76" s="12"/>
      <c r="C76" s="12" t="s">
        <v>41</v>
      </c>
      <c r="D76" s="12" t="s">
        <v>143</v>
      </c>
      <c r="E76" s="12" t="s">
        <v>144</v>
      </c>
      <c r="F76" s="12" t="s">
        <v>145</v>
      </c>
      <c r="G76" s="12" t="s">
        <v>45</v>
      </c>
      <c r="H76" s="12" t="s">
        <v>671</v>
      </c>
      <c r="I76" s="61">
        <v>45163</v>
      </c>
      <c r="J76" s="14">
        <f>_xlfn.ISOWEEKNUM(Base_Accidentes_2023[[#This Row],[Fecha]])</f>
        <v>34</v>
      </c>
      <c r="K76" s="12"/>
      <c r="L76" s="12"/>
      <c r="M76" s="12"/>
      <c r="N76" s="56"/>
      <c r="O76" s="12" t="s">
        <v>70</v>
      </c>
      <c r="P76" s="12" t="s">
        <v>88</v>
      </c>
      <c r="Q76" s="12"/>
      <c r="R76" s="12"/>
      <c r="S76" s="12"/>
      <c r="T76" s="12" t="s">
        <v>672</v>
      </c>
      <c r="U76" s="12" t="s">
        <v>53</v>
      </c>
      <c r="V76" s="12">
        <v>27</v>
      </c>
      <c r="W76" s="103" t="s">
        <v>526</v>
      </c>
      <c r="X76" s="61"/>
      <c r="Y76" s="13" t="s">
        <v>673</v>
      </c>
      <c r="Z76" s="12" t="s">
        <v>176</v>
      </c>
      <c r="AA76" s="12"/>
      <c r="AB76" s="12" t="s">
        <v>166</v>
      </c>
      <c r="AC76" s="12"/>
      <c r="AD76" s="12" t="s">
        <v>79</v>
      </c>
      <c r="AE76" s="12" t="s">
        <v>176</v>
      </c>
      <c r="AF76" s="12" t="s">
        <v>100</v>
      </c>
      <c r="AG76" s="12">
        <v>3</v>
      </c>
      <c r="AH76" s="12"/>
      <c r="AI76" s="12">
        <v>3</v>
      </c>
      <c r="AJ76" s="12"/>
      <c r="AK76" s="12"/>
      <c r="AL76" s="13"/>
      <c r="AM76" s="23" t="s">
        <v>674</v>
      </c>
      <c r="AN76" s="64" t="s">
        <v>675</v>
      </c>
      <c r="AO76" s="64"/>
    </row>
    <row r="77" spans="1:41" ht="39.6" x14ac:dyDescent="0.3">
      <c r="A77" s="65"/>
      <c r="B77" s="12"/>
      <c r="C77" s="12" t="s">
        <v>307</v>
      </c>
      <c r="D77" s="12" t="s">
        <v>308</v>
      </c>
      <c r="E77" s="12" t="s">
        <v>307</v>
      </c>
      <c r="F77" s="12" t="s">
        <v>309</v>
      </c>
      <c r="G77" s="12" t="s">
        <v>214</v>
      </c>
      <c r="H77" s="12" t="s">
        <v>676</v>
      </c>
      <c r="I77" s="61">
        <v>45159</v>
      </c>
      <c r="J77" s="14">
        <f>_xlfn.ISOWEEKNUM(Base_Accidentes_2023[[#This Row],[Fecha]])</f>
        <v>34</v>
      </c>
      <c r="K77" s="12"/>
      <c r="L77" s="12"/>
      <c r="M77" s="12"/>
      <c r="N77" s="56"/>
      <c r="O77" s="12" t="s">
        <v>216</v>
      </c>
      <c r="P77" s="12" t="s">
        <v>71</v>
      </c>
      <c r="Q77" s="12"/>
      <c r="R77" s="12"/>
      <c r="S77" s="12"/>
      <c r="T77" s="12" t="s">
        <v>677</v>
      </c>
      <c r="U77" s="12" t="s">
        <v>53</v>
      </c>
      <c r="V77" s="12">
        <v>29</v>
      </c>
      <c r="W77" s="43"/>
      <c r="X77" s="61"/>
      <c r="Y77" s="13" t="s">
        <v>678</v>
      </c>
      <c r="Z77" s="12" t="s">
        <v>605</v>
      </c>
      <c r="AA77" s="12"/>
      <c r="AB77" s="12" t="s">
        <v>187</v>
      </c>
      <c r="AC77" s="12"/>
      <c r="AD77" s="12" t="s">
        <v>79</v>
      </c>
      <c r="AE77" s="12" t="s">
        <v>428</v>
      </c>
      <c r="AF77" s="12" t="s">
        <v>62</v>
      </c>
      <c r="AG77" s="12">
        <v>4</v>
      </c>
      <c r="AH77" s="12"/>
      <c r="AI77" s="12">
        <v>4</v>
      </c>
      <c r="AJ77" s="12"/>
      <c r="AK77" s="12"/>
      <c r="AL77" s="13"/>
      <c r="AM77" s="23" t="s">
        <v>679</v>
      </c>
      <c r="AN77" s="64" t="s">
        <v>680</v>
      </c>
      <c r="AO77" s="64" t="s">
        <v>83</v>
      </c>
    </row>
    <row r="78" spans="1:41" ht="36.75" customHeight="1" x14ac:dyDescent="0.3">
      <c r="A78" s="65">
        <v>3</v>
      </c>
      <c r="B78" s="12" t="s">
        <v>681</v>
      </c>
      <c r="C78" s="12" t="s">
        <v>41</v>
      </c>
      <c r="D78" s="12" t="s">
        <v>42</v>
      </c>
      <c r="E78" s="12" t="s">
        <v>43</v>
      </c>
      <c r="F78" s="12" t="s">
        <v>277</v>
      </c>
      <c r="G78" s="12" t="s">
        <v>45</v>
      </c>
      <c r="H78" s="12" t="s">
        <v>682</v>
      </c>
      <c r="I78" s="61">
        <v>44957</v>
      </c>
      <c r="J78" s="14">
        <v>5</v>
      </c>
      <c r="K78" s="12">
        <v>31</v>
      </c>
      <c r="L78" s="12">
        <v>1</v>
      </c>
      <c r="M78" s="12">
        <v>2023</v>
      </c>
      <c r="N78" s="56">
        <v>0.75</v>
      </c>
      <c r="O78" s="12" t="s">
        <v>87</v>
      </c>
      <c r="P78" s="12" t="s">
        <v>88</v>
      </c>
      <c r="Q78" s="12" t="s">
        <v>89</v>
      </c>
      <c r="R78" s="12" t="s">
        <v>683</v>
      </c>
      <c r="S78" s="12" t="s">
        <v>684</v>
      </c>
      <c r="T78" s="12" t="s">
        <v>685</v>
      </c>
      <c r="U78" s="12" t="s">
        <v>53</v>
      </c>
      <c r="V78" s="12">
        <v>42</v>
      </c>
      <c r="W78" s="12" t="s">
        <v>686</v>
      </c>
      <c r="X78" s="61">
        <v>40909</v>
      </c>
      <c r="Y78" s="13" t="s">
        <v>687</v>
      </c>
      <c r="Z78" s="12" t="s">
        <v>56</v>
      </c>
      <c r="AA78" s="12" t="s">
        <v>688</v>
      </c>
      <c r="AB78" s="12" t="s">
        <v>166</v>
      </c>
      <c r="AC78" s="12" t="s">
        <v>689</v>
      </c>
      <c r="AD78" s="12" t="s">
        <v>60</v>
      </c>
      <c r="AE78" s="12" t="s">
        <v>690</v>
      </c>
      <c r="AF78" s="12" t="s">
        <v>516</v>
      </c>
      <c r="AG78" s="12">
        <v>8</v>
      </c>
      <c r="AH78" s="12">
        <v>0</v>
      </c>
      <c r="AI78" s="12">
        <v>8</v>
      </c>
      <c r="AJ78" s="12" t="s">
        <v>117</v>
      </c>
      <c r="AK78" s="12">
        <v>132</v>
      </c>
      <c r="AL78" s="13" t="s">
        <v>64</v>
      </c>
      <c r="AM78" s="23" t="s">
        <v>65</v>
      </c>
      <c r="AN78" s="64"/>
      <c r="AO78" s="64"/>
    </row>
    <row r="79" spans="1:41" ht="39.6" x14ac:dyDescent="0.3">
      <c r="A79" s="65"/>
      <c r="B79" s="12"/>
      <c r="C79" s="12" t="s">
        <v>41</v>
      </c>
      <c r="D79" s="12" t="s">
        <v>143</v>
      </c>
      <c r="E79" s="12" t="s">
        <v>144</v>
      </c>
      <c r="F79" s="12" t="s">
        <v>563</v>
      </c>
      <c r="G79" s="12" t="s">
        <v>45</v>
      </c>
      <c r="H79" s="12" t="s">
        <v>691</v>
      </c>
      <c r="I79" s="61">
        <v>45167</v>
      </c>
      <c r="J79" s="14">
        <f>_xlfn.ISOWEEKNUM(Base_Accidentes_2023[[#This Row],[Fecha]])</f>
        <v>35</v>
      </c>
      <c r="K79" s="12"/>
      <c r="L79" s="12"/>
      <c r="M79" s="12"/>
      <c r="N79" s="56"/>
      <c r="O79" s="12" t="s">
        <v>148</v>
      </c>
      <c r="P79" s="12" t="s">
        <v>88</v>
      </c>
      <c r="Q79" s="12"/>
      <c r="R79" s="12"/>
      <c r="S79" s="12"/>
      <c r="T79" s="12" t="s">
        <v>692</v>
      </c>
      <c r="U79" s="12" t="s">
        <v>53</v>
      </c>
      <c r="V79" s="12">
        <v>44</v>
      </c>
      <c r="W79" s="103" t="s">
        <v>332</v>
      </c>
      <c r="X79" s="61"/>
      <c r="Y79" s="13" t="s">
        <v>693</v>
      </c>
      <c r="Z79" s="12" t="s">
        <v>461</v>
      </c>
      <c r="AA79" s="12"/>
      <c r="AB79" s="12" t="s">
        <v>187</v>
      </c>
      <c r="AC79" s="12"/>
      <c r="AD79" s="12" t="s">
        <v>79</v>
      </c>
      <c r="AE79" s="12" t="s">
        <v>461</v>
      </c>
      <c r="AF79" s="12" t="s">
        <v>100</v>
      </c>
      <c r="AG79" s="12">
        <v>3</v>
      </c>
      <c r="AH79" s="12"/>
      <c r="AI79" s="12">
        <v>3</v>
      </c>
      <c r="AJ79" s="12"/>
      <c r="AK79" s="12"/>
      <c r="AL79" s="13"/>
      <c r="AM79" s="23" t="s">
        <v>665</v>
      </c>
      <c r="AN79" s="64" t="s">
        <v>694</v>
      </c>
      <c r="AO79" s="64"/>
    </row>
    <row r="80" spans="1:41" ht="39.6" x14ac:dyDescent="0.3">
      <c r="A80" s="65">
        <v>4</v>
      </c>
      <c r="B80" s="12"/>
      <c r="C80" s="12" t="s">
        <v>41</v>
      </c>
      <c r="D80" s="12" t="s">
        <v>42</v>
      </c>
      <c r="E80" s="12" t="s">
        <v>43</v>
      </c>
      <c r="F80" s="12" t="s">
        <v>44</v>
      </c>
      <c r="G80" s="12" t="s">
        <v>695</v>
      </c>
      <c r="H80" s="12" t="s">
        <v>696</v>
      </c>
      <c r="I80" s="61">
        <v>44956</v>
      </c>
      <c r="J80" s="14">
        <v>5</v>
      </c>
      <c r="K80" s="12">
        <v>30</v>
      </c>
      <c r="L80" s="12">
        <v>1</v>
      </c>
      <c r="M80" s="12">
        <v>2023</v>
      </c>
      <c r="N80" s="56">
        <v>0.29166666666666669</v>
      </c>
      <c r="O80" s="12" t="s">
        <v>87</v>
      </c>
      <c r="P80" s="12" t="s">
        <v>88</v>
      </c>
      <c r="Q80" s="12" t="s">
        <v>89</v>
      </c>
      <c r="R80" s="12" t="s">
        <v>697</v>
      </c>
      <c r="S80" s="12" t="s">
        <v>698</v>
      </c>
      <c r="T80" s="12" t="s">
        <v>699</v>
      </c>
      <c r="U80" s="12" t="s">
        <v>109</v>
      </c>
      <c r="V80" s="12">
        <v>32</v>
      </c>
      <c r="W80" s="12" t="s">
        <v>700</v>
      </c>
      <c r="X80" s="61">
        <v>44545</v>
      </c>
      <c r="Y80" s="13" t="s">
        <v>701</v>
      </c>
      <c r="Z80" s="12" t="s">
        <v>123</v>
      </c>
      <c r="AA80" s="12" t="s">
        <v>113</v>
      </c>
      <c r="AB80" s="12" t="s">
        <v>78</v>
      </c>
      <c r="AC80" s="12" t="s">
        <v>702</v>
      </c>
      <c r="AD80" s="12" t="s">
        <v>60</v>
      </c>
      <c r="AE80" s="12" t="s">
        <v>115</v>
      </c>
      <c r="AF80" s="12" t="s">
        <v>116</v>
      </c>
      <c r="AG80" s="12">
        <v>14</v>
      </c>
      <c r="AH80" s="12">
        <v>0</v>
      </c>
      <c r="AI80" s="12">
        <v>14</v>
      </c>
      <c r="AJ80" s="12" t="s">
        <v>63</v>
      </c>
      <c r="AK80" s="12">
        <v>12</v>
      </c>
      <c r="AL80" s="13" t="s">
        <v>64</v>
      </c>
      <c r="AM80" s="23" t="s">
        <v>65</v>
      </c>
      <c r="AN80" s="64"/>
      <c r="AO80" s="64"/>
    </row>
    <row r="81" spans="1:41" ht="52.8" x14ac:dyDescent="0.3">
      <c r="A81" s="65">
        <v>2</v>
      </c>
      <c r="B81" s="12" t="s">
        <v>703</v>
      </c>
      <c r="C81" s="12" t="s">
        <v>41</v>
      </c>
      <c r="D81" s="12" t="s">
        <v>42</v>
      </c>
      <c r="E81" s="12" t="s">
        <v>43</v>
      </c>
      <c r="F81" s="12" t="s">
        <v>277</v>
      </c>
      <c r="G81" s="12" t="s">
        <v>45</v>
      </c>
      <c r="H81" s="12" t="s">
        <v>704</v>
      </c>
      <c r="I81" s="61">
        <v>44953</v>
      </c>
      <c r="J81" s="14">
        <v>4</v>
      </c>
      <c r="K81" s="12">
        <v>27</v>
      </c>
      <c r="L81" s="12">
        <v>1</v>
      </c>
      <c r="M81" s="12">
        <v>2023</v>
      </c>
      <c r="N81" s="56">
        <v>7.6388888888888895E-2</v>
      </c>
      <c r="O81" s="12" t="s">
        <v>47</v>
      </c>
      <c r="P81" s="12" t="s">
        <v>48</v>
      </c>
      <c r="Q81" s="12" t="s">
        <v>49</v>
      </c>
      <c r="R81" s="12" t="s">
        <v>705</v>
      </c>
      <c r="S81" s="12" t="s">
        <v>706</v>
      </c>
      <c r="T81" s="66" t="s">
        <v>707</v>
      </c>
      <c r="U81" s="12" t="s">
        <v>53</v>
      </c>
      <c r="V81" s="12">
        <v>23</v>
      </c>
      <c r="W81" s="12" t="s">
        <v>54</v>
      </c>
      <c r="X81" s="61">
        <v>44105</v>
      </c>
      <c r="Y81" s="13" t="s">
        <v>708</v>
      </c>
      <c r="Z81" s="12" t="s">
        <v>56</v>
      </c>
      <c r="AA81" s="12" t="s">
        <v>688</v>
      </c>
      <c r="AB81" s="12" t="s">
        <v>166</v>
      </c>
      <c r="AC81" s="12" t="s">
        <v>709</v>
      </c>
      <c r="AD81" s="12" t="s">
        <v>710</v>
      </c>
      <c r="AE81" s="12" t="s">
        <v>711</v>
      </c>
      <c r="AF81" s="12" t="s">
        <v>516</v>
      </c>
      <c r="AG81" s="12">
        <v>14</v>
      </c>
      <c r="AH81" s="12">
        <v>0</v>
      </c>
      <c r="AI81" s="12">
        <v>14</v>
      </c>
      <c r="AJ81" s="12" t="s">
        <v>117</v>
      </c>
      <c r="AK81" s="12">
        <v>28</v>
      </c>
      <c r="AL81" s="13" t="s">
        <v>289</v>
      </c>
      <c r="AM81" s="23" t="s">
        <v>65</v>
      </c>
      <c r="AN81" s="64"/>
      <c r="AO81" s="64"/>
    </row>
    <row r="82" spans="1:41" ht="39.6" x14ac:dyDescent="0.3">
      <c r="A82" s="65"/>
      <c r="B82" s="12"/>
      <c r="C82" s="12" t="s">
        <v>41</v>
      </c>
      <c r="D82" s="12" t="s">
        <v>143</v>
      </c>
      <c r="E82" s="12" t="s">
        <v>144</v>
      </c>
      <c r="F82" s="96" t="s">
        <v>558</v>
      </c>
      <c r="G82" s="12" t="s">
        <v>45</v>
      </c>
      <c r="H82" s="12" t="s">
        <v>348</v>
      </c>
      <c r="I82" s="61">
        <v>45170</v>
      </c>
      <c r="J82" s="14">
        <f>_xlfn.ISOWEEKNUM(Base_Accidentes_2023[[#This Row],[Fecha]])</f>
        <v>35</v>
      </c>
      <c r="K82" s="12"/>
      <c r="L82" s="12"/>
      <c r="M82" s="12"/>
      <c r="N82" s="56"/>
      <c r="O82" s="12" t="s">
        <v>148</v>
      </c>
      <c r="P82" s="12" t="s">
        <v>88</v>
      </c>
      <c r="Q82" s="12"/>
      <c r="R82" s="12"/>
      <c r="S82" s="12"/>
      <c r="T82" s="12" t="s">
        <v>712</v>
      </c>
      <c r="U82" s="12" t="s">
        <v>53</v>
      </c>
      <c r="V82" s="12">
        <v>26</v>
      </c>
      <c r="W82" s="101" t="s">
        <v>713</v>
      </c>
      <c r="X82" s="61"/>
      <c r="Y82" s="13" t="s">
        <v>714</v>
      </c>
      <c r="Z82" s="12" t="s">
        <v>600</v>
      </c>
      <c r="AA82" s="12"/>
      <c r="AB82" s="12" t="s">
        <v>166</v>
      </c>
      <c r="AC82" s="12"/>
      <c r="AD82" s="12" t="s">
        <v>79</v>
      </c>
      <c r="AE82" s="12" t="s">
        <v>600</v>
      </c>
      <c r="AF82" s="12" t="s">
        <v>80</v>
      </c>
      <c r="AG82" s="12">
        <v>32</v>
      </c>
      <c r="AH82" s="12"/>
      <c r="AI82" s="12">
        <v>32</v>
      </c>
      <c r="AJ82" s="12"/>
      <c r="AK82" s="12"/>
      <c r="AL82" s="13"/>
      <c r="AM82" s="23" t="s">
        <v>715</v>
      </c>
      <c r="AN82" s="64" t="s">
        <v>716</v>
      </c>
      <c r="AO82" s="64"/>
    </row>
    <row r="83" spans="1:41" ht="39.6" x14ac:dyDescent="0.3">
      <c r="A83" s="65"/>
      <c r="B83" s="12"/>
      <c r="C83" s="12" t="s">
        <v>41</v>
      </c>
      <c r="D83" s="12" t="s">
        <v>143</v>
      </c>
      <c r="E83" s="12" t="s">
        <v>144</v>
      </c>
      <c r="F83" s="12" t="s">
        <v>180</v>
      </c>
      <c r="G83" s="12" t="s">
        <v>45</v>
      </c>
      <c r="H83" s="12" t="s">
        <v>546</v>
      </c>
      <c r="I83" s="61">
        <v>45170</v>
      </c>
      <c r="J83" s="14">
        <f>_xlfn.ISOWEEKNUM(Base_Accidentes_2023[[#This Row],[Fecha]])</f>
        <v>35</v>
      </c>
      <c r="K83" s="12"/>
      <c r="L83" s="12"/>
      <c r="M83" s="12"/>
      <c r="N83" s="56"/>
      <c r="O83" s="12" t="s">
        <v>70</v>
      </c>
      <c r="P83" s="12" t="s">
        <v>88</v>
      </c>
      <c r="Q83" s="12"/>
      <c r="R83" s="12"/>
      <c r="S83" s="12"/>
      <c r="T83" s="12" t="s">
        <v>717</v>
      </c>
      <c r="U83" s="12" t="s">
        <v>53</v>
      </c>
      <c r="V83" s="12">
        <v>26</v>
      </c>
      <c r="W83" s="101" t="s">
        <v>718</v>
      </c>
      <c r="X83" s="61"/>
      <c r="Y83" s="13" t="s">
        <v>719</v>
      </c>
      <c r="Z83" s="12" t="s">
        <v>720</v>
      </c>
      <c r="AA83" s="12"/>
      <c r="AB83" s="12" t="s">
        <v>187</v>
      </c>
      <c r="AC83" s="12"/>
      <c r="AD83" s="12" t="s">
        <v>79</v>
      </c>
      <c r="AE83" s="12" t="s">
        <v>720</v>
      </c>
      <c r="AF83" s="12" t="s">
        <v>233</v>
      </c>
      <c r="AG83" s="12">
        <v>3</v>
      </c>
      <c r="AH83" s="12"/>
      <c r="AI83" s="12">
        <v>3</v>
      </c>
      <c r="AJ83" s="12"/>
      <c r="AK83" s="12"/>
      <c r="AL83" s="13"/>
      <c r="AM83" s="23" t="s">
        <v>462</v>
      </c>
      <c r="AN83" s="64" t="s">
        <v>721</v>
      </c>
      <c r="AO83" s="64"/>
    </row>
    <row r="84" spans="1:41" ht="41.4" x14ac:dyDescent="0.3">
      <c r="A84" s="65"/>
      <c r="B84" s="12"/>
      <c r="C84" s="12" t="s">
        <v>66</v>
      </c>
      <c r="D84" s="12" t="s">
        <v>67</v>
      </c>
      <c r="E84" s="12"/>
      <c r="F84" s="12" t="s">
        <v>236</v>
      </c>
      <c r="G84" s="12" t="s">
        <v>45</v>
      </c>
      <c r="H84" s="12" t="s">
        <v>630</v>
      </c>
      <c r="I84" s="61">
        <v>44946</v>
      </c>
      <c r="J84" s="14">
        <f>_xlfn.ISOWEEKNUM(Base_Accidentes_2023[[#This Row],[Fecha]])</f>
        <v>3</v>
      </c>
      <c r="K84" s="12"/>
      <c r="L84" s="12"/>
      <c r="M84" s="12"/>
      <c r="N84" s="56"/>
      <c r="O84" s="12" t="s">
        <v>70</v>
      </c>
      <c r="P84" s="12" t="s">
        <v>88</v>
      </c>
      <c r="Q84" s="12" t="s">
        <v>503</v>
      </c>
      <c r="R84" s="12" t="s">
        <v>722</v>
      </c>
      <c r="S84" s="12" t="s">
        <v>723</v>
      </c>
      <c r="T84" s="12" t="s">
        <v>724</v>
      </c>
      <c r="U84" s="12" t="s">
        <v>53</v>
      </c>
      <c r="V84" s="12">
        <v>59</v>
      </c>
      <c r="W84" s="44" t="s">
        <v>725</v>
      </c>
      <c r="X84" s="61"/>
      <c r="Y84" s="13" t="s">
        <v>726</v>
      </c>
      <c r="Z84" s="12" t="s">
        <v>186</v>
      </c>
      <c r="AA84" s="12"/>
      <c r="AB84" s="12" t="s">
        <v>231</v>
      </c>
      <c r="AC84" s="12"/>
      <c r="AD84" s="12" t="s">
        <v>79</v>
      </c>
      <c r="AE84" s="12" t="s">
        <v>727</v>
      </c>
      <c r="AF84" s="12" t="s">
        <v>233</v>
      </c>
      <c r="AG84" s="12">
        <v>2</v>
      </c>
      <c r="AH84" s="12"/>
      <c r="AI84" s="12"/>
      <c r="AJ84" s="12"/>
      <c r="AK84" s="12"/>
      <c r="AL84" s="13"/>
      <c r="AM84" s="23" t="s">
        <v>728</v>
      </c>
      <c r="AN84" s="64" t="s">
        <v>729</v>
      </c>
      <c r="AO84" s="64"/>
    </row>
    <row r="85" spans="1:41" ht="66" x14ac:dyDescent="0.3">
      <c r="A85" s="12">
        <v>1</v>
      </c>
      <c r="B85" s="12" t="s">
        <v>730</v>
      </c>
      <c r="C85" s="12" t="s">
        <v>41</v>
      </c>
      <c r="D85" s="12" t="s">
        <v>42</v>
      </c>
      <c r="E85" s="12" t="s">
        <v>731</v>
      </c>
      <c r="F85" s="12" t="s">
        <v>731</v>
      </c>
      <c r="G85" s="12" t="s">
        <v>695</v>
      </c>
      <c r="H85" s="12" t="s">
        <v>732</v>
      </c>
      <c r="I85" s="60">
        <v>44942</v>
      </c>
      <c r="J85" s="14">
        <v>3</v>
      </c>
      <c r="K85" s="12">
        <v>16</v>
      </c>
      <c r="L85" s="12">
        <v>1</v>
      </c>
      <c r="M85" s="12">
        <v>2023</v>
      </c>
      <c r="N85" s="56">
        <v>0.45833333333333331</v>
      </c>
      <c r="O85" s="12" t="s">
        <v>733</v>
      </c>
      <c r="P85" s="12" t="s">
        <v>88</v>
      </c>
      <c r="Q85" s="12" t="s">
        <v>89</v>
      </c>
      <c r="R85" s="12" t="s">
        <v>734</v>
      </c>
      <c r="S85" s="12" t="s">
        <v>735</v>
      </c>
      <c r="T85" s="12" t="s">
        <v>736</v>
      </c>
      <c r="U85" s="12" t="s">
        <v>53</v>
      </c>
      <c r="V85" s="12">
        <v>55</v>
      </c>
      <c r="W85" s="12" t="s">
        <v>737</v>
      </c>
      <c r="X85" s="61">
        <v>39356</v>
      </c>
      <c r="Y85" s="13" t="s">
        <v>738</v>
      </c>
      <c r="Z85" s="62" t="s">
        <v>739</v>
      </c>
      <c r="AA85" s="12" t="s">
        <v>740</v>
      </c>
      <c r="AB85" s="12" t="s">
        <v>231</v>
      </c>
      <c r="AC85" s="12" t="s">
        <v>741</v>
      </c>
      <c r="AD85" s="12" t="s">
        <v>742</v>
      </c>
      <c r="AE85" s="12" t="s">
        <v>437</v>
      </c>
      <c r="AF85" s="12" t="s">
        <v>233</v>
      </c>
      <c r="AG85" s="12">
        <v>2</v>
      </c>
      <c r="AH85" s="12">
        <v>0</v>
      </c>
      <c r="AI85" s="12">
        <v>2</v>
      </c>
      <c r="AJ85" s="12" t="s">
        <v>63</v>
      </c>
      <c r="AK85" s="12">
        <v>183</v>
      </c>
      <c r="AL85" s="63" t="s">
        <v>64</v>
      </c>
      <c r="AM85" s="23" t="s">
        <v>65</v>
      </c>
      <c r="AN85" s="64"/>
      <c r="AO85" s="64"/>
    </row>
    <row r="86" spans="1:41" ht="39.6" x14ac:dyDescent="0.3">
      <c r="A86" s="65"/>
      <c r="B86" s="12"/>
      <c r="C86" s="12" t="s">
        <v>465</v>
      </c>
      <c r="D86" s="12" t="s">
        <v>308</v>
      </c>
      <c r="E86" s="12" t="s">
        <v>465</v>
      </c>
      <c r="F86" s="12" t="s">
        <v>743</v>
      </c>
      <c r="G86" s="12"/>
      <c r="H86" s="12" t="s">
        <v>744</v>
      </c>
      <c r="I86" s="61">
        <v>45195</v>
      </c>
      <c r="J86" s="14">
        <f>_xlfn.ISOWEEKNUM(Base_Accidentes_2023[[#This Row],[Fecha]])</f>
        <v>39</v>
      </c>
      <c r="K86" s="12"/>
      <c r="L86" s="12"/>
      <c r="M86" s="12"/>
      <c r="N86" s="56"/>
      <c r="O86" s="12" t="s">
        <v>70</v>
      </c>
      <c r="P86" s="12" t="s">
        <v>88</v>
      </c>
      <c r="Q86" s="12"/>
      <c r="R86" s="12"/>
      <c r="S86" s="12"/>
      <c r="T86" s="12" t="s">
        <v>745</v>
      </c>
      <c r="U86" s="12" t="s">
        <v>53</v>
      </c>
      <c r="V86" s="12">
        <v>39</v>
      </c>
      <c r="W86" s="45" t="s">
        <v>332</v>
      </c>
      <c r="X86" s="61"/>
      <c r="Y86" s="13" t="s">
        <v>746</v>
      </c>
      <c r="Z86" s="12" t="s">
        <v>747</v>
      </c>
      <c r="AA86" s="12"/>
      <c r="AB86" s="12" t="s">
        <v>166</v>
      </c>
      <c r="AC86" s="12"/>
      <c r="AD86" s="12" t="s">
        <v>79</v>
      </c>
      <c r="AE86" s="12" t="s">
        <v>747</v>
      </c>
      <c r="AF86" s="12" t="s">
        <v>62</v>
      </c>
      <c r="AG86" s="12">
        <v>4</v>
      </c>
      <c r="AH86" s="12"/>
      <c r="AI86" s="12">
        <v>4</v>
      </c>
      <c r="AJ86" s="12"/>
      <c r="AK86" s="12"/>
      <c r="AL86" s="13"/>
      <c r="AM86" s="23" t="s">
        <v>81</v>
      </c>
      <c r="AN86" s="64" t="s">
        <v>748</v>
      </c>
      <c r="AO86" s="64"/>
    </row>
    <row r="87" spans="1:41" ht="39.6" x14ac:dyDescent="0.3">
      <c r="A87" s="65"/>
      <c r="B87" s="12"/>
      <c r="C87" s="12" t="s">
        <v>41</v>
      </c>
      <c r="D87" s="12" t="s">
        <v>143</v>
      </c>
      <c r="E87" s="12" t="s">
        <v>749</v>
      </c>
      <c r="F87" s="12" t="s">
        <v>750</v>
      </c>
      <c r="G87" s="12" t="s">
        <v>263</v>
      </c>
      <c r="H87" s="12" t="s">
        <v>750</v>
      </c>
      <c r="I87" s="61">
        <v>45173</v>
      </c>
      <c r="J87" s="14">
        <f>_xlfn.ISOWEEKNUM(Base_Accidentes_2023[[#This Row],[Fecha]])</f>
        <v>36</v>
      </c>
      <c r="K87" s="12"/>
      <c r="L87" s="12"/>
      <c r="M87" s="12"/>
      <c r="N87" s="56"/>
      <c r="O87" s="12" t="s">
        <v>216</v>
      </c>
      <c r="P87" s="12" t="s">
        <v>751</v>
      </c>
      <c r="Q87" s="12"/>
      <c r="R87" s="12"/>
      <c r="S87" s="12"/>
      <c r="T87" s="12" t="s">
        <v>752</v>
      </c>
      <c r="U87" s="12" t="s">
        <v>53</v>
      </c>
      <c r="V87" s="12"/>
      <c r="W87" s="101"/>
      <c r="X87" s="61"/>
      <c r="Y87" s="13" t="s">
        <v>753</v>
      </c>
      <c r="Z87" s="12" t="s">
        <v>754</v>
      </c>
      <c r="AA87" s="12"/>
      <c r="AB87" s="12" t="s">
        <v>78</v>
      </c>
      <c r="AC87" s="12"/>
      <c r="AD87" s="12" t="s">
        <v>79</v>
      </c>
      <c r="AE87" s="12" t="s">
        <v>754</v>
      </c>
      <c r="AF87" s="12" t="s">
        <v>80</v>
      </c>
      <c r="AG87" s="12">
        <v>5</v>
      </c>
      <c r="AH87" s="12"/>
      <c r="AI87" s="12">
        <v>5</v>
      </c>
      <c r="AJ87" s="12"/>
      <c r="AK87" s="12"/>
      <c r="AL87" s="13"/>
      <c r="AM87" s="23" t="s">
        <v>755</v>
      </c>
      <c r="AN87" s="64" t="s">
        <v>756</v>
      </c>
      <c r="AO87" s="64"/>
    </row>
    <row r="88" spans="1:41" ht="39.6" x14ac:dyDescent="0.3">
      <c r="A88" s="65"/>
      <c r="B88" s="12"/>
      <c r="C88" s="12" t="s">
        <v>41</v>
      </c>
      <c r="D88" s="12" t="s">
        <v>143</v>
      </c>
      <c r="E88" s="12" t="s">
        <v>43</v>
      </c>
      <c r="F88" s="12" t="s">
        <v>757</v>
      </c>
      <c r="G88" s="12" t="s">
        <v>263</v>
      </c>
      <c r="H88" s="12" t="s">
        <v>757</v>
      </c>
      <c r="I88" s="61">
        <v>45184</v>
      </c>
      <c r="J88" s="14">
        <f>_xlfn.ISOWEEKNUM(Base_Accidentes_2023[[#This Row],[Fecha]])</f>
        <v>37</v>
      </c>
      <c r="K88" s="12"/>
      <c r="L88" s="12"/>
      <c r="M88" s="12"/>
      <c r="N88" s="56"/>
      <c r="O88" s="12" t="s">
        <v>70</v>
      </c>
      <c r="P88" s="12" t="s">
        <v>88</v>
      </c>
      <c r="Q88" s="12"/>
      <c r="R88" s="12"/>
      <c r="S88" s="12"/>
      <c r="T88" s="12" t="s">
        <v>758</v>
      </c>
      <c r="U88" s="12" t="s">
        <v>53</v>
      </c>
      <c r="V88" s="12">
        <v>33</v>
      </c>
      <c r="W88" s="101" t="s">
        <v>759</v>
      </c>
      <c r="X88" s="61"/>
      <c r="Y88" s="13" t="s">
        <v>760</v>
      </c>
      <c r="Z88" s="12" t="s">
        <v>761</v>
      </c>
      <c r="AA88" s="12"/>
      <c r="AB88" s="12" t="s">
        <v>187</v>
      </c>
      <c r="AC88" s="12"/>
      <c r="AD88" s="12" t="s">
        <v>79</v>
      </c>
      <c r="AE88" s="12" t="s">
        <v>761</v>
      </c>
      <c r="AF88" s="12" t="s">
        <v>100</v>
      </c>
      <c r="AG88" s="12">
        <v>8</v>
      </c>
      <c r="AH88" s="12"/>
      <c r="AI88" s="12">
        <v>8</v>
      </c>
      <c r="AJ88" s="12"/>
      <c r="AK88" s="12"/>
      <c r="AL88" s="13"/>
      <c r="AM88" s="23" t="s">
        <v>755</v>
      </c>
      <c r="AN88" s="64" t="s">
        <v>762</v>
      </c>
      <c r="AO88" s="64"/>
    </row>
    <row r="89" spans="1:41" ht="39.6" x14ac:dyDescent="0.3">
      <c r="A89" s="65"/>
      <c r="B89" s="12"/>
      <c r="C89" s="12" t="s">
        <v>41</v>
      </c>
      <c r="D89" s="12" t="s">
        <v>143</v>
      </c>
      <c r="E89" s="12" t="s">
        <v>144</v>
      </c>
      <c r="F89" s="12" t="s">
        <v>763</v>
      </c>
      <c r="G89" s="12" t="s">
        <v>45</v>
      </c>
      <c r="H89" s="12" t="s">
        <v>764</v>
      </c>
      <c r="I89" s="61">
        <v>45189</v>
      </c>
      <c r="J89" s="14">
        <f>_xlfn.ISOWEEKNUM(Base_Accidentes_2023[[#This Row],[Fecha]])</f>
        <v>38</v>
      </c>
      <c r="K89" s="12"/>
      <c r="L89" s="12"/>
      <c r="M89" s="12"/>
      <c r="N89" s="56"/>
      <c r="O89" s="12" t="s">
        <v>70</v>
      </c>
      <c r="P89" s="12" t="s">
        <v>88</v>
      </c>
      <c r="Q89" s="12"/>
      <c r="R89" s="12"/>
      <c r="S89" s="12"/>
      <c r="T89" s="12" t="s">
        <v>765</v>
      </c>
      <c r="U89" s="12" t="s">
        <v>53</v>
      </c>
      <c r="V89" s="12"/>
      <c r="W89" s="101" t="s">
        <v>766</v>
      </c>
      <c r="X89" s="61"/>
      <c r="Y89" s="13" t="s">
        <v>767</v>
      </c>
      <c r="Z89" s="12" t="s">
        <v>768</v>
      </c>
      <c r="AA89" s="12"/>
      <c r="AB89" s="12" t="s">
        <v>166</v>
      </c>
      <c r="AC89" s="12"/>
      <c r="AD89" s="12" t="s">
        <v>79</v>
      </c>
      <c r="AE89" s="12" t="s">
        <v>768</v>
      </c>
      <c r="AF89" s="12" t="s">
        <v>62</v>
      </c>
      <c r="AG89" s="12">
        <v>4</v>
      </c>
      <c r="AH89" s="12"/>
      <c r="AI89" s="12">
        <v>4</v>
      </c>
      <c r="AJ89" s="12"/>
      <c r="AK89" s="12"/>
      <c r="AL89" s="13"/>
      <c r="AM89" s="23" t="s">
        <v>769</v>
      </c>
      <c r="AN89" s="64" t="s">
        <v>770</v>
      </c>
      <c r="AO89" s="64"/>
    </row>
    <row r="90" spans="1:41" ht="55.2" x14ac:dyDescent="0.3">
      <c r="A90" s="65"/>
      <c r="B90" s="12"/>
      <c r="C90" s="12" t="s">
        <v>41</v>
      </c>
      <c r="D90" s="12" t="s">
        <v>308</v>
      </c>
      <c r="E90" s="12" t="s">
        <v>389</v>
      </c>
      <c r="F90" s="49" t="s">
        <v>771</v>
      </c>
      <c r="G90" s="12" t="s">
        <v>45</v>
      </c>
      <c r="H90" s="12" t="s">
        <v>772</v>
      </c>
      <c r="I90" s="61">
        <v>45210</v>
      </c>
      <c r="J90" s="14">
        <f>_xlfn.ISOWEEKNUM(Base_Accidentes_2023[[#This Row],[Fecha]])</f>
        <v>41</v>
      </c>
      <c r="K90" s="12"/>
      <c r="L90" s="12"/>
      <c r="M90" s="12"/>
      <c r="N90" s="56"/>
      <c r="O90" s="49" t="s">
        <v>70</v>
      </c>
      <c r="P90" s="12" t="s">
        <v>88</v>
      </c>
      <c r="Q90" s="49"/>
      <c r="R90" s="12"/>
      <c r="S90" s="12"/>
      <c r="T90" s="12" t="s">
        <v>773</v>
      </c>
      <c r="U90" s="12" t="s">
        <v>53</v>
      </c>
      <c r="V90" s="12"/>
      <c r="W90" s="12" t="s">
        <v>774</v>
      </c>
      <c r="X90" s="61"/>
      <c r="Y90" s="51" t="s">
        <v>775</v>
      </c>
      <c r="Z90" s="12"/>
      <c r="AA90" s="12"/>
      <c r="AB90" s="49" t="s">
        <v>166</v>
      </c>
      <c r="AC90" s="12"/>
      <c r="AD90" s="12" t="s">
        <v>79</v>
      </c>
      <c r="AE90" s="68" t="s">
        <v>776</v>
      </c>
      <c r="AF90" s="12" t="s">
        <v>62</v>
      </c>
      <c r="AG90" s="12"/>
      <c r="AH90" s="12"/>
      <c r="AI90" s="12"/>
      <c r="AJ90" s="12"/>
      <c r="AK90" s="12"/>
      <c r="AL90" s="13"/>
      <c r="AM90" s="23"/>
      <c r="AN90" s="64" t="s">
        <v>528</v>
      </c>
      <c r="AO90" s="64"/>
    </row>
    <row r="91" spans="1:41" ht="39.6" x14ac:dyDescent="0.3">
      <c r="A91" s="65"/>
      <c r="B91" s="12"/>
      <c r="C91" s="12" t="s">
        <v>41</v>
      </c>
      <c r="D91" s="12" t="s">
        <v>143</v>
      </c>
      <c r="E91" s="12" t="s">
        <v>336</v>
      </c>
      <c r="F91" s="12" t="s">
        <v>777</v>
      </c>
      <c r="G91" s="12" t="s">
        <v>45</v>
      </c>
      <c r="H91" s="12" t="s">
        <v>778</v>
      </c>
      <c r="I91" s="61">
        <v>45198</v>
      </c>
      <c r="J91" s="14">
        <f>_xlfn.ISOWEEKNUM(Base_Accidentes_2023[[#This Row],[Fecha]])</f>
        <v>39</v>
      </c>
      <c r="K91" s="12"/>
      <c r="L91" s="12"/>
      <c r="M91" s="12"/>
      <c r="N91" s="56"/>
      <c r="O91" s="12" t="s">
        <v>216</v>
      </c>
      <c r="P91" s="12" t="s">
        <v>88</v>
      </c>
      <c r="Q91" s="12"/>
      <c r="R91" s="12"/>
      <c r="S91" s="12"/>
      <c r="T91" s="12" t="s">
        <v>779</v>
      </c>
      <c r="U91" s="12" t="s">
        <v>53</v>
      </c>
      <c r="V91" s="12">
        <v>43</v>
      </c>
      <c r="W91" s="101" t="s">
        <v>418</v>
      </c>
      <c r="X91" s="61"/>
      <c r="Y91" s="13" t="s">
        <v>780</v>
      </c>
      <c r="Z91" s="12" t="s">
        <v>781</v>
      </c>
      <c r="AA91" s="12"/>
      <c r="AB91" s="12" t="s">
        <v>166</v>
      </c>
      <c r="AC91" s="12"/>
      <c r="AD91" s="12" t="s">
        <v>79</v>
      </c>
      <c r="AE91" s="12" t="s">
        <v>781</v>
      </c>
      <c r="AF91" s="12" t="s">
        <v>328</v>
      </c>
      <c r="AG91" s="12">
        <v>30</v>
      </c>
      <c r="AH91" s="12"/>
      <c r="AI91" s="12">
        <v>30</v>
      </c>
      <c r="AJ91" s="12"/>
      <c r="AK91" s="12"/>
      <c r="AL91" s="13"/>
      <c r="AM91" s="23"/>
      <c r="AN91" s="64" t="s">
        <v>782</v>
      </c>
      <c r="AO91" s="64"/>
    </row>
    <row r="92" spans="1:41" ht="41.4" x14ac:dyDescent="0.3">
      <c r="A92" s="65"/>
      <c r="B92" s="12"/>
      <c r="C92" s="12" t="s">
        <v>41</v>
      </c>
      <c r="D92" s="12" t="s">
        <v>143</v>
      </c>
      <c r="E92" s="12" t="s">
        <v>336</v>
      </c>
      <c r="F92" s="49" t="s">
        <v>336</v>
      </c>
      <c r="G92" s="12" t="s">
        <v>45</v>
      </c>
      <c r="H92" s="12" t="s">
        <v>783</v>
      </c>
      <c r="I92" s="61">
        <v>45202</v>
      </c>
      <c r="J92" s="14">
        <f>_xlfn.ISOWEEKNUM(Base_Accidentes_2023[[#This Row],[Fecha]])</f>
        <v>40</v>
      </c>
      <c r="K92" s="12"/>
      <c r="L92" s="12"/>
      <c r="M92" s="12"/>
      <c r="N92" s="56"/>
      <c r="O92" s="49" t="s">
        <v>70</v>
      </c>
      <c r="P92" s="12" t="s">
        <v>88</v>
      </c>
      <c r="Q92" s="49"/>
      <c r="R92" s="12"/>
      <c r="S92" s="12"/>
      <c r="T92" s="12" t="s">
        <v>784</v>
      </c>
      <c r="U92" s="12" t="s">
        <v>53</v>
      </c>
      <c r="V92" s="12"/>
      <c r="W92" s="104" t="s">
        <v>332</v>
      </c>
      <c r="X92" s="61"/>
      <c r="Y92" s="51" t="s">
        <v>785</v>
      </c>
      <c r="Z92" s="12"/>
      <c r="AA92" s="12"/>
      <c r="AB92" s="49" t="s">
        <v>166</v>
      </c>
      <c r="AC92" s="12"/>
      <c r="AD92" s="12" t="s">
        <v>79</v>
      </c>
      <c r="AE92" s="68" t="s">
        <v>786</v>
      </c>
      <c r="AF92" s="12" t="s">
        <v>116</v>
      </c>
      <c r="AG92" s="12"/>
      <c r="AH92" s="12"/>
      <c r="AI92" s="12"/>
      <c r="AJ92" s="12"/>
      <c r="AK92" s="12"/>
      <c r="AL92" s="13"/>
      <c r="AM92" s="23" t="s">
        <v>787</v>
      </c>
      <c r="AN92" s="64" t="s">
        <v>788</v>
      </c>
      <c r="AO92" s="64"/>
    </row>
    <row r="93" spans="1:41" ht="43.2" x14ac:dyDescent="0.3">
      <c r="A93" s="65"/>
      <c r="B93" s="12"/>
      <c r="C93" s="12" t="s">
        <v>307</v>
      </c>
      <c r="D93" s="12" t="s">
        <v>308</v>
      </c>
      <c r="E93" s="12" t="s">
        <v>309</v>
      </c>
      <c r="F93" s="49" t="s">
        <v>309</v>
      </c>
      <c r="G93" s="12" t="s">
        <v>45</v>
      </c>
      <c r="H93" s="12" t="s">
        <v>789</v>
      </c>
      <c r="I93" s="61">
        <v>45217</v>
      </c>
      <c r="J93" s="14">
        <f>_xlfn.ISOWEEKNUM(Base_Accidentes_2023[[#This Row],[Fecha]])</f>
        <v>42</v>
      </c>
      <c r="K93" s="12"/>
      <c r="L93" s="12"/>
      <c r="M93" s="12"/>
      <c r="N93" s="56"/>
      <c r="O93" s="49" t="s">
        <v>70</v>
      </c>
      <c r="P93" s="12" t="s">
        <v>71</v>
      </c>
      <c r="Q93" s="49" t="s">
        <v>790</v>
      </c>
      <c r="R93" s="12"/>
      <c r="S93" s="12"/>
      <c r="T93" s="12" t="s">
        <v>791</v>
      </c>
      <c r="U93" s="12" t="s">
        <v>53</v>
      </c>
      <c r="V93" s="12"/>
      <c r="W93" s="12" t="s">
        <v>792</v>
      </c>
      <c r="X93" s="61"/>
      <c r="Y93" s="51" t="s">
        <v>793</v>
      </c>
      <c r="Z93" s="12"/>
      <c r="AA93" s="12"/>
      <c r="AB93" s="49" t="s">
        <v>166</v>
      </c>
      <c r="AC93" s="12"/>
      <c r="AD93" s="12" t="s">
        <v>79</v>
      </c>
      <c r="AE93" s="68" t="s">
        <v>794</v>
      </c>
      <c r="AF93" s="12" t="s">
        <v>328</v>
      </c>
      <c r="AG93" s="12"/>
      <c r="AH93" s="12"/>
      <c r="AI93" s="12"/>
      <c r="AJ93" s="12"/>
      <c r="AK93" s="12"/>
      <c r="AL93" s="13"/>
      <c r="AM93" s="23" t="s">
        <v>795</v>
      </c>
      <c r="AN93" s="64" t="s">
        <v>796</v>
      </c>
      <c r="AO93" s="64"/>
    </row>
    <row r="94" spans="1:41" ht="41.4" x14ac:dyDescent="0.3">
      <c r="A94" s="65"/>
      <c r="B94" s="12"/>
      <c r="C94" s="12" t="s">
        <v>41</v>
      </c>
      <c r="D94" s="12" t="s">
        <v>143</v>
      </c>
      <c r="E94" s="12" t="s">
        <v>144</v>
      </c>
      <c r="F94" s="49" t="s">
        <v>763</v>
      </c>
      <c r="G94" s="12" t="s">
        <v>491</v>
      </c>
      <c r="H94" s="12" t="s">
        <v>797</v>
      </c>
      <c r="I94" s="61">
        <v>45206</v>
      </c>
      <c r="J94" s="14">
        <f>_xlfn.ISOWEEKNUM(Base_Accidentes_2023[[#This Row],[Fecha]])</f>
        <v>40</v>
      </c>
      <c r="K94" s="12"/>
      <c r="L94" s="12"/>
      <c r="M94" s="12"/>
      <c r="N94" s="56"/>
      <c r="O94" s="49" t="s">
        <v>216</v>
      </c>
      <c r="P94" s="12" t="s">
        <v>88</v>
      </c>
      <c r="Q94" s="49"/>
      <c r="R94" s="12"/>
      <c r="S94" s="12"/>
      <c r="T94" s="12" t="s">
        <v>798</v>
      </c>
      <c r="U94" s="12" t="s">
        <v>53</v>
      </c>
      <c r="V94" s="12"/>
      <c r="W94" s="104" t="s">
        <v>799</v>
      </c>
      <c r="X94" s="61"/>
      <c r="Y94" s="51" t="s">
        <v>800</v>
      </c>
      <c r="Z94" s="12"/>
      <c r="AA94" s="12"/>
      <c r="AB94" s="49" t="s">
        <v>231</v>
      </c>
      <c r="AC94" s="12"/>
      <c r="AD94" s="12" t="s">
        <v>79</v>
      </c>
      <c r="AE94" s="68" t="s">
        <v>801</v>
      </c>
      <c r="AF94" s="12" t="s">
        <v>233</v>
      </c>
      <c r="AG94" s="12"/>
      <c r="AH94" s="12"/>
      <c r="AI94" s="12"/>
      <c r="AJ94" s="12"/>
      <c r="AK94" s="12"/>
      <c r="AL94" s="13"/>
      <c r="AM94" s="23" t="s">
        <v>802</v>
      </c>
      <c r="AN94" s="64" t="s">
        <v>242</v>
      </c>
      <c r="AO94" s="64"/>
    </row>
    <row r="95" spans="1:41" ht="55.2" x14ac:dyDescent="0.3">
      <c r="A95" s="65"/>
      <c r="B95" s="12"/>
      <c r="C95" s="12" t="s">
        <v>41</v>
      </c>
      <c r="D95" s="12" t="s">
        <v>143</v>
      </c>
      <c r="E95" s="12" t="s">
        <v>144</v>
      </c>
      <c r="F95" s="49" t="s">
        <v>145</v>
      </c>
      <c r="G95" s="12" t="s">
        <v>45</v>
      </c>
      <c r="H95" s="12" t="s">
        <v>803</v>
      </c>
      <c r="I95" s="61">
        <v>45210</v>
      </c>
      <c r="J95" s="14">
        <f>_xlfn.ISOWEEKNUM(Base_Accidentes_2023[[#This Row],[Fecha]])</f>
        <v>41</v>
      </c>
      <c r="K95" s="12"/>
      <c r="L95" s="12"/>
      <c r="M95" s="12"/>
      <c r="N95" s="56"/>
      <c r="O95" s="49" t="s">
        <v>216</v>
      </c>
      <c r="P95" s="12" t="s">
        <v>88</v>
      </c>
      <c r="Q95" s="49"/>
      <c r="R95" s="12"/>
      <c r="S95" s="12"/>
      <c r="T95" s="12" t="s">
        <v>804</v>
      </c>
      <c r="U95" s="12" t="s">
        <v>53</v>
      </c>
      <c r="V95" s="12"/>
      <c r="W95" s="104" t="s">
        <v>805</v>
      </c>
      <c r="X95" s="61"/>
      <c r="Y95" s="51" t="s">
        <v>806</v>
      </c>
      <c r="Z95" s="12"/>
      <c r="AA95" s="12"/>
      <c r="AB95" s="49" t="s">
        <v>166</v>
      </c>
      <c r="AC95" s="12"/>
      <c r="AD95" s="12" t="s">
        <v>79</v>
      </c>
      <c r="AE95" s="68" t="s">
        <v>807</v>
      </c>
      <c r="AF95" s="12" t="s">
        <v>62</v>
      </c>
      <c r="AG95" s="12"/>
      <c r="AH95" s="12"/>
      <c r="AI95" s="12"/>
      <c r="AJ95" s="12"/>
      <c r="AK95" s="12"/>
      <c r="AL95" s="13"/>
      <c r="AM95" s="23" t="s">
        <v>808</v>
      </c>
      <c r="AN95" s="64" t="s">
        <v>809</v>
      </c>
      <c r="AO95" s="64"/>
    </row>
    <row r="96" spans="1:41" ht="55.2" x14ac:dyDescent="0.3">
      <c r="A96" s="65"/>
      <c r="B96" s="12"/>
      <c r="C96" s="12" t="s">
        <v>41</v>
      </c>
      <c r="D96" s="12" t="s">
        <v>143</v>
      </c>
      <c r="E96" s="12" t="s">
        <v>144</v>
      </c>
      <c r="F96" s="49" t="s">
        <v>810</v>
      </c>
      <c r="G96" s="12" t="s">
        <v>263</v>
      </c>
      <c r="H96" s="12" t="s">
        <v>811</v>
      </c>
      <c r="I96" s="61">
        <v>45213</v>
      </c>
      <c r="J96" s="14">
        <f>_xlfn.ISOWEEKNUM(Base_Accidentes_2023[[#This Row],[Fecha]])</f>
        <v>41</v>
      </c>
      <c r="K96" s="12"/>
      <c r="L96" s="12"/>
      <c r="M96" s="12"/>
      <c r="N96" s="56"/>
      <c r="O96" s="49" t="s">
        <v>70</v>
      </c>
      <c r="P96" s="12" t="s">
        <v>88</v>
      </c>
      <c r="Q96" s="49"/>
      <c r="R96" s="12"/>
      <c r="S96" s="12"/>
      <c r="T96" s="12" t="s">
        <v>812</v>
      </c>
      <c r="U96" s="12" t="s">
        <v>53</v>
      </c>
      <c r="V96" s="12"/>
      <c r="W96" s="104" t="s">
        <v>435</v>
      </c>
      <c r="X96" s="61"/>
      <c r="Y96" s="51" t="s">
        <v>813</v>
      </c>
      <c r="Z96" s="12"/>
      <c r="AA96" s="12"/>
      <c r="AB96" s="49" t="s">
        <v>138</v>
      </c>
      <c r="AC96" s="12"/>
      <c r="AD96" s="12" t="s">
        <v>79</v>
      </c>
      <c r="AE96" s="68" t="s">
        <v>814</v>
      </c>
      <c r="AF96" s="12" t="s">
        <v>815</v>
      </c>
      <c r="AG96" s="12"/>
      <c r="AH96" s="12"/>
      <c r="AI96" s="12"/>
      <c r="AJ96" s="12"/>
      <c r="AK96" s="12"/>
      <c r="AL96" s="13"/>
      <c r="AM96" s="23" t="s">
        <v>449</v>
      </c>
      <c r="AN96" s="64" t="s">
        <v>816</v>
      </c>
      <c r="AO96" s="64"/>
    </row>
    <row r="97" spans="1:41" ht="55.2" x14ac:dyDescent="0.3">
      <c r="A97" s="12"/>
      <c r="B97" s="12"/>
      <c r="C97" s="12" t="s">
        <v>595</v>
      </c>
      <c r="D97" s="12" t="s">
        <v>308</v>
      </c>
      <c r="E97" s="12" t="s">
        <v>595</v>
      </c>
      <c r="F97" s="50" t="s">
        <v>817</v>
      </c>
      <c r="G97" s="12"/>
      <c r="H97" s="12" t="s">
        <v>818</v>
      </c>
      <c r="I97" s="12">
        <v>45247</v>
      </c>
      <c r="J97" s="14">
        <f>_xlfn.ISOWEEKNUM(Base_Accidentes_2023[[#This Row],[Fecha]])</f>
        <v>46</v>
      </c>
      <c r="K97" s="12"/>
      <c r="L97" s="12"/>
      <c r="M97" s="12"/>
      <c r="N97" s="12"/>
      <c r="O97" s="50" t="s">
        <v>70</v>
      </c>
      <c r="P97" s="12" t="s">
        <v>88</v>
      </c>
      <c r="Q97" s="54"/>
      <c r="R97" s="12"/>
      <c r="S97" s="12"/>
      <c r="T97" s="12" t="s">
        <v>819</v>
      </c>
      <c r="U97" s="12" t="s">
        <v>53</v>
      </c>
      <c r="V97" s="12"/>
      <c r="W97" s="12" t="s">
        <v>598</v>
      </c>
      <c r="X97" s="12"/>
      <c r="Y97" s="52" t="s">
        <v>820</v>
      </c>
      <c r="Z97" s="12"/>
      <c r="AA97" s="12"/>
      <c r="AB97" s="50" t="s">
        <v>187</v>
      </c>
      <c r="AC97" s="12"/>
      <c r="AD97" s="12" t="s">
        <v>79</v>
      </c>
      <c r="AE97" s="68"/>
      <c r="AF97" s="12" t="s">
        <v>141</v>
      </c>
      <c r="AG97" s="12"/>
      <c r="AH97" s="12"/>
      <c r="AI97" s="12"/>
      <c r="AJ97" s="12"/>
      <c r="AK97" s="12"/>
      <c r="AL97" s="13"/>
      <c r="AM97" s="12" t="s">
        <v>821</v>
      </c>
      <c r="AN97" s="64" t="s">
        <v>822</v>
      </c>
      <c r="AO97" s="64"/>
    </row>
    <row r="98" spans="1:41" ht="43.2" x14ac:dyDescent="0.3">
      <c r="A98" s="65"/>
      <c r="B98" s="12"/>
      <c r="C98" s="12" t="s">
        <v>41</v>
      </c>
      <c r="D98" s="12" t="s">
        <v>143</v>
      </c>
      <c r="E98" s="12" t="s">
        <v>144</v>
      </c>
      <c r="F98" s="96" t="s">
        <v>558</v>
      </c>
      <c r="G98" s="12" t="s">
        <v>45</v>
      </c>
      <c r="H98" s="12" t="s">
        <v>348</v>
      </c>
      <c r="I98" s="61">
        <v>45216</v>
      </c>
      <c r="J98" s="14">
        <f>_xlfn.ISOWEEKNUM(Base_Accidentes_2023[[#This Row],[Fecha]])</f>
        <v>42</v>
      </c>
      <c r="K98" s="12"/>
      <c r="L98" s="12"/>
      <c r="M98" s="12"/>
      <c r="N98" s="56"/>
      <c r="O98" s="49" t="s">
        <v>70</v>
      </c>
      <c r="P98" s="12" t="s">
        <v>88</v>
      </c>
      <c r="Q98" s="53"/>
      <c r="R98" s="12"/>
      <c r="S98" s="12"/>
      <c r="T98" s="12" t="s">
        <v>823</v>
      </c>
      <c r="U98" s="12" t="s">
        <v>53</v>
      </c>
      <c r="V98" s="12"/>
      <c r="W98" s="104" t="s">
        <v>526</v>
      </c>
      <c r="X98" s="61"/>
      <c r="Y98" s="51" t="s">
        <v>824</v>
      </c>
      <c r="Z98" s="12"/>
      <c r="AA98" s="12"/>
      <c r="AB98" s="49" t="s">
        <v>231</v>
      </c>
      <c r="AC98" s="12"/>
      <c r="AD98" s="12" t="s">
        <v>79</v>
      </c>
      <c r="AE98" s="68" t="s">
        <v>825</v>
      </c>
      <c r="AF98" s="12" t="s">
        <v>233</v>
      </c>
      <c r="AG98" s="12"/>
      <c r="AH98" s="12"/>
      <c r="AI98" s="12">
        <v>3</v>
      </c>
      <c r="AJ98" s="12"/>
      <c r="AK98" s="12"/>
      <c r="AL98" s="13"/>
      <c r="AM98" s="23" t="s">
        <v>826</v>
      </c>
      <c r="AN98" s="64" t="s">
        <v>528</v>
      </c>
      <c r="AO98" s="64"/>
    </row>
    <row r="99" spans="1:41" ht="41.4" x14ac:dyDescent="0.3">
      <c r="A99" s="65"/>
      <c r="B99" s="12"/>
      <c r="C99" s="12" t="s">
        <v>41</v>
      </c>
      <c r="D99" s="12" t="s">
        <v>143</v>
      </c>
      <c r="E99" s="12" t="s">
        <v>144</v>
      </c>
      <c r="F99" s="50" t="s">
        <v>827</v>
      </c>
      <c r="G99" s="12" t="s">
        <v>102</v>
      </c>
      <c r="H99" s="12" t="s">
        <v>828</v>
      </c>
      <c r="I99" s="61">
        <v>45241</v>
      </c>
      <c r="J99" s="14">
        <f>_xlfn.ISOWEEKNUM(Base_Accidentes_2023[[#This Row],[Fecha]])</f>
        <v>45</v>
      </c>
      <c r="K99" s="12"/>
      <c r="L99" s="12"/>
      <c r="M99" s="12"/>
      <c r="N99" s="56"/>
      <c r="O99" s="50" t="s">
        <v>70</v>
      </c>
      <c r="P99" s="12" t="s">
        <v>338</v>
      </c>
      <c r="Q99" s="50" t="s">
        <v>829</v>
      </c>
      <c r="R99" s="12"/>
      <c r="S99" s="12"/>
      <c r="T99" s="12" t="s">
        <v>830</v>
      </c>
      <c r="U99" s="12" t="s">
        <v>53</v>
      </c>
      <c r="V99" s="12"/>
      <c r="W99" s="104" t="s">
        <v>831</v>
      </c>
      <c r="X99" s="61"/>
      <c r="Y99" s="52" t="s">
        <v>832</v>
      </c>
      <c r="Z99" s="12"/>
      <c r="AA99" s="12"/>
      <c r="AB99" s="50" t="s">
        <v>166</v>
      </c>
      <c r="AC99" s="12"/>
      <c r="AD99" s="12" t="s">
        <v>79</v>
      </c>
      <c r="AE99" s="68"/>
      <c r="AF99" s="12" t="s">
        <v>62</v>
      </c>
      <c r="AG99" s="12"/>
      <c r="AH99" s="12"/>
      <c r="AI99" s="12"/>
      <c r="AJ99" s="12"/>
      <c r="AK99" s="12"/>
      <c r="AL99" s="13"/>
      <c r="AM99" s="23" t="s">
        <v>833</v>
      </c>
      <c r="AN99" s="64" t="s">
        <v>834</v>
      </c>
      <c r="AO99" s="64"/>
    </row>
    <row r="100" spans="1:41" ht="55.2" x14ac:dyDescent="0.3">
      <c r="A100" s="12"/>
      <c r="B100" s="12"/>
      <c r="C100" s="12" t="s">
        <v>41</v>
      </c>
      <c r="D100" s="12" t="s">
        <v>143</v>
      </c>
      <c r="E100" s="12" t="s">
        <v>144</v>
      </c>
      <c r="F100" s="50" t="s">
        <v>180</v>
      </c>
      <c r="G100" s="12" t="s">
        <v>45</v>
      </c>
      <c r="H100" s="12" t="s">
        <v>181</v>
      </c>
      <c r="I100" s="61">
        <v>45254</v>
      </c>
      <c r="J100" s="14">
        <f>_xlfn.ISOWEEKNUM(Base_Accidentes_2023[[#This Row],[Fecha]])</f>
        <v>47</v>
      </c>
      <c r="K100" s="12"/>
      <c r="L100" s="12"/>
      <c r="M100" s="12"/>
      <c r="N100" s="12"/>
      <c r="O100" s="50" t="s">
        <v>216</v>
      </c>
      <c r="P100" s="12" t="s">
        <v>835</v>
      </c>
      <c r="Q100" s="50" t="s">
        <v>836</v>
      </c>
      <c r="R100" s="12"/>
      <c r="S100" s="12"/>
      <c r="T100" s="12" t="s">
        <v>837</v>
      </c>
      <c r="U100" s="12" t="s">
        <v>53</v>
      </c>
      <c r="V100" s="12"/>
      <c r="W100" s="104" t="s">
        <v>838</v>
      </c>
      <c r="X100" s="12"/>
      <c r="Y100" s="52" t="s">
        <v>839</v>
      </c>
      <c r="Z100" s="12"/>
      <c r="AA100" s="12"/>
      <c r="AB100" s="50" t="s">
        <v>256</v>
      </c>
      <c r="AC100" s="12"/>
      <c r="AD100" s="12" t="s">
        <v>79</v>
      </c>
      <c r="AE100" s="68"/>
      <c r="AF100" s="12" t="s">
        <v>62</v>
      </c>
      <c r="AG100" s="12"/>
      <c r="AH100" s="12"/>
      <c r="AI100" s="12"/>
      <c r="AJ100" s="12"/>
      <c r="AK100" s="12"/>
      <c r="AL100" s="13"/>
      <c r="AM100" s="12" t="s">
        <v>840</v>
      </c>
      <c r="AN100" s="64" t="s">
        <v>841</v>
      </c>
      <c r="AO100" s="64"/>
    </row>
    <row r="101" spans="1:41" ht="41.4" x14ac:dyDescent="0.3">
      <c r="A101" s="12"/>
      <c r="B101" s="12"/>
      <c r="C101" s="12" t="s">
        <v>41</v>
      </c>
      <c r="D101" s="12" t="s">
        <v>143</v>
      </c>
      <c r="E101" s="12" t="s">
        <v>144</v>
      </c>
      <c r="F101" s="50" t="s">
        <v>842</v>
      </c>
      <c r="G101" s="12" t="s">
        <v>263</v>
      </c>
      <c r="H101" s="12" t="s">
        <v>757</v>
      </c>
      <c r="I101" s="61">
        <v>45260</v>
      </c>
      <c r="J101" s="14">
        <f>_xlfn.ISOWEEKNUM(Base_Accidentes_2023[[#This Row],[Fecha]])</f>
        <v>48</v>
      </c>
      <c r="K101" s="12"/>
      <c r="L101" s="12"/>
      <c r="M101" s="12"/>
      <c r="N101" s="12"/>
      <c r="O101" s="50" t="s">
        <v>148</v>
      </c>
      <c r="P101" s="12" t="s">
        <v>88</v>
      </c>
      <c r="Q101" s="50"/>
      <c r="R101" s="12"/>
      <c r="S101" s="12"/>
      <c r="T101" s="12" t="s">
        <v>843</v>
      </c>
      <c r="U101" s="12"/>
      <c r="V101" s="12"/>
      <c r="W101" s="104" t="s">
        <v>435</v>
      </c>
      <c r="X101" s="12"/>
      <c r="Y101" s="52" t="s">
        <v>844</v>
      </c>
      <c r="Z101" s="12"/>
      <c r="AA101" s="12"/>
      <c r="AB101" s="50" t="s">
        <v>346</v>
      </c>
      <c r="AC101" s="12"/>
      <c r="AD101" s="12" t="s">
        <v>79</v>
      </c>
      <c r="AE101" s="68"/>
      <c r="AF101" s="12" t="s">
        <v>100</v>
      </c>
      <c r="AG101" s="12"/>
      <c r="AH101" s="12"/>
      <c r="AI101" s="12"/>
      <c r="AJ101" s="12"/>
      <c r="AK101" s="12"/>
      <c r="AL101" s="13"/>
      <c r="AM101" s="12" t="s">
        <v>845</v>
      </c>
      <c r="AN101" s="64" t="s">
        <v>846</v>
      </c>
      <c r="AO101" s="64"/>
    </row>
    <row r="102" spans="1:41" ht="55.2" x14ac:dyDescent="0.3">
      <c r="A102" s="12"/>
      <c r="B102" s="12"/>
      <c r="C102" s="12" t="s">
        <v>41</v>
      </c>
      <c r="D102" s="12" t="s">
        <v>143</v>
      </c>
      <c r="E102" s="12" t="s">
        <v>144</v>
      </c>
      <c r="F102" s="49" t="s">
        <v>847</v>
      </c>
      <c r="G102" s="12" t="s">
        <v>146</v>
      </c>
      <c r="H102" s="12" t="s">
        <v>529</v>
      </c>
      <c r="I102" s="61">
        <v>45272</v>
      </c>
      <c r="J102" s="14">
        <f>_xlfn.ISOWEEKNUM(Base_Accidentes_2023[[#This Row],[Fecha]])</f>
        <v>50</v>
      </c>
      <c r="K102" s="12"/>
      <c r="L102" s="12"/>
      <c r="M102" s="12"/>
      <c r="N102" s="12"/>
      <c r="O102" s="49" t="s">
        <v>70</v>
      </c>
      <c r="P102" s="12" t="s">
        <v>88</v>
      </c>
      <c r="Q102" s="49"/>
      <c r="R102" s="12"/>
      <c r="S102" s="12"/>
      <c r="T102" s="12" t="s">
        <v>848</v>
      </c>
      <c r="U102" s="12" t="s">
        <v>53</v>
      </c>
      <c r="V102" s="12"/>
      <c r="W102" s="104" t="s">
        <v>849</v>
      </c>
      <c r="X102" s="12"/>
      <c r="Y102" s="51" t="s">
        <v>850</v>
      </c>
      <c r="Z102" s="12"/>
      <c r="AA102" s="12"/>
      <c r="AB102" s="49" t="s">
        <v>166</v>
      </c>
      <c r="AC102" s="12"/>
      <c r="AD102" s="12" t="s">
        <v>79</v>
      </c>
      <c r="AE102" s="68"/>
      <c r="AF102" s="12" t="s">
        <v>80</v>
      </c>
      <c r="AG102" s="12"/>
      <c r="AH102" s="12"/>
      <c r="AI102" s="12"/>
      <c r="AJ102" s="12"/>
      <c r="AK102" s="12"/>
      <c r="AL102" s="13"/>
      <c r="AM102" s="12"/>
      <c r="AN102" s="64" t="s">
        <v>851</v>
      </c>
      <c r="AO102" s="64"/>
    </row>
    <row r="103" spans="1:41" ht="55.2" x14ac:dyDescent="0.3">
      <c r="A103" s="12"/>
      <c r="B103" s="12"/>
      <c r="C103" s="12" t="s">
        <v>41</v>
      </c>
      <c r="D103" s="12" t="s">
        <v>143</v>
      </c>
      <c r="E103" s="12" t="s">
        <v>144</v>
      </c>
      <c r="F103" s="49" t="s">
        <v>847</v>
      </c>
      <c r="G103" s="12" t="s">
        <v>852</v>
      </c>
      <c r="H103" s="12" t="s">
        <v>853</v>
      </c>
      <c r="I103" s="61">
        <v>45273</v>
      </c>
      <c r="J103" s="14">
        <f>_xlfn.ISOWEEKNUM(Base_Accidentes_2023[[#This Row],[Fecha]])</f>
        <v>50</v>
      </c>
      <c r="K103" s="12"/>
      <c r="L103" s="12"/>
      <c r="M103" s="12"/>
      <c r="N103" s="12"/>
      <c r="O103" s="49" t="s">
        <v>216</v>
      </c>
      <c r="P103" s="12" t="s">
        <v>71</v>
      </c>
      <c r="Q103" s="49" t="s">
        <v>854</v>
      </c>
      <c r="R103" s="12"/>
      <c r="S103" s="12"/>
      <c r="T103" s="12" t="s">
        <v>855</v>
      </c>
      <c r="U103" s="12" t="s">
        <v>53</v>
      </c>
      <c r="V103" s="12"/>
      <c r="W103" s="104" t="s">
        <v>856</v>
      </c>
      <c r="X103" s="12"/>
      <c r="Y103" s="51" t="s">
        <v>857</v>
      </c>
      <c r="Z103" s="12"/>
      <c r="AA103" s="12"/>
      <c r="AB103" s="49" t="s">
        <v>166</v>
      </c>
      <c r="AC103" s="12"/>
      <c r="AD103" s="12" t="s">
        <v>79</v>
      </c>
      <c r="AE103" s="68"/>
      <c r="AF103" s="12" t="s">
        <v>62</v>
      </c>
      <c r="AG103" s="12"/>
      <c r="AH103" s="12"/>
      <c r="AI103" s="12"/>
      <c r="AJ103" s="12"/>
      <c r="AK103" s="12"/>
      <c r="AL103" s="13"/>
      <c r="AM103" s="12"/>
      <c r="AN103" s="64" t="s">
        <v>858</v>
      </c>
      <c r="AO103" s="64"/>
    </row>
    <row r="104" spans="1:41" ht="55.2" x14ac:dyDescent="0.3">
      <c r="A104" s="12"/>
      <c r="B104" s="12"/>
      <c r="C104" s="12" t="s">
        <v>41</v>
      </c>
      <c r="D104" s="12" t="s">
        <v>143</v>
      </c>
      <c r="E104" s="12" t="s">
        <v>144</v>
      </c>
      <c r="F104" s="49" t="s">
        <v>847</v>
      </c>
      <c r="G104" s="12" t="s">
        <v>45</v>
      </c>
      <c r="H104" s="12" t="s">
        <v>859</v>
      </c>
      <c r="I104" s="61">
        <v>45278</v>
      </c>
      <c r="J104" s="14">
        <f>_xlfn.ISOWEEKNUM(Base_Accidentes_2023[[#This Row],[Fecha]])</f>
        <v>51</v>
      </c>
      <c r="K104" s="12"/>
      <c r="L104" s="12"/>
      <c r="M104" s="12"/>
      <c r="N104" s="12"/>
      <c r="O104" s="49" t="s">
        <v>216</v>
      </c>
      <c r="P104" s="12" t="s">
        <v>88</v>
      </c>
      <c r="Q104" s="49"/>
      <c r="R104" s="12"/>
      <c r="S104" s="12"/>
      <c r="T104" s="12" t="s">
        <v>860</v>
      </c>
      <c r="U104" s="12" t="s">
        <v>53</v>
      </c>
      <c r="V104" s="12"/>
      <c r="W104" s="104" t="s">
        <v>861</v>
      </c>
      <c r="X104" s="12"/>
      <c r="Y104" s="51" t="s">
        <v>862</v>
      </c>
      <c r="Z104" s="12"/>
      <c r="AA104" s="12"/>
      <c r="AB104" s="49" t="s">
        <v>187</v>
      </c>
      <c r="AC104" s="12"/>
      <c r="AD104" s="12" t="s">
        <v>79</v>
      </c>
      <c r="AE104" s="68"/>
      <c r="AF104" s="12" t="s">
        <v>863</v>
      </c>
      <c r="AG104" s="12"/>
      <c r="AH104" s="12"/>
      <c r="AI104" s="12"/>
      <c r="AJ104" s="12"/>
      <c r="AK104" s="12"/>
      <c r="AL104" s="13"/>
      <c r="AM104" s="12"/>
      <c r="AN104" s="64" t="s">
        <v>864</v>
      </c>
      <c r="AO104" s="64"/>
    </row>
    <row r="105" spans="1:41" ht="41.4" x14ac:dyDescent="0.3">
      <c r="A105" s="12"/>
      <c r="B105" s="12"/>
      <c r="C105" s="12" t="s">
        <v>41</v>
      </c>
      <c r="D105" s="12" t="s">
        <v>143</v>
      </c>
      <c r="E105" s="12" t="s">
        <v>144</v>
      </c>
      <c r="F105" s="49" t="s">
        <v>827</v>
      </c>
      <c r="G105" s="12" t="s">
        <v>102</v>
      </c>
      <c r="H105" s="12" t="s">
        <v>865</v>
      </c>
      <c r="I105" s="61">
        <v>45280</v>
      </c>
      <c r="J105" s="14">
        <f>_xlfn.ISOWEEKNUM(Base_Accidentes_2023[[#This Row],[Fecha]])</f>
        <v>51</v>
      </c>
      <c r="K105" s="12"/>
      <c r="L105" s="12"/>
      <c r="M105" s="12"/>
      <c r="N105" s="12"/>
      <c r="O105" s="49" t="s">
        <v>216</v>
      </c>
      <c r="P105" s="12" t="s">
        <v>71</v>
      </c>
      <c r="Q105" s="49" t="s">
        <v>866</v>
      </c>
      <c r="R105" s="12"/>
      <c r="S105" s="12"/>
      <c r="T105" s="12" t="s">
        <v>867</v>
      </c>
      <c r="U105" s="12" t="s">
        <v>53</v>
      </c>
      <c r="V105" s="12"/>
      <c r="W105" s="104" t="s">
        <v>868</v>
      </c>
      <c r="X105" s="12"/>
      <c r="Y105" s="51" t="s">
        <v>869</v>
      </c>
      <c r="Z105" s="12"/>
      <c r="AA105" s="12"/>
      <c r="AB105" s="49" t="s">
        <v>187</v>
      </c>
      <c r="AC105" s="12"/>
      <c r="AD105" s="12" t="s">
        <v>79</v>
      </c>
      <c r="AE105" s="68"/>
      <c r="AF105" s="12" t="s">
        <v>100</v>
      </c>
      <c r="AG105" s="12"/>
      <c r="AH105" s="12"/>
      <c r="AI105" s="12"/>
      <c r="AJ105" s="12"/>
      <c r="AK105" s="12"/>
      <c r="AL105" s="13"/>
      <c r="AM105" s="12" t="s">
        <v>870</v>
      </c>
      <c r="AN105" s="64" t="s">
        <v>871</v>
      </c>
      <c r="AO105" s="64"/>
    </row>
    <row r="106" spans="1:41" ht="69" x14ac:dyDescent="0.3">
      <c r="A106" s="12"/>
      <c r="B106" s="12"/>
      <c r="C106" s="12" t="s">
        <v>41</v>
      </c>
      <c r="D106" s="12" t="s">
        <v>143</v>
      </c>
      <c r="E106" s="12" t="s">
        <v>144</v>
      </c>
      <c r="F106" s="49" t="s">
        <v>827</v>
      </c>
      <c r="G106" s="12" t="s">
        <v>102</v>
      </c>
      <c r="H106" s="12" t="s">
        <v>872</v>
      </c>
      <c r="I106" s="61">
        <v>45281</v>
      </c>
      <c r="J106" s="14">
        <f>_xlfn.ISOWEEKNUM(Base_Accidentes_2023[[#This Row],[Fecha]])</f>
        <v>51</v>
      </c>
      <c r="K106" s="12"/>
      <c r="L106" s="12"/>
      <c r="M106" s="12"/>
      <c r="N106" s="12"/>
      <c r="O106" s="49" t="s">
        <v>216</v>
      </c>
      <c r="P106" s="12" t="s">
        <v>338</v>
      </c>
      <c r="Q106" s="55" t="s">
        <v>873</v>
      </c>
      <c r="R106" s="12"/>
      <c r="S106" s="12"/>
      <c r="T106" s="12" t="s">
        <v>874</v>
      </c>
      <c r="U106" s="12" t="s">
        <v>109</v>
      </c>
      <c r="V106" s="12"/>
      <c r="W106" s="104" t="s">
        <v>362</v>
      </c>
      <c r="X106" s="12"/>
      <c r="Y106" s="51" t="s">
        <v>875</v>
      </c>
      <c r="Z106" s="12"/>
      <c r="AA106" s="12"/>
      <c r="AB106" s="49" t="s">
        <v>166</v>
      </c>
      <c r="AC106" s="12"/>
      <c r="AD106" s="12" t="s">
        <v>79</v>
      </c>
      <c r="AE106" s="68"/>
      <c r="AF106" s="12" t="s">
        <v>100</v>
      </c>
      <c r="AG106" s="12"/>
      <c r="AH106" s="12"/>
      <c r="AI106" s="12"/>
      <c r="AJ106" s="12"/>
      <c r="AK106" s="12"/>
      <c r="AL106" s="13"/>
      <c r="AM106" s="12" t="s">
        <v>876</v>
      </c>
      <c r="AN106" s="64" t="s">
        <v>834</v>
      </c>
      <c r="AO106" s="64"/>
    </row>
    <row r="107" spans="1:41" ht="41.4" x14ac:dyDescent="0.3">
      <c r="A107" s="12"/>
      <c r="B107" s="12"/>
      <c r="C107" s="12" t="s">
        <v>41</v>
      </c>
      <c r="D107" s="12" t="s">
        <v>143</v>
      </c>
      <c r="E107" s="12" t="s">
        <v>144</v>
      </c>
      <c r="F107" s="49" t="s">
        <v>842</v>
      </c>
      <c r="G107" s="12" t="s">
        <v>263</v>
      </c>
      <c r="H107" s="12" t="s">
        <v>877</v>
      </c>
      <c r="I107" s="61">
        <v>45286</v>
      </c>
      <c r="J107" s="14">
        <f>_xlfn.ISOWEEKNUM(Base_Accidentes_2023[[#This Row],[Fecha]])</f>
        <v>52</v>
      </c>
      <c r="K107" s="12"/>
      <c r="L107" s="12"/>
      <c r="M107" s="12"/>
      <c r="N107" s="12"/>
      <c r="O107" s="49" t="s">
        <v>70</v>
      </c>
      <c r="P107" s="12" t="s">
        <v>338</v>
      </c>
      <c r="Q107" s="55" t="s">
        <v>873</v>
      </c>
      <c r="R107" s="12"/>
      <c r="S107" s="12"/>
      <c r="T107" s="12" t="s">
        <v>878</v>
      </c>
      <c r="U107" s="12" t="s">
        <v>109</v>
      </c>
      <c r="V107" s="12"/>
      <c r="W107" s="104" t="s">
        <v>362</v>
      </c>
      <c r="X107" s="12"/>
      <c r="Y107" s="108" t="s">
        <v>879</v>
      </c>
      <c r="Z107" s="12"/>
      <c r="AA107" s="12"/>
      <c r="AB107" s="49" t="s">
        <v>256</v>
      </c>
      <c r="AC107" s="12"/>
      <c r="AD107" s="12" t="s">
        <v>79</v>
      </c>
      <c r="AE107" s="68"/>
      <c r="AF107" s="12" t="s">
        <v>100</v>
      </c>
      <c r="AG107" s="12"/>
      <c r="AH107" s="12"/>
      <c r="AI107" s="12"/>
      <c r="AJ107" s="12"/>
      <c r="AK107" s="12"/>
      <c r="AL107" s="13"/>
      <c r="AM107" s="12" t="s">
        <v>295</v>
      </c>
      <c r="AN107" s="64" t="s">
        <v>880</v>
      </c>
      <c r="AO107" s="64"/>
    </row>
    <row r="108" spans="1:41" ht="39.6" x14ac:dyDescent="0.3">
      <c r="A108" s="65"/>
      <c r="B108" s="12"/>
      <c r="C108" s="12" t="s">
        <v>66</v>
      </c>
      <c r="D108" s="12" t="s">
        <v>67</v>
      </c>
      <c r="E108" s="12"/>
      <c r="F108" s="12" t="s">
        <v>881</v>
      </c>
      <c r="G108" s="12" t="s">
        <v>263</v>
      </c>
      <c r="H108" s="105" t="s">
        <v>881</v>
      </c>
      <c r="I108" s="61">
        <v>44929</v>
      </c>
      <c r="J108" s="14">
        <f>_xlfn.ISOWEEKNUM(Base_Accidentes_2023[[#This Row],[Fecha]])</f>
        <v>1</v>
      </c>
      <c r="K108" s="12"/>
      <c r="L108" s="12"/>
      <c r="M108" s="12"/>
      <c r="N108" s="56"/>
      <c r="O108" s="12" t="s">
        <v>148</v>
      </c>
      <c r="P108" s="12" t="s">
        <v>71</v>
      </c>
      <c r="Q108" s="12" t="s">
        <v>503</v>
      </c>
      <c r="R108" s="12" t="s">
        <v>882</v>
      </c>
      <c r="S108" s="12" t="s">
        <v>883</v>
      </c>
      <c r="T108" s="12" t="s">
        <v>884</v>
      </c>
      <c r="U108" s="12" t="s">
        <v>53</v>
      </c>
      <c r="V108" s="12">
        <v>40</v>
      </c>
      <c r="W108" s="44" t="s">
        <v>303</v>
      </c>
      <c r="X108" s="61"/>
      <c r="Y108" s="13" t="s">
        <v>885</v>
      </c>
      <c r="Z108" s="12" t="s">
        <v>186</v>
      </c>
      <c r="AA108" s="12"/>
      <c r="AB108" s="12" t="s">
        <v>78</v>
      </c>
      <c r="AC108" s="12"/>
      <c r="AD108" s="12" t="s">
        <v>79</v>
      </c>
      <c r="AE108" s="12" t="s">
        <v>176</v>
      </c>
      <c r="AF108" s="12" t="s">
        <v>100</v>
      </c>
      <c r="AG108" s="12">
        <v>21</v>
      </c>
      <c r="AH108" s="12"/>
      <c r="AI108" s="12"/>
      <c r="AJ108" s="12"/>
      <c r="AK108" s="12"/>
      <c r="AL108" s="13"/>
      <c r="AM108" s="23" t="s">
        <v>317</v>
      </c>
      <c r="AN108" s="64" t="s">
        <v>886</v>
      </c>
      <c r="AO108" s="64" t="s">
        <v>83</v>
      </c>
    </row>
    <row r="109" spans="1:41" ht="15.75" customHeight="1" x14ac:dyDescent="0.3">
      <c r="A109" s="57"/>
      <c r="B109" s="57"/>
      <c r="C109" s="57"/>
      <c r="D109" s="57"/>
      <c r="E109" s="57"/>
      <c r="F109" s="57"/>
      <c r="G109" s="57"/>
      <c r="H109" s="57"/>
      <c r="I109" s="57"/>
      <c r="J109" s="58">
        <f>_xlfn.ISOWEEKNUM(Base_Accidentes_2023[[#This Row],[Fecha]])</f>
        <v>52</v>
      </c>
      <c r="K109" s="57"/>
      <c r="L109" s="57"/>
      <c r="M109" s="57"/>
      <c r="N109" s="57"/>
      <c r="O109" s="57"/>
      <c r="P109" s="57"/>
      <c r="Q109" s="57"/>
      <c r="R109" s="57"/>
      <c r="S109" s="57"/>
      <c r="T109" s="57"/>
      <c r="U109" s="57"/>
      <c r="V109" s="57"/>
      <c r="W109" s="57"/>
      <c r="X109" s="57"/>
      <c r="Y109" s="59"/>
      <c r="Z109" s="57"/>
      <c r="AA109" s="57"/>
      <c r="AB109" s="57"/>
      <c r="AC109" s="57"/>
      <c r="AD109" s="57"/>
      <c r="AE109" s="57"/>
      <c r="AF109" s="57"/>
      <c r="AG109" s="57"/>
      <c r="AH109" s="57"/>
      <c r="AI109" s="57"/>
      <c r="AJ109" s="57"/>
      <c r="AK109" s="57"/>
      <c r="AL109" s="59"/>
      <c r="AM109" s="57"/>
      <c r="AN109" s="36"/>
      <c r="AO109" s="36"/>
    </row>
    <row r="110" spans="1:41" ht="15.75" customHeight="1" x14ac:dyDescent="0.3">
      <c r="A110" s="12"/>
      <c r="B110" s="12"/>
      <c r="C110" s="12"/>
      <c r="D110" s="12"/>
      <c r="E110" s="12"/>
      <c r="F110" s="12"/>
      <c r="G110" s="12"/>
      <c r="H110" s="12"/>
      <c r="I110" s="12"/>
      <c r="J110" s="14">
        <f>_xlfn.ISOWEEKNUM(Base_Accidentes_2023[[#This Row],[Fecha]])</f>
        <v>52</v>
      </c>
      <c r="K110" s="12"/>
      <c r="L110" s="12"/>
      <c r="M110" s="12"/>
      <c r="N110" s="12"/>
      <c r="O110" s="12"/>
      <c r="P110" s="12"/>
      <c r="Q110" s="12"/>
      <c r="R110" s="12"/>
      <c r="S110" s="12"/>
      <c r="T110" s="12"/>
      <c r="U110" s="12"/>
      <c r="V110" s="12"/>
      <c r="W110" s="12"/>
      <c r="X110" s="12"/>
      <c r="Y110" s="13"/>
      <c r="Z110" s="12"/>
      <c r="AA110" s="12"/>
      <c r="AB110" s="12"/>
      <c r="AC110" s="12"/>
      <c r="AD110" s="12"/>
      <c r="AE110" s="12"/>
      <c r="AF110" s="12"/>
      <c r="AG110" s="12"/>
      <c r="AH110" s="12"/>
      <c r="AI110" s="12"/>
      <c r="AJ110" s="12"/>
      <c r="AK110" s="12"/>
      <c r="AL110" s="13"/>
      <c r="AM110" s="12"/>
    </row>
    <row r="111" spans="1:41" ht="15.75" customHeight="1" x14ac:dyDescent="0.3">
      <c r="A111" s="12"/>
      <c r="B111" s="12"/>
      <c r="C111" s="12"/>
      <c r="D111" s="12"/>
      <c r="E111" s="12"/>
      <c r="F111" s="12"/>
      <c r="G111" s="12"/>
      <c r="H111" s="12"/>
      <c r="I111" s="12"/>
      <c r="J111" s="14">
        <f>_xlfn.ISOWEEKNUM(Base_Accidentes_2023[[#This Row],[Fecha]])</f>
        <v>52</v>
      </c>
      <c r="K111" s="12"/>
      <c r="L111" s="12"/>
      <c r="M111" s="12"/>
      <c r="N111" s="12"/>
      <c r="O111" s="12"/>
      <c r="P111" s="12"/>
      <c r="Q111" s="12"/>
      <c r="R111" s="12"/>
      <c r="S111" s="12"/>
      <c r="T111" s="12"/>
      <c r="U111" s="12"/>
      <c r="V111" s="12"/>
      <c r="W111" s="12"/>
      <c r="X111" s="12"/>
      <c r="Y111" s="13"/>
      <c r="Z111" s="12"/>
      <c r="AA111" s="12"/>
      <c r="AB111" s="12"/>
      <c r="AC111" s="12"/>
      <c r="AD111" s="12"/>
      <c r="AE111" s="12"/>
      <c r="AF111" s="12"/>
      <c r="AG111" s="12"/>
      <c r="AH111" s="12"/>
      <c r="AI111" s="12"/>
      <c r="AJ111" s="12"/>
      <c r="AK111" s="12"/>
      <c r="AL111" s="13"/>
      <c r="AM111" s="12"/>
    </row>
    <row r="112" spans="1:41" ht="15.75" customHeight="1" x14ac:dyDescent="0.3">
      <c r="A112" s="12"/>
      <c r="B112" s="12"/>
      <c r="C112" s="12"/>
      <c r="D112" s="12"/>
      <c r="E112" s="12"/>
      <c r="F112" s="12"/>
      <c r="G112" s="12"/>
      <c r="H112" s="12"/>
      <c r="I112" s="12"/>
      <c r="J112" s="14">
        <f>_xlfn.ISOWEEKNUM(Base_Accidentes_2023[[#This Row],[Fecha]])</f>
        <v>52</v>
      </c>
      <c r="K112" s="12"/>
      <c r="L112" s="12"/>
      <c r="M112" s="12"/>
      <c r="N112" s="12"/>
      <c r="O112" s="12"/>
      <c r="P112" s="12"/>
      <c r="Q112" s="12"/>
      <c r="R112" s="12"/>
      <c r="S112" s="12"/>
      <c r="T112" s="12"/>
      <c r="U112" s="12"/>
      <c r="V112" s="12"/>
      <c r="W112" s="12"/>
      <c r="X112" s="12"/>
      <c r="Y112" s="13"/>
      <c r="Z112" s="12"/>
      <c r="AA112" s="12"/>
      <c r="AB112" s="12"/>
      <c r="AC112" s="12"/>
      <c r="AD112" s="12"/>
      <c r="AE112" s="12"/>
      <c r="AF112" s="12"/>
      <c r="AG112" s="12"/>
      <c r="AH112" s="12"/>
      <c r="AI112" s="12"/>
      <c r="AJ112" s="12"/>
      <c r="AK112" s="12"/>
      <c r="AL112" s="13"/>
      <c r="AM112" s="12"/>
    </row>
    <row r="113" spans="1:39" ht="15.75" customHeight="1" x14ac:dyDescent="0.3">
      <c r="A113" s="12"/>
      <c r="B113" s="12"/>
      <c r="C113" s="12"/>
      <c r="D113" s="12"/>
      <c r="E113" s="12"/>
      <c r="F113" s="12"/>
      <c r="G113" s="12"/>
      <c r="H113" s="12"/>
      <c r="I113" s="12"/>
      <c r="J113" s="14">
        <f>_xlfn.ISOWEEKNUM(Base_Accidentes_2023[[#This Row],[Fecha]])</f>
        <v>52</v>
      </c>
      <c r="K113" s="12"/>
      <c r="L113" s="12"/>
      <c r="M113" s="12"/>
      <c r="N113" s="12"/>
      <c r="O113" s="12"/>
      <c r="P113" s="12"/>
      <c r="Q113" s="12"/>
      <c r="R113" s="12"/>
      <c r="S113" s="12"/>
      <c r="T113" s="12"/>
      <c r="U113" s="12"/>
      <c r="V113" s="12"/>
      <c r="W113" s="12"/>
      <c r="X113" s="12"/>
      <c r="Y113" s="13"/>
      <c r="Z113" s="12"/>
      <c r="AA113" s="12"/>
      <c r="AB113" s="12"/>
      <c r="AC113" s="12"/>
      <c r="AD113" s="12"/>
      <c r="AE113" s="12"/>
      <c r="AF113" s="12"/>
      <c r="AG113" s="12"/>
      <c r="AH113" s="12"/>
      <c r="AI113" s="12"/>
      <c r="AJ113" s="12"/>
      <c r="AK113" s="12"/>
      <c r="AL113" s="13"/>
      <c r="AM113" s="12"/>
    </row>
    <row r="114" spans="1:39" ht="15.75" customHeight="1" x14ac:dyDescent="0.3">
      <c r="A114" s="12"/>
      <c r="B114" s="12"/>
      <c r="C114" s="12"/>
      <c r="D114" s="12"/>
      <c r="E114" s="12"/>
      <c r="F114" s="12"/>
      <c r="G114" s="12"/>
      <c r="H114" s="12"/>
      <c r="I114" s="12"/>
      <c r="J114" s="14">
        <f>_xlfn.ISOWEEKNUM(Base_Accidentes_2023[[#This Row],[Fecha]])</f>
        <v>52</v>
      </c>
      <c r="K114" s="12"/>
      <c r="L114" s="12"/>
      <c r="M114" s="12"/>
      <c r="N114" s="12"/>
      <c r="O114" s="12"/>
      <c r="P114" s="12"/>
      <c r="Q114" s="12"/>
      <c r="R114" s="12"/>
      <c r="S114" s="12"/>
      <c r="T114" s="12"/>
      <c r="U114" s="12"/>
      <c r="V114" s="12"/>
      <c r="W114" s="12"/>
      <c r="X114" s="12"/>
      <c r="Y114" s="13"/>
      <c r="Z114" s="12"/>
      <c r="AA114" s="12"/>
      <c r="AB114" s="12"/>
      <c r="AC114" s="12"/>
      <c r="AD114" s="12"/>
      <c r="AE114" s="12"/>
      <c r="AF114" s="12"/>
      <c r="AG114" s="12"/>
      <c r="AH114" s="12"/>
      <c r="AI114" s="12"/>
      <c r="AJ114" s="12"/>
      <c r="AK114" s="12"/>
      <c r="AL114" s="13"/>
      <c r="AM114" s="12"/>
    </row>
    <row r="115" spans="1:39" ht="15.75" customHeight="1" x14ac:dyDescent="0.3">
      <c r="A115" s="12"/>
      <c r="B115" s="12"/>
      <c r="C115" s="12"/>
      <c r="D115" s="12"/>
      <c r="E115" s="12"/>
      <c r="F115" s="12"/>
      <c r="G115" s="12"/>
      <c r="H115" s="12"/>
      <c r="I115" s="12"/>
      <c r="J115" s="14">
        <f>_xlfn.ISOWEEKNUM(Base_Accidentes_2023[[#This Row],[Fecha]])</f>
        <v>52</v>
      </c>
      <c r="K115" s="12"/>
      <c r="L115" s="12"/>
      <c r="M115" s="12"/>
      <c r="N115" s="12"/>
      <c r="O115" s="12"/>
      <c r="P115" s="12"/>
      <c r="Q115" s="12"/>
      <c r="R115" s="12"/>
      <c r="S115" s="12"/>
      <c r="T115" s="12"/>
      <c r="U115" s="12"/>
      <c r="V115" s="12"/>
      <c r="W115" s="12"/>
      <c r="X115" s="12"/>
      <c r="Y115" s="13"/>
      <c r="Z115" s="12"/>
      <c r="AA115" s="12"/>
      <c r="AB115" s="12"/>
      <c r="AC115" s="12"/>
      <c r="AD115" s="12"/>
      <c r="AE115" s="12"/>
      <c r="AF115" s="12"/>
      <c r="AG115" s="12"/>
      <c r="AH115" s="12"/>
      <c r="AI115" s="12"/>
      <c r="AJ115" s="12"/>
      <c r="AK115" s="12"/>
      <c r="AL115" s="13"/>
      <c r="AM115" s="12"/>
    </row>
    <row r="116" spans="1:39" ht="15.75" customHeight="1" x14ac:dyDescent="0.3">
      <c r="A116" s="12"/>
      <c r="B116" s="12"/>
      <c r="C116" s="12"/>
      <c r="D116" s="12"/>
      <c r="E116" s="12"/>
      <c r="F116" s="12"/>
      <c r="G116" s="12"/>
      <c r="H116" s="12"/>
      <c r="I116" s="12"/>
      <c r="J116" s="14">
        <f>_xlfn.ISOWEEKNUM(Base_Accidentes_2023[[#This Row],[Fecha]])</f>
        <v>52</v>
      </c>
      <c r="K116" s="12"/>
      <c r="L116" s="12"/>
      <c r="M116" s="12"/>
      <c r="N116" s="12"/>
      <c r="O116" s="12"/>
      <c r="P116" s="12"/>
      <c r="Q116" s="12"/>
      <c r="R116" s="12"/>
      <c r="S116" s="12"/>
      <c r="T116" s="12"/>
      <c r="U116" s="12"/>
      <c r="V116" s="12"/>
      <c r="W116" s="12"/>
      <c r="X116" s="12"/>
      <c r="Y116" s="13"/>
      <c r="Z116" s="12"/>
      <c r="AA116" s="12"/>
      <c r="AB116" s="12"/>
      <c r="AC116" s="12"/>
      <c r="AD116" s="12"/>
      <c r="AE116" s="12"/>
      <c r="AF116" s="12"/>
      <c r="AG116" s="12"/>
      <c r="AH116" s="12"/>
      <c r="AI116" s="12"/>
      <c r="AJ116" s="12"/>
      <c r="AK116" s="12"/>
      <c r="AL116" s="13"/>
      <c r="AM116" s="12"/>
    </row>
    <row r="117" spans="1:39" ht="15.75" customHeight="1" x14ac:dyDescent="0.3">
      <c r="A117" s="12"/>
      <c r="B117" s="12"/>
      <c r="C117" s="12"/>
      <c r="D117" s="12"/>
      <c r="E117" s="12"/>
      <c r="F117" s="12"/>
      <c r="G117" s="12"/>
      <c r="H117" s="12"/>
      <c r="I117" s="12"/>
      <c r="J117" s="14">
        <f>_xlfn.ISOWEEKNUM(Base_Accidentes_2023[[#This Row],[Fecha]])</f>
        <v>52</v>
      </c>
      <c r="K117" s="12"/>
      <c r="L117" s="12"/>
      <c r="M117" s="12"/>
      <c r="N117" s="12"/>
      <c r="O117" s="12"/>
      <c r="P117" s="12"/>
      <c r="Q117" s="12"/>
      <c r="R117" s="12"/>
      <c r="S117" s="12"/>
      <c r="T117" s="12"/>
      <c r="U117" s="12"/>
      <c r="V117" s="12"/>
      <c r="W117" s="12"/>
      <c r="X117" s="12"/>
      <c r="Y117" s="13"/>
      <c r="Z117" s="12"/>
      <c r="AA117" s="12"/>
      <c r="AB117" s="12"/>
      <c r="AC117" s="12"/>
      <c r="AD117" s="12"/>
      <c r="AE117" s="12"/>
      <c r="AF117" s="12"/>
      <c r="AG117" s="12"/>
      <c r="AH117" s="12"/>
      <c r="AI117" s="12"/>
      <c r="AJ117" s="12"/>
      <c r="AK117" s="12"/>
      <c r="AL117" s="13"/>
      <c r="AM117" s="12"/>
    </row>
    <row r="118" spans="1:39" ht="15.75" customHeight="1" x14ac:dyDescent="0.3">
      <c r="A118" s="12"/>
      <c r="B118" s="12"/>
      <c r="C118" s="12"/>
      <c r="D118" s="12"/>
      <c r="E118" s="12"/>
      <c r="F118" s="12"/>
      <c r="G118" s="12"/>
      <c r="H118" s="12"/>
      <c r="I118" s="12"/>
      <c r="J118" s="14">
        <f>_xlfn.ISOWEEKNUM(Base_Accidentes_2023[[#This Row],[Fecha]])</f>
        <v>52</v>
      </c>
      <c r="K118" s="12"/>
      <c r="L118" s="12"/>
      <c r="M118" s="12"/>
      <c r="N118" s="12"/>
      <c r="O118" s="12"/>
      <c r="P118" s="12"/>
      <c r="Q118" s="12"/>
      <c r="R118" s="12"/>
      <c r="S118" s="12"/>
      <c r="T118" s="12"/>
      <c r="U118" s="12"/>
      <c r="V118" s="12"/>
      <c r="W118" s="12"/>
      <c r="X118" s="12"/>
      <c r="Y118" s="13"/>
      <c r="Z118" s="12"/>
      <c r="AA118" s="12"/>
      <c r="AB118" s="12"/>
      <c r="AC118" s="12"/>
      <c r="AD118" s="12"/>
      <c r="AE118" s="12"/>
      <c r="AF118" s="12"/>
      <c r="AG118" s="12"/>
      <c r="AH118" s="12"/>
      <c r="AI118" s="12"/>
      <c r="AJ118" s="12"/>
      <c r="AK118" s="12"/>
      <c r="AL118" s="13"/>
      <c r="AM118" s="12"/>
    </row>
    <row r="119" spans="1:39" ht="15.75" customHeight="1" x14ac:dyDescent="0.3">
      <c r="A119" s="12"/>
      <c r="B119" s="12"/>
      <c r="C119" s="12"/>
      <c r="D119" s="12"/>
      <c r="E119" s="12"/>
      <c r="F119" s="12"/>
      <c r="G119" s="12"/>
      <c r="H119" s="12"/>
      <c r="I119" s="12"/>
      <c r="J119" s="14">
        <f>_xlfn.ISOWEEKNUM(Base_Accidentes_2023[[#This Row],[Fecha]])</f>
        <v>52</v>
      </c>
      <c r="K119" s="12"/>
      <c r="L119" s="12"/>
      <c r="M119" s="12"/>
      <c r="N119" s="12"/>
      <c r="O119" s="12"/>
      <c r="P119" s="12"/>
      <c r="Q119" s="12"/>
      <c r="R119" s="12"/>
      <c r="S119" s="12"/>
      <c r="T119" s="12"/>
      <c r="U119" s="12"/>
      <c r="V119" s="12"/>
      <c r="W119" s="12"/>
      <c r="X119" s="12"/>
      <c r="Y119" s="13"/>
      <c r="Z119" s="12"/>
      <c r="AA119" s="12"/>
      <c r="AB119" s="12"/>
      <c r="AC119" s="12"/>
      <c r="AD119" s="12"/>
      <c r="AE119" s="12"/>
      <c r="AF119" s="12"/>
      <c r="AG119" s="12"/>
      <c r="AH119" s="12"/>
      <c r="AI119" s="12"/>
      <c r="AJ119" s="12"/>
      <c r="AK119" s="12"/>
      <c r="AL119" s="13"/>
      <c r="AM119" s="12"/>
    </row>
    <row r="120" spans="1:39" ht="15.75" customHeight="1" x14ac:dyDescent="0.3">
      <c r="A120" s="12"/>
      <c r="B120" s="12"/>
      <c r="C120" s="12"/>
      <c r="D120" s="12"/>
      <c r="E120" s="12"/>
      <c r="F120" s="12"/>
      <c r="G120" s="12"/>
      <c r="H120" s="12"/>
      <c r="I120" s="12"/>
      <c r="J120" s="14">
        <f>_xlfn.ISOWEEKNUM(Base_Accidentes_2023[[#This Row],[Fecha]])</f>
        <v>52</v>
      </c>
      <c r="K120" s="12"/>
      <c r="L120" s="12"/>
      <c r="M120" s="12"/>
      <c r="N120" s="12"/>
      <c r="O120" s="12"/>
      <c r="P120" s="12"/>
      <c r="Q120" s="12"/>
      <c r="R120" s="12"/>
      <c r="S120" s="12"/>
      <c r="T120" s="12"/>
      <c r="U120" s="12"/>
      <c r="V120" s="12"/>
      <c r="W120" s="12"/>
      <c r="X120" s="12"/>
      <c r="Y120" s="13"/>
      <c r="Z120" s="12"/>
      <c r="AA120" s="12"/>
      <c r="AB120" s="12"/>
      <c r="AC120" s="12"/>
      <c r="AD120" s="12"/>
      <c r="AE120" s="12"/>
      <c r="AF120" s="12"/>
      <c r="AG120" s="12"/>
      <c r="AH120" s="12"/>
      <c r="AI120" s="12"/>
      <c r="AJ120" s="12"/>
      <c r="AK120" s="12"/>
      <c r="AL120" s="13"/>
      <c r="AM120" s="12"/>
    </row>
    <row r="121" spans="1:39" ht="15.75" customHeight="1" x14ac:dyDescent="0.3">
      <c r="A121" s="12"/>
      <c r="B121" s="12"/>
      <c r="C121" s="12"/>
      <c r="D121" s="12"/>
      <c r="E121" s="12"/>
      <c r="F121" s="12"/>
      <c r="G121" s="12"/>
      <c r="H121" s="12"/>
      <c r="I121" s="12"/>
      <c r="J121" s="14">
        <f>_xlfn.ISOWEEKNUM(Base_Accidentes_2023[[#This Row],[Fecha]])</f>
        <v>52</v>
      </c>
      <c r="K121" s="12"/>
      <c r="L121" s="12"/>
      <c r="M121" s="12"/>
      <c r="N121" s="12"/>
      <c r="O121" s="12"/>
      <c r="P121" s="12"/>
      <c r="Q121" s="12"/>
      <c r="R121" s="12"/>
      <c r="S121" s="12"/>
      <c r="T121" s="12"/>
      <c r="U121" s="12"/>
      <c r="V121" s="12"/>
      <c r="W121" s="12"/>
      <c r="X121" s="12"/>
      <c r="Y121" s="13"/>
      <c r="Z121" s="12"/>
      <c r="AA121" s="12"/>
      <c r="AB121" s="12"/>
      <c r="AC121" s="12"/>
      <c r="AD121" s="12"/>
      <c r="AE121" s="12"/>
      <c r="AF121" s="12"/>
      <c r="AG121" s="12"/>
      <c r="AH121" s="12"/>
      <c r="AI121" s="12"/>
      <c r="AJ121" s="12"/>
      <c r="AK121" s="12"/>
      <c r="AL121" s="13"/>
      <c r="AM121" s="12"/>
    </row>
    <row r="122" spans="1:39" ht="15.75" customHeight="1" x14ac:dyDescent="0.3">
      <c r="A122" s="12"/>
      <c r="B122" s="12"/>
      <c r="C122" s="12"/>
      <c r="D122" s="12"/>
      <c r="E122" s="12"/>
      <c r="F122" s="12"/>
      <c r="G122" s="12"/>
      <c r="H122" s="12"/>
      <c r="I122" s="12"/>
      <c r="J122" s="14">
        <f>_xlfn.ISOWEEKNUM(Base_Accidentes_2023[[#This Row],[Fecha]])</f>
        <v>52</v>
      </c>
      <c r="K122" s="12"/>
      <c r="L122" s="12"/>
      <c r="M122" s="12"/>
      <c r="N122" s="12"/>
      <c r="O122" s="12"/>
      <c r="P122" s="12"/>
      <c r="Q122" s="12"/>
      <c r="R122" s="12"/>
      <c r="S122" s="12"/>
      <c r="T122" s="12"/>
      <c r="U122" s="12"/>
      <c r="V122" s="12"/>
      <c r="W122" s="12"/>
      <c r="X122" s="12"/>
      <c r="Y122" s="13"/>
      <c r="Z122" s="12"/>
      <c r="AA122" s="12"/>
      <c r="AB122" s="12"/>
      <c r="AC122" s="12"/>
      <c r="AD122" s="12"/>
      <c r="AE122" s="12"/>
      <c r="AF122" s="12"/>
      <c r="AG122" s="12"/>
      <c r="AH122" s="12"/>
      <c r="AI122" s="12"/>
      <c r="AJ122" s="12"/>
      <c r="AK122" s="12"/>
      <c r="AL122" s="13"/>
      <c r="AM122" s="12"/>
    </row>
    <row r="123" spans="1:39" ht="15.75" customHeight="1" x14ac:dyDescent="0.3">
      <c r="A123" s="12"/>
      <c r="B123" s="12"/>
      <c r="C123" s="12"/>
      <c r="D123" s="12"/>
      <c r="E123" s="12"/>
      <c r="F123" s="12"/>
      <c r="G123" s="12"/>
      <c r="H123" s="12"/>
      <c r="I123" s="12"/>
      <c r="J123" s="14">
        <f>_xlfn.ISOWEEKNUM(Base_Accidentes_2023[[#This Row],[Fecha]])</f>
        <v>52</v>
      </c>
      <c r="K123" s="12"/>
      <c r="L123" s="12"/>
      <c r="M123" s="12"/>
      <c r="N123" s="12"/>
      <c r="O123" s="12"/>
      <c r="P123" s="12"/>
      <c r="Q123" s="12"/>
      <c r="R123" s="12"/>
      <c r="S123" s="12"/>
      <c r="T123" s="12"/>
      <c r="U123" s="12"/>
      <c r="V123" s="12"/>
      <c r="W123" s="12"/>
      <c r="X123" s="12"/>
      <c r="Y123" s="13"/>
      <c r="Z123" s="12"/>
      <c r="AA123" s="12"/>
      <c r="AB123" s="12"/>
      <c r="AC123" s="12"/>
      <c r="AD123" s="12"/>
      <c r="AE123" s="12"/>
      <c r="AF123" s="12"/>
      <c r="AG123" s="12"/>
      <c r="AH123" s="12"/>
      <c r="AI123" s="12"/>
      <c r="AJ123" s="12"/>
      <c r="AK123" s="12"/>
      <c r="AL123" s="13"/>
      <c r="AM123" s="12"/>
    </row>
    <row r="124" spans="1:39" ht="15.75" customHeight="1" x14ac:dyDescent="0.3">
      <c r="A124" s="12"/>
      <c r="B124" s="12"/>
      <c r="C124" s="12"/>
      <c r="D124" s="12"/>
      <c r="E124" s="12"/>
      <c r="F124" s="12"/>
      <c r="G124" s="12"/>
      <c r="H124" s="12"/>
      <c r="I124" s="12"/>
      <c r="J124" s="14">
        <f>_xlfn.ISOWEEKNUM(Base_Accidentes_2023[[#This Row],[Fecha]])</f>
        <v>52</v>
      </c>
      <c r="K124" s="12"/>
      <c r="L124" s="12"/>
      <c r="M124" s="12"/>
      <c r="N124" s="12"/>
      <c r="O124" s="12"/>
      <c r="P124" s="12"/>
      <c r="Q124" s="12"/>
      <c r="R124" s="12"/>
      <c r="S124" s="12"/>
      <c r="T124" s="12"/>
      <c r="U124" s="12"/>
      <c r="V124" s="12"/>
      <c r="W124" s="12"/>
      <c r="X124" s="12"/>
      <c r="Y124" s="13"/>
      <c r="Z124" s="12"/>
      <c r="AA124" s="12"/>
      <c r="AB124" s="12"/>
      <c r="AC124" s="12"/>
      <c r="AD124" s="12"/>
      <c r="AE124" s="12"/>
      <c r="AF124" s="12"/>
      <c r="AG124" s="12"/>
      <c r="AH124" s="12"/>
      <c r="AI124" s="12"/>
      <c r="AJ124" s="12"/>
      <c r="AK124" s="12"/>
      <c r="AL124" s="13"/>
      <c r="AM124" s="12"/>
    </row>
    <row r="125" spans="1:39" ht="15.75" customHeight="1" x14ac:dyDescent="0.3">
      <c r="A125" s="12"/>
      <c r="B125" s="12"/>
      <c r="C125" s="12"/>
      <c r="D125" s="12"/>
      <c r="E125" s="12"/>
      <c r="F125" s="12"/>
      <c r="G125" s="12"/>
      <c r="H125" s="12"/>
      <c r="I125" s="12"/>
      <c r="J125" s="14">
        <f>_xlfn.ISOWEEKNUM(Base_Accidentes_2023[[#This Row],[Fecha]])</f>
        <v>52</v>
      </c>
      <c r="K125" s="12"/>
      <c r="L125" s="12"/>
      <c r="M125" s="12"/>
      <c r="N125" s="12"/>
      <c r="O125" s="12"/>
      <c r="P125" s="12"/>
      <c r="Q125" s="12"/>
      <c r="R125" s="12"/>
      <c r="S125" s="12"/>
      <c r="T125" s="12"/>
      <c r="U125" s="12"/>
      <c r="V125" s="12"/>
      <c r="W125" s="12"/>
      <c r="X125" s="12"/>
      <c r="Y125" s="13"/>
      <c r="Z125" s="12"/>
      <c r="AA125" s="12"/>
      <c r="AB125" s="12"/>
      <c r="AC125" s="12"/>
      <c r="AD125" s="12"/>
      <c r="AE125" s="12"/>
      <c r="AF125" s="12"/>
      <c r="AG125" s="12"/>
      <c r="AH125" s="12"/>
      <c r="AI125" s="12"/>
      <c r="AJ125" s="12"/>
      <c r="AK125" s="12"/>
      <c r="AL125" s="13"/>
      <c r="AM125" s="12"/>
    </row>
    <row r="126" spans="1:39" ht="15.75" customHeight="1" x14ac:dyDescent="0.3">
      <c r="A126" s="12"/>
      <c r="B126" s="12"/>
      <c r="C126" s="12"/>
      <c r="D126" s="12"/>
      <c r="E126" s="12"/>
      <c r="F126" s="12"/>
      <c r="G126" s="12"/>
      <c r="H126" s="12"/>
      <c r="I126" s="12"/>
      <c r="J126" s="14">
        <f>_xlfn.ISOWEEKNUM(Base_Accidentes_2023[[#This Row],[Fecha]])</f>
        <v>52</v>
      </c>
      <c r="K126" s="12"/>
      <c r="L126" s="12"/>
      <c r="M126" s="12"/>
      <c r="N126" s="12"/>
      <c r="O126" s="12"/>
      <c r="P126" s="12"/>
      <c r="Q126" s="12"/>
      <c r="R126" s="12"/>
      <c r="S126" s="12"/>
      <c r="T126" s="12"/>
      <c r="U126" s="12"/>
      <c r="V126" s="12"/>
      <c r="W126" s="12"/>
      <c r="X126" s="12"/>
      <c r="Y126" s="13"/>
      <c r="Z126" s="12"/>
      <c r="AA126" s="12"/>
      <c r="AB126" s="12"/>
      <c r="AC126" s="12"/>
      <c r="AD126" s="12"/>
      <c r="AE126" s="12"/>
      <c r="AF126" s="12"/>
      <c r="AG126" s="12"/>
      <c r="AH126" s="12"/>
      <c r="AI126" s="12"/>
      <c r="AJ126" s="12"/>
      <c r="AK126" s="12"/>
      <c r="AL126" s="13"/>
      <c r="AM126" s="12"/>
    </row>
    <row r="127" spans="1:39" ht="15.75" customHeight="1" x14ac:dyDescent="0.3">
      <c r="A127" s="12"/>
      <c r="B127" s="12"/>
      <c r="C127" s="12"/>
      <c r="D127" s="12"/>
      <c r="E127" s="12"/>
      <c r="F127" s="12"/>
      <c r="G127" s="12"/>
      <c r="H127" s="12"/>
      <c r="I127" s="12"/>
      <c r="J127" s="14">
        <f>_xlfn.ISOWEEKNUM(Base_Accidentes_2023[[#This Row],[Fecha]])</f>
        <v>52</v>
      </c>
      <c r="K127" s="12"/>
      <c r="L127" s="12"/>
      <c r="M127" s="12"/>
      <c r="N127" s="12"/>
      <c r="O127" s="12"/>
      <c r="P127" s="12"/>
      <c r="Q127" s="12"/>
      <c r="R127" s="12"/>
      <c r="S127" s="12"/>
      <c r="T127" s="12"/>
      <c r="U127" s="12"/>
      <c r="V127" s="12"/>
      <c r="W127" s="12"/>
      <c r="X127" s="12"/>
      <c r="Y127" s="13"/>
      <c r="Z127" s="12"/>
      <c r="AA127" s="12"/>
      <c r="AB127" s="12"/>
      <c r="AC127" s="12"/>
      <c r="AD127" s="12"/>
      <c r="AE127" s="12"/>
      <c r="AF127" s="12"/>
      <c r="AG127" s="12"/>
      <c r="AH127" s="12"/>
      <c r="AI127" s="12"/>
      <c r="AJ127" s="12"/>
      <c r="AK127" s="12"/>
      <c r="AL127" s="13"/>
      <c r="AM127" s="12"/>
    </row>
    <row r="128" spans="1:39" ht="15.75" customHeight="1" x14ac:dyDescent="0.3">
      <c r="A128" s="12"/>
      <c r="B128" s="12"/>
      <c r="C128" s="12"/>
      <c r="D128" s="12"/>
      <c r="E128" s="12"/>
      <c r="F128" s="12"/>
      <c r="G128" s="12"/>
      <c r="H128" s="12"/>
      <c r="I128" s="12"/>
      <c r="J128" s="14">
        <f>_xlfn.ISOWEEKNUM(Base_Accidentes_2023[[#This Row],[Fecha]])</f>
        <v>52</v>
      </c>
      <c r="K128" s="12"/>
      <c r="L128" s="12"/>
      <c r="M128" s="12"/>
      <c r="N128" s="12"/>
      <c r="O128" s="12"/>
      <c r="P128" s="12"/>
      <c r="Q128" s="12"/>
      <c r="R128" s="12"/>
      <c r="S128" s="12"/>
      <c r="T128" s="12"/>
      <c r="U128" s="12"/>
      <c r="V128" s="12"/>
      <c r="W128" s="12"/>
      <c r="X128" s="12"/>
      <c r="Y128" s="13"/>
      <c r="Z128" s="12"/>
      <c r="AA128" s="12"/>
      <c r="AB128" s="12"/>
      <c r="AC128" s="12"/>
      <c r="AD128" s="12"/>
      <c r="AE128" s="12"/>
      <c r="AF128" s="12"/>
      <c r="AG128" s="12"/>
      <c r="AH128" s="12"/>
      <c r="AI128" s="12"/>
      <c r="AJ128" s="12"/>
      <c r="AK128" s="12"/>
      <c r="AL128" s="13"/>
      <c r="AM128" s="12"/>
    </row>
    <row r="129" spans="1:39" ht="15.75" customHeight="1" x14ac:dyDescent="0.3">
      <c r="A129" s="12"/>
      <c r="B129" s="12"/>
      <c r="C129" s="12"/>
      <c r="D129" s="12"/>
      <c r="E129" s="12"/>
      <c r="F129" s="12"/>
      <c r="G129" s="12"/>
      <c r="H129" s="12"/>
      <c r="I129" s="12"/>
      <c r="J129" s="14">
        <f>_xlfn.ISOWEEKNUM(Base_Accidentes_2023[[#This Row],[Fecha]])</f>
        <v>52</v>
      </c>
      <c r="K129" s="12"/>
      <c r="L129" s="12"/>
      <c r="M129" s="12"/>
      <c r="N129" s="12"/>
      <c r="O129" s="12"/>
      <c r="P129" s="12"/>
      <c r="Q129" s="12"/>
      <c r="R129" s="12"/>
      <c r="S129" s="12"/>
      <c r="T129" s="12"/>
      <c r="U129" s="12"/>
      <c r="V129" s="12"/>
      <c r="W129" s="12"/>
      <c r="X129" s="12"/>
      <c r="Y129" s="13"/>
      <c r="Z129" s="12"/>
      <c r="AA129" s="12"/>
      <c r="AB129" s="12"/>
      <c r="AC129" s="12"/>
      <c r="AD129" s="12"/>
      <c r="AE129" s="12"/>
      <c r="AF129" s="12"/>
      <c r="AG129" s="12"/>
      <c r="AH129" s="12"/>
      <c r="AI129" s="12"/>
      <c r="AJ129" s="12"/>
      <c r="AK129" s="12"/>
      <c r="AL129" s="13"/>
      <c r="AM129" s="12"/>
    </row>
    <row r="130" spans="1:39" ht="15.75" customHeight="1" x14ac:dyDescent="0.3">
      <c r="A130" s="12"/>
      <c r="B130" s="12"/>
      <c r="C130" s="12"/>
      <c r="D130" s="12"/>
      <c r="E130" s="12"/>
      <c r="F130" s="12"/>
      <c r="G130" s="12"/>
      <c r="H130" s="12"/>
      <c r="I130" s="12"/>
      <c r="J130" s="14">
        <f>_xlfn.ISOWEEKNUM(Base_Accidentes_2023[[#This Row],[Fecha]])</f>
        <v>52</v>
      </c>
      <c r="K130" s="12"/>
      <c r="L130" s="12"/>
      <c r="M130" s="12"/>
      <c r="N130" s="12"/>
      <c r="O130" s="12"/>
      <c r="P130" s="12"/>
      <c r="Q130" s="12"/>
      <c r="R130" s="12"/>
      <c r="S130" s="12"/>
      <c r="T130" s="12"/>
      <c r="U130" s="12"/>
      <c r="V130" s="12"/>
      <c r="W130" s="12"/>
      <c r="X130" s="12"/>
      <c r="Y130" s="13"/>
      <c r="Z130" s="12"/>
      <c r="AA130" s="12"/>
      <c r="AB130" s="12"/>
      <c r="AC130" s="12"/>
      <c r="AD130" s="12"/>
      <c r="AE130" s="12"/>
      <c r="AF130" s="12"/>
      <c r="AG130" s="12"/>
      <c r="AH130" s="12"/>
      <c r="AI130" s="12"/>
      <c r="AJ130" s="12"/>
      <c r="AK130" s="12"/>
      <c r="AL130" s="13"/>
      <c r="AM130" s="12"/>
    </row>
    <row r="131" spans="1:39" ht="15.75" customHeight="1" x14ac:dyDescent="0.3">
      <c r="A131" s="12"/>
      <c r="B131" s="12"/>
      <c r="C131" s="12"/>
      <c r="D131" s="12"/>
      <c r="E131" s="12"/>
      <c r="F131" s="12"/>
      <c r="G131" s="12"/>
      <c r="H131" s="12"/>
      <c r="I131" s="12"/>
      <c r="J131" s="14">
        <f>_xlfn.ISOWEEKNUM(Base_Accidentes_2023[[#This Row],[Fecha]])</f>
        <v>52</v>
      </c>
      <c r="K131" s="12"/>
      <c r="L131" s="12"/>
      <c r="M131" s="12"/>
      <c r="N131" s="12"/>
      <c r="O131" s="12"/>
      <c r="P131" s="12"/>
      <c r="Q131" s="12"/>
      <c r="R131" s="12"/>
      <c r="S131" s="12"/>
      <c r="T131" s="12"/>
      <c r="U131" s="12"/>
      <c r="V131" s="12"/>
      <c r="W131" s="12"/>
      <c r="X131" s="12"/>
      <c r="Y131" s="13"/>
      <c r="Z131" s="12"/>
      <c r="AA131" s="12"/>
      <c r="AB131" s="12"/>
      <c r="AC131" s="12"/>
      <c r="AD131" s="12"/>
      <c r="AE131" s="12"/>
      <c r="AF131" s="12"/>
      <c r="AG131" s="12"/>
      <c r="AH131" s="12"/>
      <c r="AI131" s="12"/>
      <c r="AJ131" s="12"/>
      <c r="AK131" s="12"/>
      <c r="AL131" s="13"/>
      <c r="AM131" s="12"/>
    </row>
    <row r="132" spans="1:39" ht="15.75" customHeight="1" x14ac:dyDescent="0.3">
      <c r="A132" s="12"/>
      <c r="B132" s="12"/>
      <c r="C132" s="12"/>
      <c r="D132" s="12"/>
      <c r="E132" s="12"/>
      <c r="F132" s="12"/>
      <c r="G132" s="12"/>
      <c r="H132" s="12"/>
      <c r="I132" s="12"/>
      <c r="J132" s="14">
        <f>_xlfn.ISOWEEKNUM(Base_Accidentes_2023[[#This Row],[Fecha]])</f>
        <v>52</v>
      </c>
      <c r="K132" s="12"/>
      <c r="L132" s="12"/>
      <c r="M132" s="12"/>
      <c r="N132" s="12"/>
      <c r="O132" s="12"/>
      <c r="P132" s="12"/>
      <c r="Q132" s="12"/>
      <c r="R132" s="12"/>
      <c r="S132" s="12"/>
      <c r="T132" s="12"/>
      <c r="U132" s="12"/>
      <c r="V132" s="12"/>
      <c r="W132" s="12"/>
      <c r="X132" s="12"/>
      <c r="Y132" s="13"/>
      <c r="Z132" s="12"/>
      <c r="AA132" s="12"/>
      <c r="AB132" s="12"/>
      <c r="AC132" s="12"/>
      <c r="AD132" s="12"/>
      <c r="AE132" s="12"/>
      <c r="AF132" s="12"/>
      <c r="AG132" s="12"/>
      <c r="AH132" s="12"/>
      <c r="AI132" s="12"/>
      <c r="AJ132" s="12"/>
      <c r="AK132" s="12"/>
      <c r="AL132" s="13"/>
      <c r="AM132" s="12"/>
    </row>
    <row r="133" spans="1:39" ht="15.75" customHeight="1" x14ac:dyDescent="0.3">
      <c r="A133" s="12"/>
      <c r="B133" s="12"/>
      <c r="C133" s="12"/>
      <c r="D133" s="12"/>
      <c r="E133" s="12"/>
      <c r="F133" s="12"/>
      <c r="G133" s="12"/>
      <c r="H133" s="12"/>
      <c r="I133" s="12"/>
      <c r="J133" s="14">
        <f>_xlfn.ISOWEEKNUM(Base_Accidentes_2023[[#This Row],[Fecha]])</f>
        <v>52</v>
      </c>
      <c r="K133" s="12"/>
      <c r="L133" s="12"/>
      <c r="M133" s="12"/>
      <c r="N133" s="12"/>
      <c r="O133" s="12"/>
      <c r="P133" s="12"/>
      <c r="Q133" s="12"/>
      <c r="R133" s="12"/>
      <c r="S133" s="12"/>
      <c r="T133" s="12"/>
      <c r="U133" s="12"/>
      <c r="V133" s="12"/>
      <c r="W133" s="12"/>
      <c r="X133" s="12"/>
      <c r="Y133" s="13"/>
      <c r="Z133" s="12"/>
      <c r="AA133" s="12"/>
      <c r="AB133" s="12"/>
      <c r="AC133" s="12"/>
      <c r="AD133" s="12"/>
      <c r="AE133" s="12"/>
      <c r="AF133" s="12"/>
      <c r="AG133" s="12"/>
      <c r="AH133" s="12"/>
      <c r="AI133" s="12"/>
      <c r="AJ133" s="12"/>
      <c r="AK133" s="12"/>
      <c r="AL133" s="13"/>
      <c r="AM133" s="12"/>
    </row>
    <row r="134" spans="1:39" ht="15.75" customHeight="1" x14ac:dyDescent="0.3">
      <c r="A134" s="12"/>
      <c r="B134" s="12"/>
      <c r="C134" s="12"/>
      <c r="D134" s="12"/>
      <c r="E134" s="12"/>
      <c r="F134" s="12"/>
      <c r="G134" s="12"/>
      <c r="H134" s="12"/>
      <c r="I134" s="12"/>
      <c r="J134" s="14">
        <f>_xlfn.ISOWEEKNUM(Base_Accidentes_2023[[#This Row],[Fecha]])</f>
        <v>52</v>
      </c>
      <c r="K134" s="12"/>
      <c r="L134" s="12"/>
      <c r="M134" s="12"/>
      <c r="N134" s="12"/>
      <c r="O134" s="12"/>
      <c r="P134" s="12"/>
      <c r="Q134" s="12"/>
      <c r="R134" s="12"/>
      <c r="S134" s="12"/>
      <c r="T134" s="12"/>
      <c r="U134" s="12"/>
      <c r="V134" s="12"/>
      <c r="W134" s="12"/>
      <c r="X134" s="12"/>
      <c r="Y134" s="13"/>
      <c r="Z134" s="12"/>
      <c r="AA134" s="12"/>
      <c r="AB134" s="12"/>
      <c r="AC134" s="12"/>
      <c r="AD134" s="12"/>
      <c r="AE134" s="12"/>
      <c r="AF134" s="12"/>
      <c r="AG134" s="12"/>
      <c r="AH134" s="12"/>
      <c r="AI134" s="12"/>
      <c r="AJ134" s="12"/>
      <c r="AK134" s="12"/>
      <c r="AL134" s="13"/>
      <c r="AM134" s="12"/>
    </row>
    <row r="135" spans="1:39" ht="15.75" customHeight="1" x14ac:dyDescent="0.3">
      <c r="A135" s="12"/>
      <c r="B135" s="12"/>
      <c r="C135" s="12"/>
      <c r="D135" s="12"/>
      <c r="E135" s="12"/>
      <c r="F135" s="12"/>
      <c r="G135" s="12"/>
      <c r="H135" s="12"/>
      <c r="I135" s="12"/>
      <c r="J135" s="14">
        <f>_xlfn.ISOWEEKNUM(Base_Accidentes_2023[[#This Row],[Fecha]])</f>
        <v>52</v>
      </c>
      <c r="K135" s="12"/>
      <c r="L135" s="12"/>
      <c r="M135" s="12"/>
      <c r="N135" s="12"/>
      <c r="O135" s="12"/>
      <c r="P135" s="12"/>
      <c r="Q135" s="12"/>
      <c r="R135" s="12"/>
      <c r="S135" s="12"/>
      <c r="T135" s="12"/>
      <c r="U135" s="12"/>
      <c r="V135" s="12"/>
      <c r="W135" s="12"/>
      <c r="X135" s="12"/>
      <c r="Y135" s="13"/>
      <c r="Z135" s="12"/>
      <c r="AA135" s="12"/>
      <c r="AB135" s="12"/>
      <c r="AC135" s="12"/>
      <c r="AD135" s="12"/>
      <c r="AE135" s="12"/>
      <c r="AF135" s="12"/>
      <c r="AG135" s="12"/>
      <c r="AH135" s="12"/>
      <c r="AI135" s="12"/>
      <c r="AJ135" s="12"/>
      <c r="AK135" s="12"/>
      <c r="AL135" s="13"/>
      <c r="AM135" s="12"/>
    </row>
    <row r="136" spans="1:39" ht="15.75" customHeight="1" x14ac:dyDescent="0.3">
      <c r="A136" s="12"/>
      <c r="B136" s="12"/>
      <c r="C136" s="12"/>
      <c r="D136" s="12"/>
      <c r="E136" s="12"/>
      <c r="F136" s="12"/>
      <c r="G136" s="12"/>
      <c r="H136" s="12"/>
      <c r="I136" s="12"/>
      <c r="J136" s="14">
        <f>_xlfn.ISOWEEKNUM(Base_Accidentes_2023[[#This Row],[Fecha]])</f>
        <v>52</v>
      </c>
      <c r="K136" s="12"/>
      <c r="L136" s="12"/>
      <c r="M136" s="12"/>
      <c r="N136" s="12"/>
      <c r="O136" s="12"/>
      <c r="P136" s="12"/>
      <c r="Q136" s="12"/>
      <c r="R136" s="12"/>
      <c r="S136" s="12"/>
      <c r="T136" s="12"/>
      <c r="U136" s="12"/>
      <c r="V136" s="12"/>
      <c r="W136" s="12"/>
      <c r="X136" s="12"/>
      <c r="Y136" s="13"/>
      <c r="Z136" s="12"/>
      <c r="AA136" s="12"/>
      <c r="AB136" s="12"/>
      <c r="AC136" s="12"/>
      <c r="AD136" s="12"/>
      <c r="AE136" s="12"/>
      <c r="AF136" s="12"/>
      <c r="AG136" s="12"/>
      <c r="AH136" s="12"/>
      <c r="AI136" s="12"/>
      <c r="AJ136" s="12"/>
      <c r="AK136" s="12"/>
      <c r="AL136" s="13"/>
      <c r="AM136" s="12"/>
    </row>
    <row r="137" spans="1:39" ht="15.75" customHeight="1" x14ac:dyDescent="0.3">
      <c r="A137" s="12"/>
      <c r="B137" s="12"/>
      <c r="C137" s="12"/>
      <c r="D137" s="12"/>
      <c r="E137" s="12"/>
      <c r="F137" s="12"/>
      <c r="G137" s="12"/>
      <c r="H137" s="12"/>
      <c r="I137" s="12"/>
      <c r="J137" s="14">
        <f>_xlfn.ISOWEEKNUM(Base_Accidentes_2023[[#This Row],[Fecha]])</f>
        <v>52</v>
      </c>
      <c r="K137" s="12"/>
      <c r="L137" s="12"/>
      <c r="M137" s="12"/>
      <c r="N137" s="12"/>
      <c r="O137" s="12"/>
      <c r="P137" s="12"/>
      <c r="Q137" s="12"/>
      <c r="R137" s="12"/>
      <c r="S137" s="12"/>
      <c r="T137" s="12"/>
      <c r="U137" s="12"/>
      <c r="V137" s="12"/>
      <c r="W137" s="12"/>
      <c r="X137" s="12"/>
      <c r="Y137" s="13"/>
      <c r="Z137" s="12"/>
      <c r="AA137" s="12"/>
      <c r="AB137" s="12"/>
      <c r="AC137" s="12"/>
      <c r="AD137" s="12"/>
      <c r="AE137" s="12"/>
      <c r="AF137" s="12"/>
      <c r="AG137" s="12"/>
      <c r="AH137" s="12"/>
      <c r="AI137" s="12"/>
      <c r="AJ137" s="12"/>
      <c r="AK137" s="12"/>
      <c r="AL137" s="13"/>
      <c r="AM137" s="12"/>
    </row>
    <row r="138" spans="1:39" ht="15.75" customHeight="1" x14ac:dyDescent="0.3">
      <c r="A138" s="12"/>
      <c r="B138" s="12"/>
      <c r="C138" s="12"/>
      <c r="D138" s="12"/>
      <c r="E138" s="12"/>
      <c r="F138" s="12"/>
      <c r="G138" s="12"/>
      <c r="H138" s="12"/>
      <c r="I138" s="12"/>
      <c r="J138" s="14">
        <f>_xlfn.ISOWEEKNUM(Base_Accidentes_2023[[#This Row],[Fecha]])</f>
        <v>52</v>
      </c>
      <c r="K138" s="12"/>
      <c r="L138" s="12"/>
      <c r="M138" s="12"/>
      <c r="N138" s="12"/>
      <c r="O138" s="12"/>
      <c r="P138" s="12"/>
      <c r="Q138" s="12"/>
      <c r="R138" s="12"/>
      <c r="S138" s="12"/>
      <c r="T138" s="12"/>
      <c r="U138" s="12"/>
      <c r="V138" s="12"/>
      <c r="W138" s="12"/>
      <c r="X138" s="12"/>
      <c r="Y138" s="13"/>
      <c r="Z138" s="12"/>
      <c r="AA138" s="12"/>
      <c r="AB138" s="12"/>
      <c r="AC138" s="12"/>
      <c r="AD138" s="12"/>
      <c r="AE138" s="12"/>
      <c r="AF138" s="12"/>
      <c r="AG138" s="12"/>
      <c r="AH138" s="12"/>
      <c r="AI138" s="12"/>
      <c r="AJ138" s="12"/>
      <c r="AK138" s="12"/>
      <c r="AL138" s="13"/>
      <c r="AM138" s="12"/>
    </row>
    <row r="139" spans="1:39" ht="15.75" customHeight="1" x14ac:dyDescent="0.3">
      <c r="A139" s="12"/>
      <c r="B139" s="12"/>
      <c r="C139" s="12"/>
      <c r="D139" s="12"/>
      <c r="E139" s="12"/>
      <c r="F139" s="12"/>
      <c r="G139" s="12"/>
      <c r="H139" s="12"/>
      <c r="I139" s="12"/>
      <c r="J139" s="14">
        <f>_xlfn.ISOWEEKNUM(Base_Accidentes_2023[[#This Row],[Fecha]])</f>
        <v>52</v>
      </c>
      <c r="K139" s="12"/>
      <c r="L139" s="12"/>
      <c r="M139" s="12"/>
      <c r="N139" s="12"/>
      <c r="O139" s="12"/>
      <c r="P139" s="12"/>
      <c r="Q139" s="12"/>
      <c r="R139" s="12"/>
      <c r="S139" s="12"/>
      <c r="T139" s="12"/>
      <c r="U139" s="12"/>
      <c r="V139" s="12"/>
      <c r="W139" s="12"/>
      <c r="X139" s="12"/>
      <c r="Y139" s="13"/>
      <c r="Z139" s="12"/>
      <c r="AA139" s="12"/>
      <c r="AB139" s="12"/>
      <c r="AC139" s="12"/>
      <c r="AD139" s="12"/>
      <c r="AE139" s="12"/>
      <c r="AF139" s="12"/>
      <c r="AG139" s="12"/>
      <c r="AH139" s="12"/>
      <c r="AI139" s="12"/>
      <c r="AJ139" s="12"/>
      <c r="AK139" s="12"/>
      <c r="AL139" s="13"/>
      <c r="AM139" s="12"/>
    </row>
    <row r="140" spans="1:39" ht="15.75" customHeight="1" x14ac:dyDescent="0.3">
      <c r="A140" s="12"/>
      <c r="B140" s="12"/>
      <c r="C140" s="12"/>
      <c r="D140" s="12"/>
      <c r="E140" s="12"/>
      <c r="F140" s="12"/>
      <c r="G140" s="12"/>
      <c r="H140" s="12"/>
      <c r="I140" s="12"/>
      <c r="J140" s="14">
        <f>_xlfn.ISOWEEKNUM(Base_Accidentes_2023[[#This Row],[Fecha]])</f>
        <v>52</v>
      </c>
      <c r="K140" s="12"/>
      <c r="L140" s="12"/>
      <c r="M140" s="12"/>
      <c r="N140" s="12"/>
      <c r="O140" s="12"/>
      <c r="P140" s="12"/>
      <c r="Q140" s="12"/>
      <c r="R140" s="12"/>
      <c r="S140" s="12"/>
      <c r="T140" s="12"/>
      <c r="U140" s="12"/>
      <c r="V140" s="12"/>
      <c r="W140" s="12"/>
      <c r="X140" s="12"/>
      <c r="Y140" s="13"/>
      <c r="Z140" s="12"/>
      <c r="AA140" s="12"/>
      <c r="AB140" s="12"/>
      <c r="AC140" s="12"/>
      <c r="AD140" s="12"/>
      <c r="AE140" s="12"/>
      <c r="AF140" s="12"/>
      <c r="AG140" s="12"/>
      <c r="AH140" s="12"/>
      <c r="AI140" s="12"/>
      <c r="AJ140" s="12"/>
      <c r="AK140" s="12"/>
      <c r="AL140" s="13"/>
      <c r="AM140" s="12"/>
    </row>
    <row r="141" spans="1:39" ht="15.75" customHeight="1" x14ac:dyDescent="0.3">
      <c r="A141" s="12"/>
      <c r="B141" s="12"/>
      <c r="C141" s="12"/>
      <c r="D141" s="12"/>
      <c r="E141" s="12"/>
      <c r="F141" s="12"/>
      <c r="G141" s="12"/>
      <c r="H141" s="12"/>
      <c r="I141" s="12"/>
      <c r="J141" s="14">
        <f>_xlfn.ISOWEEKNUM(Base_Accidentes_2023[[#This Row],[Fecha]])</f>
        <v>52</v>
      </c>
      <c r="K141" s="12"/>
      <c r="L141" s="12"/>
      <c r="M141" s="12"/>
      <c r="N141" s="12"/>
      <c r="O141" s="12"/>
      <c r="P141" s="12"/>
      <c r="Q141" s="12"/>
      <c r="R141" s="12"/>
      <c r="S141" s="12"/>
      <c r="T141" s="12"/>
      <c r="U141" s="12"/>
      <c r="V141" s="12"/>
      <c r="W141" s="12"/>
      <c r="X141" s="12"/>
      <c r="Y141" s="13"/>
      <c r="Z141" s="12"/>
      <c r="AA141" s="12"/>
      <c r="AB141" s="12"/>
      <c r="AC141" s="12"/>
      <c r="AD141" s="12"/>
      <c r="AE141" s="12"/>
      <c r="AF141" s="12"/>
      <c r="AG141" s="12"/>
      <c r="AH141" s="12"/>
      <c r="AI141" s="12"/>
      <c r="AJ141" s="12"/>
      <c r="AK141" s="12"/>
      <c r="AL141" s="13"/>
      <c r="AM141" s="12"/>
    </row>
    <row r="142" spans="1:39" ht="15.75" customHeight="1" x14ac:dyDescent="0.3">
      <c r="A142" s="12"/>
      <c r="B142" s="12"/>
      <c r="C142" s="12"/>
      <c r="D142" s="12"/>
      <c r="E142" s="12"/>
      <c r="F142" s="12"/>
      <c r="G142" s="12"/>
      <c r="H142" s="12"/>
      <c r="I142" s="12"/>
      <c r="J142" s="14">
        <f>_xlfn.ISOWEEKNUM(Base_Accidentes_2023[[#This Row],[Fecha]])</f>
        <v>52</v>
      </c>
      <c r="K142" s="12"/>
      <c r="L142" s="12"/>
      <c r="M142" s="12"/>
      <c r="N142" s="12"/>
      <c r="O142" s="12"/>
      <c r="P142" s="12"/>
      <c r="Q142" s="12"/>
      <c r="R142" s="12"/>
      <c r="S142" s="12"/>
      <c r="T142" s="12"/>
      <c r="U142" s="12"/>
      <c r="V142" s="12"/>
      <c r="W142" s="12"/>
      <c r="X142" s="12"/>
      <c r="Y142" s="13"/>
      <c r="Z142" s="12"/>
      <c r="AA142" s="12"/>
      <c r="AB142" s="12"/>
      <c r="AC142" s="12"/>
      <c r="AD142" s="12"/>
      <c r="AE142" s="12"/>
      <c r="AF142" s="12"/>
      <c r="AG142" s="12"/>
      <c r="AH142" s="12"/>
      <c r="AI142" s="12"/>
      <c r="AJ142" s="12"/>
      <c r="AK142" s="12"/>
      <c r="AL142" s="13"/>
      <c r="AM142" s="12"/>
    </row>
    <row r="143" spans="1:39" ht="15.75" customHeight="1" x14ac:dyDescent="0.3">
      <c r="A143" s="12"/>
      <c r="B143" s="12"/>
      <c r="C143" s="12"/>
      <c r="D143" s="12"/>
      <c r="E143" s="12"/>
      <c r="F143" s="12"/>
      <c r="G143" s="12"/>
      <c r="H143" s="12"/>
      <c r="I143" s="12"/>
      <c r="J143" s="14">
        <f>_xlfn.ISOWEEKNUM(Base_Accidentes_2023[[#This Row],[Fecha]])</f>
        <v>52</v>
      </c>
      <c r="K143" s="12"/>
      <c r="L143" s="12"/>
      <c r="M143" s="12"/>
      <c r="N143" s="12"/>
      <c r="O143" s="12"/>
      <c r="P143" s="12"/>
      <c r="Q143" s="12"/>
      <c r="R143" s="12"/>
      <c r="S143" s="12"/>
      <c r="T143" s="12"/>
      <c r="U143" s="12"/>
      <c r="V143" s="12"/>
      <c r="W143" s="12"/>
      <c r="X143" s="12"/>
      <c r="Y143" s="13"/>
      <c r="Z143" s="12"/>
      <c r="AA143" s="12"/>
      <c r="AB143" s="12"/>
      <c r="AC143" s="12"/>
      <c r="AD143" s="12"/>
      <c r="AE143" s="12"/>
      <c r="AF143" s="12"/>
      <c r="AG143" s="12"/>
      <c r="AH143" s="12"/>
      <c r="AI143" s="12"/>
      <c r="AJ143" s="12"/>
      <c r="AK143" s="12"/>
      <c r="AL143" s="13"/>
      <c r="AM143" s="12"/>
    </row>
    <row r="144" spans="1:39" ht="15.75" customHeight="1" x14ac:dyDescent="0.3">
      <c r="A144" s="12"/>
      <c r="B144" s="12"/>
      <c r="C144" s="12"/>
      <c r="D144" s="12"/>
      <c r="E144" s="12"/>
      <c r="F144" s="12"/>
      <c r="G144" s="12"/>
      <c r="H144" s="12"/>
      <c r="I144" s="12"/>
      <c r="J144" s="14">
        <f>_xlfn.ISOWEEKNUM(Base_Accidentes_2023[[#This Row],[Fecha]])</f>
        <v>52</v>
      </c>
      <c r="K144" s="12"/>
      <c r="L144" s="12"/>
      <c r="M144" s="12"/>
      <c r="N144" s="12"/>
      <c r="O144" s="12"/>
      <c r="P144" s="12"/>
      <c r="Q144" s="12"/>
      <c r="R144" s="12"/>
      <c r="S144" s="12"/>
      <c r="T144" s="12"/>
      <c r="U144" s="12"/>
      <c r="V144" s="12"/>
      <c r="W144" s="12"/>
      <c r="X144" s="12"/>
      <c r="Y144" s="13"/>
      <c r="Z144" s="12"/>
      <c r="AA144" s="12"/>
      <c r="AB144" s="12"/>
      <c r="AC144" s="12"/>
      <c r="AD144" s="12"/>
      <c r="AE144" s="12"/>
      <c r="AF144" s="12"/>
      <c r="AG144" s="12"/>
      <c r="AH144" s="12"/>
      <c r="AI144" s="12"/>
      <c r="AJ144" s="12"/>
      <c r="AK144" s="12"/>
      <c r="AL144" s="13"/>
      <c r="AM144" s="12"/>
    </row>
    <row r="145" spans="1:39" ht="15.75" customHeight="1" x14ac:dyDescent="0.3">
      <c r="A145" s="12"/>
      <c r="B145" s="12"/>
      <c r="C145" s="12"/>
      <c r="D145" s="12"/>
      <c r="E145" s="12"/>
      <c r="F145" s="12"/>
      <c r="G145" s="12"/>
      <c r="H145" s="12"/>
      <c r="I145" s="12"/>
      <c r="J145" s="14">
        <f>_xlfn.ISOWEEKNUM(Base_Accidentes_2023[[#This Row],[Fecha]])</f>
        <v>52</v>
      </c>
      <c r="K145" s="12"/>
      <c r="L145" s="12"/>
      <c r="M145" s="12"/>
      <c r="N145" s="12"/>
      <c r="O145" s="12"/>
      <c r="P145" s="12"/>
      <c r="Q145" s="12"/>
      <c r="R145" s="12"/>
      <c r="S145" s="12"/>
      <c r="T145" s="12"/>
      <c r="U145" s="12"/>
      <c r="V145" s="12"/>
      <c r="W145" s="12"/>
      <c r="X145" s="12"/>
      <c r="Y145" s="13"/>
      <c r="Z145" s="12"/>
      <c r="AA145" s="12"/>
      <c r="AB145" s="12"/>
      <c r="AC145" s="12"/>
      <c r="AD145" s="12"/>
      <c r="AE145" s="12"/>
      <c r="AF145" s="12"/>
      <c r="AG145" s="12"/>
      <c r="AH145" s="12"/>
      <c r="AI145" s="12"/>
      <c r="AJ145" s="12"/>
      <c r="AK145" s="12"/>
      <c r="AL145" s="13"/>
      <c r="AM145" s="12"/>
    </row>
    <row r="146" spans="1:39" ht="15.75" customHeight="1" x14ac:dyDescent="0.3">
      <c r="A146" s="12"/>
      <c r="B146" s="12"/>
      <c r="C146" s="12"/>
      <c r="D146" s="12"/>
      <c r="E146" s="12"/>
      <c r="F146" s="12"/>
      <c r="G146" s="12"/>
      <c r="H146" s="12"/>
      <c r="I146" s="12"/>
      <c r="J146" s="14">
        <f>_xlfn.ISOWEEKNUM(Base_Accidentes_2023[[#This Row],[Fecha]])</f>
        <v>52</v>
      </c>
      <c r="K146" s="12"/>
      <c r="L146" s="12"/>
      <c r="M146" s="12"/>
      <c r="N146" s="12"/>
      <c r="O146" s="12"/>
      <c r="P146" s="12"/>
      <c r="Q146" s="12"/>
      <c r="R146" s="12"/>
      <c r="S146" s="12"/>
      <c r="T146" s="12"/>
      <c r="U146" s="12"/>
      <c r="V146" s="12"/>
      <c r="W146" s="12"/>
      <c r="X146" s="12"/>
      <c r="Y146" s="13"/>
      <c r="Z146" s="12"/>
      <c r="AA146" s="12"/>
      <c r="AB146" s="12"/>
      <c r="AC146" s="12"/>
      <c r="AD146" s="12"/>
      <c r="AE146" s="12"/>
      <c r="AF146" s="12"/>
      <c r="AG146" s="12"/>
      <c r="AH146" s="12"/>
      <c r="AI146" s="12"/>
      <c r="AJ146" s="12"/>
      <c r="AK146" s="12"/>
      <c r="AL146" s="13"/>
      <c r="AM146" s="12"/>
    </row>
    <row r="147" spans="1:39" ht="15.75" customHeight="1" x14ac:dyDescent="0.3">
      <c r="A147" s="12"/>
      <c r="B147" s="12"/>
      <c r="C147" s="12"/>
      <c r="D147" s="12"/>
      <c r="E147" s="12"/>
      <c r="F147" s="12"/>
      <c r="G147" s="12"/>
      <c r="H147" s="12"/>
      <c r="I147" s="12"/>
      <c r="J147" s="14">
        <f>_xlfn.ISOWEEKNUM(Base_Accidentes_2023[[#This Row],[Fecha]])</f>
        <v>52</v>
      </c>
      <c r="K147" s="12"/>
      <c r="L147" s="12"/>
      <c r="M147" s="12"/>
      <c r="N147" s="12"/>
      <c r="O147" s="12"/>
      <c r="P147" s="12"/>
      <c r="Q147" s="12"/>
      <c r="R147" s="12"/>
      <c r="S147" s="12"/>
      <c r="T147" s="12"/>
      <c r="U147" s="12"/>
      <c r="V147" s="12"/>
      <c r="W147" s="12"/>
      <c r="X147" s="12"/>
      <c r="Y147" s="13"/>
      <c r="Z147" s="12"/>
      <c r="AA147" s="12"/>
      <c r="AB147" s="12"/>
      <c r="AC147" s="12"/>
      <c r="AD147" s="12"/>
      <c r="AE147" s="12"/>
      <c r="AF147" s="12"/>
      <c r="AG147" s="12"/>
      <c r="AH147" s="12"/>
      <c r="AI147" s="12"/>
      <c r="AJ147" s="12"/>
      <c r="AK147" s="12"/>
      <c r="AL147" s="13"/>
      <c r="AM147" s="12"/>
    </row>
    <row r="148" spans="1:39" ht="15.75" customHeight="1" x14ac:dyDescent="0.3">
      <c r="A148" s="12"/>
      <c r="B148" s="12"/>
      <c r="C148" s="12"/>
      <c r="D148" s="12"/>
      <c r="E148" s="12"/>
      <c r="F148" s="12"/>
      <c r="G148" s="12"/>
      <c r="H148" s="12"/>
      <c r="I148" s="12"/>
      <c r="J148" s="14">
        <f>_xlfn.ISOWEEKNUM(Base_Accidentes_2023[[#This Row],[Fecha]])</f>
        <v>52</v>
      </c>
      <c r="K148" s="12"/>
      <c r="L148" s="12"/>
      <c r="M148" s="12"/>
      <c r="N148" s="12"/>
      <c r="O148" s="12"/>
      <c r="P148" s="12"/>
      <c r="Q148" s="12"/>
      <c r="R148" s="12"/>
      <c r="S148" s="12"/>
      <c r="T148" s="12"/>
      <c r="U148" s="12"/>
      <c r="V148" s="12"/>
      <c r="W148" s="12"/>
      <c r="X148" s="12"/>
      <c r="Y148" s="13"/>
      <c r="Z148" s="12"/>
      <c r="AA148" s="12"/>
      <c r="AB148" s="12"/>
      <c r="AC148" s="12"/>
      <c r="AD148" s="12"/>
      <c r="AE148" s="12"/>
      <c r="AF148" s="12"/>
      <c r="AG148" s="12"/>
      <c r="AH148" s="12"/>
      <c r="AI148" s="12"/>
      <c r="AJ148" s="12"/>
      <c r="AK148" s="12"/>
      <c r="AL148" s="13"/>
      <c r="AM148" s="12"/>
    </row>
    <row r="149" spans="1:39" ht="15.75" customHeight="1" x14ac:dyDescent="0.3">
      <c r="A149" s="12"/>
      <c r="B149" s="12"/>
      <c r="C149" s="12"/>
      <c r="D149" s="12"/>
      <c r="E149" s="12"/>
      <c r="F149" s="12"/>
      <c r="G149" s="12"/>
      <c r="H149" s="12"/>
      <c r="I149" s="12"/>
      <c r="J149" s="14">
        <f>_xlfn.ISOWEEKNUM(Base_Accidentes_2023[[#This Row],[Fecha]])</f>
        <v>52</v>
      </c>
      <c r="K149" s="12"/>
      <c r="L149" s="12"/>
      <c r="M149" s="12"/>
      <c r="N149" s="12"/>
      <c r="O149" s="12"/>
      <c r="P149" s="12"/>
      <c r="Q149" s="12"/>
      <c r="R149" s="12"/>
      <c r="S149" s="12"/>
      <c r="T149" s="12"/>
      <c r="U149" s="12"/>
      <c r="V149" s="12"/>
      <c r="W149" s="12"/>
      <c r="X149" s="12"/>
      <c r="Y149" s="13"/>
      <c r="Z149" s="12"/>
      <c r="AA149" s="12"/>
      <c r="AB149" s="12"/>
      <c r="AC149" s="12"/>
      <c r="AD149" s="12"/>
      <c r="AE149" s="12"/>
      <c r="AF149" s="12"/>
      <c r="AG149" s="12"/>
      <c r="AH149" s="12"/>
      <c r="AI149" s="12"/>
      <c r="AJ149" s="12"/>
      <c r="AK149" s="12"/>
      <c r="AL149" s="13"/>
      <c r="AM149" s="12"/>
    </row>
    <row r="150" spans="1:39" ht="15.75" customHeight="1" x14ac:dyDescent="0.3">
      <c r="A150" s="12"/>
      <c r="B150" s="12"/>
      <c r="C150" s="12"/>
      <c r="D150" s="12"/>
      <c r="E150" s="12"/>
      <c r="F150" s="12"/>
      <c r="G150" s="12"/>
      <c r="H150" s="12"/>
      <c r="I150" s="12"/>
      <c r="J150" s="14">
        <f>_xlfn.ISOWEEKNUM(Base_Accidentes_2023[[#This Row],[Fecha]])</f>
        <v>52</v>
      </c>
      <c r="K150" s="12"/>
      <c r="L150" s="12"/>
      <c r="M150" s="12"/>
      <c r="N150" s="12"/>
      <c r="O150" s="12"/>
      <c r="P150" s="12"/>
      <c r="Q150" s="12"/>
      <c r="R150" s="12"/>
      <c r="S150" s="12"/>
      <c r="T150" s="12"/>
      <c r="U150" s="12"/>
      <c r="V150" s="12"/>
      <c r="W150" s="12"/>
      <c r="X150" s="12"/>
      <c r="Y150" s="13"/>
      <c r="Z150" s="12"/>
      <c r="AA150" s="12"/>
      <c r="AB150" s="12"/>
      <c r="AC150" s="12"/>
      <c r="AD150" s="12"/>
      <c r="AE150" s="12"/>
      <c r="AF150" s="12"/>
      <c r="AG150" s="12"/>
      <c r="AH150" s="12"/>
      <c r="AI150" s="12"/>
      <c r="AJ150" s="12"/>
      <c r="AK150" s="12"/>
      <c r="AL150" s="13"/>
      <c r="AM150" s="12"/>
    </row>
    <row r="151" spans="1:39" ht="15.75" customHeight="1" x14ac:dyDescent="0.3">
      <c r="A151" s="12"/>
      <c r="B151" s="12"/>
      <c r="C151" s="12"/>
      <c r="D151" s="12"/>
      <c r="E151" s="12"/>
      <c r="F151" s="12"/>
      <c r="G151" s="12"/>
      <c r="H151" s="12"/>
      <c r="I151" s="12"/>
      <c r="J151" s="14">
        <f>_xlfn.ISOWEEKNUM(Base_Accidentes_2023[[#This Row],[Fecha]])</f>
        <v>52</v>
      </c>
      <c r="K151" s="12"/>
      <c r="L151" s="12"/>
      <c r="M151" s="12"/>
      <c r="N151" s="12"/>
      <c r="O151" s="12"/>
      <c r="P151" s="12"/>
      <c r="Q151" s="12"/>
      <c r="R151" s="12"/>
      <c r="S151" s="12"/>
      <c r="T151" s="12"/>
      <c r="U151" s="12"/>
      <c r="V151" s="12"/>
      <c r="W151" s="12"/>
      <c r="X151" s="12"/>
      <c r="Y151" s="13"/>
      <c r="Z151" s="12"/>
      <c r="AA151" s="12"/>
      <c r="AB151" s="12"/>
      <c r="AC151" s="12"/>
      <c r="AD151" s="12"/>
      <c r="AE151" s="12"/>
      <c r="AF151" s="12"/>
      <c r="AG151" s="12"/>
      <c r="AH151" s="12"/>
      <c r="AI151" s="12"/>
      <c r="AJ151" s="12"/>
      <c r="AK151" s="12"/>
      <c r="AL151" s="13"/>
      <c r="AM151" s="12"/>
    </row>
    <row r="152" spans="1:39" ht="15.75" customHeight="1" x14ac:dyDescent="0.3">
      <c r="A152" s="12"/>
      <c r="B152" s="12"/>
      <c r="C152" s="12"/>
      <c r="D152" s="12"/>
      <c r="E152" s="12"/>
      <c r="F152" s="12"/>
      <c r="G152" s="12"/>
      <c r="H152" s="12"/>
      <c r="I152" s="12"/>
      <c r="J152" s="14">
        <f>_xlfn.ISOWEEKNUM(Base_Accidentes_2023[[#This Row],[Fecha]])</f>
        <v>52</v>
      </c>
      <c r="K152" s="12"/>
      <c r="L152" s="12"/>
      <c r="M152" s="12"/>
      <c r="N152" s="12"/>
      <c r="O152" s="12"/>
      <c r="P152" s="12"/>
      <c r="Q152" s="12"/>
      <c r="R152" s="12"/>
      <c r="S152" s="12"/>
      <c r="T152" s="12"/>
      <c r="U152" s="12"/>
      <c r="V152" s="12"/>
      <c r="W152" s="12"/>
      <c r="X152" s="12"/>
      <c r="Y152" s="13"/>
      <c r="Z152" s="12"/>
      <c r="AA152" s="12"/>
      <c r="AB152" s="12"/>
      <c r="AC152" s="12"/>
      <c r="AD152" s="12"/>
      <c r="AE152" s="12"/>
      <c r="AF152" s="12"/>
      <c r="AG152" s="12"/>
      <c r="AH152" s="12"/>
      <c r="AI152" s="12"/>
      <c r="AJ152" s="12"/>
      <c r="AK152" s="12"/>
      <c r="AL152" s="13"/>
      <c r="AM152" s="12"/>
    </row>
    <row r="153" spans="1:39" ht="15.75" customHeight="1" x14ac:dyDescent="0.3">
      <c r="A153" s="12"/>
      <c r="B153" s="12"/>
      <c r="C153" s="12"/>
      <c r="D153" s="12"/>
      <c r="E153" s="12"/>
      <c r="F153" s="12"/>
      <c r="G153" s="12"/>
      <c r="H153" s="12"/>
      <c r="I153" s="12"/>
      <c r="J153" s="14">
        <f>_xlfn.ISOWEEKNUM(Base_Accidentes_2023[[#This Row],[Fecha]])</f>
        <v>52</v>
      </c>
      <c r="K153" s="12"/>
      <c r="L153" s="12"/>
      <c r="M153" s="12"/>
      <c r="N153" s="12"/>
      <c r="O153" s="12"/>
      <c r="P153" s="12"/>
      <c r="Q153" s="12"/>
      <c r="R153" s="12"/>
      <c r="S153" s="12"/>
      <c r="T153" s="12"/>
      <c r="U153" s="12"/>
      <c r="V153" s="12"/>
      <c r="W153" s="12"/>
      <c r="X153" s="12"/>
      <c r="Y153" s="13"/>
      <c r="Z153" s="12"/>
      <c r="AA153" s="12"/>
      <c r="AB153" s="12"/>
      <c r="AC153" s="12"/>
      <c r="AD153" s="12"/>
      <c r="AE153" s="12"/>
      <c r="AF153" s="12"/>
      <c r="AG153" s="12"/>
      <c r="AH153" s="12"/>
      <c r="AI153" s="12"/>
      <c r="AJ153" s="12"/>
      <c r="AK153" s="12"/>
      <c r="AL153" s="13"/>
      <c r="AM153" s="12"/>
    </row>
    <row r="154" spans="1:39" ht="15.75" customHeight="1" x14ac:dyDescent="0.3">
      <c r="A154" s="12"/>
      <c r="B154" s="12"/>
      <c r="C154" s="12"/>
      <c r="D154" s="12"/>
      <c r="E154" s="12"/>
      <c r="F154" s="12"/>
      <c r="G154" s="12"/>
      <c r="H154" s="12"/>
      <c r="I154" s="12"/>
      <c r="J154" s="14">
        <f>_xlfn.ISOWEEKNUM(Base_Accidentes_2023[[#This Row],[Fecha]])</f>
        <v>52</v>
      </c>
      <c r="K154" s="12"/>
      <c r="L154" s="12"/>
      <c r="M154" s="12"/>
      <c r="N154" s="12"/>
      <c r="O154" s="12"/>
      <c r="P154" s="12"/>
      <c r="Q154" s="12"/>
      <c r="R154" s="12"/>
      <c r="S154" s="12"/>
      <c r="T154" s="12"/>
      <c r="U154" s="12"/>
      <c r="V154" s="12"/>
      <c r="W154" s="12"/>
      <c r="X154" s="12"/>
      <c r="Y154" s="13"/>
      <c r="Z154" s="12"/>
      <c r="AA154" s="12"/>
      <c r="AB154" s="12"/>
      <c r="AC154" s="12"/>
      <c r="AD154" s="12"/>
      <c r="AE154" s="12"/>
      <c r="AF154" s="12"/>
      <c r="AG154" s="12"/>
      <c r="AH154" s="12"/>
      <c r="AI154" s="12"/>
      <c r="AJ154" s="12"/>
      <c r="AK154" s="12"/>
      <c r="AL154" s="13"/>
      <c r="AM154" s="12"/>
    </row>
    <row r="155" spans="1:39" ht="15.75" customHeight="1" x14ac:dyDescent="0.3">
      <c r="A155" s="12"/>
      <c r="B155" s="12"/>
      <c r="C155" s="12"/>
      <c r="D155" s="12"/>
      <c r="E155" s="12"/>
      <c r="F155" s="12"/>
      <c r="G155" s="12"/>
      <c r="H155" s="12"/>
      <c r="I155" s="12"/>
      <c r="J155" s="14">
        <f>_xlfn.ISOWEEKNUM(Base_Accidentes_2023[[#This Row],[Fecha]])</f>
        <v>52</v>
      </c>
      <c r="K155" s="12"/>
      <c r="L155" s="12"/>
      <c r="M155" s="12"/>
      <c r="N155" s="12"/>
      <c r="O155" s="12"/>
      <c r="P155" s="12"/>
      <c r="Q155" s="12"/>
      <c r="R155" s="12"/>
      <c r="S155" s="12"/>
      <c r="T155" s="12"/>
      <c r="U155" s="12"/>
      <c r="V155" s="12"/>
      <c r="W155" s="12"/>
      <c r="X155" s="12"/>
      <c r="Y155" s="13"/>
      <c r="Z155" s="12"/>
      <c r="AA155" s="12"/>
      <c r="AB155" s="12"/>
      <c r="AC155" s="12"/>
      <c r="AD155" s="12"/>
      <c r="AE155" s="12"/>
      <c r="AF155" s="12"/>
      <c r="AG155" s="12"/>
      <c r="AH155" s="12"/>
      <c r="AI155" s="12"/>
      <c r="AJ155" s="12"/>
      <c r="AK155" s="12"/>
      <c r="AL155" s="13"/>
      <c r="AM155" s="12"/>
    </row>
    <row r="156" spans="1:39" ht="15.75" customHeight="1" x14ac:dyDescent="0.3">
      <c r="A156" s="12"/>
      <c r="B156" s="12"/>
      <c r="C156" s="12"/>
      <c r="D156" s="12"/>
      <c r="E156" s="12"/>
      <c r="F156" s="12"/>
      <c r="G156" s="12"/>
      <c r="H156" s="12"/>
      <c r="I156" s="12"/>
      <c r="J156" s="14">
        <f>_xlfn.ISOWEEKNUM(Base_Accidentes_2023[[#This Row],[Fecha]])</f>
        <v>52</v>
      </c>
      <c r="K156" s="12"/>
      <c r="L156" s="12"/>
      <c r="M156" s="12"/>
      <c r="N156" s="12"/>
      <c r="O156" s="12"/>
      <c r="P156" s="12"/>
      <c r="Q156" s="12"/>
      <c r="R156" s="12"/>
      <c r="S156" s="12"/>
      <c r="T156" s="12"/>
      <c r="U156" s="12"/>
      <c r="V156" s="12"/>
      <c r="W156" s="12"/>
      <c r="X156" s="12"/>
      <c r="Y156" s="13"/>
      <c r="Z156" s="12"/>
      <c r="AA156" s="12"/>
      <c r="AB156" s="12"/>
      <c r="AC156" s="12"/>
      <c r="AD156" s="12"/>
      <c r="AE156" s="12"/>
      <c r="AF156" s="12"/>
      <c r="AG156" s="12"/>
      <c r="AH156" s="12"/>
      <c r="AI156" s="12"/>
      <c r="AJ156" s="12"/>
      <c r="AK156" s="12"/>
      <c r="AL156" s="13"/>
      <c r="AM156" s="12"/>
    </row>
    <row r="157" spans="1:39" ht="15.75" customHeight="1" x14ac:dyDescent="0.3">
      <c r="A157" s="12"/>
      <c r="B157" s="12"/>
      <c r="C157" s="12"/>
      <c r="D157" s="12"/>
      <c r="E157" s="12"/>
      <c r="F157" s="12"/>
      <c r="G157" s="12"/>
      <c r="H157" s="12"/>
      <c r="I157" s="12"/>
      <c r="J157" s="14">
        <f>_xlfn.ISOWEEKNUM(Base_Accidentes_2023[[#This Row],[Fecha]])</f>
        <v>52</v>
      </c>
      <c r="K157" s="12"/>
      <c r="L157" s="12"/>
      <c r="M157" s="12"/>
      <c r="N157" s="12"/>
      <c r="O157" s="12"/>
      <c r="P157" s="12"/>
      <c r="Q157" s="12"/>
      <c r="R157" s="12"/>
      <c r="S157" s="12"/>
      <c r="T157" s="12"/>
      <c r="U157" s="12"/>
      <c r="V157" s="12"/>
      <c r="W157" s="12"/>
      <c r="X157" s="12"/>
      <c r="Y157" s="13"/>
      <c r="Z157" s="12"/>
      <c r="AA157" s="12"/>
      <c r="AB157" s="12"/>
      <c r="AC157" s="12"/>
      <c r="AD157" s="12"/>
      <c r="AE157" s="12"/>
      <c r="AF157" s="12"/>
      <c r="AG157" s="12"/>
      <c r="AH157" s="12"/>
      <c r="AI157" s="12"/>
      <c r="AJ157" s="12"/>
      <c r="AK157" s="12"/>
      <c r="AL157" s="13"/>
      <c r="AM157" s="12"/>
    </row>
    <row r="158" spans="1:39" ht="15.75" customHeight="1" x14ac:dyDescent="0.3">
      <c r="A158" s="12"/>
      <c r="B158" s="12"/>
      <c r="C158" s="12"/>
      <c r="D158" s="12"/>
      <c r="E158" s="12"/>
      <c r="F158" s="12"/>
      <c r="G158" s="12"/>
      <c r="H158" s="12"/>
      <c r="I158" s="12"/>
      <c r="J158" s="14">
        <f>_xlfn.ISOWEEKNUM(Base_Accidentes_2023[[#This Row],[Fecha]])</f>
        <v>52</v>
      </c>
      <c r="K158" s="12"/>
      <c r="L158" s="12"/>
      <c r="M158" s="12"/>
      <c r="N158" s="12"/>
      <c r="O158" s="12"/>
      <c r="P158" s="12"/>
      <c r="Q158" s="12"/>
      <c r="R158" s="12"/>
      <c r="S158" s="12"/>
      <c r="T158" s="12"/>
      <c r="U158" s="12"/>
      <c r="V158" s="12"/>
      <c r="W158" s="12"/>
      <c r="X158" s="12"/>
      <c r="Y158" s="13"/>
      <c r="Z158" s="12"/>
      <c r="AA158" s="12"/>
      <c r="AB158" s="12"/>
      <c r="AC158" s="12"/>
      <c r="AD158" s="12"/>
      <c r="AE158" s="12"/>
      <c r="AF158" s="12"/>
      <c r="AG158" s="12"/>
      <c r="AH158" s="12"/>
      <c r="AI158" s="12"/>
      <c r="AJ158" s="12"/>
      <c r="AK158" s="12"/>
      <c r="AL158" s="13"/>
      <c r="AM158" s="12"/>
    </row>
    <row r="159" spans="1:39" ht="15.75" customHeight="1" x14ac:dyDescent="0.3">
      <c r="A159" s="12"/>
      <c r="B159" s="12"/>
      <c r="C159" s="12"/>
      <c r="D159" s="12"/>
      <c r="E159" s="12"/>
      <c r="F159" s="12"/>
      <c r="G159" s="12"/>
      <c r="H159" s="12"/>
      <c r="I159" s="12"/>
      <c r="J159" s="14">
        <f>_xlfn.ISOWEEKNUM(Base_Accidentes_2023[[#This Row],[Fecha]])</f>
        <v>52</v>
      </c>
      <c r="K159" s="12"/>
      <c r="L159" s="12"/>
      <c r="M159" s="12"/>
      <c r="N159" s="12"/>
      <c r="O159" s="12"/>
      <c r="P159" s="12"/>
      <c r="Q159" s="12"/>
      <c r="R159" s="12"/>
      <c r="S159" s="12"/>
      <c r="T159" s="12"/>
      <c r="U159" s="12"/>
      <c r="V159" s="12"/>
      <c r="W159" s="12"/>
      <c r="X159" s="12"/>
      <c r="Y159" s="13"/>
      <c r="Z159" s="12"/>
      <c r="AA159" s="12"/>
      <c r="AB159" s="12"/>
      <c r="AC159" s="12"/>
      <c r="AD159" s="12"/>
      <c r="AE159" s="12"/>
      <c r="AF159" s="12"/>
      <c r="AG159" s="12"/>
      <c r="AH159" s="12"/>
      <c r="AI159" s="12"/>
      <c r="AJ159" s="12"/>
      <c r="AK159" s="12"/>
      <c r="AL159" s="13"/>
      <c r="AM159" s="12"/>
    </row>
    <row r="160" spans="1:39" ht="15.75" customHeight="1" x14ac:dyDescent="0.3">
      <c r="A160" s="12"/>
      <c r="B160" s="12"/>
      <c r="C160" s="12"/>
      <c r="D160" s="12"/>
      <c r="E160" s="12"/>
      <c r="F160" s="12"/>
      <c r="G160" s="12"/>
      <c r="H160" s="12"/>
      <c r="I160" s="12"/>
      <c r="J160" s="14">
        <f>_xlfn.ISOWEEKNUM(Base_Accidentes_2023[[#This Row],[Fecha]])</f>
        <v>52</v>
      </c>
      <c r="K160" s="12"/>
      <c r="L160" s="12"/>
      <c r="M160" s="12"/>
      <c r="N160" s="12"/>
      <c r="O160" s="12"/>
      <c r="P160" s="12"/>
      <c r="Q160" s="12"/>
      <c r="R160" s="12"/>
      <c r="S160" s="12"/>
      <c r="T160" s="12"/>
      <c r="U160" s="12"/>
      <c r="V160" s="12"/>
      <c r="W160" s="12"/>
      <c r="X160" s="12"/>
      <c r="Y160" s="13"/>
      <c r="Z160" s="12"/>
      <c r="AA160" s="12"/>
      <c r="AB160" s="12"/>
      <c r="AC160" s="12"/>
      <c r="AD160" s="12"/>
      <c r="AE160" s="12"/>
      <c r="AF160" s="12"/>
      <c r="AG160" s="12"/>
      <c r="AH160" s="12"/>
      <c r="AI160" s="12"/>
      <c r="AJ160" s="12"/>
      <c r="AK160" s="12"/>
      <c r="AL160" s="13"/>
      <c r="AM160" s="12"/>
    </row>
    <row r="161" spans="1:39" ht="15.75" customHeight="1" x14ac:dyDescent="0.3">
      <c r="A161" s="12"/>
      <c r="B161" s="12"/>
      <c r="C161" s="12"/>
      <c r="D161" s="12"/>
      <c r="E161" s="12"/>
      <c r="F161" s="12"/>
      <c r="G161" s="12"/>
      <c r="H161" s="12"/>
      <c r="I161" s="12"/>
      <c r="J161" s="14">
        <f>_xlfn.ISOWEEKNUM(Base_Accidentes_2023[[#This Row],[Fecha]])</f>
        <v>52</v>
      </c>
      <c r="K161" s="12"/>
      <c r="L161" s="12"/>
      <c r="M161" s="12"/>
      <c r="N161" s="12"/>
      <c r="O161" s="12"/>
      <c r="P161" s="12"/>
      <c r="Q161" s="12"/>
      <c r="R161" s="12"/>
      <c r="S161" s="12"/>
      <c r="T161" s="12"/>
      <c r="U161" s="12"/>
      <c r="V161" s="12"/>
      <c r="W161" s="12"/>
      <c r="X161" s="12"/>
      <c r="Y161" s="13"/>
      <c r="Z161" s="12"/>
      <c r="AA161" s="12"/>
      <c r="AB161" s="12"/>
      <c r="AC161" s="12"/>
      <c r="AD161" s="12"/>
      <c r="AE161" s="12"/>
      <c r="AF161" s="12"/>
      <c r="AG161" s="12"/>
      <c r="AH161" s="12"/>
      <c r="AI161" s="12"/>
      <c r="AJ161" s="12"/>
      <c r="AK161" s="12"/>
      <c r="AL161" s="13"/>
      <c r="AM161" s="12"/>
    </row>
    <row r="162" spans="1:39" ht="15.75" customHeight="1" x14ac:dyDescent="0.3">
      <c r="A162" s="12"/>
      <c r="B162" s="12"/>
      <c r="C162" s="12"/>
      <c r="D162" s="12"/>
      <c r="E162" s="12"/>
      <c r="F162" s="12"/>
      <c r="G162" s="12"/>
      <c r="H162" s="12"/>
      <c r="I162" s="12"/>
      <c r="J162" s="14">
        <f>_xlfn.ISOWEEKNUM(Base_Accidentes_2023[[#This Row],[Fecha]])</f>
        <v>52</v>
      </c>
      <c r="K162" s="12"/>
      <c r="L162" s="12"/>
      <c r="M162" s="12"/>
      <c r="N162" s="12"/>
      <c r="O162" s="12"/>
      <c r="P162" s="12"/>
      <c r="Q162" s="12"/>
      <c r="R162" s="12"/>
      <c r="S162" s="12"/>
      <c r="T162" s="12"/>
      <c r="U162" s="12"/>
      <c r="V162" s="12"/>
      <c r="W162" s="12"/>
      <c r="X162" s="12"/>
      <c r="Y162" s="13"/>
      <c r="Z162" s="12"/>
      <c r="AA162" s="12"/>
      <c r="AB162" s="12"/>
      <c r="AC162" s="12"/>
      <c r="AD162" s="12"/>
      <c r="AE162" s="12"/>
      <c r="AF162" s="12"/>
      <c r="AG162" s="12"/>
      <c r="AH162" s="12"/>
      <c r="AI162" s="12"/>
      <c r="AJ162" s="12"/>
      <c r="AK162" s="12"/>
      <c r="AL162" s="13"/>
      <c r="AM162" s="12"/>
    </row>
    <row r="163" spans="1:39" ht="15.75" customHeight="1" x14ac:dyDescent="0.3">
      <c r="A163" s="12"/>
      <c r="B163" s="12"/>
      <c r="C163" s="12"/>
      <c r="D163" s="12"/>
      <c r="E163" s="12"/>
      <c r="F163" s="12"/>
      <c r="G163" s="12"/>
      <c r="H163" s="12"/>
      <c r="I163" s="12"/>
      <c r="J163" s="14">
        <f>_xlfn.ISOWEEKNUM(Base_Accidentes_2023[[#This Row],[Fecha]])</f>
        <v>52</v>
      </c>
      <c r="K163" s="12"/>
      <c r="L163" s="12"/>
      <c r="M163" s="12"/>
      <c r="N163" s="12"/>
      <c r="O163" s="12"/>
      <c r="P163" s="12"/>
      <c r="Q163" s="12"/>
      <c r="R163" s="12"/>
      <c r="S163" s="12"/>
      <c r="T163" s="12"/>
      <c r="U163" s="12"/>
      <c r="V163" s="12"/>
      <c r="W163" s="12"/>
      <c r="X163" s="12"/>
      <c r="Y163" s="13"/>
      <c r="Z163" s="12"/>
      <c r="AA163" s="12"/>
      <c r="AB163" s="12"/>
      <c r="AC163" s="12"/>
      <c r="AD163" s="12"/>
      <c r="AE163" s="12"/>
      <c r="AF163" s="12"/>
      <c r="AG163" s="12"/>
      <c r="AH163" s="12"/>
      <c r="AI163" s="12"/>
      <c r="AJ163" s="12"/>
      <c r="AK163" s="12"/>
      <c r="AL163" s="13"/>
      <c r="AM163" s="12"/>
    </row>
    <row r="164" spans="1:39" ht="15.75" customHeight="1" x14ac:dyDescent="0.3">
      <c r="A164" s="12"/>
      <c r="B164" s="12"/>
      <c r="C164" s="12"/>
      <c r="D164" s="12"/>
      <c r="E164" s="12"/>
      <c r="F164" s="12"/>
      <c r="G164" s="12"/>
      <c r="H164" s="12"/>
      <c r="I164" s="12"/>
      <c r="J164" s="14">
        <f>_xlfn.ISOWEEKNUM(Base_Accidentes_2023[[#This Row],[Fecha]])</f>
        <v>52</v>
      </c>
      <c r="K164" s="12"/>
      <c r="L164" s="12"/>
      <c r="M164" s="12"/>
      <c r="N164" s="12"/>
      <c r="O164" s="12"/>
      <c r="P164" s="12"/>
      <c r="Q164" s="12"/>
      <c r="R164" s="12"/>
      <c r="S164" s="12"/>
      <c r="T164" s="12"/>
      <c r="U164" s="12"/>
      <c r="V164" s="12"/>
      <c r="W164" s="12"/>
      <c r="X164" s="12"/>
      <c r="Y164" s="13"/>
      <c r="Z164" s="12"/>
      <c r="AA164" s="12"/>
      <c r="AB164" s="12"/>
      <c r="AC164" s="12"/>
      <c r="AD164" s="12"/>
      <c r="AE164" s="12"/>
      <c r="AF164" s="12"/>
      <c r="AG164" s="12"/>
      <c r="AH164" s="12"/>
      <c r="AI164" s="12"/>
      <c r="AJ164" s="12"/>
      <c r="AK164" s="12"/>
      <c r="AL164" s="13"/>
      <c r="AM164" s="12"/>
    </row>
    <row r="165" spans="1:39" ht="15.75" customHeight="1" x14ac:dyDescent="0.3">
      <c r="A165" s="12"/>
      <c r="B165" s="12"/>
      <c r="C165" s="12"/>
      <c r="D165" s="12"/>
      <c r="E165" s="12"/>
      <c r="F165" s="12"/>
      <c r="G165" s="12"/>
      <c r="H165" s="12"/>
      <c r="I165" s="12"/>
      <c r="J165" s="14">
        <f>_xlfn.ISOWEEKNUM(Base_Accidentes_2023[[#This Row],[Fecha]])</f>
        <v>52</v>
      </c>
      <c r="K165" s="12"/>
      <c r="L165" s="12"/>
      <c r="M165" s="12"/>
      <c r="N165" s="12"/>
      <c r="O165" s="12"/>
      <c r="P165" s="12"/>
      <c r="Q165" s="12"/>
      <c r="R165" s="12"/>
      <c r="S165" s="12"/>
      <c r="T165" s="12"/>
      <c r="U165" s="12"/>
      <c r="V165" s="12"/>
      <c r="W165" s="12"/>
      <c r="X165" s="12"/>
      <c r="Y165" s="13"/>
      <c r="Z165" s="12"/>
      <c r="AA165" s="12"/>
      <c r="AB165" s="12"/>
      <c r="AC165" s="12"/>
      <c r="AD165" s="12"/>
      <c r="AE165" s="12"/>
      <c r="AF165" s="12"/>
      <c r="AG165" s="12"/>
      <c r="AH165" s="12"/>
      <c r="AI165" s="12"/>
      <c r="AJ165" s="12"/>
      <c r="AK165" s="12"/>
      <c r="AL165" s="13"/>
      <c r="AM165" s="12"/>
    </row>
    <row r="166" spans="1:39" ht="15.75" customHeight="1" x14ac:dyDescent="0.3">
      <c r="A166" s="12"/>
      <c r="B166" s="12"/>
      <c r="C166" s="12"/>
      <c r="D166" s="12"/>
      <c r="E166" s="12"/>
      <c r="F166" s="12"/>
      <c r="G166" s="12"/>
      <c r="H166" s="12"/>
      <c r="I166" s="12"/>
      <c r="J166" s="14">
        <f>_xlfn.ISOWEEKNUM(Base_Accidentes_2023[[#This Row],[Fecha]])</f>
        <v>52</v>
      </c>
      <c r="K166" s="12"/>
      <c r="L166" s="12"/>
      <c r="M166" s="12"/>
      <c r="N166" s="12"/>
      <c r="O166" s="12"/>
      <c r="P166" s="12"/>
      <c r="Q166" s="12"/>
      <c r="R166" s="12"/>
      <c r="S166" s="12"/>
      <c r="T166" s="12"/>
      <c r="U166" s="12"/>
      <c r="V166" s="12"/>
      <c r="W166" s="12"/>
      <c r="X166" s="12"/>
      <c r="Y166" s="13"/>
      <c r="Z166" s="12"/>
      <c r="AA166" s="12"/>
      <c r="AB166" s="12"/>
      <c r="AC166" s="12"/>
      <c r="AD166" s="12"/>
      <c r="AE166" s="12"/>
      <c r="AF166" s="12"/>
      <c r="AG166" s="12"/>
      <c r="AH166" s="12"/>
      <c r="AI166" s="12"/>
      <c r="AJ166" s="12"/>
      <c r="AK166" s="12"/>
      <c r="AL166" s="13"/>
      <c r="AM166" s="12"/>
    </row>
    <row r="167" spans="1:39" ht="15.75" customHeight="1" x14ac:dyDescent="0.3">
      <c r="A167" s="12"/>
      <c r="B167" s="12"/>
      <c r="C167" s="12"/>
      <c r="D167" s="12"/>
      <c r="E167" s="12"/>
      <c r="F167" s="12"/>
      <c r="G167" s="12"/>
      <c r="H167" s="12"/>
      <c r="I167" s="12"/>
      <c r="J167" s="14">
        <f>_xlfn.ISOWEEKNUM(Base_Accidentes_2023[[#This Row],[Fecha]])</f>
        <v>52</v>
      </c>
      <c r="K167" s="12"/>
      <c r="L167" s="12"/>
      <c r="M167" s="12"/>
      <c r="N167" s="12"/>
      <c r="O167" s="12"/>
      <c r="P167" s="12"/>
      <c r="Q167" s="12"/>
      <c r="R167" s="12"/>
      <c r="S167" s="12"/>
      <c r="T167" s="12"/>
      <c r="U167" s="12"/>
      <c r="V167" s="12"/>
      <c r="W167" s="12"/>
      <c r="X167" s="12"/>
      <c r="Y167" s="13"/>
      <c r="Z167" s="12"/>
      <c r="AA167" s="12"/>
      <c r="AB167" s="12"/>
      <c r="AC167" s="12"/>
      <c r="AD167" s="12"/>
      <c r="AE167" s="12"/>
      <c r="AF167" s="12"/>
      <c r="AG167" s="12"/>
      <c r="AH167" s="12"/>
      <c r="AI167" s="12"/>
      <c r="AJ167" s="12"/>
      <c r="AK167" s="12"/>
      <c r="AL167" s="13"/>
      <c r="AM167" s="12"/>
    </row>
    <row r="168" spans="1:39" ht="15.75" customHeight="1" x14ac:dyDescent="0.3">
      <c r="A168" s="12"/>
      <c r="B168" s="12"/>
      <c r="C168" s="12"/>
      <c r="D168" s="12"/>
      <c r="E168" s="12"/>
      <c r="F168" s="12"/>
      <c r="G168" s="12"/>
      <c r="H168" s="12"/>
      <c r="I168" s="12"/>
      <c r="J168" s="14">
        <f>_xlfn.ISOWEEKNUM(Base_Accidentes_2023[[#This Row],[Fecha]])</f>
        <v>52</v>
      </c>
      <c r="K168" s="12"/>
      <c r="L168" s="12"/>
      <c r="M168" s="12"/>
      <c r="N168" s="12"/>
      <c r="O168" s="12"/>
      <c r="P168" s="12"/>
      <c r="Q168" s="12"/>
      <c r="R168" s="12"/>
      <c r="S168" s="12"/>
      <c r="T168" s="12"/>
      <c r="U168" s="12"/>
      <c r="V168" s="12"/>
      <c r="W168" s="12"/>
      <c r="X168" s="12"/>
      <c r="Y168" s="13"/>
      <c r="Z168" s="12"/>
      <c r="AA168" s="12"/>
      <c r="AB168" s="12"/>
      <c r="AC168" s="12"/>
      <c r="AD168" s="12"/>
      <c r="AE168" s="12"/>
      <c r="AF168" s="12"/>
      <c r="AG168" s="12"/>
      <c r="AH168" s="12"/>
      <c r="AI168" s="12"/>
      <c r="AJ168" s="12"/>
      <c r="AK168" s="12"/>
      <c r="AL168" s="13"/>
      <c r="AM168" s="12"/>
    </row>
    <row r="169" spans="1:39" ht="15.75" customHeight="1" x14ac:dyDescent="0.3">
      <c r="A169" s="12"/>
      <c r="B169" s="12"/>
      <c r="C169" s="12"/>
      <c r="D169" s="12"/>
      <c r="E169" s="12"/>
      <c r="F169" s="12"/>
      <c r="G169" s="12"/>
      <c r="H169" s="12"/>
      <c r="I169" s="12"/>
      <c r="J169" s="14">
        <f>_xlfn.ISOWEEKNUM(Base_Accidentes_2023[[#This Row],[Fecha]])</f>
        <v>52</v>
      </c>
      <c r="K169" s="12"/>
      <c r="L169" s="12"/>
      <c r="M169" s="12"/>
      <c r="N169" s="12"/>
      <c r="O169" s="12"/>
      <c r="P169" s="12"/>
      <c r="Q169" s="12"/>
      <c r="R169" s="12"/>
      <c r="S169" s="12"/>
      <c r="T169" s="12"/>
      <c r="U169" s="12"/>
      <c r="V169" s="12"/>
      <c r="W169" s="12"/>
      <c r="X169" s="12"/>
      <c r="Y169" s="13"/>
      <c r="Z169" s="12"/>
      <c r="AA169" s="12"/>
      <c r="AB169" s="12"/>
      <c r="AC169" s="12"/>
      <c r="AD169" s="12"/>
      <c r="AE169" s="12"/>
      <c r="AF169" s="12"/>
      <c r="AG169" s="12"/>
      <c r="AH169" s="12"/>
      <c r="AI169" s="12"/>
      <c r="AJ169" s="12"/>
      <c r="AK169" s="12"/>
      <c r="AL169" s="13"/>
      <c r="AM169" s="12"/>
    </row>
    <row r="170" spans="1:39" ht="15.75" customHeight="1" x14ac:dyDescent="0.3">
      <c r="A170" s="12"/>
      <c r="B170" s="12"/>
      <c r="C170" s="12"/>
      <c r="D170" s="12"/>
      <c r="E170" s="12"/>
      <c r="F170" s="12"/>
      <c r="G170" s="12"/>
      <c r="H170" s="12"/>
      <c r="I170" s="12"/>
      <c r="J170" s="14">
        <f>_xlfn.ISOWEEKNUM(Base_Accidentes_2023[[#This Row],[Fecha]])</f>
        <v>52</v>
      </c>
      <c r="K170" s="12"/>
      <c r="L170" s="12"/>
      <c r="M170" s="12"/>
      <c r="N170" s="12"/>
      <c r="O170" s="12"/>
      <c r="P170" s="12"/>
      <c r="Q170" s="12"/>
      <c r="R170" s="12"/>
      <c r="S170" s="12"/>
      <c r="T170" s="12"/>
      <c r="U170" s="12"/>
      <c r="V170" s="12"/>
      <c r="W170" s="12"/>
      <c r="X170" s="12"/>
      <c r="Y170" s="13"/>
      <c r="Z170" s="12"/>
      <c r="AA170" s="12"/>
      <c r="AB170" s="12"/>
      <c r="AC170" s="12"/>
      <c r="AD170" s="12"/>
      <c r="AE170" s="12"/>
      <c r="AF170" s="12"/>
      <c r="AG170" s="12"/>
      <c r="AH170" s="12"/>
      <c r="AI170" s="12"/>
      <c r="AJ170" s="12"/>
      <c r="AK170" s="12"/>
      <c r="AL170" s="13"/>
      <c r="AM170" s="12"/>
    </row>
    <row r="171" spans="1:39" ht="15.75" customHeight="1" x14ac:dyDescent="0.3">
      <c r="A171" s="12"/>
      <c r="B171" s="12"/>
      <c r="C171" s="12"/>
      <c r="D171" s="12"/>
      <c r="E171" s="12"/>
      <c r="F171" s="12"/>
      <c r="G171" s="12"/>
      <c r="H171" s="12"/>
      <c r="I171" s="12"/>
      <c r="J171" s="14">
        <f>_xlfn.ISOWEEKNUM(Base_Accidentes_2023[[#This Row],[Fecha]])</f>
        <v>52</v>
      </c>
      <c r="K171" s="12"/>
      <c r="L171" s="12"/>
      <c r="M171" s="12"/>
      <c r="N171" s="12"/>
      <c r="O171" s="12"/>
      <c r="P171" s="12"/>
      <c r="Q171" s="12"/>
      <c r="R171" s="12"/>
      <c r="S171" s="12"/>
      <c r="T171" s="12"/>
      <c r="U171" s="12"/>
      <c r="V171" s="12"/>
      <c r="W171" s="12"/>
      <c r="X171" s="12"/>
      <c r="Y171" s="13"/>
      <c r="Z171" s="12"/>
      <c r="AA171" s="12"/>
      <c r="AB171" s="12"/>
      <c r="AC171" s="12"/>
      <c r="AD171" s="12"/>
      <c r="AE171" s="12"/>
      <c r="AF171" s="12"/>
      <c r="AG171" s="12"/>
      <c r="AH171" s="12"/>
      <c r="AI171" s="12"/>
      <c r="AJ171" s="12"/>
      <c r="AK171" s="12"/>
      <c r="AL171" s="13"/>
      <c r="AM171" s="12"/>
    </row>
    <row r="172" spans="1:39" ht="15.75" customHeight="1" x14ac:dyDescent="0.3">
      <c r="A172" s="12"/>
      <c r="B172" s="12"/>
      <c r="C172" s="12"/>
      <c r="D172" s="12"/>
      <c r="E172" s="12"/>
      <c r="F172" s="12"/>
      <c r="G172" s="12"/>
      <c r="H172" s="12"/>
      <c r="I172" s="12"/>
      <c r="J172" s="14">
        <f>_xlfn.ISOWEEKNUM(Base_Accidentes_2023[[#This Row],[Fecha]])</f>
        <v>52</v>
      </c>
      <c r="K172" s="12"/>
      <c r="L172" s="12"/>
      <c r="M172" s="12"/>
      <c r="N172" s="12"/>
      <c r="O172" s="12"/>
      <c r="P172" s="12"/>
      <c r="Q172" s="12"/>
      <c r="R172" s="12"/>
      <c r="S172" s="12"/>
      <c r="T172" s="12"/>
      <c r="U172" s="12"/>
      <c r="V172" s="12"/>
      <c r="W172" s="12"/>
      <c r="X172" s="12"/>
      <c r="Y172" s="13"/>
      <c r="Z172" s="12"/>
      <c r="AA172" s="12"/>
      <c r="AB172" s="12"/>
      <c r="AC172" s="12"/>
      <c r="AD172" s="12"/>
      <c r="AE172" s="12"/>
      <c r="AF172" s="12"/>
      <c r="AG172" s="12"/>
      <c r="AH172" s="12"/>
      <c r="AI172" s="12"/>
      <c r="AJ172" s="12"/>
      <c r="AK172" s="12"/>
      <c r="AL172" s="13"/>
      <c r="AM172" s="12"/>
    </row>
    <row r="173" spans="1:39" ht="15.75" customHeight="1" x14ac:dyDescent="0.3">
      <c r="A173" s="12"/>
      <c r="B173" s="12"/>
      <c r="C173" s="12"/>
      <c r="D173" s="12"/>
      <c r="E173" s="12"/>
      <c r="F173" s="12"/>
      <c r="G173" s="12"/>
      <c r="H173" s="12"/>
      <c r="I173" s="12"/>
      <c r="J173" s="14">
        <f>_xlfn.ISOWEEKNUM(Base_Accidentes_2023[[#This Row],[Fecha]])</f>
        <v>52</v>
      </c>
      <c r="K173" s="12"/>
      <c r="L173" s="12"/>
      <c r="M173" s="12"/>
      <c r="N173" s="12"/>
      <c r="O173" s="12"/>
      <c r="P173" s="12"/>
      <c r="Q173" s="12"/>
      <c r="R173" s="12"/>
      <c r="S173" s="12"/>
      <c r="T173" s="12"/>
      <c r="U173" s="12"/>
      <c r="V173" s="12"/>
      <c r="W173" s="12"/>
      <c r="X173" s="12"/>
      <c r="Y173" s="13"/>
      <c r="Z173" s="12"/>
      <c r="AA173" s="12"/>
      <c r="AB173" s="12"/>
      <c r="AC173" s="12"/>
      <c r="AD173" s="12"/>
      <c r="AE173" s="12"/>
      <c r="AF173" s="12"/>
      <c r="AG173" s="12"/>
      <c r="AH173" s="12"/>
      <c r="AI173" s="12"/>
      <c r="AJ173" s="12"/>
      <c r="AK173" s="12"/>
      <c r="AL173" s="13"/>
      <c r="AM173" s="12"/>
    </row>
    <row r="174" spans="1:39" ht="15.75" customHeight="1" x14ac:dyDescent="0.3">
      <c r="A174" s="12"/>
      <c r="B174" s="12"/>
      <c r="C174" s="12"/>
      <c r="D174" s="12"/>
      <c r="E174" s="12"/>
      <c r="F174" s="12"/>
      <c r="G174" s="12"/>
      <c r="H174" s="12"/>
      <c r="I174" s="12"/>
      <c r="J174" s="14">
        <f>_xlfn.ISOWEEKNUM(Base_Accidentes_2023[[#This Row],[Fecha]])</f>
        <v>52</v>
      </c>
      <c r="K174" s="12"/>
      <c r="L174" s="12"/>
      <c r="M174" s="12"/>
      <c r="N174" s="12"/>
      <c r="O174" s="12"/>
      <c r="P174" s="12"/>
      <c r="Q174" s="12"/>
      <c r="R174" s="12"/>
      <c r="S174" s="12"/>
      <c r="T174" s="12"/>
      <c r="U174" s="12"/>
      <c r="V174" s="12"/>
      <c r="W174" s="12"/>
      <c r="X174" s="12"/>
      <c r="Y174" s="13"/>
      <c r="Z174" s="12"/>
      <c r="AA174" s="12"/>
      <c r="AB174" s="12"/>
      <c r="AC174" s="12"/>
      <c r="AD174" s="12"/>
      <c r="AE174" s="12"/>
      <c r="AF174" s="12"/>
      <c r="AG174" s="12"/>
      <c r="AH174" s="12"/>
      <c r="AI174" s="12"/>
      <c r="AJ174" s="12"/>
      <c r="AK174" s="12"/>
      <c r="AL174" s="13"/>
      <c r="AM174" s="12"/>
    </row>
    <row r="175" spans="1:39" ht="15.75" customHeight="1" x14ac:dyDescent="0.3">
      <c r="A175" s="12"/>
      <c r="B175" s="12"/>
      <c r="C175" s="12"/>
      <c r="D175" s="12"/>
      <c r="E175" s="12"/>
      <c r="F175" s="12"/>
      <c r="G175" s="12"/>
      <c r="H175" s="12"/>
      <c r="I175" s="12"/>
      <c r="J175" s="14">
        <f>_xlfn.ISOWEEKNUM(Base_Accidentes_2023[[#This Row],[Fecha]])</f>
        <v>52</v>
      </c>
      <c r="K175" s="12"/>
      <c r="L175" s="12"/>
      <c r="M175" s="12"/>
      <c r="N175" s="12"/>
      <c r="O175" s="12"/>
      <c r="P175" s="12"/>
      <c r="Q175" s="12"/>
      <c r="R175" s="12"/>
      <c r="S175" s="12"/>
      <c r="T175" s="12"/>
      <c r="U175" s="12"/>
      <c r="V175" s="12"/>
      <c r="W175" s="12"/>
      <c r="X175" s="12"/>
      <c r="Y175" s="13"/>
      <c r="Z175" s="12"/>
      <c r="AA175" s="12"/>
      <c r="AB175" s="12"/>
      <c r="AC175" s="12"/>
      <c r="AD175" s="12"/>
      <c r="AE175" s="12"/>
      <c r="AF175" s="12"/>
      <c r="AG175" s="12"/>
      <c r="AH175" s="12"/>
      <c r="AI175" s="12"/>
      <c r="AJ175" s="12"/>
      <c r="AK175" s="12"/>
      <c r="AL175" s="13"/>
      <c r="AM175" s="12"/>
    </row>
    <row r="176" spans="1:39" ht="15.75" customHeight="1" x14ac:dyDescent="0.3">
      <c r="A176" s="12"/>
      <c r="B176" s="12"/>
      <c r="C176" s="12"/>
      <c r="D176" s="12"/>
      <c r="E176" s="12"/>
      <c r="F176" s="12"/>
      <c r="G176" s="12"/>
      <c r="H176" s="12"/>
      <c r="I176" s="12"/>
      <c r="J176" s="14">
        <f>_xlfn.ISOWEEKNUM(Base_Accidentes_2023[[#This Row],[Fecha]])</f>
        <v>52</v>
      </c>
      <c r="K176" s="12"/>
      <c r="L176" s="12"/>
      <c r="M176" s="12"/>
      <c r="N176" s="12"/>
      <c r="O176" s="12"/>
      <c r="P176" s="12"/>
      <c r="Q176" s="12"/>
      <c r="R176" s="12"/>
      <c r="S176" s="12"/>
      <c r="T176" s="12"/>
      <c r="U176" s="12"/>
      <c r="V176" s="12"/>
      <c r="W176" s="12"/>
      <c r="X176" s="12"/>
      <c r="Y176" s="13"/>
      <c r="Z176" s="12"/>
      <c r="AA176" s="12"/>
      <c r="AB176" s="12"/>
      <c r="AC176" s="12"/>
      <c r="AD176" s="12"/>
      <c r="AE176" s="12"/>
      <c r="AF176" s="12"/>
      <c r="AG176" s="12"/>
      <c r="AH176" s="12"/>
      <c r="AI176" s="12"/>
      <c r="AJ176" s="12"/>
      <c r="AK176" s="12"/>
      <c r="AL176" s="13"/>
      <c r="AM176" s="12"/>
    </row>
    <row r="177" spans="1:39" ht="15.75" customHeight="1" x14ac:dyDescent="0.3">
      <c r="A177" s="12"/>
      <c r="B177" s="12"/>
      <c r="C177" s="12"/>
      <c r="D177" s="12"/>
      <c r="E177" s="12"/>
      <c r="F177" s="12"/>
      <c r="G177" s="12"/>
      <c r="H177" s="12"/>
      <c r="I177" s="12"/>
      <c r="J177" s="14">
        <f>_xlfn.ISOWEEKNUM(Base_Accidentes_2023[[#This Row],[Fecha]])</f>
        <v>52</v>
      </c>
      <c r="K177" s="12"/>
      <c r="L177" s="12"/>
      <c r="M177" s="12"/>
      <c r="N177" s="12"/>
      <c r="O177" s="12"/>
      <c r="P177" s="12"/>
      <c r="Q177" s="12"/>
      <c r="R177" s="12"/>
      <c r="S177" s="12"/>
      <c r="T177" s="12"/>
      <c r="U177" s="12"/>
      <c r="V177" s="12"/>
      <c r="W177" s="12"/>
      <c r="X177" s="12"/>
      <c r="Y177" s="13"/>
      <c r="Z177" s="12"/>
      <c r="AA177" s="12"/>
      <c r="AB177" s="12"/>
      <c r="AC177" s="12"/>
      <c r="AD177" s="12"/>
      <c r="AE177" s="12"/>
      <c r="AF177" s="12"/>
      <c r="AG177" s="12"/>
      <c r="AH177" s="12"/>
      <c r="AI177" s="12"/>
      <c r="AJ177" s="12"/>
      <c r="AK177" s="12"/>
      <c r="AL177" s="13"/>
      <c r="AM177" s="12"/>
    </row>
    <row r="178" spans="1:39" ht="15.75" customHeight="1" x14ac:dyDescent="0.3">
      <c r="A178" s="12"/>
      <c r="B178" s="12"/>
      <c r="C178" s="12"/>
      <c r="D178" s="12"/>
      <c r="E178" s="12"/>
      <c r="F178" s="12"/>
      <c r="G178" s="12"/>
      <c r="H178" s="12"/>
      <c r="I178" s="12"/>
      <c r="J178" s="14">
        <f>_xlfn.ISOWEEKNUM(Base_Accidentes_2023[[#This Row],[Fecha]])</f>
        <v>52</v>
      </c>
      <c r="K178" s="12"/>
      <c r="L178" s="12"/>
      <c r="M178" s="12"/>
      <c r="N178" s="12"/>
      <c r="O178" s="12"/>
      <c r="P178" s="12"/>
      <c r="Q178" s="12"/>
      <c r="R178" s="12"/>
      <c r="S178" s="12"/>
      <c r="T178" s="12"/>
      <c r="U178" s="12"/>
      <c r="V178" s="12"/>
      <c r="W178" s="12"/>
      <c r="X178" s="12"/>
      <c r="Y178" s="13"/>
      <c r="Z178" s="12"/>
      <c r="AA178" s="12"/>
      <c r="AB178" s="12"/>
      <c r="AC178" s="12"/>
      <c r="AD178" s="12"/>
      <c r="AE178" s="12"/>
      <c r="AF178" s="12"/>
      <c r="AG178" s="12"/>
      <c r="AH178" s="12"/>
      <c r="AI178" s="12"/>
      <c r="AJ178" s="12"/>
      <c r="AK178" s="12"/>
      <c r="AL178" s="13"/>
      <c r="AM178" s="12"/>
    </row>
    <row r="179" spans="1:39" ht="15.75" customHeight="1" x14ac:dyDescent="0.3">
      <c r="A179" s="12"/>
      <c r="B179" s="12"/>
      <c r="C179" s="12"/>
      <c r="D179" s="12"/>
      <c r="E179" s="12"/>
      <c r="F179" s="12"/>
      <c r="G179" s="12"/>
      <c r="H179" s="12"/>
      <c r="I179" s="12"/>
      <c r="J179" s="14">
        <f>_xlfn.ISOWEEKNUM(Base_Accidentes_2023[[#This Row],[Fecha]])</f>
        <v>52</v>
      </c>
      <c r="K179" s="12"/>
      <c r="L179" s="12"/>
      <c r="M179" s="12"/>
      <c r="N179" s="12"/>
      <c r="O179" s="12"/>
      <c r="P179" s="12"/>
      <c r="Q179" s="12"/>
      <c r="R179" s="12"/>
      <c r="S179" s="12"/>
      <c r="T179" s="12"/>
      <c r="U179" s="12"/>
      <c r="V179" s="12"/>
      <c r="W179" s="12"/>
      <c r="X179" s="12"/>
      <c r="Y179" s="13"/>
      <c r="Z179" s="12"/>
      <c r="AA179" s="12"/>
      <c r="AB179" s="12"/>
      <c r="AC179" s="12"/>
      <c r="AD179" s="12"/>
      <c r="AE179" s="12"/>
      <c r="AF179" s="12"/>
      <c r="AG179" s="12"/>
      <c r="AH179" s="12"/>
      <c r="AI179" s="12"/>
      <c r="AJ179" s="12"/>
      <c r="AK179" s="12"/>
      <c r="AL179" s="13"/>
      <c r="AM179" s="12"/>
    </row>
    <row r="180" spans="1:39" ht="15.75" customHeight="1" x14ac:dyDescent="0.3">
      <c r="A180" s="12"/>
      <c r="B180" s="12"/>
      <c r="C180" s="12"/>
      <c r="D180" s="12"/>
      <c r="E180" s="12"/>
      <c r="F180" s="12"/>
      <c r="G180" s="12"/>
      <c r="H180" s="12"/>
      <c r="I180" s="12"/>
      <c r="J180" s="14">
        <f>_xlfn.ISOWEEKNUM(Base_Accidentes_2023[[#This Row],[Fecha]])</f>
        <v>52</v>
      </c>
      <c r="K180" s="12"/>
      <c r="L180" s="12"/>
      <c r="M180" s="12"/>
      <c r="N180" s="12"/>
      <c r="O180" s="12"/>
      <c r="P180" s="12"/>
      <c r="Q180" s="12"/>
      <c r="R180" s="12"/>
      <c r="S180" s="12"/>
      <c r="T180" s="12"/>
      <c r="U180" s="12"/>
      <c r="V180" s="12"/>
      <c r="W180" s="12"/>
      <c r="X180" s="12"/>
      <c r="Y180" s="13"/>
      <c r="Z180" s="12"/>
      <c r="AA180" s="12"/>
      <c r="AB180" s="12"/>
      <c r="AC180" s="12"/>
      <c r="AD180" s="12"/>
      <c r="AE180" s="12"/>
      <c r="AF180" s="12"/>
      <c r="AG180" s="12"/>
      <c r="AH180" s="12"/>
      <c r="AI180" s="12"/>
      <c r="AJ180" s="12"/>
      <c r="AK180" s="12"/>
      <c r="AL180" s="13"/>
      <c r="AM180" s="12"/>
    </row>
    <row r="181" spans="1:39" ht="15.75" customHeight="1" x14ac:dyDescent="0.3">
      <c r="A181" s="12"/>
      <c r="B181" s="12"/>
      <c r="C181" s="12"/>
      <c r="D181" s="12"/>
      <c r="E181" s="12"/>
      <c r="F181" s="12"/>
      <c r="G181" s="12"/>
      <c r="H181" s="12"/>
      <c r="I181" s="12"/>
      <c r="J181" s="14">
        <f>_xlfn.ISOWEEKNUM(Base_Accidentes_2023[[#This Row],[Fecha]])</f>
        <v>52</v>
      </c>
      <c r="K181" s="12"/>
      <c r="L181" s="12"/>
      <c r="M181" s="12"/>
      <c r="N181" s="12"/>
      <c r="O181" s="12"/>
      <c r="P181" s="12"/>
      <c r="Q181" s="12"/>
      <c r="R181" s="12"/>
      <c r="S181" s="12"/>
      <c r="T181" s="12"/>
      <c r="U181" s="12"/>
      <c r="V181" s="12"/>
      <c r="W181" s="12"/>
      <c r="X181" s="12"/>
      <c r="Y181" s="13"/>
      <c r="Z181" s="12"/>
      <c r="AA181" s="12"/>
      <c r="AB181" s="12"/>
      <c r="AC181" s="12"/>
      <c r="AD181" s="12"/>
      <c r="AE181" s="12"/>
      <c r="AF181" s="12"/>
      <c r="AG181" s="12"/>
      <c r="AH181" s="12"/>
      <c r="AI181" s="12"/>
      <c r="AJ181" s="12"/>
      <c r="AK181" s="12"/>
      <c r="AL181" s="13"/>
      <c r="AM181" s="12"/>
    </row>
    <row r="182" spans="1:39" ht="15.75" customHeight="1" x14ac:dyDescent="0.3">
      <c r="A182" s="12"/>
      <c r="B182" s="12"/>
      <c r="C182" s="12"/>
      <c r="D182" s="12"/>
      <c r="E182" s="12"/>
      <c r="F182" s="12"/>
      <c r="G182" s="12"/>
      <c r="H182" s="12"/>
      <c r="I182" s="12"/>
      <c r="J182" s="14">
        <f>_xlfn.ISOWEEKNUM(Base_Accidentes_2023[[#This Row],[Fecha]])</f>
        <v>52</v>
      </c>
      <c r="K182" s="12"/>
      <c r="L182" s="12"/>
      <c r="M182" s="12"/>
      <c r="N182" s="12"/>
      <c r="O182" s="12"/>
      <c r="P182" s="12"/>
      <c r="Q182" s="12"/>
      <c r="R182" s="12"/>
      <c r="S182" s="12"/>
      <c r="T182" s="12"/>
      <c r="U182" s="12"/>
      <c r="V182" s="12"/>
      <c r="W182" s="12"/>
      <c r="X182" s="12"/>
      <c r="Y182" s="13"/>
      <c r="Z182" s="12"/>
      <c r="AA182" s="12"/>
      <c r="AB182" s="12"/>
      <c r="AC182" s="12"/>
      <c r="AD182" s="12"/>
      <c r="AE182" s="12"/>
      <c r="AF182" s="12"/>
      <c r="AG182" s="12"/>
      <c r="AH182" s="12"/>
      <c r="AI182" s="12"/>
      <c r="AJ182" s="12"/>
      <c r="AK182" s="12"/>
      <c r="AL182" s="13"/>
      <c r="AM182" s="12"/>
    </row>
    <row r="183" spans="1:39" ht="15.75" customHeight="1" x14ac:dyDescent="0.3">
      <c r="A183" s="12"/>
      <c r="B183" s="12"/>
      <c r="C183" s="12"/>
      <c r="D183" s="12"/>
      <c r="E183" s="12"/>
      <c r="F183" s="12"/>
      <c r="G183" s="12"/>
      <c r="H183" s="12"/>
      <c r="I183" s="12"/>
      <c r="J183" s="14">
        <f>_xlfn.ISOWEEKNUM(Base_Accidentes_2023[[#This Row],[Fecha]])</f>
        <v>52</v>
      </c>
      <c r="K183" s="12"/>
      <c r="L183" s="12"/>
      <c r="M183" s="12"/>
      <c r="N183" s="12"/>
      <c r="O183" s="12"/>
      <c r="P183" s="12"/>
      <c r="Q183" s="12"/>
      <c r="R183" s="12"/>
      <c r="S183" s="12"/>
      <c r="T183" s="12"/>
      <c r="U183" s="12"/>
      <c r="V183" s="12"/>
      <c r="W183" s="12"/>
      <c r="X183" s="12"/>
      <c r="Y183" s="13"/>
      <c r="Z183" s="12"/>
      <c r="AA183" s="12"/>
      <c r="AB183" s="12"/>
      <c r="AC183" s="12"/>
      <c r="AD183" s="12"/>
      <c r="AE183" s="12"/>
      <c r="AF183" s="12"/>
      <c r="AG183" s="12"/>
      <c r="AH183" s="12"/>
      <c r="AI183" s="12"/>
      <c r="AJ183" s="12"/>
      <c r="AK183" s="12"/>
      <c r="AL183" s="13"/>
      <c r="AM183" s="12"/>
    </row>
    <row r="184" spans="1:39" ht="15.75" customHeight="1" x14ac:dyDescent="0.3">
      <c r="A184" s="12"/>
      <c r="B184" s="12"/>
      <c r="C184" s="12"/>
      <c r="D184" s="12"/>
      <c r="E184" s="12"/>
      <c r="F184" s="12"/>
      <c r="G184" s="12"/>
      <c r="H184" s="12"/>
      <c r="I184" s="12"/>
      <c r="J184" s="14">
        <f>_xlfn.ISOWEEKNUM(Base_Accidentes_2023[[#This Row],[Fecha]])</f>
        <v>52</v>
      </c>
      <c r="K184" s="12"/>
      <c r="L184" s="12"/>
      <c r="M184" s="12"/>
      <c r="N184" s="12"/>
      <c r="O184" s="12"/>
      <c r="P184" s="12"/>
      <c r="Q184" s="12"/>
      <c r="R184" s="12"/>
      <c r="S184" s="12"/>
      <c r="T184" s="12"/>
      <c r="U184" s="12"/>
      <c r="V184" s="12"/>
      <c r="W184" s="12"/>
      <c r="X184" s="12"/>
      <c r="Y184" s="13"/>
      <c r="Z184" s="12"/>
      <c r="AA184" s="12"/>
      <c r="AB184" s="12"/>
      <c r="AC184" s="12"/>
      <c r="AD184" s="12"/>
      <c r="AE184" s="12"/>
      <c r="AF184" s="12"/>
      <c r="AG184" s="12"/>
      <c r="AH184" s="12"/>
      <c r="AI184" s="12"/>
      <c r="AJ184" s="12"/>
      <c r="AK184" s="12"/>
      <c r="AL184" s="13"/>
      <c r="AM184" s="12"/>
    </row>
    <row r="185" spans="1:39" ht="15.75" customHeight="1" x14ac:dyDescent="0.3">
      <c r="A185" s="12"/>
      <c r="B185" s="12"/>
      <c r="C185" s="12"/>
      <c r="D185" s="12"/>
      <c r="E185" s="12"/>
      <c r="F185" s="12"/>
      <c r="G185" s="12"/>
      <c r="H185" s="12"/>
      <c r="I185" s="12"/>
      <c r="J185" s="14">
        <f>_xlfn.ISOWEEKNUM(Base_Accidentes_2023[[#This Row],[Fecha]])</f>
        <v>52</v>
      </c>
      <c r="K185" s="12"/>
      <c r="L185" s="12"/>
      <c r="M185" s="12"/>
      <c r="N185" s="12"/>
      <c r="O185" s="12"/>
      <c r="P185" s="12"/>
      <c r="Q185" s="12"/>
      <c r="R185" s="12"/>
      <c r="S185" s="12"/>
      <c r="T185" s="12"/>
      <c r="U185" s="12"/>
      <c r="V185" s="12"/>
      <c r="W185" s="12"/>
      <c r="X185" s="12"/>
      <c r="Y185" s="13"/>
      <c r="Z185" s="12"/>
      <c r="AA185" s="12"/>
      <c r="AB185" s="12"/>
      <c r="AC185" s="12"/>
      <c r="AD185" s="12"/>
      <c r="AE185" s="12"/>
      <c r="AF185" s="12"/>
      <c r="AG185" s="12"/>
      <c r="AH185" s="12"/>
      <c r="AI185" s="12"/>
      <c r="AJ185" s="12"/>
      <c r="AK185" s="12"/>
      <c r="AL185" s="13"/>
      <c r="AM185" s="12"/>
    </row>
    <row r="186" spans="1:39" ht="15.75" customHeight="1" x14ac:dyDescent="0.3">
      <c r="A186" s="12"/>
      <c r="B186" s="12"/>
      <c r="C186" s="12"/>
      <c r="D186" s="12"/>
      <c r="E186" s="12"/>
      <c r="F186" s="12"/>
      <c r="G186" s="12"/>
      <c r="H186" s="12"/>
      <c r="I186" s="12"/>
      <c r="J186" s="14">
        <f>_xlfn.ISOWEEKNUM(Base_Accidentes_2023[[#This Row],[Fecha]])</f>
        <v>52</v>
      </c>
      <c r="K186" s="12"/>
      <c r="L186" s="12"/>
      <c r="M186" s="12"/>
      <c r="N186" s="12"/>
      <c r="O186" s="12"/>
      <c r="P186" s="12"/>
      <c r="Q186" s="12"/>
      <c r="R186" s="12"/>
      <c r="S186" s="12"/>
      <c r="T186" s="12"/>
      <c r="U186" s="12"/>
      <c r="V186" s="12"/>
      <c r="W186" s="12"/>
      <c r="X186" s="12"/>
      <c r="Y186" s="13"/>
      <c r="Z186" s="12"/>
      <c r="AA186" s="12"/>
      <c r="AB186" s="12"/>
      <c r="AC186" s="12"/>
      <c r="AD186" s="12"/>
      <c r="AE186" s="12"/>
      <c r="AF186" s="12"/>
      <c r="AG186" s="12"/>
      <c r="AH186" s="12"/>
      <c r="AI186" s="12"/>
      <c r="AJ186" s="12"/>
      <c r="AK186" s="12"/>
      <c r="AL186" s="13"/>
      <c r="AM186" s="12"/>
    </row>
    <row r="187" spans="1:39" ht="15.75" customHeight="1" x14ac:dyDescent="0.3">
      <c r="A187" s="12"/>
      <c r="B187" s="12"/>
      <c r="C187" s="12"/>
      <c r="D187" s="12"/>
      <c r="E187" s="12"/>
      <c r="F187" s="12"/>
      <c r="G187" s="12"/>
      <c r="H187" s="12"/>
      <c r="I187" s="12"/>
      <c r="J187" s="14">
        <f>_xlfn.ISOWEEKNUM(Base_Accidentes_2023[[#This Row],[Fecha]])</f>
        <v>52</v>
      </c>
      <c r="K187" s="12"/>
      <c r="L187" s="12"/>
      <c r="M187" s="12"/>
      <c r="N187" s="12"/>
      <c r="O187" s="12"/>
      <c r="P187" s="12"/>
      <c r="Q187" s="12"/>
      <c r="R187" s="12"/>
      <c r="S187" s="12"/>
      <c r="T187" s="12"/>
      <c r="U187" s="12"/>
      <c r="V187" s="12"/>
      <c r="W187" s="12"/>
      <c r="X187" s="12"/>
      <c r="Y187" s="13"/>
      <c r="Z187" s="12"/>
      <c r="AA187" s="12"/>
      <c r="AB187" s="12"/>
      <c r="AC187" s="12"/>
      <c r="AD187" s="12"/>
      <c r="AE187" s="12"/>
      <c r="AF187" s="12"/>
      <c r="AG187" s="12"/>
      <c r="AH187" s="12"/>
      <c r="AI187" s="12"/>
      <c r="AJ187" s="12"/>
      <c r="AK187" s="12"/>
      <c r="AL187" s="13"/>
      <c r="AM187" s="12"/>
    </row>
    <row r="188" spans="1:39" ht="15.75" customHeight="1" x14ac:dyDescent="0.3">
      <c r="A188" s="12"/>
      <c r="B188" s="12"/>
      <c r="C188" s="12"/>
      <c r="D188" s="12"/>
      <c r="E188" s="12"/>
      <c r="F188" s="12"/>
      <c r="G188" s="12"/>
      <c r="H188" s="12"/>
      <c r="I188" s="12"/>
      <c r="J188" s="14">
        <f>_xlfn.ISOWEEKNUM(Base_Accidentes_2023[[#This Row],[Fecha]])</f>
        <v>52</v>
      </c>
      <c r="K188" s="12"/>
      <c r="L188" s="12"/>
      <c r="M188" s="12"/>
      <c r="N188" s="12"/>
      <c r="O188" s="12"/>
      <c r="P188" s="12"/>
      <c r="Q188" s="12"/>
      <c r="R188" s="12"/>
      <c r="S188" s="12"/>
      <c r="T188" s="12"/>
      <c r="U188" s="12"/>
      <c r="V188" s="12"/>
      <c r="W188" s="12"/>
      <c r="X188" s="12"/>
      <c r="Y188" s="13"/>
      <c r="Z188" s="12"/>
      <c r="AA188" s="12"/>
      <c r="AB188" s="12"/>
      <c r="AC188" s="12"/>
      <c r="AD188" s="12"/>
      <c r="AE188" s="12"/>
      <c r="AF188" s="12"/>
      <c r="AG188" s="12"/>
      <c r="AH188" s="12"/>
      <c r="AI188" s="12"/>
      <c r="AJ188" s="12"/>
      <c r="AK188" s="12"/>
      <c r="AL188" s="13"/>
      <c r="AM188" s="12"/>
    </row>
    <row r="189" spans="1:39" ht="15.75" customHeight="1" x14ac:dyDescent="0.3">
      <c r="A189" s="12"/>
      <c r="B189" s="12"/>
      <c r="C189" s="12"/>
      <c r="D189" s="12"/>
      <c r="E189" s="12"/>
      <c r="F189" s="12"/>
      <c r="G189" s="12"/>
      <c r="H189" s="12"/>
      <c r="I189" s="12"/>
      <c r="J189" s="14">
        <f>_xlfn.ISOWEEKNUM(Base_Accidentes_2023[[#This Row],[Fecha]])</f>
        <v>52</v>
      </c>
      <c r="K189" s="12"/>
      <c r="L189" s="12"/>
      <c r="M189" s="12"/>
      <c r="N189" s="12"/>
      <c r="O189" s="12"/>
      <c r="P189" s="12"/>
      <c r="Q189" s="12"/>
      <c r="R189" s="12"/>
      <c r="S189" s="12"/>
      <c r="T189" s="12"/>
      <c r="U189" s="12"/>
      <c r="V189" s="12"/>
      <c r="W189" s="12"/>
      <c r="X189" s="12"/>
      <c r="Y189" s="13"/>
      <c r="Z189" s="12"/>
      <c r="AA189" s="12"/>
      <c r="AB189" s="12"/>
      <c r="AC189" s="12"/>
      <c r="AD189" s="12"/>
      <c r="AE189" s="12"/>
      <c r="AF189" s="12"/>
      <c r="AG189" s="12"/>
      <c r="AH189" s="12"/>
      <c r="AI189" s="12"/>
      <c r="AJ189" s="12"/>
      <c r="AK189" s="12"/>
      <c r="AL189" s="13"/>
      <c r="AM189" s="12"/>
    </row>
    <row r="190" spans="1:39" ht="15.75" customHeight="1" x14ac:dyDescent="0.3">
      <c r="A190" s="12"/>
      <c r="B190" s="12"/>
      <c r="C190" s="12"/>
      <c r="D190" s="12"/>
      <c r="E190" s="12"/>
      <c r="F190" s="12"/>
      <c r="G190" s="12"/>
      <c r="H190" s="12"/>
      <c r="I190" s="12"/>
      <c r="J190" s="14">
        <f>_xlfn.ISOWEEKNUM(Base_Accidentes_2023[[#This Row],[Fecha]])</f>
        <v>52</v>
      </c>
      <c r="K190" s="12"/>
      <c r="L190" s="12"/>
      <c r="M190" s="12"/>
      <c r="N190" s="12"/>
      <c r="O190" s="12"/>
      <c r="P190" s="12"/>
      <c r="Q190" s="12"/>
      <c r="R190" s="12"/>
      <c r="S190" s="12"/>
      <c r="T190" s="12"/>
      <c r="U190" s="12"/>
      <c r="V190" s="12"/>
      <c r="W190" s="12"/>
      <c r="X190" s="12"/>
      <c r="Y190" s="13"/>
      <c r="Z190" s="12"/>
      <c r="AA190" s="12"/>
      <c r="AB190" s="12"/>
      <c r="AC190" s="12"/>
      <c r="AD190" s="12"/>
      <c r="AE190" s="12"/>
      <c r="AF190" s="12"/>
      <c r="AG190" s="12"/>
      <c r="AH190" s="12"/>
      <c r="AI190" s="12"/>
      <c r="AJ190" s="12"/>
      <c r="AK190" s="12"/>
      <c r="AL190" s="13"/>
      <c r="AM190" s="12"/>
    </row>
    <row r="191" spans="1:39" ht="15.75" customHeight="1" x14ac:dyDescent="0.3">
      <c r="A191" s="12"/>
      <c r="B191" s="12"/>
      <c r="C191" s="12"/>
      <c r="D191" s="12"/>
      <c r="E191" s="12"/>
      <c r="F191" s="12"/>
      <c r="G191" s="12"/>
      <c r="H191" s="12"/>
      <c r="I191" s="12"/>
      <c r="J191" s="14">
        <f>_xlfn.ISOWEEKNUM(Base_Accidentes_2023[[#This Row],[Fecha]])</f>
        <v>52</v>
      </c>
      <c r="K191" s="12"/>
      <c r="L191" s="12"/>
      <c r="M191" s="12"/>
      <c r="N191" s="12"/>
      <c r="O191" s="12"/>
      <c r="P191" s="12"/>
      <c r="Q191" s="12"/>
      <c r="R191" s="12"/>
      <c r="S191" s="12"/>
      <c r="T191" s="12"/>
      <c r="U191" s="12"/>
      <c r="V191" s="12"/>
      <c r="W191" s="12"/>
      <c r="X191" s="12"/>
      <c r="Y191" s="13"/>
      <c r="Z191" s="12"/>
      <c r="AA191" s="12"/>
      <c r="AB191" s="12"/>
      <c r="AC191" s="12"/>
      <c r="AD191" s="12"/>
      <c r="AE191" s="12"/>
      <c r="AF191" s="12"/>
      <c r="AG191" s="12"/>
      <c r="AH191" s="12"/>
      <c r="AI191" s="12"/>
      <c r="AJ191" s="12"/>
      <c r="AK191" s="12"/>
      <c r="AL191" s="13"/>
      <c r="AM191" s="12"/>
    </row>
    <row r="192" spans="1:39" ht="15.75" customHeight="1" x14ac:dyDescent="0.3">
      <c r="A192" s="12"/>
      <c r="B192" s="12"/>
      <c r="C192" s="12"/>
      <c r="D192" s="12"/>
      <c r="E192" s="12"/>
      <c r="F192" s="12"/>
      <c r="G192" s="12"/>
      <c r="H192" s="12"/>
      <c r="I192" s="12"/>
      <c r="J192" s="14">
        <f>_xlfn.ISOWEEKNUM(Base_Accidentes_2023[[#This Row],[Fecha]])</f>
        <v>52</v>
      </c>
      <c r="K192" s="12"/>
      <c r="L192" s="12"/>
      <c r="M192" s="12"/>
      <c r="N192" s="12"/>
      <c r="O192" s="12"/>
      <c r="P192" s="12"/>
      <c r="Q192" s="12"/>
      <c r="R192" s="12"/>
      <c r="S192" s="12"/>
      <c r="T192" s="12"/>
      <c r="U192" s="12"/>
      <c r="V192" s="12"/>
      <c r="W192" s="12"/>
      <c r="X192" s="12"/>
      <c r="Y192" s="13"/>
      <c r="Z192" s="12"/>
      <c r="AA192" s="12"/>
      <c r="AB192" s="12"/>
      <c r="AC192" s="12"/>
      <c r="AD192" s="12"/>
      <c r="AE192" s="12"/>
      <c r="AF192" s="12"/>
      <c r="AG192" s="12"/>
      <c r="AH192" s="12"/>
      <c r="AI192" s="12"/>
      <c r="AJ192" s="12"/>
      <c r="AK192" s="12"/>
      <c r="AL192" s="13"/>
      <c r="AM192" s="12"/>
    </row>
    <row r="193" spans="1:39" ht="15.75" customHeight="1" x14ac:dyDescent="0.3">
      <c r="A193" s="12"/>
      <c r="B193" s="12"/>
      <c r="C193" s="12"/>
      <c r="D193" s="12"/>
      <c r="E193" s="12"/>
      <c r="F193" s="12"/>
      <c r="G193" s="12"/>
      <c r="H193" s="12"/>
      <c r="I193" s="12"/>
      <c r="J193" s="14">
        <f>_xlfn.ISOWEEKNUM(Base_Accidentes_2023[[#This Row],[Fecha]])</f>
        <v>52</v>
      </c>
      <c r="K193" s="12"/>
      <c r="L193" s="12"/>
      <c r="M193" s="12"/>
      <c r="N193" s="12"/>
      <c r="O193" s="12"/>
      <c r="P193" s="12"/>
      <c r="Q193" s="12"/>
      <c r="R193" s="12"/>
      <c r="S193" s="12"/>
      <c r="T193" s="12"/>
      <c r="U193" s="12"/>
      <c r="V193" s="12"/>
      <c r="W193" s="12"/>
      <c r="X193" s="12"/>
      <c r="Y193" s="13"/>
      <c r="Z193" s="12"/>
      <c r="AA193" s="12"/>
      <c r="AB193" s="12"/>
      <c r="AC193" s="12"/>
      <c r="AD193" s="12"/>
      <c r="AE193" s="12"/>
      <c r="AF193" s="12"/>
      <c r="AG193" s="12"/>
      <c r="AH193" s="12"/>
      <c r="AI193" s="12"/>
      <c r="AJ193" s="12"/>
      <c r="AK193" s="12"/>
      <c r="AL193" s="13"/>
      <c r="AM193" s="12"/>
    </row>
    <row r="194" spans="1:39" ht="15.75" customHeight="1" x14ac:dyDescent="0.3">
      <c r="A194" s="12"/>
      <c r="B194" s="12"/>
      <c r="C194" s="12"/>
      <c r="D194" s="12"/>
      <c r="E194" s="12"/>
      <c r="F194" s="12"/>
      <c r="G194" s="12"/>
      <c r="H194" s="12"/>
      <c r="I194" s="12"/>
      <c r="J194" s="14">
        <f>_xlfn.ISOWEEKNUM(Base_Accidentes_2023[[#This Row],[Fecha]])</f>
        <v>52</v>
      </c>
      <c r="K194" s="12"/>
      <c r="L194" s="12"/>
      <c r="M194" s="12"/>
      <c r="N194" s="12"/>
      <c r="O194" s="12"/>
      <c r="P194" s="12"/>
      <c r="Q194" s="12"/>
      <c r="R194" s="12"/>
      <c r="S194" s="12"/>
      <c r="T194" s="12"/>
      <c r="U194" s="12"/>
      <c r="V194" s="12"/>
      <c r="W194" s="12"/>
      <c r="X194" s="12"/>
      <c r="Y194" s="13"/>
      <c r="Z194" s="12"/>
      <c r="AA194" s="12"/>
      <c r="AB194" s="12"/>
      <c r="AC194" s="12"/>
      <c r="AD194" s="12"/>
      <c r="AE194" s="12"/>
      <c r="AF194" s="12"/>
      <c r="AG194" s="12"/>
      <c r="AH194" s="12"/>
      <c r="AI194" s="12"/>
      <c r="AJ194" s="12"/>
      <c r="AK194" s="12"/>
      <c r="AL194" s="13"/>
      <c r="AM194" s="12"/>
    </row>
    <row r="195" spans="1:39" ht="15.75" customHeight="1" x14ac:dyDescent="0.3">
      <c r="A195" s="12"/>
      <c r="B195" s="12"/>
      <c r="C195" s="12"/>
      <c r="D195" s="12"/>
      <c r="E195" s="12"/>
      <c r="F195" s="12"/>
      <c r="G195" s="12"/>
      <c r="H195" s="12"/>
      <c r="I195" s="12"/>
      <c r="J195" s="14">
        <f>_xlfn.ISOWEEKNUM(Base_Accidentes_2023[[#This Row],[Fecha]])</f>
        <v>52</v>
      </c>
      <c r="K195" s="12"/>
      <c r="L195" s="12"/>
      <c r="M195" s="12"/>
      <c r="N195" s="12"/>
      <c r="O195" s="12"/>
      <c r="P195" s="12"/>
      <c r="Q195" s="12"/>
      <c r="R195" s="12"/>
      <c r="S195" s="12"/>
      <c r="T195" s="12"/>
      <c r="U195" s="12"/>
      <c r="V195" s="12"/>
      <c r="W195" s="12"/>
      <c r="X195" s="12"/>
      <c r="Y195" s="13"/>
      <c r="Z195" s="12"/>
      <c r="AA195" s="12"/>
      <c r="AB195" s="12"/>
      <c r="AC195" s="12"/>
      <c r="AD195" s="12"/>
      <c r="AE195" s="12"/>
      <c r="AF195" s="12"/>
      <c r="AG195" s="12"/>
      <c r="AH195" s="12"/>
      <c r="AI195" s="12"/>
      <c r="AJ195" s="12"/>
      <c r="AK195" s="12"/>
      <c r="AL195" s="13"/>
      <c r="AM195" s="12"/>
    </row>
    <row r="196" spans="1:39" ht="15.75" customHeight="1" x14ac:dyDescent="0.3">
      <c r="A196" s="15"/>
      <c r="B196" s="24"/>
      <c r="C196" s="24"/>
      <c r="D196" s="24"/>
      <c r="E196" s="15"/>
      <c r="F196" s="15"/>
      <c r="G196" s="15"/>
      <c r="H196" s="15"/>
      <c r="I196" s="15"/>
      <c r="J196" s="14">
        <f>_xlfn.ISOWEEKNUM(Base_Accidentes_2023[[#This Row],[Fecha]])</f>
        <v>52</v>
      </c>
      <c r="K196" s="15"/>
      <c r="L196" s="15"/>
      <c r="M196" s="15"/>
      <c r="N196" s="15"/>
      <c r="O196" s="15"/>
      <c r="P196" s="15"/>
      <c r="Q196" s="15"/>
      <c r="R196" s="15"/>
      <c r="S196" s="15"/>
      <c r="T196" s="24"/>
      <c r="U196" s="15"/>
      <c r="V196" s="15"/>
      <c r="W196" s="15"/>
      <c r="X196" s="15"/>
      <c r="Y196" s="15"/>
      <c r="Z196" s="15"/>
      <c r="AA196" s="15"/>
      <c r="AB196" s="12"/>
      <c r="AC196" s="15"/>
      <c r="AD196" s="15"/>
      <c r="AE196" s="15"/>
      <c r="AF196" s="12"/>
      <c r="AG196" s="15"/>
      <c r="AH196" s="15"/>
      <c r="AI196" s="15"/>
      <c r="AJ196" s="15"/>
      <c r="AK196" s="15"/>
      <c r="AL196" s="15"/>
      <c r="AM196" s="24"/>
    </row>
    <row r="197" spans="1:39" ht="15.75" customHeight="1" x14ac:dyDescent="0.3">
      <c r="A197" s="15"/>
      <c r="B197" s="24"/>
      <c r="C197" s="24"/>
      <c r="D197" s="24"/>
      <c r="E197" s="15"/>
      <c r="F197" s="15"/>
      <c r="G197" s="15"/>
      <c r="H197" s="15"/>
      <c r="I197" s="15"/>
      <c r="J197" s="14">
        <f>_xlfn.ISOWEEKNUM(Base_Accidentes_2023[[#This Row],[Fecha]])</f>
        <v>52</v>
      </c>
      <c r="K197" s="15"/>
      <c r="L197" s="15"/>
      <c r="M197" s="15"/>
      <c r="N197" s="15"/>
      <c r="O197" s="15"/>
      <c r="P197" s="15"/>
      <c r="Q197" s="15"/>
      <c r="R197" s="15"/>
      <c r="S197" s="15"/>
      <c r="T197" s="24"/>
      <c r="U197" s="15"/>
      <c r="V197" s="15"/>
      <c r="W197" s="15"/>
      <c r="X197" s="15"/>
      <c r="Y197" s="15"/>
      <c r="Z197" s="15"/>
      <c r="AA197" s="15"/>
      <c r="AB197" s="12"/>
      <c r="AC197" s="15"/>
      <c r="AD197" s="15"/>
      <c r="AE197" s="15"/>
      <c r="AF197" s="12"/>
      <c r="AG197" s="15"/>
      <c r="AH197" s="15"/>
      <c r="AI197" s="15"/>
      <c r="AJ197" s="15"/>
      <c r="AK197" s="15"/>
      <c r="AL197" s="15"/>
      <c r="AM197" s="24"/>
    </row>
    <row r="198" spans="1:39" ht="15.75" customHeight="1" x14ac:dyDescent="0.3">
      <c r="A198" s="15"/>
      <c r="B198" s="24"/>
      <c r="C198" s="24"/>
      <c r="D198" s="24"/>
      <c r="E198" s="15"/>
      <c r="F198" s="15"/>
      <c r="G198" s="15"/>
      <c r="H198" s="15"/>
      <c r="I198" s="15"/>
      <c r="J198" s="14">
        <f>_xlfn.ISOWEEKNUM(Base_Accidentes_2023[[#This Row],[Fecha]])</f>
        <v>52</v>
      </c>
      <c r="K198" s="15"/>
      <c r="L198" s="15"/>
      <c r="M198" s="15"/>
      <c r="N198" s="15"/>
      <c r="O198" s="15"/>
      <c r="P198" s="15"/>
      <c r="Q198" s="15"/>
      <c r="R198" s="15"/>
      <c r="S198" s="15"/>
      <c r="T198" s="24"/>
      <c r="U198" s="15"/>
      <c r="V198" s="15"/>
      <c r="W198" s="15"/>
      <c r="X198" s="15"/>
      <c r="Y198" s="15"/>
      <c r="Z198" s="15"/>
      <c r="AA198" s="15"/>
      <c r="AB198" s="12"/>
      <c r="AC198" s="15"/>
      <c r="AD198" s="15"/>
      <c r="AE198" s="15"/>
      <c r="AF198" s="12"/>
      <c r="AG198" s="15"/>
      <c r="AH198" s="15"/>
      <c r="AI198" s="15"/>
      <c r="AJ198" s="15"/>
      <c r="AK198" s="15"/>
      <c r="AL198" s="15"/>
      <c r="AM198" s="24"/>
    </row>
    <row r="199" spans="1:39" ht="15.75" customHeight="1" x14ac:dyDescent="0.3">
      <c r="A199" s="15"/>
      <c r="B199" s="24"/>
      <c r="C199" s="24"/>
      <c r="D199" s="24"/>
      <c r="E199" s="15"/>
      <c r="F199" s="15"/>
      <c r="G199" s="15"/>
      <c r="H199" s="15"/>
      <c r="I199" s="15"/>
      <c r="J199" s="14">
        <f>_xlfn.ISOWEEKNUM(Base_Accidentes_2023[[#This Row],[Fecha]])</f>
        <v>52</v>
      </c>
      <c r="K199" s="15"/>
      <c r="L199" s="15"/>
      <c r="M199" s="15"/>
      <c r="N199" s="15"/>
      <c r="O199" s="15"/>
      <c r="P199" s="15"/>
      <c r="Q199" s="15"/>
      <c r="R199" s="15"/>
      <c r="S199" s="15"/>
      <c r="T199" s="24"/>
      <c r="U199" s="15"/>
      <c r="V199" s="15"/>
      <c r="W199" s="15"/>
      <c r="X199" s="15"/>
      <c r="Y199" s="15"/>
      <c r="Z199" s="15"/>
      <c r="AA199" s="15"/>
      <c r="AB199" s="12"/>
      <c r="AC199" s="15"/>
      <c r="AD199" s="15"/>
      <c r="AE199" s="15"/>
      <c r="AF199" s="12"/>
      <c r="AG199" s="15"/>
      <c r="AH199" s="15"/>
      <c r="AI199" s="15"/>
      <c r="AJ199" s="15"/>
      <c r="AK199" s="15"/>
      <c r="AL199" s="15"/>
      <c r="AM199" s="24"/>
    </row>
    <row r="200" spans="1:39" ht="15.75" customHeight="1" x14ac:dyDescent="0.3">
      <c r="A200" s="15"/>
      <c r="B200" s="24"/>
      <c r="C200" s="24"/>
      <c r="D200" s="24"/>
      <c r="E200" s="15"/>
      <c r="F200" s="15"/>
      <c r="G200" s="15"/>
      <c r="H200" s="15"/>
      <c r="I200" s="15"/>
      <c r="J200" s="14">
        <f>_xlfn.ISOWEEKNUM(Base_Accidentes_2023[[#This Row],[Fecha]])</f>
        <v>52</v>
      </c>
      <c r="K200" s="15"/>
      <c r="L200" s="15"/>
      <c r="M200" s="15"/>
      <c r="N200" s="15"/>
      <c r="O200" s="15"/>
      <c r="P200" s="15"/>
      <c r="Q200" s="15"/>
      <c r="R200" s="15"/>
      <c r="S200" s="15"/>
      <c r="T200" s="24"/>
      <c r="U200" s="15"/>
      <c r="V200" s="15"/>
      <c r="W200" s="15"/>
      <c r="X200" s="15"/>
      <c r="Y200" s="15"/>
      <c r="Z200" s="15"/>
      <c r="AA200" s="15"/>
      <c r="AB200" s="12"/>
      <c r="AC200" s="15"/>
      <c r="AD200" s="15"/>
      <c r="AE200" s="15"/>
      <c r="AF200" s="12"/>
      <c r="AG200" s="15"/>
      <c r="AH200" s="15"/>
      <c r="AI200" s="15"/>
      <c r="AJ200" s="15"/>
      <c r="AK200" s="15"/>
      <c r="AL200" s="15"/>
      <c r="AM200" s="24"/>
    </row>
    <row r="201" spans="1:39" ht="15.75" customHeight="1" x14ac:dyDescent="0.3">
      <c r="J201" s="3">
        <f>_xlfn.ISOWEEKNUM(Base_Accidentes_2023[[#This Row],[Fecha]])</f>
        <v>52</v>
      </c>
      <c r="AB201" s="41"/>
      <c r="AF201" s="41"/>
    </row>
    <row r="202" spans="1:39" ht="15.75" customHeight="1" x14ac:dyDescent="0.3">
      <c r="J202" s="3">
        <f>_xlfn.ISOWEEKNUM(Base_Accidentes_2023[[#This Row],[Fecha]])</f>
        <v>52</v>
      </c>
      <c r="AB202" s="41"/>
      <c r="AF202" s="41"/>
    </row>
    <row r="203" spans="1:39" ht="15.75" customHeight="1" x14ac:dyDescent="0.3">
      <c r="J203" s="3">
        <f>_xlfn.ISOWEEKNUM(Base_Accidentes_2023[[#This Row],[Fecha]])</f>
        <v>52</v>
      </c>
      <c r="AB203" s="41"/>
      <c r="AF203" s="41"/>
    </row>
    <row r="204" spans="1:39" ht="15.75" customHeight="1" x14ac:dyDescent="0.3">
      <c r="J204" s="3">
        <f>_xlfn.ISOWEEKNUM(Base_Accidentes_2023[[#This Row],[Fecha]])</f>
        <v>52</v>
      </c>
      <c r="AB204" s="41"/>
      <c r="AF204" s="41"/>
    </row>
    <row r="205" spans="1:39" ht="15.75" customHeight="1" x14ac:dyDescent="0.3">
      <c r="J205" s="3">
        <f>_xlfn.ISOWEEKNUM(Base_Accidentes_2023[[#This Row],[Fecha]])</f>
        <v>52</v>
      </c>
      <c r="AB205" s="41"/>
      <c r="AF205" s="41"/>
    </row>
    <row r="206" spans="1:39" ht="15.75" customHeight="1" x14ac:dyDescent="0.3">
      <c r="J206" s="3">
        <f>_xlfn.ISOWEEKNUM(Base_Accidentes_2023[[#This Row],[Fecha]])</f>
        <v>52</v>
      </c>
      <c r="AB206" s="41"/>
      <c r="AF206" s="41"/>
    </row>
    <row r="207" spans="1:39" ht="15.75" customHeight="1" x14ac:dyDescent="0.3">
      <c r="J207" s="3">
        <f>_xlfn.ISOWEEKNUM(Base_Accidentes_2023[[#This Row],[Fecha]])</f>
        <v>52</v>
      </c>
      <c r="AB207" s="41"/>
      <c r="AF207" s="41"/>
    </row>
    <row r="208" spans="1:39" ht="15.75" customHeight="1" x14ac:dyDescent="0.3">
      <c r="J208" s="3">
        <f>_xlfn.ISOWEEKNUM(Base_Accidentes_2023[[#This Row],[Fecha]])</f>
        <v>52</v>
      </c>
      <c r="AB208" s="41"/>
      <c r="AF208" s="41"/>
    </row>
    <row r="209" spans="10:32" ht="15.75" customHeight="1" x14ac:dyDescent="0.3">
      <c r="J209" s="3">
        <f>_xlfn.ISOWEEKNUM(Base_Accidentes_2023[[#This Row],[Fecha]])</f>
        <v>52</v>
      </c>
      <c r="AB209" s="41"/>
      <c r="AF209" s="41"/>
    </row>
    <row r="210" spans="10:32" ht="15.75" customHeight="1" x14ac:dyDescent="0.3">
      <c r="J210" s="3">
        <f>_xlfn.ISOWEEKNUM(Base_Accidentes_2023[[#This Row],[Fecha]])</f>
        <v>52</v>
      </c>
      <c r="AB210" s="41"/>
      <c r="AF210" s="41"/>
    </row>
    <row r="211" spans="10:32" ht="15.75" customHeight="1" x14ac:dyDescent="0.3">
      <c r="J211" s="3">
        <f>_xlfn.ISOWEEKNUM(Base_Accidentes_2023[[#This Row],[Fecha]])</f>
        <v>52</v>
      </c>
      <c r="AB211" s="41"/>
      <c r="AF211" s="41"/>
    </row>
    <row r="212" spans="10:32" ht="15.75" customHeight="1" x14ac:dyDescent="0.3">
      <c r="J212" s="3">
        <f>_xlfn.ISOWEEKNUM(Base_Accidentes_2023[[#This Row],[Fecha]])</f>
        <v>52</v>
      </c>
      <c r="AB212" s="41"/>
      <c r="AF212" s="41"/>
    </row>
    <row r="213" spans="10:32" ht="15.75" customHeight="1" x14ac:dyDescent="0.3">
      <c r="J213" s="3">
        <f>_xlfn.ISOWEEKNUM(Base_Accidentes_2023[[#This Row],[Fecha]])</f>
        <v>52</v>
      </c>
      <c r="AB213" s="41"/>
      <c r="AF213" s="41"/>
    </row>
    <row r="214" spans="10:32" ht="15.75" customHeight="1" x14ac:dyDescent="0.3">
      <c r="J214" s="3">
        <f>_xlfn.ISOWEEKNUM(Base_Accidentes_2023[[#This Row],[Fecha]])</f>
        <v>52</v>
      </c>
      <c r="AB214" s="41"/>
      <c r="AF214" s="41"/>
    </row>
    <row r="215" spans="10:32" ht="15.75" customHeight="1" x14ac:dyDescent="0.3">
      <c r="J215" s="3">
        <f>_xlfn.ISOWEEKNUM(Base_Accidentes_2023[[#This Row],[Fecha]])</f>
        <v>52</v>
      </c>
      <c r="AB215" s="41"/>
      <c r="AF215" s="41"/>
    </row>
    <row r="216" spans="10:32" ht="15.75" customHeight="1" x14ac:dyDescent="0.3">
      <c r="J216" s="3">
        <f>_xlfn.ISOWEEKNUM(Base_Accidentes_2023[[#This Row],[Fecha]])</f>
        <v>52</v>
      </c>
      <c r="AB216" s="41"/>
      <c r="AF216" s="41"/>
    </row>
    <row r="217" spans="10:32" ht="15.75" customHeight="1" x14ac:dyDescent="0.3">
      <c r="J217" s="3">
        <f>_xlfn.ISOWEEKNUM(Base_Accidentes_2023[[#This Row],[Fecha]])</f>
        <v>52</v>
      </c>
      <c r="AB217" s="41"/>
      <c r="AF217" s="41"/>
    </row>
    <row r="218" spans="10:32" ht="15.75" customHeight="1" x14ac:dyDescent="0.3">
      <c r="J218" s="3">
        <f>_xlfn.ISOWEEKNUM(Base_Accidentes_2023[[#This Row],[Fecha]])</f>
        <v>52</v>
      </c>
      <c r="AB218" s="41"/>
      <c r="AF218" s="41"/>
    </row>
    <row r="219" spans="10:32" ht="15.75" customHeight="1" x14ac:dyDescent="0.3">
      <c r="J219" s="3">
        <f>_xlfn.ISOWEEKNUM(Base_Accidentes_2023[[#This Row],[Fecha]])</f>
        <v>52</v>
      </c>
      <c r="AB219" s="41"/>
      <c r="AF219" s="41"/>
    </row>
    <row r="220" spans="10:32" ht="15.75" customHeight="1" x14ac:dyDescent="0.3">
      <c r="J220" s="3">
        <f>_xlfn.ISOWEEKNUM(Base_Accidentes_2023[[#This Row],[Fecha]])</f>
        <v>52</v>
      </c>
      <c r="AB220" s="41"/>
      <c r="AF220" s="41"/>
    </row>
    <row r="221" spans="10:32" ht="15.75" customHeight="1" x14ac:dyDescent="0.3">
      <c r="J221" s="3">
        <f>_xlfn.ISOWEEKNUM(Base_Accidentes_2023[[#This Row],[Fecha]])</f>
        <v>52</v>
      </c>
      <c r="AB221" s="41"/>
      <c r="AF221" s="41"/>
    </row>
    <row r="222" spans="10:32" ht="15.75" customHeight="1" x14ac:dyDescent="0.3">
      <c r="J222" s="3">
        <f>_xlfn.ISOWEEKNUM(Base_Accidentes_2023[[#This Row],[Fecha]])</f>
        <v>52</v>
      </c>
      <c r="AB222" s="41"/>
      <c r="AF222" s="41"/>
    </row>
    <row r="223" spans="10:32" ht="15.75" customHeight="1" x14ac:dyDescent="0.3">
      <c r="J223" s="3">
        <f>_xlfn.ISOWEEKNUM(Base_Accidentes_2023[[#This Row],[Fecha]])</f>
        <v>52</v>
      </c>
      <c r="AB223" s="41"/>
      <c r="AF223" s="41"/>
    </row>
    <row r="224" spans="10:32" ht="15.75" customHeight="1" x14ac:dyDescent="0.3">
      <c r="J224" s="3">
        <f>_xlfn.ISOWEEKNUM(Base_Accidentes_2023[[#This Row],[Fecha]])</f>
        <v>52</v>
      </c>
      <c r="AB224" s="41"/>
      <c r="AF224" s="41"/>
    </row>
    <row r="225" spans="10:32" ht="15.75" customHeight="1" x14ac:dyDescent="0.3">
      <c r="J225" s="3">
        <f>_xlfn.ISOWEEKNUM(Base_Accidentes_2023[[#This Row],[Fecha]])</f>
        <v>52</v>
      </c>
      <c r="AB225" s="41"/>
      <c r="AF225" s="41"/>
    </row>
    <row r="226" spans="10:32" ht="15.75" customHeight="1" x14ac:dyDescent="0.3">
      <c r="J226" s="3">
        <f>_xlfn.ISOWEEKNUM(Base_Accidentes_2023[[#This Row],[Fecha]])</f>
        <v>52</v>
      </c>
      <c r="AB226" s="41"/>
      <c r="AF226" s="41"/>
    </row>
    <row r="227" spans="10:32" ht="15.75" customHeight="1" x14ac:dyDescent="0.3">
      <c r="J227" s="3">
        <f>_xlfn.ISOWEEKNUM(Base_Accidentes_2023[[#This Row],[Fecha]])</f>
        <v>52</v>
      </c>
      <c r="AB227" s="41"/>
      <c r="AF227" s="41"/>
    </row>
    <row r="228" spans="10:32" ht="15.75" customHeight="1" x14ac:dyDescent="0.3">
      <c r="J228" s="3">
        <f>_xlfn.ISOWEEKNUM(Base_Accidentes_2023[[#This Row],[Fecha]])</f>
        <v>52</v>
      </c>
      <c r="AB228" s="41"/>
      <c r="AF228" s="41"/>
    </row>
    <row r="229" spans="10:32" ht="15.75" customHeight="1" x14ac:dyDescent="0.3">
      <c r="J229" s="3">
        <f>_xlfn.ISOWEEKNUM(Base_Accidentes_2023[[#This Row],[Fecha]])</f>
        <v>52</v>
      </c>
      <c r="AB229" s="41"/>
      <c r="AF229" s="41"/>
    </row>
    <row r="230" spans="10:32" ht="15.75" customHeight="1" x14ac:dyDescent="0.3">
      <c r="J230" s="3">
        <f>_xlfn.ISOWEEKNUM(Base_Accidentes_2023[[#This Row],[Fecha]])</f>
        <v>52</v>
      </c>
      <c r="AB230" s="41"/>
      <c r="AF230" s="41"/>
    </row>
    <row r="231" spans="10:32" ht="15.75" customHeight="1" x14ac:dyDescent="0.3">
      <c r="J231" s="3">
        <f>_xlfn.ISOWEEKNUM(Base_Accidentes_2023[[#This Row],[Fecha]])</f>
        <v>52</v>
      </c>
      <c r="AB231" s="41"/>
      <c r="AF231" s="41"/>
    </row>
    <row r="232" spans="10:32" ht="15.75" customHeight="1" x14ac:dyDescent="0.3">
      <c r="J232" s="3">
        <f>_xlfn.ISOWEEKNUM(Base_Accidentes_2023[[#This Row],[Fecha]])</f>
        <v>52</v>
      </c>
      <c r="AB232" s="41"/>
      <c r="AF232" s="41"/>
    </row>
    <row r="233" spans="10:32" ht="15.75" customHeight="1" x14ac:dyDescent="0.3">
      <c r="J233" s="3">
        <f>_xlfn.ISOWEEKNUM(Base_Accidentes_2023[[#This Row],[Fecha]])</f>
        <v>52</v>
      </c>
      <c r="AB233" s="41"/>
      <c r="AF233" s="41"/>
    </row>
    <row r="234" spans="10:32" ht="15.75" customHeight="1" x14ac:dyDescent="0.3">
      <c r="J234" s="3">
        <f>_xlfn.ISOWEEKNUM(Base_Accidentes_2023[[#This Row],[Fecha]])</f>
        <v>52</v>
      </c>
      <c r="AB234" s="41"/>
      <c r="AF234" s="41"/>
    </row>
    <row r="235" spans="10:32" ht="15.75" customHeight="1" x14ac:dyDescent="0.3">
      <c r="J235" s="3">
        <f>_xlfn.ISOWEEKNUM(Base_Accidentes_2023[[#This Row],[Fecha]])</f>
        <v>52</v>
      </c>
      <c r="AB235" s="41"/>
      <c r="AF235" s="41"/>
    </row>
    <row r="236" spans="10:32" ht="15.75" customHeight="1" x14ac:dyDescent="0.3">
      <c r="J236" s="3">
        <f>_xlfn.ISOWEEKNUM(Base_Accidentes_2023[[#This Row],[Fecha]])</f>
        <v>52</v>
      </c>
      <c r="AB236" s="41"/>
      <c r="AF236" s="41"/>
    </row>
    <row r="237" spans="10:32" ht="15.75" customHeight="1" x14ac:dyDescent="0.3">
      <c r="J237" s="3">
        <f>_xlfn.ISOWEEKNUM(Base_Accidentes_2023[[#This Row],[Fecha]])</f>
        <v>52</v>
      </c>
      <c r="AB237" s="41"/>
      <c r="AF237" s="41"/>
    </row>
    <row r="238" spans="10:32" ht="15.75" customHeight="1" x14ac:dyDescent="0.3">
      <c r="J238" s="3">
        <f>_xlfn.ISOWEEKNUM(Base_Accidentes_2023[[#This Row],[Fecha]])</f>
        <v>52</v>
      </c>
      <c r="AB238" s="41"/>
      <c r="AF238" s="41"/>
    </row>
    <row r="239" spans="10:32" ht="15.75" customHeight="1" x14ac:dyDescent="0.3">
      <c r="J239" s="3">
        <f>_xlfn.ISOWEEKNUM(Base_Accidentes_2023[[#This Row],[Fecha]])</f>
        <v>52</v>
      </c>
      <c r="AB239" s="41"/>
      <c r="AF239" s="41"/>
    </row>
    <row r="240" spans="10:32" ht="15.75" customHeight="1" x14ac:dyDescent="0.3">
      <c r="J240" s="3">
        <f>_xlfn.ISOWEEKNUM(Base_Accidentes_2023[[#This Row],[Fecha]])</f>
        <v>52</v>
      </c>
      <c r="AB240" s="41"/>
      <c r="AF240" s="41"/>
    </row>
    <row r="241" spans="10:32" ht="15.75" customHeight="1" x14ac:dyDescent="0.3">
      <c r="J241" s="3">
        <f>_xlfn.ISOWEEKNUM(Base_Accidentes_2023[[#This Row],[Fecha]])</f>
        <v>52</v>
      </c>
      <c r="AB241" s="41"/>
      <c r="AF241" s="41"/>
    </row>
    <row r="242" spans="10:32" ht="15.75" customHeight="1" x14ac:dyDescent="0.3">
      <c r="J242" s="3">
        <f>_xlfn.ISOWEEKNUM(Base_Accidentes_2023[[#This Row],[Fecha]])</f>
        <v>52</v>
      </c>
      <c r="AB242" s="41"/>
      <c r="AF242" s="41"/>
    </row>
    <row r="243" spans="10:32" ht="15.75" customHeight="1" x14ac:dyDescent="0.3">
      <c r="J243" s="3">
        <f>_xlfn.ISOWEEKNUM(Base_Accidentes_2023[[#This Row],[Fecha]])</f>
        <v>52</v>
      </c>
      <c r="AB243" s="41"/>
      <c r="AF243" s="41"/>
    </row>
    <row r="244" spans="10:32" ht="15.75" customHeight="1" x14ac:dyDescent="0.3">
      <c r="J244" s="3">
        <f>_xlfn.ISOWEEKNUM(Base_Accidentes_2023[[#This Row],[Fecha]])</f>
        <v>52</v>
      </c>
      <c r="AB244" s="41"/>
      <c r="AF244" s="41"/>
    </row>
    <row r="245" spans="10:32" ht="15.75" customHeight="1" x14ac:dyDescent="0.3">
      <c r="J245" s="3">
        <f>_xlfn.ISOWEEKNUM(Base_Accidentes_2023[[#This Row],[Fecha]])</f>
        <v>52</v>
      </c>
      <c r="AB245" s="41"/>
      <c r="AF245" s="41"/>
    </row>
    <row r="246" spans="10:32" ht="15.75" customHeight="1" x14ac:dyDescent="0.3">
      <c r="J246" s="3">
        <f>_xlfn.ISOWEEKNUM(Base_Accidentes_2023[[#This Row],[Fecha]])</f>
        <v>52</v>
      </c>
      <c r="AB246" s="41"/>
      <c r="AF246" s="41"/>
    </row>
    <row r="247" spans="10:32" ht="15.75" customHeight="1" x14ac:dyDescent="0.3">
      <c r="J247" s="3">
        <f>_xlfn.ISOWEEKNUM(Base_Accidentes_2023[[#This Row],[Fecha]])</f>
        <v>52</v>
      </c>
      <c r="AB247" s="41"/>
      <c r="AF247" s="41"/>
    </row>
    <row r="248" spans="10:32" ht="15.75" customHeight="1" x14ac:dyDescent="0.3">
      <c r="J248" s="3">
        <f>_xlfn.ISOWEEKNUM(Base_Accidentes_2023[[#This Row],[Fecha]])</f>
        <v>52</v>
      </c>
      <c r="AB248" s="41"/>
      <c r="AF248" s="41"/>
    </row>
    <row r="249" spans="10:32" ht="15.75" customHeight="1" x14ac:dyDescent="0.3">
      <c r="J249" s="3">
        <f>_xlfn.ISOWEEKNUM(Base_Accidentes_2023[[#This Row],[Fecha]])</f>
        <v>52</v>
      </c>
      <c r="AB249" s="41"/>
      <c r="AF249" s="41"/>
    </row>
    <row r="250" spans="10:32" ht="15.75" customHeight="1" x14ac:dyDescent="0.3">
      <c r="J250" s="3">
        <f>_xlfn.ISOWEEKNUM(Base_Accidentes_2023[[#This Row],[Fecha]])</f>
        <v>52</v>
      </c>
      <c r="AB250" s="41"/>
      <c r="AF250" s="41"/>
    </row>
    <row r="251" spans="10:32" ht="15.75" customHeight="1" x14ac:dyDescent="0.3">
      <c r="J251" s="3">
        <f>_xlfn.ISOWEEKNUM(Base_Accidentes_2023[[#This Row],[Fecha]])</f>
        <v>52</v>
      </c>
      <c r="AB251" s="41"/>
      <c r="AF251" s="41"/>
    </row>
    <row r="252" spans="10:32" ht="15.75" customHeight="1" x14ac:dyDescent="0.3">
      <c r="J252" s="3">
        <f>_xlfn.ISOWEEKNUM(Base_Accidentes_2023[[#This Row],[Fecha]])</f>
        <v>52</v>
      </c>
      <c r="AB252" s="41"/>
      <c r="AF252" s="41"/>
    </row>
    <row r="253" spans="10:32" ht="15.75" customHeight="1" x14ac:dyDescent="0.3">
      <c r="J253" s="3">
        <f>_xlfn.ISOWEEKNUM(Base_Accidentes_2023[[#This Row],[Fecha]])</f>
        <v>52</v>
      </c>
      <c r="AB253" s="41"/>
      <c r="AF253" s="41"/>
    </row>
    <row r="254" spans="10:32" ht="15.75" customHeight="1" x14ac:dyDescent="0.3">
      <c r="J254" s="3">
        <f>_xlfn.ISOWEEKNUM(Base_Accidentes_2023[[#This Row],[Fecha]])</f>
        <v>52</v>
      </c>
      <c r="AB254" s="41"/>
      <c r="AF254" s="41"/>
    </row>
    <row r="255" spans="10:32" ht="15.75" customHeight="1" x14ac:dyDescent="0.3">
      <c r="J255" s="3">
        <f>_xlfn.ISOWEEKNUM(Base_Accidentes_2023[[#This Row],[Fecha]])</f>
        <v>52</v>
      </c>
      <c r="AB255" s="41"/>
      <c r="AF255" s="41"/>
    </row>
    <row r="256" spans="10:32" ht="15.75" customHeight="1" x14ac:dyDescent="0.3">
      <c r="J256" s="3">
        <f>_xlfn.ISOWEEKNUM(Base_Accidentes_2023[[#This Row],[Fecha]])</f>
        <v>52</v>
      </c>
      <c r="AB256" s="41"/>
      <c r="AF256" s="41"/>
    </row>
    <row r="257" spans="10:32" ht="15.75" customHeight="1" x14ac:dyDescent="0.3">
      <c r="J257" s="3">
        <f>_xlfn.ISOWEEKNUM(Base_Accidentes_2023[[#This Row],[Fecha]])</f>
        <v>52</v>
      </c>
      <c r="AB257" s="41"/>
      <c r="AF257" s="41"/>
    </row>
    <row r="258" spans="10:32" ht="15.75" customHeight="1" x14ac:dyDescent="0.3">
      <c r="J258" s="3">
        <f>_xlfn.ISOWEEKNUM(Base_Accidentes_2023[[#This Row],[Fecha]])</f>
        <v>52</v>
      </c>
      <c r="AB258" s="41"/>
      <c r="AF258" s="41"/>
    </row>
    <row r="259" spans="10:32" ht="15.75" customHeight="1" x14ac:dyDescent="0.3">
      <c r="J259" s="3">
        <f>_xlfn.ISOWEEKNUM(Base_Accidentes_2023[[#This Row],[Fecha]])</f>
        <v>52</v>
      </c>
      <c r="AB259" s="41"/>
      <c r="AF259" s="41"/>
    </row>
    <row r="260" spans="10:32" ht="15.75" customHeight="1" x14ac:dyDescent="0.3">
      <c r="J260" s="3">
        <f>_xlfn.ISOWEEKNUM(Base_Accidentes_2023[[#This Row],[Fecha]])</f>
        <v>52</v>
      </c>
      <c r="AB260" s="41"/>
      <c r="AF260" s="41"/>
    </row>
    <row r="261" spans="10:32" ht="15.75" customHeight="1" x14ac:dyDescent="0.3">
      <c r="J261" s="3">
        <f>_xlfn.ISOWEEKNUM(Base_Accidentes_2023[[#This Row],[Fecha]])</f>
        <v>52</v>
      </c>
      <c r="AB261" s="41"/>
      <c r="AF261" s="41"/>
    </row>
    <row r="262" spans="10:32" ht="15.75" customHeight="1" x14ac:dyDescent="0.3">
      <c r="J262" s="3">
        <f>_xlfn.ISOWEEKNUM(Base_Accidentes_2023[[#This Row],[Fecha]])</f>
        <v>52</v>
      </c>
      <c r="AB262" s="41"/>
      <c r="AF262" s="41"/>
    </row>
    <row r="263" spans="10:32" ht="15.75" customHeight="1" x14ac:dyDescent="0.3">
      <c r="J263" s="3">
        <f>_xlfn.ISOWEEKNUM(Base_Accidentes_2023[[#This Row],[Fecha]])</f>
        <v>52</v>
      </c>
      <c r="AB263" s="41"/>
      <c r="AF263" s="41"/>
    </row>
    <row r="264" spans="10:32" ht="15.75" customHeight="1" x14ac:dyDescent="0.3">
      <c r="J264" s="3">
        <f>_xlfn.ISOWEEKNUM(Base_Accidentes_2023[[#This Row],[Fecha]])</f>
        <v>52</v>
      </c>
      <c r="AB264" s="41"/>
      <c r="AF264" s="41"/>
    </row>
    <row r="265" spans="10:32" ht="15.75" customHeight="1" x14ac:dyDescent="0.3">
      <c r="J265" s="3">
        <f>_xlfn.ISOWEEKNUM(Base_Accidentes_2023[[#This Row],[Fecha]])</f>
        <v>52</v>
      </c>
      <c r="AB265" s="41"/>
      <c r="AF265" s="41"/>
    </row>
    <row r="266" spans="10:32" ht="15.75" customHeight="1" x14ac:dyDescent="0.3">
      <c r="J266" s="3">
        <f>_xlfn.ISOWEEKNUM(Base_Accidentes_2023[[#This Row],[Fecha]])</f>
        <v>52</v>
      </c>
      <c r="AB266" s="41"/>
      <c r="AF266" s="41"/>
    </row>
    <row r="267" spans="10:32" ht="15.75" customHeight="1" x14ac:dyDescent="0.3">
      <c r="J267" s="3">
        <f>_xlfn.ISOWEEKNUM(Base_Accidentes_2023[[#This Row],[Fecha]])</f>
        <v>52</v>
      </c>
      <c r="AB267" s="41"/>
      <c r="AF267" s="41"/>
    </row>
    <row r="268" spans="10:32" ht="15.75" customHeight="1" x14ac:dyDescent="0.3">
      <c r="J268" s="3">
        <f>_xlfn.ISOWEEKNUM(Base_Accidentes_2023[[#This Row],[Fecha]])</f>
        <v>52</v>
      </c>
      <c r="AB268" s="41"/>
      <c r="AF268" s="41"/>
    </row>
    <row r="269" spans="10:32" ht="15.75" customHeight="1" x14ac:dyDescent="0.3">
      <c r="J269" s="3">
        <f>_xlfn.ISOWEEKNUM(Base_Accidentes_2023[[#This Row],[Fecha]])</f>
        <v>52</v>
      </c>
      <c r="AB269" s="41"/>
      <c r="AF269" s="41"/>
    </row>
    <row r="270" spans="10:32" ht="15.75" customHeight="1" x14ac:dyDescent="0.3">
      <c r="J270" s="3">
        <f>_xlfn.ISOWEEKNUM(Base_Accidentes_2023[[#This Row],[Fecha]])</f>
        <v>52</v>
      </c>
      <c r="AB270" s="41"/>
      <c r="AF270" s="41"/>
    </row>
    <row r="271" spans="10:32" ht="15.75" customHeight="1" x14ac:dyDescent="0.3">
      <c r="J271" s="3">
        <f>_xlfn.ISOWEEKNUM(Base_Accidentes_2023[[#This Row],[Fecha]])</f>
        <v>52</v>
      </c>
      <c r="AB271" s="41"/>
      <c r="AF271" s="41"/>
    </row>
    <row r="272" spans="10:32" ht="15.75" customHeight="1" x14ac:dyDescent="0.3">
      <c r="J272" s="3">
        <f>_xlfn.ISOWEEKNUM(Base_Accidentes_2023[[#This Row],[Fecha]])</f>
        <v>52</v>
      </c>
      <c r="AB272" s="41"/>
      <c r="AF272" s="41"/>
    </row>
    <row r="273" spans="10:32" ht="15.75" customHeight="1" x14ac:dyDescent="0.3">
      <c r="J273" s="3">
        <f>_xlfn.ISOWEEKNUM(Base_Accidentes_2023[[#This Row],[Fecha]])</f>
        <v>52</v>
      </c>
      <c r="AB273" s="41"/>
      <c r="AF273" s="41"/>
    </row>
    <row r="274" spans="10:32" ht="15.75" customHeight="1" x14ac:dyDescent="0.3">
      <c r="J274" s="3">
        <f>_xlfn.ISOWEEKNUM(Base_Accidentes_2023[[#This Row],[Fecha]])</f>
        <v>52</v>
      </c>
      <c r="AB274" s="41"/>
      <c r="AF274" s="41"/>
    </row>
    <row r="275" spans="10:32" ht="15.75" customHeight="1" x14ac:dyDescent="0.3">
      <c r="J275" s="3">
        <f>_xlfn.ISOWEEKNUM(Base_Accidentes_2023[[#This Row],[Fecha]])</f>
        <v>52</v>
      </c>
      <c r="AB275" s="41"/>
      <c r="AF275" s="41"/>
    </row>
    <row r="276" spans="10:32" ht="15.75" customHeight="1" x14ac:dyDescent="0.3">
      <c r="J276" s="3">
        <f>_xlfn.ISOWEEKNUM(Base_Accidentes_2023[[#This Row],[Fecha]])</f>
        <v>52</v>
      </c>
      <c r="AB276" s="41"/>
      <c r="AF276" s="41"/>
    </row>
    <row r="277" spans="10:32" ht="15.75" customHeight="1" x14ac:dyDescent="0.3">
      <c r="J277" s="3">
        <f>_xlfn.ISOWEEKNUM(Base_Accidentes_2023[[#This Row],[Fecha]])</f>
        <v>52</v>
      </c>
      <c r="AB277" s="41"/>
      <c r="AF277" s="41"/>
    </row>
    <row r="278" spans="10:32" ht="15.75" customHeight="1" x14ac:dyDescent="0.3">
      <c r="J278" s="3">
        <f>_xlfn.ISOWEEKNUM(Base_Accidentes_2023[[#This Row],[Fecha]])</f>
        <v>52</v>
      </c>
      <c r="AB278" s="41"/>
      <c r="AF278" s="41"/>
    </row>
    <row r="279" spans="10:32" ht="15.75" customHeight="1" x14ac:dyDescent="0.3">
      <c r="J279" s="3">
        <f>_xlfn.ISOWEEKNUM(Base_Accidentes_2023[[#This Row],[Fecha]])</f>
        <v>52</v>
      </c>
      <c r="AB279" s="41"/>
      <c r="AF279" s="41"/>
    </row>
    <row r="280" spans="10:32" ht="15.75" customHeight="1" x14ac:dyDescent="0.3">
      <c r="J280" s="3">
        <f>_xlfn.ISOWEEKNUM(Base_Accidentes_2023[[#This Row],[Fecha]])</f>
        <v>52</v>
      </c>
      <c r="AB280" s="41"/>
      <c r="AF280" s="41"/>
    </row>
    <row r="281" spans="10:32" ht="15.75" customHeight="1" x14ac:dyDescent="0.3">
      <c r="J281" s="3">
        <f>_xlfn.ISOWEEKNUM(Base_Accidentes_2023[[#This Row],[Fecha]])</f>
        <v>52</v>
      </c>
      <c r="AB281" s="41"/>
      <c r="AF281" s="41"/>
    </row>
    <row r="282" spans="10:32" ht="15.75" customHeight="1" x14ac:dyDescent="0.3">
      <c r="J282" s="3">
        <f>_xlfn.ISOWEEKNUM(Base_Accidentes_2023[[#This Row],[Fecha]])</f>
        <v>52</v>
      </c>
      <c r="AB282" s="41"/>
      <c r="AF282" s="41"/>
    </row>
    <row r="283" spans="10:32" ht="15.75" customHeight="1" x14ac:dyDescent="0.3">
      <c r="J283" s="3">
        <f>_xlfn.ISOWEEKNUM(Base_Accidentes_2023[[#This Row],[Fecha]])</f>
        <v>52</v>
      </c>
      <c r="AB283" s="41"/>
      <c r="AF283" s="41"/>
    </row>
    <row r="284" spans="10:32" ht="15.75" customHeight="1" x14ac:dyDescent="0.3">
      <c r="J284" s="3">
        <f>_xlfn.ISOWEEKNUM(Base_Accidentes_2023[[#This Row],[Fecha]])</f>
        <v>52</v>
      </c>
      <c r="AB284" s="41"/>
      <c r="AF284" s="41"/>
    </row>
    <row r="285" spans="10:32" ht="15.75" customHeight="1" x14ac:dyDescent="0.3">
      <c r="J285" s="3">
        <f>_xlfn.ISOWEEKNUM(Base_Accidentes_2023[[#This Row],[Fecha]])</f>
        <v>52</v>
      </c>
      <c r="AB285" s="41"/>
      <c r="AF285" s="41"/>
    </row>
    <row r="286" spans="10:32" ht="15.75" customHeight="1" x14ac:dyDescent="0.3">
      <c r="J286" s="3">
        <f>_xlfn.ISOWEEKNUM(Base_Accidentes_2023[[#This Row],[Fecha]])</f>
        <v>52</v>
      </c>
      <c r="AB286" s="41"/>
      <c r="AF286" s="41"/>
    </row>
    <row r="287" spans="10:32" ht="15.75" customHeight="1" x14ac:dyDescent="0.3">
      <c r="J287" s="3">
        <f>_xlfn.ISOWEEKNUM(Base_Accidentes_2023[[#This Row],[Fecha]])</f>
        <v>52</v>
      </c>
      <c r="AB287" s="41"/>
      <c r="AF287" s="41"/>
    </row>
    <row r="288" spans="10:32" ht="15.75" customHeight="1" x14ac:dyDescent="0.3">
      <c r="J288" s="3">
        <f>_xlfn.ISOWEEKNUM(Base_Accidentes_2023[[#This Row],[Fecha]])</f>
        <v>52</v>
      </c>
      <c r="AB288" s="41"/>
      <c r="AF288" s="41"/>
    </row>
    <row r="289" spans="10:32" ht="15.75" customHeight="1" x14ac:dyDescent="0.3">
      <c r="J289" s="3">
        <f>_xlfn.ISOWEEKNUM(Base_Accidentes_2023[[#This Row],[Fecha]])</f>
        <v>52</v>
      </c>
      <c r="AB289" s="41"/>
      <c r="AF289" s="41"/>
    </row>
    <row r="290" spans="10:32" ht="15.75" customHeight="1" x14ac:dyDescent="0.3">
      <c r="J290" s="3">
        <f>_xlfn.ISOWEEKNUM(Base_Accidentes_2023[[#This Row],[Fecha]])</f>
        <v>52</v>
      </c>
      <c r="AB290" s="41"/>
      <c r="AF290" s="41"/>
    </row>
    <row r="291" spans="10:32" ht="15.75" customHeight="1" x14ac:dyDescent="0.3">
      <c r="J291" s="3">
        <f>_xlfn.ISOWEEKNUM(Base_Accidentes_2023[[#This Row],[Fecha]])</f>
        <v>52</v>
      </c>
      <c r="AB291" s="41"/>
      <c r="AF291" s="41"/>
    </row>
    <row r="292" spans="10:32" ht="15.75" customHeight="1" x14ac:dyDescent="0.3">
      <c r="J292" s="3">
        <f>_xlfn.ISOWEEKNUM(Base_Accidentes_2023[[#This Row],[Fecha]])</f>
        <v>52</v>
      </c>
      <c r="AB292" s="41"/>
      <c r="AF292" s="41"/>
    </row>
    <row r="293" spans="10:32" ht="15.75" customHeight="1" x14ac:dyDescent="0.3">
      <c r="J293" s="3">
        <f>_xlfn.ISOWEEKNUM(Base_Accidentes_2023[[#This Row],[Fecha]])</f>
        <v>52</v>
      </c>
      <c r="AB293" s="41"/>
      <c r="AF293" s="41"/>
    </row>
    <row r="294" spans="10:32" ht="15.75" customHeight="1" x14ac:dyDescent="0.3">
      <c r="J294" s="3">
        <f>_xlfn.ISOWEEKNUM(Base_Accidentes_2023[[#This Row],[Fecha]])</f>
        <v>52</v>
      </c>
      <c r="AB294" s="41"/>
      <c r="AF294" s="41"/>
    </row>
    <row r="295" spans="10:32" ht="15.75" customHeight="1" x14ac:dyDescent="0.3">
      <c r="J295" s="3">
        <f>_xlfn.ISOWEEKNUM(Base_Accidentes_2023[[#This Row],[Fecha]])</f>
        <v>52</v>
      </c>
      <c r="AB295" s="41"/>
      <c r="AF295" s="41"/>
    </row>
    <row r="296" spans="10:32" ht="15.75" customHeight="1" x14ac:dyDescent="0.3">
      <c r="J296" s="3">
        <f>_xlfn.ISOWEEKNUM(Base_Accidentes_2023[[#This Row],[Fecha]])</f>
        <v>52</v>
      </c>
      <c r="AB296" s="41"/>
      <c r="AF296" s="41"/>
    </row>
    <row r="297" spans="10:32" ht="15.75" customHeight="1" x14ac:dyDescent="0.3">
      <c r="J297" s="3">
        <f>_xlfn.ISOWEEKNUM(Base_Accidentes_2023[[#This Row],[Fecha]])</f>
        <v>52</v>
      </c>
      <c r="AB297" s="41"/>
      <c r="AF297" s="41"/>
    </row>
    <row r="298" spans="10:32" ht="15.75" customHeight="1" x14ac:dyDescent="0.3">
      <c r="J298" s="3">
        <f>_xlfn.ISOWEEKNUM(Base_Accidentes_2023[[#This Row],[Fecha]])</f>
        <v>52</v>
      </c>
      <c r="AB298" s="41"/>
      <c r="AF298" s="41"/>
    </row>
    <row r="299" spans="10:32" ht="15.75" customHeight="1" x14ac:dyDescent="0.3">
      <c r="J299" s="3">
        <f>_xlfn.ISOWEEKNUM(Base_Accidentes_2023[[#This Row],[Fecha]])</f>
        <v>52</v>
      </c>
      <c r="AB299" s="41"/>
      <c r="AF299" s="41"/>
    </row>
    <row r="300" spans="10:32" ht="15.75" customHeight="1" x14ac:dyDescent="0.3">
      <c r="J300" s="3">
        <f>_xlfn.ISOWEEKNUM(Base_Accidentes_2023[[#This Row],[Fecha]])</f>
        <v>52</v>
      </c>
      <c r="AB300" s="41"/>
      <c r="AF300" s="41"/>
    </row>
    <row r="301" spans="10:32" ht="15.75" customHeight="1" x14ac:dyDescent="0.3">
      <c r="J301" s="3">
        <f>_xlfn.ISOWEEKNUM(Base_Accidentes_2023[[#This Row],[Fecha]])</f>
        <v>52</v>
      </c>
      <c r="AB301" s="41"/>
      <c r="AF301" s="41"/>
    </row>
    <row r="302" spans="10:32" ht="15.75" customHeight="1" x14ac:dyDescent="0.3">
      <c r="J302" s="3">
        <f>_xlfn.ISOWEEKNUM(Base_Accidentes_2023[[#This Row],[Fecha]])</f>
        <v>52</v>
      </c>
      <c r="AB302" s="41"/>
      <c r="AF302" s="41"/>
    </row>
    <row r="303" spans="10:32" ht="15.75" customHeight="1" x14ac:dyDescent="0.3">
      <c r="J303" s="3">
        <f>_xlfn.ISOWEEKNUM(Base_Accidentes_2023[[#This Row],[Fecha]])</f>
        <v>52</v>
      </c>
      <c r="AB303" s="41"/>
      <c r="AF303" s="41"/>
    </row>
    <row r="304" spans="10:32" ht="15.75" customHeight="1" x14ac:dyDescent="0.3">
      <c r="J304" s="3">
        <f>_xlfn.ISOWEEKNUM(Base_Accidentes_2023[[#This Row],[Fecha]])</f>
        <v>52</v>
      </c>
      <c r="AB304" s="41"/>
      <c r="AF304" s="41"/>
    </row>
    <row r="305" spans="1:40" ht="15.75" customHeight="1" x14ac:dyDescent="0.3">
      <c r="J305" s="3">
        <f>_xlfn.ISOWEEKNUM(Base_Accidentes_2023[[#This Row],[Fecha]])</f>
        <v>52</v>
      </c>
      <c r="AB305" s="41"/>
      <c r="AF305" s="41"/>
    </row>
    <row r="306" spans="1:40" ht="15.75" customHeight="1" x14ac:dyDescent="0.3">
      <c r="J306" s="3">
        <f>_xlfn.ISOWEEKNUM(Base_Accidentes_2023[[#This Row],[Fecha]])</f>
        <v>52</v>
      </c>
      <c r="AB306" s="41"/>
      <c r="AF306" s="41"/>
    </row>
    <row r="307" spans="1:40" ht="15.75" customHeight="1" x14ac:dyDescent="0.3">
      <c r="A307" s="27"/>
      <c r="B307" s="26"/>
      <c r="C307" s="26"/>
      <c r="D307" s="26"/>
      <c r="E307" s="27"/>
      <c r="F307" s="27"/>
      <c r="G307" s="27"/>
      <c r="H307" s="27"/>
      <c r="I307" s="27"/>
      <c r="J307" s="11">
        <f>_xlfn.ISOWEEKNUM(Base_Accidentes_2023[[#This Row],[Fecha]])</f>
        <v>52</v>
      </c>
      <c r="K307" s="27"/>
      <c r="L307" s="27"/>
      <c r="M307" s="27"/>
      <c r="N307" s="27"/>
      <c r="O307" s="27"/>
      <c r="P307" s="27"/>
      <c r="Q307" s="27"/>
      <c r="R307" s="27"/>
      <c r="S307" s="27"/>
      <c r="T307" s="26"/>
      <c r="U307" s="27"/>
      <c r="V307" s="27"/>
      <c r="W307" s="27"/>
      <c r="X307" s="27"/>
      <c r="Y307" s="27"/>
      <c r="Z307" s="27"/>
      <c r="AA307" s="27"/>
      <c r="AB307" s="41"/>
      <c r="AC307" s="27"/>
      <c r="AD307" s="27"/>
      <c r="AE307" s="27"/>
      <c r="AF307" s="41"/>
      <c r="AG307" s="27"/>
      <c r="AH307" s="27"/>
      <c r="AI307" s="27"/>
      <c r="AJ307" s="27"/>
      <c r="AK307" s="27"/>
      <c r="AL307" s="27"/>
      <c r="AM307" s="26"/>
    </row>
    <row r="308" spans="1:40" ht="34.5" customHeight="1" x14ac:dyDescent="0.3">
      <c r="A308" s="34"/>
      <c r="B308" s="35"/>
      <c r="C308" s="26"/>
      <c r="D308" s="41"/>
      <c r="J308" s="39"/>
      <c r="K308" s="34"/>
      <c r="L308" s="34"/>
      <c r="M308" s="34"/>
      <c r="N308" s="34"/>
      <c r="O308" s="34"/>
      <c r="P308" s="34"/>
      <c r="Q308" s="34"/>
      <c r="R308" s="34"/>
      <c r="S308" s="34"/>
      <c r="T308" s="35"/>
      <c r="U308" s="34"/>
      <c r="V308" s="34"/>
      <c r="W308" s="34"/>
      <c r="X308" s="34"/>
      <c r="Y308" s="34"/>
      <c r="Z308" s="34"/>
      <c r="AA308" s="34"/>
      <c r="AB308" s="1"/>
      <c r="AC308" s="34"/>
      <c r="AD308" s="34"/>
      <c r="AE308" s="34"/>
      <c r="AF308" s="1"/>
      <c r="AG308" s="34"/>
      <c r="AH308" s="34"/>
      <c r="AI308" s="34"/>
      <c r="AJ308" s="34"/>
      <c r="AK308" s="34"/>
      <c r="AL308" s="34"/>
      <c r="AM308" s="35"/>
      <c r="AN308" s="36"/>
    </row>
    <row r="309" spans="1:40" ht="34.5" customHeight="1" x14ac:dyDescent="0.3">
      <c r="A309" s="37"/>
      <c r="B309" s="38"/>
      <c r="C309" s="26"/>
      <c r="D309" s="41"/>
      <c r="J309" s="39"/>
      <c r="K309" s="37"/>
      <c r="L309" s="37"/>
      <c r="M309" s="37"/>
      <c r="N309" s="37"/>
      <c r="O309" s="37"/>
      <c r="P309" s="37"/>
      <c r="Q309" s="37"/>
      <c r="R309" s="37"/>
      <c r="S309" s="37"/>
      <c r="T309" s="38"/>
      <c r="U309" s="37"/>
      <c r="V309" s="37"/>
      <c r="W309" s="37"/>
      <c r="X309" s="37"/>
      <c r="Y309" s="37"/>
      <c r="Z309" s="37"/>
      <c r="AA309" s="37"/>
      <c r="AB309" s="91"/>
      <c r="AC309" s="37"/>
      <c r="AD309" s="37"/>
      <c r="AE309" s="37"/>
      <c r="AF309" s="91"/>
      <c r="AG309" s="37"/>
      <c r="AH309" s="37"/>
      <c r="AI309" s="37"/>
      <c r="AJ309" s="37"/>
      <c r="AK309" s="37"/>
      <c r="AL309" s="37"/>
      <c r="AM309" s="38"/>
      <c r="AN309" s="36"/>
    </row>
    <row r="310" spans="1:40" ht="15.75" customHeight="1" x14ac:dyDescent="0.3"/>
    <row r="311" spans="1:40" ht="15.75" customHeight="1" x14ac:dyDescent="0.3"/>
    <row r="312" spans="1:40" ht="15.75" customHeight="1" x14ac:dyDescent="0.3"/>
    <row r="313" spans="1:40" ht="15.75" customHeight="1" x14ac:dyDescent="0.3"/>
    <row r="314" spans="1:40" ht="15.75" customHeight="1" x14ac:dyDescent="0.3"/>
    <row r="315" spans="1:40" ht="15.75" customHeight="1" x14ac:dyDescent="0.3"/>
    <row r="316" spans="1:40" ht="15.75" customHeight="1" x14ac:dyDescent="0.3"/>
    <row r="317" spans="1:40" ht="15.75" customHeight="1" x14ac:dyDescent="0.3"/>
    <row r="318" spans="1:40" ht="15.75" customHeight="1" x14ac:dyDescent="0.3"/>
    <row r="319" spans="1:40" ht="15.75" customHeight="1" x14ac:dyDescent="0.3"/>
    <row r="320" spans="1:4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sheetData>
  <customSheetViews>
    <customSheetView guid="{140AD779-13CE-447C-9CD3-5F0532BEF1C0}" filter="1" showAutoFilter="1">
      <pageMargins left="0" right="0" top="0" bottom="0" header="0" footer="0"/>
      <autoFilter ref="A1:AY82" xr:uid="{A18D2D22-2F63-4B80-B080-C83502A7EEA9}"/>
      <extLst>
        <ext uri="GoogleSheetsCustomDataVersion1">
          <go:sheetsCustomData xmlns:go="http://customooxmlschemas.google.com/" filterViewId="250050343"/>
        </ext>
      </extLst>
    </customSheetView>
    <customSheetView guid="{CB099478-40AF-4959-9D50-3DB7DA20C1D7}" filter="1" showAutoFilter="1">
      <pageMargins left="0" right="0" top="0" bottom="0" header="0" footer="0"/>
      <autoFilter ref="A1:AY51" xr:uid="{1CAE88CD-1E1E-4119-A975-B4BCFACC4704}"/>
      <extLst>
        <ext uri="GoogleSheetsCustomDataVersion1">
          <go:sheetsCustomData xmlns:go="http://customooxmlschemas.google.com/" filterViewId="480457649"/>
        </ext>
      </extLst>
    </customSheetView>
    <customSheetView guid="{A9EB8B78-4448-4673-984E-F45C7FBF0F49}" filter="1" showAutoFilter="1">
      <pageMargins left="0" right="0" top="0" bottom="0" header="0" footer="0"/>
      <autoFilter ref="A1:AY83" xr:uid="{B11B8067-D4F7-40E0-936D-305F776187AD}"/>
      <extLst>
        <ext uri="GoogleSheetsCustomDataVersion1">
          <go:sheetsCustomData xmlns:go="http://customooxmlschemas.google.com/" filterViewId="594689687"/>
        </ext>
      </extLst>
    </customSheetView>
  </customSheetViews>
  <phoneticPr fontId="11" type="noConversion"/>
  <pageMargins left="0.7" right="0.7" top="0.75" bottom="0.75" header="0" footer="0"/>
  <pageSetup paperSize="9" orientation="portrait" r:id="rId1"/>
  <customProperties>
    <customPr name="_pios_id" r:id="rId2"/>
  </customProperties>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5FC29-2C6C-41E1-A3FD-EB96D2FB9B06}">
  <dimension ref="A1:B31"/>
  <sheetViews>
    <sheetView workbookViewId="0">
      <selection activeCell="C19" sqref="C19"/>
    </sheetView>
  </sheetViews>
  <sheetFormatPr baseColWidth="10" defaultColWidth="11.44140625" defaultRowHeight="14.4" x14ac:dyDescent="0.3"/>
  <cols>
    <col min="1" max="1" width="16.5546875" bestFit="1" customWidth="1"/>
    <col min="2" max="2" width="12" style="92" bestFit="1" customWidth="1"/>
    <col min="3" max="8" width="25.5546875" bestFit="1" customWidth="1"/>
    <col min="9" max="9" width="11.5546875" bestFit="1" customWidth="1"/>
  </cols>
  <sheetData>
    <row r="1" spans="1:2" x14ac:dyDescent="0.3">
      <c r="A1" s="19" t="s">
        <v>2</v>
      </c>
      <c r="B1" s="9" t="s">
        <v>41</v>
      </c>
    </row>
    <row r="3" spans="1:2" x14ac:dyDescent="0.3">
      <c r="A3" s="19" t="s">
        <v>887</v>
      </c>
      <c r="B3" s="9" t="s">
        <v>888</v>
      </c>
    </row>
    <row r="4" spans="1:2" x14ac:dyDescent="0.3">
      <c r="A4" s="20" t="s">
        <v>166</v>
      </c>
      <c r="B4" s="81">
        <v>0.42857142857142855</v>
      </c>
    </row>
    <row r="5" spans="1:2" x14ac:dyDescent="0.3">
      <c r="A5" s="20" t="s">
        <v>78</v>
      </c>
      <c r="B5" s="81">
        <v>9.5238095238095233E-2</v>
      </c>
    </row>
    <row r="6" spans="1:2" x14ac:dyDescent="0.3">
      <c r="A6" s="20" t="s">
        <v>187</v>
      </c>
      <c r="B6" s="81">
        <v>9.5238095238095233E-2</v>
      </c>
    </row>
    <row r="7" spans="1:2" x14ac:dyDescent="0.3">
      <c r="A7" s="20" t="s">
        <v>231</v>
      </c>
      <c r="B7" s="81">
        <v>9.5238095238095233E-2</v>
      </c>
    </row>
    <row r="8" spans="1:2" x14ac:dyDescent="0.3">
      <c r="A8" s="20" t="s">
        <v>346</v>
      </c>
      <c r="B8" s="81">
        <v>8.3333333333333329E-2</v>
      </c>
    </row>
    <row r="9" spans="1:2" x14ac:dyDescent="0.3">
      <c r="A9" s="20" t="s">
        <v>138</v>
      </c>
      <c r="B9" s="81">
        <v>7.1428571428571425E-2</v>
      </c>
    </row>
    <row r="10" spans="1:2" x14ac:dyDescent="0.3">
      <c r="A10" s="20" t="s">
        <v>256</v>
      </c>
      <c r="B10" s="81">
        <v>7.1428571428571425E-2</v>
      </c>
    </row>
    <row r="11" spans="1:2" x14ac:dyDescent="0.3">
      <c r="A11" s="20" t="s">
        <v>58</v>
      </c>
      <c r="B11" s="81">
        <v>2.3809523809523808E-2</v>
      </c>
    </row>
    <row r="12" spans="1:2" x14ac:dyDescent="0.3">
      <c r="A12" s="20" t="s">
        <v>96</v>
      </c>
      <c r="B12" s="81">
        <v>2.3809523809523808E-2</v>
      </c>
    </row>
    <row r="13" spans="1:2" x14ac:dyDescent="0.3">
      <c r="A13" s="20" t="s">
        <v>198</v>
      </c>
      <c r="B13" s="81">
        <v>1.1904761904761904E-2</v>
      </c>
    </row>
    <row r="14" spans="1:2" x14ac:dyDescent="0.3">
      <c r="A14" s="20" t="s">
        <v>889</v>
      </c>
      <c r="B14" s="93">
        <v>1</v>
      </c>
    </row>
    <row r="15" spans="1:2" x14ac:dyDescent="0.3">
      <c r="B15" s="9"/>
    </row>
    <row r="16" spans="1:2" x14ac:dyDescent="0.3">
      <c r="B16" s="9"/>
    </row>
    <row r="17" spans="2:2" x14ac:dyDescent="0.3">
      <c r="B17" s="9"/>
    </row>
    <row r="18" spans="2:2" x14ac:dyDescent="0.3">
      <c r="B18" s="9"/>
    </row>
    <row r="19" spans="2:2" x14ac:dyDescent="0.3">
      <c r="B19" s="9"/>
    </row>
    <row r="20" spans="2:2" x14ac:dyDescent="0.3">
      <c r="B20" s="9"/>
    </row>
    <row r="21" spans="2:2" x14ac:dyDescent="0.3">
      <c r="B21" s="9"/>
    </row>
    <row r="22" spans="2:2" x14ac:dyDescent="0.3">
      <c r="B22" s="9"/>
    </row>
    <row r="23" spans="2:2" x14ac:dyDescent="0.3">
      <c r="B23" s="9"/>
    </row>
    <row r="24" spans="2:2" x14ac:dyDescent="0.3">
      <c r="B24" s="9"/>
    </row>
    <row r="25" spans="2:2" x14ac:dyDescent="0.3">
      <c r="B25" s="9"/>
    </row>
    <row r="26" spans="2:2" x14ac:dyDescent="0.3">
      <c r="B26" s="9"/>
    </row>
    <row r="27" spans="2:2" x14ac:dyDescent="0.3">
      <c r="B27" s="9"/>
    </row>
    <row r="28" spans="2:2" x14ac:dyDescent="0.3">
      <c r="B28" s="9"/>
    </row>
    <row r="29" spans="2:2" x14ac:dyDescent="0.3">
      <c r="B29" s="9"/>
    </row>
    <row r="30" spans="2:2" x14ac:dyDescent="0.3">
      <c r="B30" s="9"/>
    </row>
    <row r="31" spans="2:2" x14ac:dyDescent="0.3">
      <c r="B31" s="9"/>
    </row>
  </sheetData>
  <pageMargins left="0.7" right="0.7" top="0.75" bottom="0.75" header="0.3" footer="0.3"/>
  <customProperties>
    <customPr name="_pios_id"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EF676-1A2D-4DF4-B850-2B4A81A2B55D}">
  <dimension ref="A1:C31"/>
  <sheetViews>
    <sheetView workbookViewId="0">
      <selection activeCell="A3" sqref="A3"/>
    </sheetView>
  </sheetViews>
  <sheetFormatPr baseColWidth="10" defaultColWidth="11.44140625" defaultRowHeight="14.4" x14ac:dyDescent="0.3"/>
  <cols>
    <col min="1" max="1" width="20.44140625" bestFit="1" customWidth="1"/>
    <col min="2" max="2" width="12" style="92" bestFit="1" customWidth="1"/>
    <col min="3" max="3" width="12.5546875" style="9" bestFit="1" customWidth="1"/>
    <col min="4" max="7" width="25.5546875" bestFit="1" customWidth="1"/>
    <col min="8" max="8" width="11.5546875" bestFit="1" customWidth="1"/>
  </cols>
  <sheetData>
    <row r="1" spans="1:3" x14ac:dyDescent="0.3">
      <c r="A1" s="19" t="s">
        <v>2</v>
      </c>
      <c r="B1" s="9" t="s">
        <v>890</v>
      </c>
    </row>
    <row r="3" spans="1:3" x14ac:dyDescent="0.3">
      <c r="A3" s="19" t="s">
        <v>887</v>
      </c>
      <c r="B3" t="s">
        <v>888</v>
      </c>
      <c r="C3" s="9" t="s">
        <v>891</v>
      </c>
    </row>
    <row r="4" spans="1:3" x14ac:dyDescent="0.3">
      <c r="A4" s="20" t="s">
        <v>328</v>
      </c>
      <c r="B4" s="81">
        <v>4.716981132075472E-2</v>
      </c>
      <c r="C4" s="94">
        <v>5</v>
      </c>
    </row>
    <row r="5" spans="1:3" x14ac:dyDescent="0.3">
      <c r="A5" s="20" t="s">
        <v>100</v>
      </c>
      <c r="B5" s="81">
        <v>0.29245283018867924</v>
      </c>
      <c r="C5" s="94">
        <v>31</v>
      </c>
    </row>
    <row r="6" spans="1:3" x14ac:dyDescent="0.3">
      <c r="A6" s="20" t="s">
        <v>516</v>
      </c>
      <c r="B6" s="81">
        <v>4.716981132075472E-2</v>
      </c>
      <c r="C6" s="94">
        <v>5</v>
      </c>
    </row>
    <row r="7" spans="1:3" x14ac:dyDescent="0.3">
      <c r="A7" s="20" t="s">
        <v>863</v>
      </c>
      <c r="B7" s="81">
        <v>9.433962264150943E-3</v>
      </c>
      <c r="C7" s="94">
        <v>1</v>
      </c>
    </row>
    <row r="8" spans="1:3" x14ac:dyDescent="0.3">
      <c r="A8" s="20" t="s">
        <v>815</v>
      </c>
      <c r="B8" s="81">
        <v>9.433962264150943E-3</v>
      </c>
      <c r="C8" s="94">
        <v>1</v>
      </c>
    </row>
    <row r="9" spans="1:3" x14ac:dyDescent="0.3">
      <c r="A9" s="20" t="s">
        <v>258</v>
      </c>
      <c r="B9" s="81">
        <v>9.433962264150943E-3</v>
      </c>
      <c r="C9" s="94">
        <v>1</v>
      </c>
    </row>
    <row r="10" spans="1:3" x14ac:dyDescent="0.3">
      <c r="A10" s="20" t="s">
        <v>116</v>
      </c>
      <c r="B10" s="81">
        <v>0.14150943396226415</v>
      </c>
      <c r="C10" s="94">
        <v>15</v>
      </c>
    </row>
    <row r="11" spans="1:3" x14ac:dyDescent="0.3">
      <c r="A11" s="20" t="s">
        <v>80</v>
      </c>
      <c r="B11" s="81">
        <v>0.10377358490566038</v>
      </c>
      <c r="C11" s="94">
        <v>11</v>
      </c>
    </row>
    <row r="12" spans="1:3" x14ac:dyDescent="0.3">
      <c r="A12" s="20" t="s">
        <v>62</v>
      </c>
      <c r="B12" s="81">
        <v>0.16981132075471697</v>
      </c>
      <c r="C12" s="94">
        <v>18</v>
      </c>
    </row>
    <row r="13" spans="1:3" x14ac:dyDescent="0.3">
      <c r="A13" s="20" t="s">
        <v>141</v>
      </c>
      <c r="B13" s="81">
        <v>6.6037735849056603E-2</v>
      </c>
      <c r="C13" s="94">
        <v>7</v>
      </c>
    </row>
    <row r="14" spans="1:3" x14ac:dyDescent="0.3">
      <c r="A14" s="20" t="s">
        <v>233</v>
      </c>
      <c r="B14" s="81">
        <v>9.4339622641509441E-2</v>
      </c>
      <c r="C14" s="94">
        <v>10</v>
      </c>
    </row>
    <row r="15" spans="1:3" x14ac:dyDescent="0.3">
      <c r="A15" s="20" t="s">
        <v>372</v>
      </c>
      <c r="B15" s="81">
        <v>9.433962264150943E-3</v>
      </c>
      <c r="C15" s="94">
        <v>1</v>
      </c>
    </row>
    <row r="16" spans="1:3" x14ac:dyDescent="0.3">
      <c r="A16" s="20" t="s">
        <v>889</v>
      </c>
      <c r="B16" s="93">
        <v>1</v>
      </c>
      <c r="C16" s="9">
        <v>106</v>
      </c>
    </row>
    <row r="17" spans="2:2" x14ac:dyDescent="0.3">
      <c r="B17"/>
    </row>
    <row r="18" spans="2:2" x14ac:dyDescent="0.3">
      <c r="B18" s="9"/>
    </row>
    <row r="19" spans="2:2" x14ac:dyDescent="0.3">
      <c r="B19" s="9"/>
    </row>
    <row r="20" spans="2:2" x14ac:dyDescent="0.3">
      <c r="B20" s="9"/>
    </row>
    <row r="21" spans="2:2" x14ac:dyDescent="0.3">
      <c r="B21" s="9"/>
    </row>
    <row r="22" spans="2:2" x14ac:dyDescent="0.3">
      <c r="B22" s="9"/>
    </row>
    <row r="23" spans="2:2" x14ac:dyDescent="0.3">
      <c r="B23" s="9"/>
    </row>
    <row r="24" spans="2:2" x14ac:dyDescent="0.3">
      <c r="B24" s="9"/>
    </row>
    <row r="25" spans="2:2" x14ac:dyDescent="0.3">
      <c r="B25" s="9"/>
    </row>
    <row r="26" spans="2:2" x14ac:dyDescent="0.3">
      <c r="B26" s="9"/>
    </row>
    <row r="27" spans="2:2" x14ac:dyDescent="0.3">
      <c r="B27" s="9"/>
    </row>
    <row r="28" spans="2:2" x14ac:dyDescent="0.3">
      <c r="B28" s="9"/>
    </row>
    <row r="29" spans="2:2" x14ac:dyDescent="0.3">
      <c r="B29" s="9"/>
    </row>
    <row r="30" spans="2:2" x14ac:dyDescent="0.3">
      <c r="B30" s="9"/>
    </row>
    <row r="31" spans="2:2" x14ac:dyDescent="0.3">
      <c r="B31" s="9"/>
    </row>
  </sheetData>
  <pageMargins left="0.7" right="0.7" top="0.75" bottom="0.75" header="0.3" footer="0.3"/>
  <customProperties>
    <customPr name="_pios_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F33A-A8B8-4E68-BF0C-5CC3B4BBAF04}">
  <dimension ref="A1:B15"/>
  <sheetViews>
    <sheetView workbookViewId="0">
      <selection activeCell="B21" sqref="B21"/>
    </sheetView>
  </sheetViews>
  <sheetFormatPr baseColWidth="10" defaultColWidth="11.44140625" defaultRowHeight="14.4" x14ac:dyDescent="0.3"/>
  <cols>
    <col min="1" max="1" width="24.5546875" bestFit="1" customWidth="1"/>
    <col min="2" max="2" width="12" style="80" bestFit="1" customWidth="1"/>
    <col min="3" max="8" width="25.5546875" bestFit="1" customWidth="1"/>
    <col min="9" max="9" width="11.5546875" bestFit="1" customWidth="1"/>
  </cols>
  <sheetData>
    <row r="1" spans="1:2" x14ac:dyDescent="0.3">
      <c r="A1" s="19" t="s">
        <v>2</v>
      </c>
      <c r="B1" t="s">
        <v>41</v>
      </c>
    </row>
    <row r="3" spans="1:2" x14ac:dyDescent="0.3">
      <c r="A3" s="19" t="s">
        <v>887</v>
      </c>
      <c r="B3" s="9" t="s">
        <v>888</v>
      </c>
    </row>
    <row r="4" spans="1:2" x14ac:dyDescent="0.3">
      <c r="A4" s="20" t="s">
        <v>45</v>
      </c>
      <c r="B4" s="81">
        <v>0.58333333333333337</v>
      </c>
    </row>
    <row r="5" spans="1:2" x14ac:dyDescent="0.3">
      <c r="A5" s="20" t="s">
        <v>263</v>
      </c>
      <c r="B5" s="81">
        <v>0.14285714285714285</v>
      </c>
    </row>
    <row r="6" spans="1:2" x14ac:dyDescent="0.3">
      <c r="A6" s="20" t="s">
        <v>102</v>
      </c>
      <c r="B6" s="81">
        <v>9.5238095238095233E-2</v>
      </c>
    </row>
    <row r="7" spans="1:2" x14ac:dyDescent="0.3">
      <c r="A7" s="20" t="s">
        <v>146</v>
      </c>
      <c r="B7" s="81">
        <v>5.9523809523809521E-2</v>
      </c>
    </row>
    <row r="8" spans="1:2" x14ac:dyDescent="0.3">
      <c r="A8" s="20" t="s">
        <v>214</v>
      </c>
      <c r="B8" s="81">
        <v>2.3809523809523808E-2</v>
      </c>
    </row>
    <row r="9" spans="1:2" x14ac:dyDescent="0.3">
      <c r="A9" s="20" t="s">
        <v>491</v>
      </c>
      <c r="B9" s="81">
        <v>2.3809523809523808E-2</v>
      </c>
    </row>
    <row r="10" spans="1:2" x14ac:dyDescent="0.3">
      <c r="A10" s="20" t="s">
        <v>695</v>
      </c>
      <c r="B10" s="81">
        <v>2.3809523809523808E-2</v>
      </c>
    </row>
    <row r="11" spans="1:2" x14ac:dyDescent="0.3">
      <c r="A11" s="20" t="s">
        <v>249</v>
      </c>
      <c r="B11" s="81">
        <v>1.1904761904761904E-2</v>
      </c>
    </row>
    <row r="12" spans="1:2" x14ac:dyDescent="0.3">
      <c r="A12" s="20" t="s">
        <v>127</v>
      </c>
      <c r="B12" s="81">
        <v>1.1904761904761904E-2</v>
      </c>
    </row>
    <row r="13" spans="1:2" x14ac:dyDescent="0.3">
      <c r="A13" s="20" t="s">
        <v>510</v>
      </c>
      <c r="B13" s="81">
        <v>1.1904761904761904E-2</v>
      </c>
    </row>
    <row r="14" spans="1:2" x14ac:dyDescent="0.3">
      <c r="A14" s="20" t="s">
        <v>892</v>
      </c>
      <c r="B14" s="81">
        <v>1.1904761904761904E-2</v>
      </c>
    </row>
    <row r="15" spans="1:2" x14ac:dyDescent="0.3">
      <c r="A15" s="20" t="s">
        <v>889</v>
      </c>
      <c r="B15" s="79">
        <v>1</v>
      </c>
    </row>
  </sheetData>
  <pageMargins left="0.7" right="0.7" top="0.75" bottom="0.75" header="0.3" footer="0.3"/>
  <customProperties>
    <customPr name="_pios_id" r:id="rId2"/>
  </customPropertie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E6B4E-2C83-4741-B7E4-9C0228389EF5}">
  <dimension ref="A1:AO13"/>
  <sheetViews>
    <sheetView workbookViewId="0">
      <selection activeCell="G10" sqref="G10"/>
    </sheetView>
  </sheetViews>
  <sheetFormatPr baseColWidth="10" defaultColWidth="8.77734375" defaultRowHeight="14.4" x14ac:dyDescent="0.3"/>
  <cols>
    <col min="2" max="2" width="10.5546875" bestFit="1" customWidth="1"/>
    <col min="3" max="3" width="9.77734375" bestFit="1" customWidth="1"/>
    <col min="4" max="4" width="16.44140625" bestFit="1" customWidth="1"/>
    <col min="5" max="5" width="10.44140625" bestFit="1" customWidth="1"/>
    <col min="6" max="6" width="19.5546875" bestFit="1" customWidth="1"/>
    <col min="7" max="7" width="26.44140625" bestFit="1" customWidth="1"/>
    <col min="8" max="8" width="19.5546875" bestFit="1" customWidth="1"/>
    <col min="9" max="9" width="11.44140625" bestFit="1" customWidth="1"/>
    <col min="15" max="15" width="9.44140625" bestFit="1" customWidth="1"/>
    <col min="16" max="17" width="20.5546875" bestFit="1" customWidth="1"/>
    <col min="18" max="18" width="21.44140625" bestFit="1" customWidth="1"/>
    <col min="19" max="19" width="22.21875" bestFit="1" customWidth="1"/>
    <col min="20" max="20" width="36.5546875" bestFit="1" customWidth="1"/>
    <col min="23" max="23" width="39.21875" bestFit="1" customWidth="1"/>
    <col min="24" max="24" width="28" bestFit="1" customWidth="1"/>
    <col min="25" max="25" width="255.5546875" bestFit="1" customWidth="1"/>
    <col min="26" max="26" width="24.5546875" bestFit="1" customWidth="1"/>
    <col min="27" max="27" width="27.44140625" bestFit="1" customWidth="1"/>
    <col min="28" max="28" width="29" bestFit="1" customWidth="1"/>
    <col min="29" max="29" width="21.21875" bestFit="1" customWidth="1"/>
    <col min="30" max="30" width="31.77734375" bestFit="1" customWidth="1"/>
    <col min="31" max="31" width="47.77734375" bestFit="1" customWidth="1"/>
    <col min="32" max="32" width="11.5546875" bestFit="1" customWidth="1"/>
    <col min="33" max="33" width="14.5546875" bestFit="1" customWidth="1"/>
    <col min="34" max="34" width="13.77734375" bestFit="1" customWidth="1"/>
    <col min="35" max="35" width="25.44140625" bestFit="1" customWidth="1"/>
    <col min="36" max="36" width="18" bestFit="1" customWidth="1"/>
    <col min="37" max="37" width="28.44140625" bestFit="1" customWidth="1"/>
    <col min="38" max="38" width="9.5546875" bestFit="1" customWidth="1"/>
    <col min="39" max="39" width="13.5546875" bestFit="1" customWidth="1"/>
    <col min="40" max="40" width="32.44140625" bestFit="1" customWidth="1"/>
    <col min="41" max="41" width="21.44140625" bestFit="1" customWidth="1"/>
  </cols>
  <sheetData>
    <row r="1" spans="1:41" x14ac:dyDescent="0.3">
      <c r="A1" s="109" t="s">
        <v>893</v>
      </c>
    </row>
    <row r="3" spans="1:4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row>
    <row r="4" spans="1:41" x14ac:dyDescent="0.3">
      <c r="C4" t="s">
        <v>41</v>
      </c>
      <c r="D4" t="s">
        <v>143</v>
      </c>
      <c r="E4" t="s">
        <v>144</v>
      </c>
      <c r="F4" t="s">
        <v>827</v>
      </c>
      <c r="G4" t="s">
        <v>102</v>
      </c>
      <c r="H4" t="s">
        <v>865</v>
      </c>
      <c r="I4">
        <v>45280</v>
      </c>
      <c r="J4">
        <v>51</v>
      </c>
      <c r="O4" t="s">
        <v>216</v>
      </c>
      <c r="P4" t="s">
        <v>71</v>
      </c>
      <c r="Q4" t="s">
        <v>866</v>
      </c>
      <c r="T4" t="s">
        <v>867</v>
      </c>
      <c r="U4" t="s">
        <v>53</v>
      </c>
      <c r="W4" t="s">
        <v>868</v>
      </c>
      <c r="Y4" t="s">
        <v>869</v>
      </c>
      <c r="AB4" t="s">
        <v>187</v>
      </c>
      <c r="AD4" t="s">
        <v>79</v>
      </c>
      <c r="AF4" t="s">
        <v>100</v>
      </c>
      <c r="AM4" t="s">
        <v>870</v>
      </c>
      <c r="AN4" t="s">
        <v>871</v>
      </c>
    </row>
    <row r="5" spans="1:41" x14ac:dyDescent="0.3">
      <c r="C5" t="s">
        <v>41</v>
      </c>
      <c r="D5" t="s">
        <v>143</v>
      </c>
      <c r="E5" t="s">
        <v>144</v>
      </c>
      <c r="F5" t="s">
        <v>847</v>
      </c>
      <c r="G5" t="s">
        <v>852</v>
      </c>
      <c r="H5" t="s">
        <v>853</v>
      </c>
      <c r="I5">
        <v>45273</v>
      </c>
      <c r="J5">
        <v>50</v>
      </c>
      <c r="O5" t="s">
        <v>216</v>
      </c>
      <c r="P5" t="s">
        <v>71</v>
      </c>
      <c r="Q5" t="s">
        <v>854</v>
      </c>
      <c r="T5" t="s">
        <v>855</v>
      </c>
      <c r="U5" t="s">
        <v>53</v>
      </c>
      <c r="W5" t="s">
        <v>856</v>
      </c>
      <c r="Y5" t="s">
        <v>857</v>
      </c>
      <c r="AB5" t="s">
        <v>166</v>
      </c>
      <c r="AD5" t="s">
        <v>79</v>
      </c>
      <c r="AF5" t="s">
        <v>62</v>
      </c>
      <c r="AN5" t="s">
        <v>858</v>
      </c>
    </row>
    <row r="6" spans="1:41" x14ac:dyDescent="0.3">
      <c r="C6" t="s">
        <v>307</v>
      </c>
      <c r="D6" t="s">
        <v>308</v>
      </c>
      <c r="E6" t="s">
        <v>309</v>
      </c>
      <c r="F6" t="s">
        <v>309</v>
      </c>
      <c r="G6" t="s">
        <v>45</v>
      </c>
      <c r="H6" t="s">
        <v>789</v>
      </c>
      <c r="I6" s="39">
        <v>45217</v>
      </c>
      <c r="J6">
        <v>42</v>
      </c>
      <c r="O6" t="s">
        <v>70</v>
      </c>
      <c r="P6" t="s">
        <v>71</v>
      </c>
      <c r="Q6" t="s">
        <v>790</v>
      </c>
      <c r="T6" t="s">
        <v>791</v>
      </c>
      <c r="U6" t="s">
        <v>53</v>
      </c>
      <c r="W6" t="s">
        <v>792</v>
      </c>
      <c r="Y6" t="s">
        <v>793</v>
      </c>
      <c r="AB6" t="s">
        <v>166</v>
      </c>
      <c r="AD6" t="s">
        <v>79</v>
      </c>
      <c r="AE6" t="s">
        <v>794</v>
      </c>
      <c r="AF6" t="s">
        <v>328</v>
      </c>
      <c r="AM6" t="s">
        <v>795</v>
      </c>
      <c r="AN6" t="s">
        <v>796</v>
      </c>
    </row>
    <row r="7" spans="1:41" x14ac:dyDescent="0.3">
      <c r="C7" t="s">
        <v>307</v>
      </c>
      <c r="D7" t="s">
        <v>308</v>
      </c>
      <c r="E7" t="s">
        <v>307</v>
      </c>
      <c r="F7" t="s">
        <v>309</v>
      </c>
      <c r="G7" t="s">
        <v>214</v>
      </c>
      <c r="H7" t="s">
        <v>676</v>
      </c>
      <c r="I7" s="39">
        <v>45159</v>
      </c>
      <c r="J7">
        <v>34</v>
      </c>
      <c r="O7" t="s">
        <v>216</v>
      </c>
      <c r="P7" t="s">
        <v>71</v>
      </c>
      <c r="T7" t="s">
        <v>677</v>
      </c>
      <c r="U7" t="s">
        <v>53</v>
      </c>
      <c r="V7">
        <v>29</v>
      </c>
      <c r="Y7" t="s">
        <v>678</v>
      </c>
      <c r="Z7" t="s">
        <v>605</v>
      </c>
      <c r="AB7" t="s">
        <v>187</v>
      </c>
      <c r="AD7" t="s">
        <v>79</v>
      </c>
      <c r="AE7" t="s">
        <v>428</v>
      </c>
      <c r="AF7" t="s">
        <v>62</v>
      </c>
      <c r="AG7">
        <v>4</v>
      </c>
      <c r="AI7">
        <v>4</v>
      </c>
      <c r="AM7" t="s">
        <v>679</v>
      </c>
      <c r="AN7" t="s">
        <v>680</v>
      </c>
      <c r="AO7" t="s">
        <v>83</v>
      </c>
    </row>
    <row r="8" spans="1:41" x14ac:dyDescent="0.3">
      <c r="C8" t="s">
        <v>41</v>
      </c>
      <c r="D8" t="s">
        <v>143</v>
      </c>
      <c r="E8" t="s">
        <v>144</v>
      </c>
      <c r="F8" t="s">
        <v>145</v>
      </c>
      <c r="G8" t="s">
        <v>45</v>
      </c>
      <c r="I8" s="39">
        <v>45114</v>
      </c>
      <c r="J8">
        <v>27</v>
      </c>
      <c r="O8" t="s">
        <v>216</v>
      </c>
      <c r="P8" t="s">
        <v>71</v>
      </c>
      <c r="T8" t="s">
        <v>575</v>
      </c>
      <c r="U8" t="s">
        <v>53</v>
      </c>
      <c r="W8" t="s">
        <v>576</v>
      </c>
      <c r="Y8" t="s">
        <v>577</v>
      </c>
      <c r="Z8" t="s">
        <v>208</v>
      </c>
      <c r="AB8" t="s">
        <v>166</v>
      </c>
      <c r="AD8" t="s">
        <v>79</v>
      </c>
      <c r="AE8" t="s">
        <v>77</v>
      </c>
      <c r="AF8" t="s">
        <v>80</v>
      </c>
      <c r="AG8">
        <v>49</v>
      </c>
      <c r="AI8">
        <v>49</v>
      </c>
      <c r="AM8" t="s">
        <v>453</v>
      </c>
      <c r="AN8" t="s">
        <v>578</v>
      </c>
      <c r="AO8" t="s">
        <v>83</v>
      </c>
    </row>
    <row r="9" spans="1:41" ht="28.8" x14ac:dyDescent="0.3">
      <c r="C9" t="s">
        <v>307</v>
      </c>
      <c r="D9" t="s">
        <v>308</v>
      </c>
      <c r="E9" t="s">
        <v>307</v>
      </c>
      <c r="F9" t="s">
        <v>309</v>
      </c>
      <c r="G9" t="s">
        <v>214</v>
      </c>
      <c r="H9" t="s">
        <v>589</v>
      </c>
      <c r="I9" s="39">
        <v>45095</v>
      </c>
      <c r="J9">
        <v>24</v>
      </c>
      <c r="O9" t="s">
        <v>216</v>
      </c>
      <c r="P9" t="s">
        <v>71</v>
      </c>
      <c r="T9" t="s">
        <v>590</v>
      </c>
      <c r="U9" t="s">
        <v>53</v>
      </c>
      <c r="V9">
        <v>39</v>
      </c>
      <c r="W9" t="s">
        <v>591</v>
      </c>
      <c r="Y9" s="106" t="s">
        <v>592</v>
      </c>
      <c r="Z9" t="s">
        <v>593</v>
      </c>
      <c r="AB9" t="s">
        <v>346</v>
      </c>
      <c r="AD9" t="s">
        <v>79</v>
      </c>
      <c r="AE9" t="s">
        <v>476</v>
      </c>
      <c r="AF9" t="s">
        <v>100</v>
      </c>
      <c r="AG9">
        <v>2</v>
      </c>
      <c r="AI9">
        <v>2</v>
      </c>
      <c r="AN9" t="s">
        <v>594</v>
      </c>
      <c r="AO9" t="s">
        <v>83</v>
      </c>
    </row>
    <row r="10" spans="1:41" x14ac:dyDescent="0.3">
      <c r="C10" t="s">
        <v>41</v>
      </c>
      <c r="D10" t="s">
        <v>143</v>
      </c>
      <c r="E10" t="s">
        <v>144</v>
      </c>
      <c r="F10" t="s">
        <v>225</v>
      </c>
      <c r="G10" t="s">
        <v>510</v>
      </c>
      <c r="H10" t="s">
        <v>511</v>
      </c>
      <c r="I10" s="39">
        <v>45079</v>
      </c>
      <c r="J10">
        <v>22</v>
      </c>
      <c r="O10" t="s">
        <v>70</v>
      </c>
      <c r="P10" t="s">
        <v>71</v>
      </c>
      <c r="T10" t="s">
        <v>512</v>
      </c>
      <c r="U10" t="s">
        <v>109</v>
      </c>
      <c r="W10" t="s">
        <v>513</v>
      </c>
      <c r="Y10" t="s">
        <v>514</v>
      </c>
      <c r="Z10" t="s">
        <v>515</v>
      </c>
      <c r="AB10" t="s">
        <v>166</v>
      </c>
      <c r="AD10" t="s">
        <v>79</v>
      </c>
      <c r="AE10" t="s">
        <v>515</v>
      </c>
      <c r="AF10" t="s">
        <v>516</v>
      </c>
      <c r="AG10">
        <v>10</v>
      </c>
      <c r="AI10">
        <v>10</v>
      </c>
      <c r="AN10" t="s">
        <v>517</v>
      </c>
      <c r="AO10" t="s">
        <v>83</v>
      </c>
    </row>
    <row r="11" spans="1:41" x14ac:dyDescent="0.3">
      <c r="C11" t="s">
        <v>41</v>
      </c>
      <c r="D11" t="s">
        <v>143</v>
      </c>
      <c r="E11" t="s">
        <v>356</v>
      </c>
      <c r="F11" t="s">
        <v>357</v>
      </c>
      <c r="G11" t="s">
        <v>102</v>
      </c>
      <c r="H11" t="s">
        <v>357</v>
      </c>
      <c r="I11" s="39">
        <v>44977</v>
      </c>
      <c r="J11">
        <v>8</v>
      </c>
      <c r="O11" t="s">
        <v>216</v>
      </c>
      <c r="P11" t="s">
        <v>71</v>
      </c>
      <c r="Q11" t="s">
        <v>358</v>
      </c>
      <c r="R11" t="s">
        <v>359</v>
      </c>
      <c r="S11" t="s">
        <v>360</v>
      </c>
      <c r="T11" t="s">
        <v>361</v>
      </c>
      <c r="U11" t="s">
        <v>109</v>
      </c>
      <c r="W11" t="s">
        <v>343</v>
      </c>
      <c r="Y11" t="s">
        <v>363</v>
      </c>
      <c r="Z11" t="s">
        <v>345</v>
      </c>
      <c r="AB11" t="s">
        <v>346</v>
      </c>
      <c r="AD11" t="s">
        <v>79</v>
      </c>
      <c r="AE11" t="s">
        <v>176</v>
      </c>
      <c r="AF11" t="s">
        <v>100</v>
      </c>
      <c r="AG11">
        <v>3</v>
      </c>
      <c r="AM11" t="s">
        <v>334</v>
      </c>
      <c r="AN11" t="s">
        <v>178</v>
      </c>
      <c r="AO11" t="s">
        <v>83</v>
      </c>
    </row>
    <row r="12" spans="1:41" x14ac:dyDescent="0.3">
      <c r="C12" t="s">
        <v>41</v>
      </c>
      <c r="D12" t="s">
        <v>143</v>
      </c>
      <c r="E12" t="s">
        <v>144</v>
      </c>
      <c r="F12" t="s">
        <v>297</v>
      </c>
      <c r="G12" t="s">
        <v>263</v>
      </c>
      <c r="H12" t="s">
        <v>298</v>
      </c>
      <c r="I12" s="39">
        <v>44963</v>
      </c>
      <c r="J12">
        <v>6</v>
      </c>
      <c r="O12" t="s">
        <v>70</v>
      </c>
      <c r="P12" t="s">
        <v>71</v>
      </c>
      <c r="Q12" t="s">
        <v>299</v>
      </c>
      <c r="R12" t="s">
        <v>300</v>
      </c>
      <c r="S12" t="s">
        <v>301</v>
      </c>
      <c r="T12" t="s">
        <v>302</v>
      </c>
      <c r="U12" t="s">
        <v>53</v>
      </c>
      <c r="V12">
        <v>50</v>
      </c>
      <c r="W12" t="s">
        <v>303</v>
      </c>
      <c r="Y12" t="s">
        <v>304</v>
      </c>
      <c r="Z12" t="s">
        <v>94</v>
      </c>
      <c r="AB12" t="s">
        <v>256</v>
      </c>
      <c r="AD12" t="s">
        <v>79</v>
      </c>
      <c r="AE12" t="s">
        <v>176</v>
      </c>
      <c r="AF12" t="s">
        <v>100</v>
      </c>
      <c r="AG12">
        <v>19</v>
      </c>
      <c r="AM12" t="s">
        <v>305</v>
      </c>
      <c r="AN12" t="s">
        <v>306</v>
      </c>
      <c r="AO12" t="s">
        <v>83</v>
      </c>
    </row>
    <row r="13" spans="1:41" x14ac:dyDescent="0.3">
      <c r="C13" t="s">
        <v>66</v>
      </c>
      <c r="D13" t="s">
        <v>67</v>
      </c>
      <c r="F13" t="s">
        <v>881</v>
      </c>
      <c r="G13" t="s">
        <v>263</v>
      </c>
      <c r="H13" t="s">
        <v>881</v>
      </c>
      <c r="I13" s="39">
        <v>44929</v>
      </c>
      <c r="J13">
        <v>1</v>
      </c>
      <c r="O13" t="s">
        <v>148</v>
      </c>
      <c r="P13" t="s">
        <v>71</v>
      </c>
      <c r="Q13" t="s">
        <v>503</v>
      </c>
      <c r="R13" t="s">
        <v>882</v>
      </c>
      <c r="S13" t="s">
        <v>883</v>
      </c>
      <c r="T13" t="s">
        <v>884</v>
      </c>
      <c r="U13" t="s">
        <v>53</v>
      </c>
      <c r="V13">
        <v>40</v>
      </c>
      <c r="W13" t="s">
        <v>303</v>
      </c>
      <c r="Y13" t="s">
        <v>885</v>
      </c>
      <c r="Z13" t="s">
        <v>94</v>
      </c>
      <c r="AB13" t="s">
        <v>78</v>
      </c>
      <c r="AD13" t="s">
        <v>79</v>
      </c>
      <c r="AE13" t="s">
        <v>176</v>
      </c>
      <c r="AF13" t="s">
        <v>100</v>
      </c>
      <c r="AG13">
        <v>21</v>
      </c>
      <c r="AM13" t="s">
        <v>317</v>
      </c>
      <c r="AN13" t="s">
        <v>886</v>
      </c>
      <c r="AO13" t="s">
        <v>83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8A243-BC7B-4018-B3DE-8B597FE9D95B}">
  <dimension ref="A1:B16"/>
  <sheetViews>
    <sheetView workbookViewId="0">
      <selection activeCell="B5" sqref="B5"/>
    </sheetView>
  </sheetViews>
  <sheetFormatPr baseColWidth="10" defaultColWidth="11.44140625" defaultRowHeight="14.4" x14ac:dyDescent="0.3"/>
  <cols>
    <col min="1" max="1" width="16.5546875" bestFit="1" customWidth="1"/>
    <col min="2" max="2" width="14.44140625" style="92" customWidth="1"/>
    <col min="3" max="8" width="25.5546875" bestFit="1" customWidth="1"/>
    <col min="9" max="9" width="11.5546875" bestFit="1" customWidth="1"/>
  </cols>
  <sheetData>
    <row r="1" spans="1:2" x14ac:dyDescent="0.3">
      <c r="B1" s="9"/>
    </row>
    <row r="3" spans="1:2" x14ac:dyDescent="0.3">
      <c r="A3" s="19" t="s">
        <v>887</v>
      </c>
      <c r="B3" s="9" t="s">
        <v>888</v>
      </c>
    </row>
    <row r="4" spans="1:2" x14ac:dyDescent="0.3">
      <c r="A4" s="20" t="s">
        <v>88</v>
      </c>
      <c r="B4" s="95">
        <v>0.71698113207547165</v>
      </c>
    </row>
    <row r="5" spans="1:2" x14ac:dyDescent="0.3">
      <c r="A5" s="20" t="s">
        <v>894</v>
      </c>
      <c r="B5" s="95">
        <v>9.4339622641509441E-2</v>
      </c>
    </row>
    <row r="6" spans="1:2" x14ac:dyDescent="0.3">
      <c r="A6" s="20" t="s">
        <v>48</v>
      </c>
      <c r="B6" s="95">
        <v>5.6603773584905662E-2</v>
      </c>
    </row>
    <row r="7" spans="1:2" x14ac:dyDescent="0.3">
      <c r="A7" s="20" t="s">
        <v>338</v>
      </c>
      <c r="B7" s="95">
        <v>5.6603773584905662E-2</v>
      </c>
    </row>
    <row r="8" spans="1:2" x14ac:dyDescent="0.3">
      <c r="A8" s="20" t="s">
        <v>264</v>
      </c>
      <c r="B8" s="95">
        <v>1.8867924528301886E-2</v>
      </c>
    </row>
    <row r="9" spans="1:2" x14ac:dyDescent="0.3">
      <c r="A9" s="20" t="s">
        <v>835</v>
      </c>
      <c r="B9" s="95">
        <v>9.433962264150943E-3</v>
      </c>
    </row>
    <row r="10" spans="1:2" x14ac:dyDescent="0.3">
      <c r="A10" s="20" t="s">
        <v>618</v>
      </c>
      <c r="B10" s="95">
        <v>9.433962264150943E-3</v>
      </c>
    </row>
    <row r="11" spans="1:2" x14ac:dyDescent="0.3">
      <c r="A11" s="20" t="s">
        <v>129</v>
      </c>
      <c r="B11" s="95">
        <v>9.433962264150943E-3</v>
      </c>
    </row>
    <row r="12" spans="1:2" x14ac:dyDescent="0.3">
      <c r="A12" s="20" t="s">
        <v>104</v>
      </c>
      <c r="B12" s="95">
        <v>9.433962264150943E-3</v>
      </c>
    </row>
    <row r="13" spans="1:2" x14ac:dyDescent="0.3">
      <c r="A13" s="20" t="s">
        <v>751</v>
      </c>
      <c r="B13" s="95">
        <v>9.433962264150943E-3</v>
      </c>
    </row>
    <row r="14" spans="1:2" x14ac:dyDescent="0.3">
      <c r="A14" s="20" t="s">
        <v>303</v>
      </c>
      <c r="B14" s="95">
        <v>9.433962264150943E-3</v>
      </c>
    </row>
    <row r="15" spans="1:2" hidden="1" x14ac:dyDescent="0.3">
      <c r="A15" s="20" t="s">
        <v>895</v>
      </c>
      <c r="B15" s="95">
        <v>0</v>
      </c>
    </row>
    <row r="16" spans="1:2" x14ac:dyDescent="0.3">
      <c r="A16" s="20" t="s">
        <v>889</v>
      </c>
      <c r="B16" s="93">
        <v>1</v>
      </c>
    </row>
  </sheetData>
  <pageMargins left="0.7" right="0.7" top="0.75" bottom="0.75" header="0.3" footer="0.3"/>
  <customProperties>
    <customPr name="_pios_id" r:id="rId2"/>
  </customProperties>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CB24-4688-491B-8BBD-69594A0B40A7}">
  <dimension ref="A1:B36"/>
  <sheetViews>
    <sheetView showGridLines="0" workbookViewId="0">
      <selection activeCell="B9" sqref="B9"/>
    </sheetView>
  </sheetViews>
  <sheetFormatPr baseColWidth="10" defaultColWidth="11.44140625" defaultRowHeight="14.4" x14ac:dyDescent="0.3"/>
  <cols>
    <col min="1" max="1" width="22.5546875" bestFit="1" customWidth="1"/>
    <col min="2" max="2" width="17.5546875" bestFit="1" customWidth="1"/>
  </cols>
  <sheetData>
    <row r="1" spans="1:2" x14ac:dyDescent="0.3">
      <c r="A1" s="19" t="s">
        <v>887</v>
      </c>
      <c r="B1" t="s">
        <v>896</v>
      </c>
    </row>
    <row r="2" spans="1:2" x14ac:dyDescent="0.3">
      <c r="A2" s="20" t="s">
        <v>49</v>
      </c>
      <c r="B2">
        <v>4</v>
      </c>
    </row>
    <row r="3" spans="1:2" x14ac:dyDescent="0.3">
      <c r="A3" s="20" t="s">
        <v>89</v>
      </c>
      <c r="B3">
        <v>7</v>
      </c>
    </row>
    <row r="4" spans="1:2" x14ac:dyDescent="0.3">
      <c r="A4" s="20" t="s">
        <v>265</v>
      </c>
      <c r="B4">
        <v>2</v>
      </c>
    </row>
    <row r="5" spans="1:2" x14ac:dyDescent="0.3">
      <c r="A5" s="20" t="s">
        <v>889</v>
      </c>
      <c r="B5">
        <v>13</v>
      </c>
    </row>
    <row r="11" spans="1:2" x14ac:dyDescent="0.3">
      <c r="A11" s="19" t="s">
        <v>887</v>
      </c>
      <c r="B11" t="s">
        <v>897</v>
      </c>
    </row>
    <row r="12" spans="1:2" x14ac:dyDescent="0.3">
      <c r="A12" s="20" t="s">
        <v>695</v>
      </c>
      <c r="B12">
        <v>2</v>
      </c>
    </row>
    <row r="13" spans="1:2" x14ac:dyDescent="0.3">
      <c r="A13" s="20" t="s">
        <v>45</v>
      </c>
      <c r="B13">
        <v>3</v>
      </c>
    </row>
    <row r="14" spans="1:2" x14ac:dyDescent="0.3">
      <c r="A14" s="20" t="s">
        <v>263</v>
      </c>
      <c r="B14">
        <v>1</v>
      </c>
    </row>
    <row r="15" spans="1:2" x14ac:dyDescent="0.3">
      <c r="A15" s="20" t="s">
        <v>889</v>
      </c>
      <c r="B15">
        <v>6</v>
      </c>
    </row>
    <row r="18" spans="1:2" x14ac:dyDescent="0.3">
      <c r="A18" s="19" t="s">
        <v>887</v>
      </c>
      <c r="B18" t="s">
        <v>898</v>
      </c>
    </row>
    <row r="19" spans="1:2" x14ac:dyDescent="0.3">
      <c r="A19" s="20" t="s">
        <v>731</v>
      </c>
      <c r="B19">
        <v>1</v>
      </c>
    </row>
    <row r="20" spans="1:2" x14ac:dyDescent="0.3">
      <c r="A20" s="20" t="s">
        <v>277</v>
      </c>
      <c r="B20">
        <v>2</v>
      </c>
    </row>
    <row r="21" spans="1:2" x14ac:dyDescent="0.3">
      <c r="A21" s="20" t="s">
        <v>44</v>
      </c>
      <c r="B21">
        <v>2</v>
      </c>
    </row>
    <row r="22" spans="1:2" x14ac:dyDescent="0.3">
      <c r="A22" s="20" t="s">
        <v>262</v>
      </c>
      <c r="B22">
        <v>1</v>
      </c>
    </row>
    <row r="23" spans="1:2" x14ac:dyDescent="0.3">
      <c r="A23" s="20" t="s">
        <v>889</v>
      </c>
      <c r="B23">
        <v>6</v>
      </c>
    </row>
    <row r="25" spans="1:2" x14ac:dyDescent="0.3">
      <c r="A25" s="19" t="s">
        <v>887</v>
      </c>
      <c r="B25" t="s">
        <v>899</v>
      </c>
    </row>
    <row r="26" spans="1:2" x14ac:dyDescent="0.3">
      <c r="A26" s="20" t="s">
        <v>123</v>
      </c>
      <c r="B26">
        <v>1</v>
      </c>
    </row>
    <row r="27" spans="1:2" x14ac:dyDescent="0.3">
      <c r="A27" s="40" t="s">
        <v>113</v>
      </c>
      <c r="B27">
        <v>1</v>
      </c>
    </row>
    <row r="28" spans="1:2" x14ac:dyDescent="0.3">
      <c r="A28" s="20" t="s">
        <v>196</v>
      </c>
      <c r="B28">
        <v>1</v>
      </c>
    </row>
    <row r="29" spans="1:2" x14ac:dyDescent="0.3">
      <c r="A29" s="40" t="s">
        <v>57</v>
      </c>
      <c r="B29">
        <v>1</v>
      </c>
    </row>
    <row r="30" spans="1:2" x14ac:dyDescent="0.3">
      <c r="A30" s="20" t="s">
        <v>56</v>
      </c>
      <c r="B30">
        <v>2</v>
      </c>
    </row>
    <row r="31" spans="1:2" x14ac:dyDescent="0.3">
      <c r="A31" s="40" t="s">
        <v>688</v>
      </c>
      <c r="B31">
        <v>2</v>
      </c>
    </row>
    <row r="32" spans="1:2" x14ac:dyDescent="0.3">
      <c r="A32" s="20" t="s">
        <v>739</v>
      </c>
      <c r="B32">
        <v>1</v>
      </c>
    </row>
    <row r="33" spans="1:2" x14ac:dyDescent="0.3">
      <c r="A33" s="40" t="s">
        <v>740</v>
      </c>
      <c r="B33">
        <v>1</v>
      </c>
    </row>
    <row r="34" spans="1:2" x14ac:dyDescent="0.3">
      <c r="A34" s="20" t="s">
        <v>94</v>
      </c>
      <c r="B34">
        <v>1</v>
      </c>
    </row>
    <row r="35" spans="1:2" x14ac:dyDescent="0.3">
      <c r="A35" s="40" t="s">
        <v>113</v>
      </c>
      <c r="B35">
        <v>1</v>
      </c>
    </row>
    <row r="36" spans="1:2" x14ac:dyDescent="0.3">
      <c r="A36" s="20" t="s">
        <v>889</v>
      </c>
      <c r="B36">
        <v>6</v>
      </c>
    </row>
  </sheetData>
  <pageMargins left="0.7" right="0.7" top="0.75" bottom="0.75" header="0.3" footer="0.3"/>
  <customProperties>
    <customPr name="_pios_id" r:id="rId5"/>
  </customProperties>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92778-AA0E-4A75-B21E-9DB718C65CA1}">
  <dimension ref="B3:J16"/>
  <sheetViews>
    <sheetView workbookViewId="0">
      <selection activeCell="B14" sqref="B14"/>
    </sheetView>
  </sheetViews>
  <sheetFormatPr baseColWidth="10" defaultColWidth="11.44140625" defaultRowHeight="14.4" x14ac:dyDescent="0.3"/>
  <cols>
    <col min="2" max="2" width="27.44140625" bestFit="1" customWidth="1"/>
    <col min="3" max="3" width="23.5546875" style="22" bestFit="1" customWidth="1"/>
    <col min="4" max="4" width="9.44140625" style="22" bestFit="1" customWidth="1"/>
    <col min="5" max="5" width="3.5546875" style="9" bestFit="1" customWidth="1"/>
    <col min="6" max="6" width="7.5546875" bestFit="1" customWidth="1"/>
    <col min="7" max="7" width="7" bestFit="1" customWidth="1"/>
    <col min="8" max="8" width="9.44140625" bestFit="1" customWidth="1"/>
    <col min="9" max="9" width="6.5546875" bestFit="1" customWidth="1"/>
    <col min="10" max="10" width="11.5546875" bestFit="1" customWidth="1"/>
  </cols>
  <sheetData>
    <row r="3" spans="2:10" x14ac:dyDescent="0.3">
      <c r="B3" s="19" t="s">
        <v>900</v>
      </c>
      <c r="C3" s="21" t="s">
        <v>901</v>
      </c>
      <c r="E3" s="22"/>
      <c r="F3" s="22"/>
      <c r="G3" s="22"/>
      <c r="H3" s="22"/>
      <c r="I3" s="22"/>
      <c r="J3" s="22"/>
    </row>
    <row r="4" spans="2:10" x14ac:dyDescent="0.3">
      <c r="B4" s="19" t="s">
        <v>887</v>
      </c>
      <c r="C4" s="22" t="s">
        <v>87</v>
      </c>
      <c r="D4" s="22" t="s">
        <v>47</v>
      </c>
      <c r="E4" s="22" t="s">
        <v>733</v>
      </c>
      <c r="F4" s="22" t="s">
        <v>279</v>
      </c>
      <c r="G4" s="22" t="s">
        <v>148</v>
      </c>
      <c r="H4" s="22" t="s">
        <v>70</v>
      </c>
      <c r="I4" s="22" t="s">
        <v>216</v>
      </c>
      <c r="J4" t="s">
        <v>889</v>
      </c>
    </row>
    <row r="5" spans="2:10" x14ac:dyDescent="0.3">
      <c r="B5" s="20" t="s">
        <v>84</v>
      </c>
      <c r="C5" s="22">
        <v>1</v>
      </c>
      <c r="D5" s="22">
        <v>1</v>
      </c>
      <c r="E5" s="22"/>
      <c r="F5" s="22"/>
      <c r="G5" s="22"/>
      <c r="H5" s="22"/>
      <c r="I5" s="22"/>
      <c r="J5" s="9">
        <v>2</v>
      </c>
    </row>
    <row r="6" spans="2:10" x14ac:dyDescent="0.3">
      <c r="B6" s="20" t="s">
        <v>731</v>
      </c>
      <c r="E6" s="22">
        <v>1</v>
      </c>
      <c r="F6" s="22"/>
      <c r="G6" s="22"/>
      <c r="H6" s="22"/>
      <c r="I6" s="22"/>
      <c r="J6" s="9">
        <v>1</v>
      </c>
    </row>
    <row r="7" spans="2:10" x14ac:dyDescent="0.3">
      <c r="B7" s="20" t="s">
        <v>277</v>
      </c>
      <c r="C7" s="22">
        <v>1</v>
      </c>
      <c r="D7" s="22">
        <v>1</v>
      </c>
      <c r="E7" s="22"/>
      <c r="F7" s="22">
        <v>1</v>
      </c>
      <c r="G7" s="22"/>
      <c r="H7" s="22"/>
      <c r="I7" s="22"/>
      <c r="J7" s="9">
        <v>3</v>
      </c>
    </row>
    <row r="8" spans="2:10" x14ac:dyDescent="0.3">
      <c r="B8" s="20" t="s">
        <v>44</v>
      </c>
      <c r="C8" s="22">
        <v>2</v>
      </c>
      <c r="D8" s="22">
        <v>1</v>
      </c>
      <c r="E8" s="22"/>
      <c r="F8" s="22"/>
      <c r="G8" s="22"/>
      <c r="H8" s="22"/>
      <c r="I8" s="22"/>
      <c r="J8" s="9">
        <v>3</v>
      </c>
    </row>
    <row r="9" spans="2:10" x14ac:dyDescent="0.3">
      <c r="B9" s="20" t="s">
        <v>262</v>
      </c>
      <c r="C9" s="22">
        <v>1</v>
      </c>
      <c r="D9" s="22">
        <v>1</v>
      </c>
      <c r="E9" s="22"/>
      <c r="F9" s="22"/>
      <c r="G9" s="22"/>
      <c r="H9" s="22"/>
      <c r="I9" s="22"/>
      <c r="J9" s="9">
        <v>2</v>
      </c>
    </row>
    <row r="10" spans="2:10" x14ac:dyDescent="0.3">
      <c r="B10" s="20" t="s">
        <v>320</v>
      </c>
      <c r="C10" s="22">
        <v>1</v>
      </c>
      <c r="E10" s="22"/>
      <c r="F10" s="22"/>
      <c r="G10" s="22"/>
      <c r="H10" s="22"/>
      <c r="I10" s="22"/>
      <c r="J10" s="9">
        <v>1</v>
      </c>
    </row>
    <row r="11" spans="2:10" x14ac:dyDescent="0.3">
      <c r="B11" s="20" t="s">
        <v>145</v>
      </c>
      <c r="E11" s="22"/>
      <c r="F11" s="22"/>
      <c r="G11" s="22">
        <v>1</v>
      </c>
      <c r="H11" s="22">
        <v>1</v>
      </c>
      <c r="I11" s="22"/>
      <c r="J11" s="9">
        <v>2</v>
      </c>
    </row>
    <row r="12" spans="2:10" x14ac:dyDescent="0.3">
      <c r="B12" s="20" t="s">
        <v>180</v>
      </c>
      <c r="E12" s="22"/>
      <c r="F12" s="22"/>
      <c r="G12" s="22">
        <v>1</v>
      </c>
      <c r="H12" s="22">
        <v>2</v>
      </c>
      <c r="I12" s="22"/>
      <c r="J12" s="9">
        <v>3</v>
      </c>
    </row>
    <row r="13" spans="2:10" x14ac:dyDescent="0.3">
      <c r="B13" s="20" t="s">
        <v>213</v>
      </c>
      <c r="E13" s="22"/>
      <c r="F13" s="22"/>
      <c r="G13" s="22"/>
      <c r="H13" s="22"/>
      <c r="I13" s="22">
        <v>1</v>
      </c>
      <c r="J13" s="9">
        <v>1</v>
      </c>
    </row>
    <row r="14" spans="2:10" x14ac:dyDescent="0.3">
      <c r="B14" s="20" t="s">
        <v>225</v>
      </c>
      <c r="E14" s="22"/>
      <c r="F14" s="22"/>
      <c r="G14" s="22"/>
      <c r="H14" s="22"/>
      <c r="I14" s="22">
        <v>1</v>
      </c>
      <c r="J14" s="9">
        <v>1</v>
      </c>
    </row>
    <row r="15" spans="2:10" x14ac:dyDescent="0.3">
      <c r="B15" s="20" t="s">
        <v>881</v>
      </c>
      <c r="E15" s="22"/>
      <c r="F15" s="22"/>
      <c r="G15" s="22">
        <v>1</v>
      </c>
      <c r="H15" s="22"/>
      <c r="I15" s="22"/>
      <c r="J15" s="9">
        <v>1</v>
      </c>
    </row>
    <row r="16" spans="2:10" x14ac:dyDescent="0.3">
      <c r="B16" s="20" t="s">
        <v>889</v>
      </c>
      <c r="C16" s="22">
        <v>6</v>
      </c>
      <c r="D16" s="22">
        <v>4</v>
      </c>
      <c r="E16" s="22">
        <v>1</v>
      </c>
      <c r="F16" s="22">
        <v>1</v>
      </c>
      <c r="G16" s="22">
        <v>3</v>
      </c>
      <c r="H16" s="22">
        <v>3</v>
      </c>
      <c r="I16" s="22">
        <v>2</v>
      </c>
      <c r="J16" s="9">
        <v>20</v>
      </c>
    </row>
  </sheetData>
  <pageMargins left="0.7" right="0.7" top="0.75" bottom="0.75" header="0.3" footer="0.3"/>
  <customProperties>
    <customPr name="_pios_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C064B-2124-4763-8D0E-B1E9C5D4AD7D}">
  <dimension ref="B3:N14"/>
  <sheetViews>
    <sheetView topLeftCell="F1" zoomScale="80" zoomScaleNormal="80" workbookViewId="0">
      <selection activeCell="F17" sqref="F17"/>
    </sheetView>
  </sheetViews>
  <sheetFormatPr baseColWidth="10" defaultColWidth="11.44140625" defaultRowHeight="14.4" x14ac:dyDescent="0.3"/>
  <cols>
    <col min="2" max="2" width="24.44140625" customWidth="1"/>
    <col min="3" max="3" width="4.44140625" customWidth="1"/>
    <col min="4" max="4" width="21.5546875" customWidth="1"/>
    <col min="5" max="5" width="3.5546875" customWidth="1"/>
    <col min="6" max="6" width="22.44140625" customWidth="1"/>
    <col min="7" max="7" width="4.5546875" customWidth="1"/>
    <col min="8" max="8" width="19.5546875" customWidth="1"/>
    <col min="9" max="9" width="5.44140625" customWidth="1"/>
    <col min="10" max="10" width="32.44140625" customWidth="1"/>
    <col min="11" max="11" width="4.5546875" customWidth="1"/>
    <col min="12" max="12" width="33.44140625" customWidth="1"/>
    <col min="13" max="13" width="4.5546875" customWidth="1"/>
    <col min="14" max="14" width="21.5546875" customWidth="1"/>
  </cols>
  <sheetData>
    <row r="3" spans="2:14" x14ac:dyDescent="0.3">
      <c r="B3" s="18" t="s">
        <v>902</v>
      </c>
      <c r="C3" s="16"/>
      <c r="D3" s="18" t="s">
        <v>903</v>
      </c>
      <c r="E3" s="16"/>
      <c r="F3" s="18" t="s">
        <v>904</v>
      </c>
      <c r="G3" s="16"/>
      <c r="H3" s="18" t="s">
        <v>905</v>
      </c>
      <c r="I3" s="16"/>
      <c r="J3" s="18" t="s">
        <v>906</v>
      </c>
      <c r="K3" s="16"/>
      <c r="L3" s="16" t="s">
        <v>907</v>
      </c>
      <c r="M3" s="9"/>
      <c r="N3" s="17" t="s">
        <v>908</v>
      </c>
    </row>
    <row r="4" spans="2:14" x14ac:dyDescent="0.3">
      <c r="B4" s="111" t="s">
        <v>45</v>
      </c>
      <c r="D4" s="111" t="s">
        <v>85</v>
      </c>
      <c r="F4" s="111" t="s">
        <v>909</v>
      </c>
      <c r="H4" s="111" t="s">
        <v>910</v>
      </c>
      <c r="J4" s="111" t="s">
        <v>911</v>
      </c>
    </row>
    <row r="5" spans="2:14" x14ac:dyDescent="0.3">
      <c r="B5" s="111" t="s">
        <v>146</v>
      </c>
      <c r="D5" s="111" t="s">
        <v>912</v>
      </c>
      <c r="F5" s="111" t="s">
        <v>48</v>
      </c>
      <c r="H5" s="111" t="s">
        <v>913</v>
      </c>
      <c r="J5" s="111" t="s">
        <v>914</v>
      </c>
    </row>
    <row r="6" spans="2:14" x14ac:dyDescent="0.3">
      <c r="B6" s="111" t="s">
        <v>915</v>
      </c>
      <c r="D6" s="111" t="s">
        <v>916</v>
      </c>
      <c r="F6" s="111" t="s">
        <v>71</v>
      </c>
      <c r="H6" s="111" t="s">
        <v>917</v>
      </c>
      <c r="J6" s="111" t="s">
        <v>918</v>
      </c>
    </row>
    <row r="7" spans="2:14" x14ac:dyDescent="0.3">
      <c r="B7" s="111" t="s">
        <v>263</v>
      </c>
      <c r="D7" s="111" t="s">
        <v>277</v>
      </c>
      <c r="F7" s="111" t="s">
        <v>894</v>
      </c>
      <c r="H7" s="111" t="s">
        <v>919</v>
      </c>
      <c r="J7" s="111" t="s">
        <v>739</v>
      </c>
    </row>
    <row r="8" spans="2:14" x14ac:dyDescent="0.3">
      <c r="B8" s="111" t="s">
        <v>920</v>
      </c>
      <c r="D8" s="111" t="s">
        <v>101</v>
      </c>
      <c r="F8" s="111" t="s">
        <v>921</v>
      </c>
      <c r="H8" s="111" t="s">
        <v>922</v>
      </c>
      <c r="J8" s="111" t="s">
        <v>923</v>
      </c>
    </row>
    <row r="9" spans="2:14" x14ac:dyDescent="0.3">
      <c r="B9" s="111" t="s">
        <v>924</v>
      </c>
      <c r="D9" s="111" t="s">
        <v>925</v>
      </c>
      <c r="F9" s="111" t="s">
        <v>926</v>
      </c>
      <c r="H9" s="111" t="s">
        <v>927</v>
      </c>
      <c r="J9" s="111" t="s">
        <v>928</v>
      </c>
    </row>
    <row r="10" spans="2:14" x14ac:dyDescent="0.3">
      <c r="B10" s="111" t="s">
        <v>929</v>
      </c>
      <c r="D10" s="111" t="s">
        <v>262</v>
      </c>
      <c r="F10" s="111" t="s">
        <v>751</v>
      </c>
      <c r="H10" s="111" t="s">
        <v>930</v>
      </c>
      <c r="J10" s="111" t="s">
        <v>94</v>
      </c>
    </row>
    <row r="11" spans="2:14" x14ac:dyDescent="0.3">
      <c r="B11" s="111" t="s">
        <v>510</v>
      </c>
      <c r="D11" s="111" t="s">
        <v>931</v>
      </c>
      <c r="F11" s="111" t="s">
        <v>303</v>
      </c>
      <c r="J11" s="111" t="s">
        <v>932</v>
      </c>
    </row>
    <row r="12" spans="2:14" x14ac:dyDescent="0.3">
      <c r="B12" s="111" t="s">
        <v>933</v>
      </c>
      <c r="D12" s="111" t="s">
        <v>934</v>
      </c>
      <c r="J12" s="111" t="s">
        <v>112</v>
      </c>
    </row>
    <row r="13" spans="2:14" x14ac:dyDescent="0.3">
      <c r="B13" s="111" t="s">
        <v>935</v>
      </c>
      <c r="J13" s="111" t="s">
        <v>936</v>
      </c>
    </row>
    <row r="14" spans="2:14" x14ac:dyDescent="0.3">
      <c r="J14" s="111" t="s">
        <v>937</v>
      </c>
    </row>
  </sheetData>
  <pageMargins left="0.7" right="0.7" top="0.75" bottom="0.75" header="0.3" footer="0.3"/>
  <customProperties>
    <customPr name="_pios_id" r:id="rId1"/>
  </customProperties>
  <tableParts count="5">
    <tablePart r:id="rId2"/>
    <tablePart r:id="rId3"/>
    <tablePart r:id="rId4"/>
    <tablePart r:id="rId5"/>
    <tablePart r:id="rId6"/>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5ED61-191A-402C-B7CB-AC8147141D16}">
  <dimension ref="B2:F24"/>
  <sheetViews>
    <sheetView topLeftCell="B1" zoomScale="70" zoomScaleNormal="70" workbookViewId="0">
      <selection activeCell="B15" sqref="B15"/>
    </sheetView>
  </sheetViews>
  <sheetFormatPr baseColWidth="10" defaultColWidth="10.5546875" defaultRowHeight="14.4" x14ac:dyDescent="0.3"/>
  <cols>
    <col min="1" max="1" width="10.5546875" style="4"/>
    <col min="2" max="2" width="31.44140625" style="4" customWidth="1"/>
    <col min="3" max="3" width="4.5546875" style="4" customWidth="1"/>
    <col min="4" max="4" width="47.5546875" style="4" bestFit="1" customWidth="1"/>
    <col min="5" max="5" width="5.5546875" style="4" customWidth="1"/>
    <col min="6" max="6" width="76.44140625" style="4" customWidth="1"/>
    <col min="7" max="16384" width="10.5546875" style="4"/>
  </cols>
  <sheetData>
    <row r="2" spans="2:6" x14ac:dyDescent="0.3">
      <c r="B2" s="5" t="s">
        <v>938</v>
      </c>
      <c r="D2" s="5" t="s">
        <v>939</v>
      </c>
      <c r="F2" s="5" t="s">
        <v>940</v>
      </c>
    </row>
    <row r="3" spans="2:6" x14ac:dyDescent="0.3">
      <c r="B3" s="4" t="s">
        <v>941</v>
      </c>
      <c r="D3" s="4" t="s">
        <v>942</v>
      </c>
      <c r="F3" s="4" t="s">
        <v>943</v>
      </c>
    </row>
    <row r="4" spans="2:6" x14ac:dyDescent="0.3">
      <c r="B4" s="4" t="s">
        <v>944</v>
      </c>
      <c r="D4" s="4" t="s">
        <v>945</v>
      </c>
      <c r="F4" s="4" t="s">
        <v>946</v>
      </c>
    </row>
    <row r="5" spans="2:6" x14ac:dyDescent="0.3">
      <c r="D5" s="4" t="s">
        <v>947</v>
      </c>
      <c r="F5" s="4" t="s">
        <v>948</v>
      </c>
    </row>
    <row r="6" spans="2:6" x14ac:dyDescent="0.3">
      <c r="D6" s="4" t="s">
        <v>949</v>
      </c>
      <c r="F6" s="4" t="s">
        <v>950</v>
      </c>
    </row>
    <row r="7" spans="2:6" x14ac:dyDescent="0.3">
      <c r="D7" s="4" t="s">
        <v>951</v>
      </c>
      <c r="F7" s="4" t="s">
        <v>952</v>
      </c>
    </row>
    <row r="8" spans="2:6" x14ac:dyDescent="0.3">
      <c r="D8" s="4" t="s">
        <v>953</v>
      </c>
      <c r="F8" s="4" t="s">
        <v>954</v>
      </c>
    </row>
    <row r="9" spans="2:6" x14ac:dyDescent="0.3">
      <c r="D9" s="4" t="s">
        <v>955</v>
      </c>
      <c r="F9" s="4" t="s">
        <v>956</v>
      </c>
    </row>
    <row r="10" spans="2:6" x14ac:dyDescent="0.3">
      <c r="D10" s="4" t="s">
        <v>957</v>
      </c>
      <c r="F10" s="6" t="s">
        <v>958</v>
      </c>
    </row>
    <row r="11" spans="2:6" x14ac:dyDescent="0.3">
      <c r="D11" s="4" t="s">
        <v>959</v>
      </c>
      <c r="F11" s="4" t="s">
        <v>960</v>
      </c>
    </row>
    <row r="12" spans="2:6" x14ac:dyDescent="0.3">
      <c r="D12" s="4" t="s">
        <v>961</v>
      </c>
      <c r="F12" s="4" t="s">
        <v>962</v>
      </c>
    </row>
    <row r="13" spans="2:6" x14ac:dyDescent="0.3">
      <c r="D13" s="4" t="s">
        <v>963</v>
      </c>
      <c r="F13" s="4" t="s">
        <v>964</v>
      </c>
    </row>
    <row r="14" spans="2:6" x14ac:dyDescent="0.3">
      <c r="D14" s="4" t="s">
        <v>965</v>
      </c>
      <c r="F14" s="4" t="s">
        <v>966</v>
      </c>
    </row>
    <row r="15" spans="2:6" x14ac:dyDescent="0.3">
      <c r="D15" s="4" t="s">
        <v>967</v>
      </c>
      <c r="F15" s="4" t="s">
        <v>968</v>
      </c>
    </row>
    <row r="16" spans="2:6" x14ac:dyDescent="0.3">
      <c r="D16" s="4" t="s">
        <v>969</v>
      </c>
      <c r="F16" s="4" t="s">
        <v>970</v>
      </c>
    </row>
    <row r="17" spans="4:6" x14ac:dyDescent="0.3">
      <c r="D17" s="4" t="s">
        <v>971</v>
      </c>
      <c r="F17" s="4" t="s">
        <v>972</v>
      </c>
    </row>
    <row r="18" spans="4:6" x14ac:dyDescent="0.3">
      <c r="F18" s="4" t="s">
        <v>973</v>
      </c>
    </row>
    <row r="19" spans="4:6" x14ac:dyDescent="0.3">
      <c r="F19" s="4" t="s">
        <v>974</v>
      </c>
    </row>
    <row r="20" spans="4:6" x14ac:dyDescent="0.3">
      <c r="F20" s="4" t="s">
        <v>975</v>
      </c>
    </row>
    <row r="21" spans="4:6" x14ac:dyDescent="0.3">
      <c r="F21" s="4" t="s">
        <v>976</v>
      </c>
    </row>
    <row r="22" spans="4:6" x14ac:dyDescent="0.3">
      <c r="F22" s="4" t="s">
        <v>977</v>
      </c>
    </row>
    <row r="23" spans="4:6" x14ac:dyDescent="0.3">
      <c r="F23" s="4" t="s">
        <v>978</v>
      </c>
    </row>
    <row r="24" spans="4:6" x14ac:dyDescent="0.3">
      <c r="F24" s="6"/>
    </row>
  </sheetData>
  <pageMargins left="0.7" right="0.7" top="0.75" bottom="0.75" header="0.3" footer="0.3"/>
  <pageSetup orientation="portrait" r:id="rId1"/>
  <customProperties>
    <customPr name="_pios_id" r:id="rId2"/>
  </customProperties>
  <tableParts count="3">
    <tablePart r:id="rId3"/>
    <tablePart r:id="rId4"/>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AB388-563C-4B96-8B19-87ABA81B279D}">
  <dimension ref="B5:G21"/>
  <sheetViews>
    <sheetView zoomScale="70" zoomScaleNormal="70" workbookViewId="0">
      <selection activeCell="B15" sqref="B15"/>
    </sheetView>
  </sheetViews>
  <sheetFormatPr baseColWidth="10" defaultColWidth="10.5546875" defaultRowHeight="14.4" x14ac:dyDescent="0.3"/>
  <cols>
    <col min="1" max="1" width="10.5546875" style="4"/>
    <col min="2" max="2" width="52.5546875" style="4" customWidth="1"/>
    <col min="3" max="3" width="41.44140625" style="4" customWidth="1"/>
    <col min="4" max="4" width="36.5546875" style="4" customWidth="1"/>
    <col min="5" max="5" width="46.5546875" style="4" customWidth="1"/>
    <col min="6" max="6" width="50.5546875" style="4" customWidth="1"/>
    <col min="7" max="7" width="56" style="4" customWidth="1"/>
    <col min="8" max="16384" width="10.5546875" style="4"/>
  </cols>
  <sheetData>
    <row r="5" spans="2:7" x14ac:dyDescent="0.3">
      <c r="B5" s="5" t="s">
        <v>979</v>
      </c>
      <c r="C5" s="5" t="s">
        <v>980</v>
      </c>
      <c r="D5" s="5" t="s">
        <v>981</v>
      </c>
      <c r="E5" s="5" t="s">
        <v>982</v>
      </c>
      <c r="F5" s="5" t="s">
        <v>983</v>
      </c>
      <c r="G5" s="5" t="s">
        <v>984</v>
      </c>
    </row>
    <row r="6" spans="2:7" x14ac:dyDescent="0.3">
      <c r="B6" s="4" t="s">
        <v>985</v>
      </c>
      <c r="C6" s="4" t="s">
        <v>986</v>
      </c>
      <c r="D6" s="4" t="s">
        <v>987</v>
      </c>
      <c r="E6" s="4" t="s">
        <v>988</v>
      </c>
      <c r="F6" s="4" t="s">
        <v>989</v>
      </c>
      <c r="G6" s="6" t="s">
        <v>990</v>
      </c>
    </row>
    <row r="7" spans="2:7" x14ac:dyDescent="0.3">
      <c r="B7" s="4" t="s">
        <v>991</v>
      </c>
      <c r="C7" s="4" t="s">
        <v>992</v>
      </c>
      <c r="D7" s="4" t="s">
        <v>993</v>
      </c>
      <c r="E7" s="4" t="s">
        <v>994</v>
      </c>
      <c r="F7" s="4" t="s">
        <v>995</v>
      </c>
      <c r="G7" s="6" t="s">
        <v>996</v>
      </c>
    </row>
    <row r="8" spans="2:7" x14ac:dyDescent="0.3">
      <c r="B8" s="7" t="s">
        <v>997</v>
      </c>
      <c r="C8" s="4" t="s">
        <v>998</v>
      </c>
      <c r="D8" s="4" t="s">
        <v>999</v>
      </c>
      <c r="E8" s="4" t="s">
        <v>1000</v>
      </c>
      <c r="F8" s="4" t="s">
        <v>1001</v>
      </c>
      <c r="G8" s="6" t="s">
        <v>1002</v>
      </c>
    </row>
    <row r="9" spans="2:7" x14ac:dyDescent="0.3">
      <c r="B9" s="7" t="s">
        <v>1003</v>
      </c>
      <c r="C9" s="4" t="s">
        <v>1004</v>
      </c>
      <c r="D9" s="4" t="s">
        <v>1005</v>
      </c>
      <c r="E9" s="4" t="s">
        <v>1006</v>
      </c>
      <c r="F9" s="4" t="s">
        <v>1007</v>
      </c>
      <c r="G9" s="6" t="s">
        <v>1008</v>
      </c>
    </row>
    <row r="10" spans="2:7" x14ac:dyDescent="0.3">
      <c r="B10" s="7" t="s">
        <v>1009</v>
      </c>
      <c r="C10" s="4" t="s">
        <v>1010</v>
      </c>
      <c r="D10" s="4" t="s">
        <v>1011</v>
      </c>
      <c r="E10" s="4" t="s">
        <v>1012</v>
      </c>
      <c r="F10" s="4" t="s">
        <v>1013</v>
      </c>
    </row>
    <row r="11" spans="2:7" x14ac:dyDescent="0.3">
      <c r="B11" s="7" t="s">
        <v>1014</v>
      </c>
      <c r="C11" s="4" t="s">
        <v>1015</v>
      </c>
      <c r="D11" s="4" t="s">
        <v>1016</v>
      </c>
      <c r="E11" s="4" t="s">
        <v>1017</v>
      </c>
      <c r="F11" s="4" t="s">
        <v>1018</v>
      </c>
    </row>
    <row r="12" spans="2:7" x14ac:dyDescent="0.3">
      <c r="B12" s="7" t="s">
        <v>1019</v>
      </c>
      <c r="C12" s="4" t="s">
        <v>1020</v>
      </c>
      <c r="D12" s="4" t="s">
        <v>1021</v>
      </c>
      <c r="E12" s="4" t="s">
        <v>1022</v>
      </c>
      <c r="F12" s="4" t="s">
        <v>1023</v>
      </c>
    </row>
    <row r="13" spans="2:7" x14ac:dyDescent="0.3">
      <c r="B13" s="7" t="s">
        <v>1024</v>
      </c>
      <c r="C13" s="4" t="s">
        <v>1025</v>
      </c>
      <c r="D13" s="4" t="s">
        <v>1026</v>
      </c>
      <c r="E13" s="4" t="s">
        <v>1027</v>
      </c>
      <c r="F13" s="4" t="s">
        <v>1028</v>
      </c>
    </row>
    <row r="14" spans="2:7" x14ac:dyDescent="0.3">
      <c r="B14" s="7" t="s">
        <v>1029</v>
      </c>
      <c r="C14" s="4" t="s">
        <v>1030</v>
      </c>
      <c r="D14" s="4" t="s">
        <v>1031</v>
      </c>
      <c r="E14" s="4" t="s">
        <v>1032</v>
      </c>
      <c r="F14" s="4" t="s">
        <v>1033</v>
      </c>
    </row>
    <row r="15" spans="2:7" x14ac:dyDescent="0.3">
      <c r="B15" s="7" t="s">
        <v>1034</v>
      </c>
      <c r="C15" s="4" t="s">
        <v>1035</v>
      </c>
      <c r="D15" s="4" t="s">
        <v>1036</v>
      </c>
      <c r="E15" s="4" t="s">
        <v>1037</v>
      </c>
      <c r="F15" s="4" t="s">
        <v>1038</v>
      </c>
    </row>
    <row r="16" spans="2:7" x14ac:dyDescent="0.3">
      <c r="B16" s="7" t="s">
        <v>1039</v>
      </c>
      <c r="C16" s="4" t="s">
        <v>1040</v>
      </c>
      <c r="D16" s="4" t="s">
        <v>1041</v>
      </c>
      <c r="E16" s="4" t="s">
        <v>1042</v>
      </c>
      <c r="F16" s="4" t="s">
        <v>1043</v>
      </c>
    </row>
    <row r="17" spans="4:6" x14ac:dyDescent="0.3">
      <c r="F17" s="4" t="s">
        <v>1044</v>
      </c>
    </row>
    <row r="18" spans="4:6" x14ac:dyDescent="0.3">
      <c r="D18" s="8"/>
      <c r="F18" s="4" t="s">
        <v>1045</v>
      </c>
    </row>
    <row r="21" spans="4:6" ht="13.5" customHeight="1" x14ac:dyDescent="0.3"/>
  </sheetData>
  <pageMargins left="0.7" right="0.7" top="0.75" bottom="0.75" header="0.3" footer="0.3"/>
  <pageSetup orientation="portrait" r:id="rId1"/>
  <customProperties>
    <customPr name="_pios_id" r:id="rId2"/>
  </customProperties>
  <tableParts count="6">
    <tablePart r:id="rId3"/>
    <tablePart r:id="rId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905FB-CFD8-4CAC-832A-027B8BA7FE2C}">
  <dimension ref="B5:J18"/>
  <sheetViews>
    <sheetView topLeftCell="C44" zoomScale="40" zoomScaleNormal="40" workbookViewId="0">
      <selection activeCell="C44" sqref="C44"/>
    </sheetView>
  </sheetViews>
  <sheetFormatPr baseColWidth="10" defaultColWidth="10.5546875" defaultRowHeight="14.4" x14ac:dyDescent="0.3"/>
  <cols>
    <col min="1" max="1" width="2.5546875" style="4" customWidth="1"/>
    <col min="2" max="2" width="110" style="4" customWidth="1"/>
    <col min="3" max="3" width="89.44140625" style="4" customWidth="1"/>
    <col min="4" max="4" width="70.5546875" style="4" customWidth="1"/>
    <col min="5" max="5" width="61" style="4" customWidth="1"/>
    <col min="6" max="6" width="68.5546875" style="4" customWidth="1"/>
    <col min="7" max="7" width="108.44140625" style="4" customWidth="1"/>
    <col min="8" max="9" width="48.5546875" style="4" customWidth="1"/>
    <col min="10" max="10" width="66.5546875" style="4" customWidth="1"/>
    <col min="11" max="16384" width="10.5546875" style="4"/>
  </cols>
  <sheetData>
    <row r="5" spans="2:10" x14ac:dyDescent="0.3">
      <c r="B5" s="5" t="s">
        <v>1046</v>
      </c>
      <c r="C5" s="5" t="s">
        <v>1047</v>
      </c>
      <c r="D5" s="5" t="s">
        <v>1048</v>
      </c>
      <c r="E5" s="5" t="s">
        <v>1049</v>
      </c>
      <c r="F5" s="5" t="s">
        <v>1050</v>
      </c>
      <c r="G5" s="5" t="s">
        <v>1051</v>
      </c>
      <c r="H5" s="5" t="s">
        <v>1052</v>
      </c>
      <c r="I5" s="5" t="s">
        <v>1053</v>
      </c>
      <c r="J5" s="5" t="s">
        <v>1054</v>
      </c>
    </row>
    <row r="6" spans="2:10" x14ac:dyDescent="0.3">
      <c r="B6" s="4" t="s">
        <v>1055</v>
      </c>
      <c r="C6" s="4" t="s">
        <v>1056</v>
      </c>
      <c r="D6" s="4" t="s">
        <v>1057</v>
      </c>
      <c r="E6" s="4" t="s">
        <v>1058</v>
      </c>
      <c r="F6" s="4" t="s">
        <v>1059</v>
      </c>
      <c r="G6" s="4" t="s">
        <v>1060</v>
      </c>
      <c r="H6" s="4" t="s">
        <v>1061</v>
      </c>
      <c r="I6" s="4" t="s">
        <v>1062</v>
      </c>
      <c r="J6" s="4" t="s">
        <v>1063</v>
      </c>
    </row>
    <row r="7" spans="2:10" x14ac:dyDescent="0.3">
      <c r="B7" s="4" t="s">
        <v>1064</v>
      </c>
      <c r="C7" s="4" t="s">
        <v>1065</v>
      </c>
      <c r="D7" s="4" t="s">
        <v>1066</v>
      </c>
      <c r="E7" s="4" t="s">
        <v>1067</v>
      </c>
      <c r="F7" s="4" t="s">
        <v>1068</v>
      </c>
      <c r="G7" s="4" t="s">
        <v>1069</v>
      </c>
      <c r="H7" s="4" t="s">
        <v>1070</v>
      </c>
      <c r="I7" s="4" t="s">
        <v>1071</v>
      </c>
      <c r="J7" s="4" t="s">
        <v>1072</v>
      </c>
    </row>
    <row r="8" spans="2:10" x14ac:dyDescent="0.3">
      <c r="B8" s="4" t="s">
        <v>1073</v>
      </c>
      <c r="C8" s="4" t="s">
        <v>1074</v>
      </c>
      <c r="D8" s="4" t="s">
        <v>1075</v>
      </c>
      <c r="E8" s="4" t="s">
        <v>1076</v>
      </c>
      <c r="F8" s="4" t="s">
        <v>1077</v>
      </c>
      <c r="G8" s="4" t="s">
        <v>1078</v>
      </c>
      <c r="H8" s="4" t="s">
        <v>1079</v>
      </c>
      <c r="I8" s="4" t="s">
        <v>1080</v>
      </c>
      <c r="J8" s="4" t="s">
        <v>1081</v>
      </c>
    </row>
    <row r="9" spans="2:10" x14ac:dyDescent="0.3">
      <c r="B9" s="4" t="s">
        <v>1082</v>
      </c>
      <c r="C9" s="4" t="s">
        <v>1083</v>
      </c>
      <c r="D9" s="4" t="s">
        <v>1084</v>
      </c>
      <c r="E9" s="4" t="s">
        <v>1085</v>
      </c>
      <c r="F9" s="4" t="s">
        <v>1086</v>
      </c>
      <c r="G9" s="4" t="s">
        <v>1087</v>
      </c>
      <c r="H9" s="4" t="s">
        <v>1088</v>
      </c>
      <c r="I9" s="4" t="s">
        <v>1089</v>
      </c>
      <c r="J9" s="4" t="s">
        <v>1090</v>
      </c>
    </row>
    <row r="10" spans="2:10" x14ac:dyDescent="0.3">
      <c r="B10" s="4" t="s">
        <v>1091</v>
      </c>
      <c r="C10" s="4" t="s">
        <v>1092</v>
      </c>
      <c r="D10" s="4" t="s">
        <v>1093</v>
      </c>
      <c r="E10" s="4" t="s">
        <v>1094</v>
      </c>
      <c r="F10" s="4" t="s">
        <v>1095</v>
      </c>
      <c r="G10" s="4" t="s">
        <v>1096</v>
      </c>
      <c r="H10" s="4" t="s">
        <v>1097</v>
      </c>
      <c r="J10" s="4" t="s">
        <v>1098</v>
      </c>
    </row>
    <row r="11" spans="2:10" x14ac:dyDescent="0.3">
      <c r="B11" s="4" t="s">
        <v>1099</v>
      </c>
      <c r="C11" s="4" t="s">
        <v>1100</v>
      </c>
      <c r="D11" s="4" t="s">
        <v>1101</v>
      </c>
      <c r="E11" s="4" t="s">
        <v>1102</v>
      </c>
      <c r="F11" s="4" t="s">
        <v>1103</v>
      </c>
      <c r="G11" s="4" t="s">
        <v>1104</v>
      </c>
      <c r="H11" s="4" t="s">
        <v>1105</v>
      </c>
      <c r="J11" s="4" t="s">
        <v>1106</v>
      </c>
    </row>
    <row r="12" spans="2:10" x14ac:dyDescent="0.3">
      <c r="B12" s="4" t="s">
        <v>1107</v>
      </c>
      <c r="C12" s="4" t="s">
        <v>1108</v>
      </c>
      <c r="D12" s="4" t="s">
        <v>1109</v>
      </c>
      <c r="E12" s="4" t="s">
        <v>1110</v>
      </c>
      <c r="F12" s="4" t="s">
        <v>1111</v>
      </c>
      <c r="G12" s="4" t="s">
        <v>1112</v>
      </c>
      <c r="H12" s="4" t="s">
        <v>1113</v>
      </c>
      <c r="J12" s="4" t="s">
        <v>1114</v>
      </c>
    </row>
    <row r="13" spans="2:10" x14ac:dyDescent="0.3">
      <c r="B13" s="4" t="s">
        <v>1115</v>
      </c>
      <c r="C13" s="4" t="s">
        <v>1116</v>
      </c>
      <c r="D13" s="4" t="s">
        <v>1117</v>
      </c>
      <c r="E13" s="4" t="s">
        <v>1118</v>
      </c>
      <c r="G13" s="4" t="s">
        <v>1119</v>
      </c>
      <c r="J13" s="4" t="s">
        <v>1120</v>
      </c>
    </row>
    <row r="14" spans="2:10" x14ac:dyDescent="0.3">
      <c r="B14" s="4" t="s">
        <v>1121</v>
      </c>
      <c r="C14" s="4" t="s">
        <v>1122</v>
      </c>
      <c r="D14" s="4" t="s">
        <v>1123</v>
      </c>
      <c r="E14" s="4" t="s">
        <v>1124</v>
      </c>
      <c r="G14" s="4" t="s">
        <v>1125</v>
      </c>
      <c r="J14" s="4" t="s">
        <v>1126</v>
      </c>
    </row>
    <row r="15" spans="2:10" x14ac:dyDescent="0.3">
      <c r="B15" s="4" t="s">
        <v>1127</v>
      </c>
      <c r="D15" s="4" t="s">
        <v>1128</v>
      </c>
      <c r="G15" s="4" t="s">
        <v>1129</v>
      </c>
      <c r="J15" s="4" t="s">
        <v>1130</v>
      </c>
    </row>
    <row r="16" spans="2:10" x14ac:dyDescent="0.3">
      <c r="B16" s="4" t="s">
        <v>1131</v>
      </c>
      <c r="D16" s="4" t="s">
        <v>1132</v>
      </c>
      <c r="G16" s="4" t="s">
        <v>1133</v>
      </c>
      <c r="J16" s="4" t="s">
        <v>1134</v>
      </c>
    </row>
    <row r="17" spans="2:10" x14ac:dyDescent="0.3">
      <c r="B17" s="4" t="s">
        <v>1135</v>
      </c>
      <c r="D17" s="4" t="s">
        <v>1136</v>
      </c>
      <c r="G17" s="4" t="s">
        <v>1137</v>
      </c>
      <c r="J17" s="4" t="s">
        <v>1138</v>
      </c>
    </row>
    <row r="18" spans="2:10" x14ac:dyDescent="0.3">
      <c r="B18" s="4" t="s">
        <v>1139</v>
      </c>
      <c r="G18" s="4" t="s">
        <v>1140</v>
      </c>
    </row>
  </sheetData>
  <pageMargins left="0.7" right="0.7" top="0.75" bottom="0.75" header="0.3" footer="0.3"/>
  <pageSetup orientation="portrait" r:id="rId1"/>
  <customProperties>
    <customPr name="_pios_id" r:id="rId2"/>
  </customProperties>
  <tableParts count="9">
    <tablePart r:id="rId3"/>
    <tablePart r:id="rId4"/>
    <tablePart r:id="rId5"/>
    <tablePart r:id="rId6"/>
    <tablePart r:id="rId7"/>
    <tablePart r:id="rId8"/>
    <tablePart r:id="rId9"/>
    <tablePart r:id="rId10"/>
    <tablePart r:id="rId1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BCEBE-D851-4F0C-AB03-0E02C07E1667}">
  <dimension ref="A1:E13"/>
  <sheetViews>
    <sheetView showGridLines="0" tabSelected="1" workbookViewId="0">
      <selection activeCell="F4" sqref="A4:F5"/>
    </sheetView>
  </sheetViews>
  <sheetFormatPr baseColWidth="10" defaultColWidth="8.5546875" defaultRowHeight="14.4" x14ac:dyDescent="0.3"/>
  <cols>
    <col min="1" max="1" width="12.77734375" style="22" bestFit="1" customWidth="1"/>
    <col min="2" max="2" width="15.77734375" style="22" bestFit="1" customWidth="1"/>
    <col min="3" max="3" width="21" style="22" bestFit="1" customWidth="1"/>
    <col min="4" max="4" width="53" style="25" customWidth="1"/>
  </cols>
  <sheetData>
    <row r="1" spans="1:5" x14ac:dyDescent="0.3">
      <c r="A1" s="26"/>
      <c r="B1" s="26"/>
      <c r="C1" s="26"/>
      <c r="D1" s="28"/>
    </row>
    <row r="2" spans="1:5" x14ac:dyDescent="0.3">
      <c r="A2" s="29" t="s">
        <v>11</v>
      </c>
      <c r="B2" s="30" t="s">
        <v>1141</v>
      </c>
      <c r="C2" s="30" t="s">
        <v>1142</v>
      </c>
      <c r="D2" s="31"/>
      <c r="E2" s="27"/>
    </row>
    <row r="3" spans="1:5" x14ac:dyDescent="0.3">
      <c r="A3" s="30">
        <v>1</v>
      </c>
      <c r="B3" s="30">
        <v>4</v>
      </c>
      <c r="C3" s="30">
        <v>38</v>
      </c>
      <c r="D3" s="31"/>
      <c r="E3" s="27"/>
    </row>
    <row r="4" spans="1:5" ht="43.2" x14ac:dyDescent="0.3">
      <c r="A4" s="78">
        <v>2</v>
      </c>
      <c r="B4" s="78">
        <v>1</v>
      </c>
      <c r="C4" s="78">
        <v>7</v>
      </c>
      <c r="D4" s="32" t="s">
        <v>1143</v>
      </c>
      <c r="E4" s="27"/>
    </row>
    <row r="5" spans="1:5" ht="80.25" customHeight="1" x14ac:dyDescent="0.3">
      <c r="A5" s="30">
        <v>5</v>
      </c>
      <c r="B5" s="30">
        <v>1</v>
      </c>
      <c r="C5" s="30">
        <v>8</v>
      </c>
      <c r="D5" s="33" t="s">
        <v>1144</v>
      </c>
      <c r="E5" s="27"/>
    </row>
    <row r="6" spans="1:5" x14ac:dyDescent="0.3">
      <c r="A6" s="30">
        <v>7</v>
      </c>
      <c r="B6" s="30">
        <v>1</v>
      </c>
      <c r="C6" s="30">
        <v>56</v>
      </c>
      <c r="D6" s="31"/>
      <c r="E6" s="27"/>
    </row>
    <row r="7" spans="1:5" x14ac:dyDescent="0.3">
      <c r="A7" s="30">
        <v>8</v>
      </c>
      <c r="B7" s="30">
        <v>3</v>
      </c>
      <c r="C7" s="30">
        <v>159</v>
      </c>
      <c r="D7" s="31"/>
      <c r="E7" s="27"/>
    </row>
    <row r="8" spans="1:5" ht="15.75" customHeight="1" x14ac:dyDescent="0.3">
      <c r="A8" s="30">
        <v>9</v>
      </c>
      <c r="B8" s="30">
        <v>2</v>
      </c>
      <c r="C8" s="30">
        <v>71</v>
      </c>
      <c r="D8" s="31"/>
      <c r="E8" s="27"/>
    </row>
    <row r="9" spans="1:5" x14ac:dyDescent="0.3">
      <c r="A9" s="30">
        <v>11</v>
      </c>
      <c r="B9" s="30">
        <v>3</v>
      </c>
      <c r="C9" s="30">
        <v>55</v>
      </c>
      <c r="D9" s="31"/>
      <c r="E9" s="27"/>
    </row>
    <row r="10" spans="1:5" x14ac:dyDescent="0.3">
      <c r="A10" s="30">
        <v>12</v>
      </c>
      <c r="B10" s="30">
        <v>1</v>
      </c>
      <c r="C10" s="30">
        <v>12</v>
      </c>
      <c r="D10" s="31"/>
      <c r="E10" s="27"/>
    </row>
    <row r="11" spans="1:5" x14ac:dyDescent="0.3">
      <c r="A11" s="30">
        <v>10</v>
      </c>
      <c r="B11" s="30">
        <v>1</v>
      </c>
      <c r="C11" s="30">
        <v>10</v>
      </c>
      <c r="D11" s="31"/>
      <c r="E11" s="27"/>
    </row>
    <row r="12" spans="1:5" x14ac:dyDescent="0.3">
      <c r="A12" s="30" t="s">
        <v>889</v>
      </c>
      <c r="B12" s="30">
        <v>17</v>
      </c>
      <c r="C12" s="30">
        <v>416</v>
      </c>
      <c r="D12"/>
      <c r="E12" s="27"/>
    </row>
    <row r="13" spans="1:5" x14ac:dyDescent="0.3">
      <c r="A13" s="26"/>
      <c r="B13" s="26"/>
      <c r="C13" s="26"/>
      <c r="D13" s="28"/>
    </row>
  </sheetData>
  <pageMargins left="0.7" right="0.7" top="0.75" bottom="0.75" header="0.3" footer="0.3"/>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68fe145-c78a-49db-b01b-c0e7554ba85d">
      <Terms xmlns="http://schemas.microsoft.com/office/infopath/2007/PartnerControls"/>
    </lcf76f155ced4ddcb4097134ff3c332f>
    <TaxCatchAll xmlns="83e37528-d30e-4058-a9de-866c8a9428e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F9DACA816DC814BB2219E5FD4246BDC" ma:contentTypeVersion="17" ma:contentTypeDescription="Crear nuevo documento." ma:contentTypeScope="" ma:versionID="a94e9633f41dcb376914ff910ac7df6c">
  <xsd:schema xmlns:xsd="http://www.w3.org/2001/XMLSchema" xmlns:xs="http://www.w3.org/2001/XMLSchema" xmlns:p="http://schemas.microsoft.com/office/2006/metadata/properties" xmlns:ns2="f68fe145-c78a-49db-b01b-c0e7554ba85d" xmlns:ns3="83e37528-d30e-4058-a9de-866c8a9428eb" targetNamespace="http://schemas.microsoft.com/office/2006/metadata/properties" ma:root="true" ma:fieldsID="8f5deb7df442fa50cb44ce7fef2b24a7" ns2:_="" ns3:_="">
    <xsd:import namespace="f68fe145-c78a-49db-b01b-c0e7554ba85d"/>
    <xsd:import namespace="83e37528-d30e-4058-a9de-866c8a9428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8fe145-c78a-49db-b01b-c0e7554ba8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68d7a1ca-a630-45fb-8922-c7d008bf595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3e37528-d30e-4058-a9de-866c8a9428eb"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d099aeb-f553-4c88-ab68-6fc49f0e5eb2}" ma:internalName="TaxCatchAll" ma:showField="CatchAllData" ma:web="83e37528-d30e-4058-a9de-866c8a9428e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C68A97-9DC8-40AA-97FF-0307EF42A049}">
  <ds:schemaRefs>
    <ds:schemaRef ds:uri="http://purl.org/dc/dcmitype/"/>
    <ds:schemaRef ds:uri="http://schemas.microsoft.com/office/2006/documentManagement/types"/>
    <ds:schemaRef ds:uri="http://www.w3.org/XML/1998/namespace"/>
    <ds:schemaRef ds:uri="http://purl.org/dc/terms/"/>
    <ds:schemaRef ds:uri="83e37528-d30e-4058-a9de-866c8a9428eb"/>
    <ds:schemaRef ds:uri="f68fe145-c78a-49db-b01b-c0e7554ba85d"/>
    <ds:schemaRef ds:uri="http://schemas.openxmlformats.org/package/2006/metadata/core-properties"/>
    <ds:schemaRef ds:uri="http://schemas.microsoft.com/office/infopath/2007/PartnerControl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E9E299A5-D582-48EF-87C4-3A3ABA6C36B6}">
  <ds:schemaRefs>
    <ds:schemaRef ds:uri="http://schemas.microsoft.com/sharepoint/v3/contenttype/forms"/>
  </ds:schemaRefs>
</ds:datastoreItem>
</file>

<file path=customXml/itemProps3.xml><?xml version="1.0" encoding="utf-8"?>
<ds:datastoreItem xmlns:ds="http://schemas.openxmlformats.org/officeDocument/2006/customXml" ds:itemID="{2C47D168-19B1-4B4B-B0DA-4A5D29B093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68fe145-c78a-49db-b01b-c0e7554ba85d"/>
    <ds:schemaRef ds:uri="83e37528-d30e-4058-a9de-866c8a9428e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a4170-0d19-0005-0004-bc88714345d2}" enabled="1" method="Standard" siteId="{3b16616d-f174-497a-a1ae-900d8510699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Base</vt:lpstr>
      <vt:lpstr>Tipo</vt:lpstr>
      <vt:lpstr>Lesión</vt:lpstr>
      <vt:lpstr>Hoja2</vt:lpstr>
      <vt:lpstr>Detalle1</vt:lpstr>
      <vt:lpstr>Tipo Trabajador</vt:lpstr>
      <vt:lpstr>Gráficos</vt:lpstr>
      <vt:lpstr>Hoja1</vt:lpstr>
      <vt:lpstr>Hoja4</vt:lpstr>
      <vt:lpstr>Causas Inmediatas</vt:lpstr>
      <vt:lpstr>Causas Básicas1</vt:lpstr>
      <vt:lpstr>Causas Básicas2</vt:lpstr>
      <vt:lpstr>Resumen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Sofia Mercedes Pretell Alvarez</dc:creator>
  <cp:keywords/>
  <dc:description/>
  <cp:lastModifiedBy>Gianella Arcela Ponte Carrasco</cp:lastModifiedBy>
  <cp:revision/>
  <dcterms:created xsi:type="dcterms:W3CDTF">2020-01-09T18:55:17Z</dcterms:created>
  <dcterms:modified xsi:type="dcterms:W3CDTF">2026-08-18T16:31:06Z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0x0101007F9DACA816DC814BB2219E5FD4246BDC</vt:lpwstr>
  </property>
  <property fmtid="{D5CDD505-2E9C-101B-9397-08002B2CF9AE}" pid="3" name="MediaServiceImageTags">
    <vt:lpwstr/>
  </property>
  <property fmtid="{D5CDD505-2E9C-101B-9397-08002B2CF9AE}" pid="4" name="Order">
    <vt:r8>604200</vt:r8>
  </property>
  <property fmtid="{D5CDD505-2E9C-101B-9397-08002B2CF9AE}" pid="5" name="MSIP_Label_defa4170-0d19-0005-0004-bc88714345d2_Enabled">
    <vt:lpwstr>true</vt:lpwstr>
  </property>
  <property fmtid="{D5CDD505-2E9C-101B-9397-08002B2CF9AE}" pid="6" name="MSIP_Label_defa4170-0d19-0005-0004-bc88714345d2_SetDate">
    <vt:lpwstr>2023-01-24T13:07:12Z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3b16616d-f174-497a-a1ae-900d85106996</vt:lpwstr>
  </property>
  <property fmtid="{D5CDD505-2E9C-101B-9397-08002B2CF9AE}" pid="10" name="MSIP_Label_defa4170-0d19-0005-0004-bc88714345d2_ActionId">
    <vt:lpwstr>de85747a-1d05-4703-adc0-9e98b9532f43</vt:lpwstr>
  </property>
  <property fmtid="{D5CDD505-2E9C-101B-9397-08002B2CF9AE}" pid="11" name="MSIP_Label_defa4170-0d19-0005-0004-bc88714345d2_ContentBits">
    <vt:lpwstr>0</vt:lpwstr>
  </property>
</Properties>
</file>