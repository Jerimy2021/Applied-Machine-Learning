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gpontec\Descargas\"/>
    </mc:Choice>
  </mc:AlternateContent>
  <xr:revisionPtr revIDLastSave="0" documentId="8_{EF7EF3EE-5886-41F1-BC9E-0244FB66D4FC}" xr6:coauthVersionLast="47" xr6:coauthVersionMax="47" xr10:uidLastSave="{00000000-0000-0000-0000-000000000000}"/>
  <bookViews>
    <workbookView xWindow="-108" yWindow="-108" windowWidth="23256" windowHeight="13896" firstSheet="1" activeTab="1" xr2:uid="{5179CDAF-48A0-4DAC-AA6B-5983BDAB0EE7}"/>
  </bookViews>
  <sheets>
    <sheet name="1° Incidentes " sheetId="11" r:id="rId1"/>
    <sheet name="2° Accidentes" sheetId="4" r:id="rId2"/>
    <sheet name="Hoja2" sheetId="12" state="hidden" r:id="rId3"/>
    <sheet name="VISUAL" sheetId="8" r:id="rId4"/>
    <sheet name="Hoja1" sheetId="6" state="hidden" r:id="rId5"/>
    <sheet name="Hoja3" sheetId="10" state="hidden" r:id="rId6"/>
    <sheet name="2024" sheetId="26" state="hidden" r:id="rId7"/>
    <sheet name="2023" sheetId="27" state="hidden" r:id="rId8"/>
    <sheet name="TABLERO" sheetId="31" r:id="rId9"/>
  </sheets>
  <externalReferences>
    <externalReference r:id="rId10"/>
  </externalReferences>
  <definedNames>
    <definedName name="_xlnm._FilterDatabase" localSheetId="0" hidden="1">'1° Incidentes '!$I$2:$I$2</definedName>
    <definedName name="NativeTimeline_FECHA">#N/A</definedName>
    <definedName name="SegmentaciónDeDatos_Años__FECHA">#N/A</definedName>
    <definedName name="SegmentaciónDeDatos_ÁREA_DEL_ACCIDENTADO">#N/A</definedName>
    <definedName name="SegmentaciónDeDatos_CATEGORÍA">#N/A</definedName>
    <definedName name="SegmentaciónDeDatos_CAUSA_PRINCIPAL">#N/A</definedName>
    <definedName name="SegmentaciónDeDatos_DIRECCIÓN">#N/A</definedName>
    <definedName name="SegmentaciónDeDatos_FUENTE_DE_PELIGRO">#N/A</definedName>
    <definedName name="SegmentaciónDeDatos_LESIÓN">#N/A</definedName>
    <definedName name="SegmentaciónDeDatos_PLANTA_DE_OCURRENCIA">#N/A</definedName>
    <definedName name="SegmentaciónDeDatos_SOCIEDAD2">#N/A</definedName>
  </definedNames>
  <calcPr calcId="191028"/>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3" i="4" l="1"/>
  <c r="AD153" i="4"/>
  <c r="D5" i="27" l="1"/>
  <c r="D6" i="27"/>
  <c r="D7" i="27"/>
  <c r="D8" i="27"/>
  <c r="D9" i="27"/>
  <c r="D10" i="27"/>
  <c r="D11" i="27"/>
  <c r="D12" i="27"/>
  <c r="D13" i="27"/>
  <c r="D14" i="27"/>
  <c r="D15" i="27"/>
  <c r="D16" i="27"/>
  <c r="D17" i="27"/>
  <c r="D18" i="27"/>
  <c r="D19" i="27"/>
  <c r="D20" i="27"/>
  <c r="D21" i="27"/>
  <c r="D22" i="27"/>
  <c r="D23" i="27"/>
  <c r="D24" i="27"/>
  <c r="D25" i="27"/>
  <c r="D26" i="27"/>
  <c r="AD151" i="4" l="1"/>
  <c r="AD152" i="4"/>
  <c r="L151" i="4"/>
  <c r="L152" i="4"/>
  <c r="AD150" i="4"/>
  <c r="L150" i="4"/>
  <c r="L149" i="4"/>
  <c r="AD149" i="4"/>
  <c r="L148" i="4"/>
  <c r="AD148" i="4"/>
  <c r="L134" i="4"/>
  <c r="L135" i="4"/>
  <c r="L136" i="4"/>
  <c r="L137" i="4"/>
  <c r="L138" i="4"/>
  <c r="L139" i="4"/>
  <c r="L140" i="4"/>
  <c r="L141" i="4"/>
  <c r="L142" i="4"/>
  <c r="L143" i="4"/>
  <c r="L144" i="4"/>
  <c r="L145" i="4"/>
  <c r="L146" i="4"/>
  <c r="L147" i="4"/>
  <c r="AD134" i="4"/>
  <c r="AD135" i="4"/>
  <c r="AD136" i="4"/>
  <c r="AD137" i="4"/>
  <c r="AD138" i="4"/>
  <c r="AD139" i="4"/>
  <c r="AD140" i="4"/>
  <c r="AD141" i="4"/>
  <c r="AD142" i="4"/>
  <c r="AD143" i="4"/>
  <c r="AD144" i="4"/>
  <c r="AD145" i="4"/>
  <c r="AD146" i="4"/>
  <c r="AD147" i="4"/>
  <c r="L133" i="4"/>
  <c r="AD133" i="4"/>
  <c r="L132" i="4"/>
  <c r="AD132" i="4"/>
  <c r="L131" i="4"/>
  <c r="AD131" i="4"/>
  <c r="L130" i="4"/>
  <c r="AD130" i="4"/>
  <c r="L128" i="4" l="1"/>
  <c r="AD128" i="4"/>
  <c r="L127" i="4"/>
  <c r="AD127" i="4"/>
  <c r="L126" i="4"/>
  <c r="AD126" i="4"/>
  <c r="L129" i="4" l="1"/>
  <c r="AD129" i="4"/>
  <c r="L120" i="4"/>
  <c r="L121" i="4"/>
  <c r="L122" i="4"/>
  <c r="L123" i="4"/>
  <c r="L124" i="4"/>
  <c r="L125" i="4"/>
  <c r="AD120" i="4"/>
  <c r="AD121" i="4"/>
  <c r="AD122" i="4"/>
  <c r="AD123" i="4"/>
  <c r="AD124" i="4"/>
  <c r="AD125" i="4"/>
  <c r="Q79" i="4"/>
  <c r="Q80" i="4"/>
  <c r="Q81" i="4"/>
  <c r="Q82" i="4"/>
  <c r="Q83" i="4"/>
  <c r="Q84" i="4"/>
  <c r="Q85" i="4"/>
  <c r="Q86" i="4"/>
  <c r="Q87" i="4"/>
  <c r="Q88" i="4"/>
  <c r="Q90" i="4"/>
  <c r="Q91" i="4"/>
  <c r="Q92" i="4"/>
  <c r="Q93" i="4"/>
  <c r="Q94" i="4"/>
  <c r="Q95" i="4"/>
  <c r="Q96" i="4"/>
  <c r="Q97" i="4"/>
  <c r="Q98" i="4"/>
  <c r="Q99" i="4"/>
  <c r="Q100" i="4"/>
  <c r="Q101" i="4"/>
  <c r="Q102" i="4"/>
  <c r="Q103" i="4"/>
  <c r="Q104" i="4"/>
  <c r="Q106" i="4"/>
  <c r="Q107" i="4"/>
  <c r="Q108" i="4"/>
  <c r="Q109" i="4"/>
  <c r="Q110" i="4"/>
  <c r="Q111" i="4"/>
  <c r="Q113" i="4"/>
  <c r="Q114" i="4"/>
  <c r="Q115" i="4"/>
  <c r="Q116" i="4"/>
  <c r="Q118" i="4"/>
  <c r="Q119" i="4"/>
  <c r="Q77"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AD109" i="4"/>
  <c r="AD108" i="4"/>
  <c r="AD110" i="4"/>
  <c r="AD111" i="4"/>
  <c r="AD112" i="4"/>
  <c r="AD113" i="4"/>
  <c r="AD114" i="4"/>
  <c r="AD115" i="4"/>
  <c r="AD116" i="4"/>
  <c r="AD117" i="4"/>
  <c r="AD118" i="4"/>
  <c r="AD119" i="4"/>
  <c r="AD107" i="4" l="1"/>
  <c r="AD105" i="4"/>
  <c r="AD106" i="4"/>
  <c r="AD104" i="4"/>
  <c r="AD103" i="4"/>
  <c r="AD98" i="4"/>
  <c r="AD101" i="4"/>
  <c r="AD99" i="4"/>
  <c r="AD100" i="4"/>
  <c r="AD102" i="4"/>
  <c r="AD97" i="4"/>
  <c r="AD3" i="4"/>
  <c r="AL3" i="4"/>
  <c r="AD4" i="4"/>
  <c r="AL4" i="4"/>
  <c r="AP4" i="4"/>
  <c r="AR4" i="4"/>
  <c r="AD5" i="4"/>
  <c r="AL5" i="4"/>
  <c r="AP5" i="4"/>
  <c r="AR5" i="4"/>
  <c r="AD6" i="4"/>
  <c r="AL6" i="4"/>
  <c r="AP6" i="4"/>
  <c r="AR6" i="4"/>
  <c r="AD7" i="4"/>
  <c r="AL7" i="4"/>
  <c r="AP7" i="4"/>
  <c r="AR7" i="4"/>
  <c r="AD8" i="4"/>
  <c r="AL8" i="4"/>
  <c r="AP8" i="4"/>
  <c r="AR8" i="4"/>
  <c r="AD9" i="4"/>
  <c r="AL9" i="4"/>
  <c r="AP9" i="4"/>
  <c r="AR9" i="4"/>
  <c r="AD10" i="4"/>
  <c r="AL10" i="4"/>
  <c r="AP10" i="4"/>
  <c r="AR10" i="4"/>
  <c r="AD11" i="4"/>
  <c r="AL11" i="4"/>
  <c r="AP11" i="4"/>
  <c r="AR11" i="4"/>
  <c r="AD12" i="4"/>
  <c r="AL12" i="4"/>
  <c r="AP12" i="4"/>
  <c r="AR12" i="4"/>
  <c r="AD13" i="4"/>
  <c r="AL13" i="4"/>
  <c r="AP13" i="4"/>
  <c r="AR13" i="4"/>
  <c r="AD14" i="4"/>
  <c r="AL14" i="4"/>
  <c r="AN14" i="4" s="1"/>
  <c r="AP14" i="4"/>
  <c r="AR14" i="4"/>
  <c r="AD15" i="4"/>
  <c r="AM15" i="4"/>
  <c r="AN15" i="4" s="1"/>
  <c r="AP15" i="4"/>
  <c r="AR15" i="4"/>
  <c r="AD16" i="4"/>
  <c r="AM16" i="4"/>
  <c r="AN16" i="4" s="1"/>
  <c r="AP16" i="4"/>
  <c r="AR16" i="4"/>
  <c r="AD17" i="4"/>
  <c r="AM17" i="4"/>
  <c r="AN17" i="4" s="1"/>
  <c r="AP17" i="4"/>
  <c r="AR17" i="4"/>
  <c r="AD18" i="4"/>
  <c r="AM18" i="4"/>
  <c r="AN18" i="4" s="1"/>
  <c r="AP18" i="4"/>
  <c r="AR18" i="4"/>
  <c r="AD19" i="4"/>
  <c r="AM19" i="4"/>
  <c r="AN19" i="4" s="1"/>
  <c r="AP19" i="4"/>
  <c r="AR19" i="4"/>
  <c r="AD20" i="4"/>
  <c r="AM20" i="4"/>
  <c r="AN20" i="4" s="1"/>
  <c r="AP20" i="4"/>
  <c r="AR20" i="4"/>
  <c r="AD21" i="4"/>
  <c r="AM21" i="4"/>
  <c r="AN21" i="4" s="1"/>
  <c r="AP21" i="4"/>
  <c r="AR21" i="4"/>
  <c r="AD22" i="4"/>
  <c r="AM22" i="4"/>
  <c r="AN22" i="4" s="1"/>
  <c r="AP22" i="4"/>
  <c r="AR22" i="4"/>
  <c r="AD23" i="4"/>
  <c r="AM23" i="4"/>
  <c r="AN23" i="4" s="1"/>
  <c r="AP23" i="4"/>
  <c r="AR23" i="4"/>
  <c r="AD24" i="4"/>
  <c r="AM24" i="4"/>
  <c r="AN24" i="4" s="1"/>
  <c r="AP24" i="4"/>
  <c r="AR24" i="4"/>
  <c r="AD25" i="4"/>
  <c r="AM25" i="4"/>
  <c r="AN25" i="4" s="1"/>
  <c r="AP25" i="4"/>
  <c r="AR25" i="4"/>
  <c r="AD26" i="4"/>
  <c r="AM26" i="4"/>
  <c r="AP26" i="4"/>
  <c r="AR26" i="4"/>
  <c r="AD27" i="4"/>
  <c r="AM27" i="4"/>
  <c r="AP27" i="4"/>
  <c r="AR27" i="4"/>
  <c r="AD28" i="4"/>
  <c r="AM28" i="4"/>
  <c r="AP28" i="4"/>
  <c r="AR28" i="4"/>
  <c r="AD29" i="4"/>
  <c r="AM29" i="4"/>
  <c r="AP29" i="4"/>
  <c r="AR29" i="4"/>
  <c r="AD30" i="4"/>
  <c r="AM30" i="4"/>
  <c r="AP30" i="4"/>
  <c r="AR30" i="4"/>
  <c r="AD31" i="4"/>
  <c r="AM31" i="4"/>
  <c r="AP31" i="4"/>
  <c r="AR31" i="4"/>
  <c r="AD32" i="4"/>
  <c r="AM32" i="4"/>
  <c r="AP32" i="4"/>
  <c r="AR32" i="4"/>
  <c r="AD33" i="4"/>
  <c r="AM33" i="4"/>
  <c r="AP33" i="4"/>
  <c r="AR33" i="4"/>
  <c r="AD34" i="4"/>
  <c r="AM34" i="4"/>
  <c r="AP34" i="4"/>
  <c r="AR34" i="4"/>
  <c r="AD35" i="4"/>
  <c r="AM35" i="4"/>
  <c r="AP35" i="4"/>
  <c r="AR35" i="4"/>
  <c r="AD36" i="4"/>
  <c r="AM36" i="4"/>
  <c r="AP36" i="4"/>
  <c r="AR36" i="4"/>
  <c r="AD37" i="4"/>
  <c r="AN37" i="4"/>
  <c r="AP37" i="4"/>
  <c r="AR37" i="4"/>
  <c r="AD38" i="4"/>
  <c r="AN38" i="4"/>
  <c r="AP38" i="4"/>
  <c r="AR38" i="4"/>
  <c r="AD39" i="4"/>
  <c r="AN39" i="4"/>
  <c r="AP39" i="4"/>
  <c r="AR39" i="4"/>
  <c r="AD40" i="4"/>
  <c r="AN40" i="4"/>
  <c r="AP40" i="4"/>
  <c r="AR40" i="4"/>
  <c r="AD41" i="4"/>
  <c r="AN41" i="4"/>
  <c r="AP41" i="4"/>
  <c r="AR41" i="4"/>
  <c r="AD42" i="4"/>
  <c r="AN42" i="4"/>
  <c r="AR42" i="4"/>
  <c r="AD43" i="4"/>
  <c r="AN43" i="4"/>
  <c r="AR43" i="4"/>
  <c r="AD44" i="4"/>
  <c r="AN44" i="4"/>
  <c r="AR44" i="4"/>
  <c r="AD45" i="4"/>
  <c r="AN45" i="4"/>
  <c r="AR45" i="4"/>
  <c r="AD46" i="4"/>
  <c r="AN46" i="4"/>
  <c r="AR46" i="4"/>
  <c r="AD47" i="4"/>
  <c r="AN47" i="4"/>
  <c r="AR47" i="4"/>
  <c r="AD48" i="4"/>
  <c r="AN48" i="4"/>
  <c r="AR48" i="4"/>
  <c r="AD49" i="4"/>
  <c r="AN49" i="4"/>
  <c r="AR49" i="4"/>
  <c r="AD50" i="4"/>
  <c r="AN50" i="4"/>
  <c r="AR50" i="4"/>
  <c r="AD51" i="4"/>
  <c r="AN51" i="4"/>
  <c r="AR51" i="4"/>
  <c r="AD52" i="4"/>
  <c r="AN52" i="4"/>
  <c r="AR52" i="4"/>
  <c r="AD53" i="4"/>
  <c r="AR53" i="4"/>
  <c r="AD54" i="4"/>
  <c r="AR54" i="4"/>
  <c r="AD55" i="4"/>
  <c r="AR55" i="4"/>
  <c r="AD56" i="4"/>
  <c r="AR56" i="4"/>
  <c r="AD57" i="4"/>
  <c r="AR57" i="4"/>
  <c r="AD58" i="4"/>
  <c r="AR58" i="4"/>
  <c r="AD59" i="4"/>
  <c r="AR59" i="4"/>
  <c r="AD60" i="4"/>
  <c r="AR60" i="4"/>
  <c r="AD61" i="4"/>
  <c r="AR61" i="4"/>
  <c r="AD62" i="4"/>
  <c r="AR62" i="4"/>
  <c r="AD63" i="4"/>
  <c r="AR63" i="4"/>
  <c r="AD64" i="4"/>
  <c r="AR64" i="4"/>
  <c r="AD65" i="4"/>
  <c r="AR65" i="4"/>
  <c r="AD66" i="4"/>
  <c r="AR66" i="4"/>
  <c r="AD67" i="4"/>
  <c r="AR67" i="4"/>
  <c r="AD68" i="4"/>
  <c r="AR68" i="4"/>
  <c r="AD69" i="4"/>
  <c r="AR69" i="4"/>
  <c r="AD70" i="4"/>
  <c r="AR70" i="4"/>
  <c r="AD71" i="4"/>
  <c r="AR71" i="4"/>
  <c r="AD72" i="4"/>
  <c r="AR72" i="4"/>
  <c r="AD73" i="4"/>
  <c r="AR73" i="4"/>
  <c r="AD74" i="4"/>
  <c r="AR74" i="4"/>
  <c r="AD75" i="4"/>
  <c r="AR75" i="4"/>
  <c r="AD76" i="4"/>
  <c r="AR76" i="4"/>
  <c r="AD77" i="4"/>
  <c r="AD78" i="4"/>
  <c r="AD79" i="4"/>
  <c r="AD80" i="4"/>
  <c r="AD81" i="4"/>
  <c r="AD82" i="4"/>
  <c r="AD83" i="4"/>
  <c r="AD84" i="4"/>
  <c r="AD85" i="4"/>
  <c r="AD86" i="4"/>
  <c r="AD87" i="4"/>
  <c r="AD88" i="4"/>
  <c r="AD89" i="4"/>
  <c r="AD90" i="4"/>
  <c r="AD91" i="4"/>
  <c r="AD92" i="4"/>
  <c r="AD93" i="4"/>
  <c r="AD94" i="4"/>
  <c r="AD95" i="4"/>
  <c r="AD9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tc={A9EB24E2-C9D1-4140-B0DB-1FEB820723E3}</author>
    <author>tc={08C8419F-1C4E-4340-BE93-6E9F17899CA1}</author>
    <author>tc={EDEFF945-59D4-41BE-A254-F4669A0D81E7}</author>
  </authors>
  <commentList>
    <comment ref="S2" authorId="0" shapeId="0" xr:uid="{A9EB24E2-C9D1-4140-B0DB-1FEB820723E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Cantidad de horas desde su ingreso, desde su inicio de labores
</t>
      </text>
    </comment>
    <comment ref="B102" authorId="1" shapeId="0" xr:uid="{08C8419F-1C4E-4340-BE93-6E9F17899CA1}">
      <text>
        <t>[Comentario encadenado]
Su versión de Excel le permite leer este comentario encadenado; sin embargo, las ediciones que se apliquen se quitarán si el archivo se abre en una versión más reciente de Excel. Más información: https://go.microsoft.com/fwlink/?linkid=870924
Comentario:
    Consultar el turno</t>
      </text>
    </comment>
    <comment ref="E126" authorId="2" shapeId="0" xr:uid="{EDEFF945-59D4-41BE-A254-F4669A0D81E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Siempre cuando es en manufactura la única planta de Wilson es Calacalí
</t>
      </text>
    </comment>
  </commentList>
</comments>
</file>

<file path=xl/sharedStrings.xml><?xml version="1.0" encoding="utf-8"?>
<sst xmlns="http://schemas.openxmlformats.org/spreadsheetml/2006/main" count="4760" uniqueCount="1430">
  <si>
    <t>Planta</t>
  </si>
  <si>
    <t>Fecha</t>
  </si>
  <si>
    <t>EMPRESA</t>
  </si>
  <si>
    <t>Tipo de evento</t>
  </si>
  <si>
    <t xml:space="preserve">Descripción </t>
  </si>
  <si>
    <t>Daños reales o potenciales</t>
  </si>
  <si>
    <t>Fuente de peligro</t>
  </si>
  <si>
    <t>verificado</t>
  </si>
  <si>
    <t>LATAM 400</t>
  </si>
  <si>
    <t>ALICORP</t>
  </si>
  <si>
    <t>Daño material</t>
  </si>
  <si>
    <t xml:space="preserve">Siendo las 6:31 a.m. el operador de montacargas se encontraba haciendo uso del equipo MYA64 realizando la descarga de mercadería de un camión en la  rampa 19, ya por finalizar el proceso,  el operador descarga una de las paletas restantes, retrocede y luego avanza con la mercadería en dirección hacia la rampa 18, el colaborador comenta que es en ese momento que dormita y choca contra la pared de la rampa 18. </t>
  </si>
  <si>
    <t>Daño a las instalaciones</t>
  </si>
  <si>
    <t>Equipo logístico</t>
  </si>
  <si>
    <t>EEII COPSA PULP 4</t>
  </si>
  <si>
    <t>Activación mecánica de rociador</t>
  </si>
  <si>
    <t>El día de hoy a las 15:50, en el almacén EE/II COPSA PUL4, se registró un incidente de alto potencial durante el almacenamiento de mercadería. Durante la maniobra, la parte superior del pallet topa el aspersor accidentalmente, provocando su activación.
Se emitió la alerta, el equipo de seguridad planta acudió al evento de forma inmediata; así mismo, se realizó un hard stop operativo para sensibilizar el incidente al 100% del personal.
 No se registran daños personales y se cuantificará los daños materiales ocasionados por el evento.
Se procederá con la investigación correspondiente para determinar los detalles adicionales.</t>
  </si>
  <si>
    <t>Molino Callao</t>
  </si>
  <si>
    <t>Arranque de equipo</t>
  </si>
  <si>
    <t>Durante el arranque de la planta, el trabajador Robinson Vilchez detectó que uno de los equipos no contaba con la faja correspondiente. De inmediato, envió una comunicación vía mensaje whatsapp al coordinador encargado del arranque para solicitar un retraso en el proceso.
Sin embargo, el coordinador de turno, quien se encontraba en la sala de supervisión, mencionó no haber visto el mensaje de Vilchez y continuó con el arranque.
Al observar que las máquinas comenzaban a ponerse en marcha, Robinson decidió retirarse de la zona y se dirigió a la sala de supervisión.</t>
  </si>
  <si>
    <t>Lesiones o fatalidad</t>
  </si>
  <si>
    <t>Equipo de molinería</t>
  </si>
  <si>
    <t>Lurín 3</t>
  </si>
  <si>
    <t>INTRADEVCO</t>
  </si>
  <si>
    <t>Fuga de Oleum</t>
  </si>
  <si>
    <t>Durante la producción se identificó una filtración de Oleum de la tubería que sale del filtro de gases de SO3. Luego se procedió a parar la producción y empezar el proceso de desgasificado de las líneas productivas para intervenir y corregir la fisura, después de 1h se inicia la intervención de la tubería, retirando el enchaquetado para ubicar el punto exacto de fuga, y en ese momento se incrementa la fuga Oleum, generando liberación de gases al entrar en contacto con el ambiente.</t>
  </si>
  <si>
    <t>Intoxicación</t>
  </si>
  <si>
    <t xml:space="preserve">Sustancia química </t>
  </si>
  <si>
    <t>CD Huachipa</t>
  </si>
  <si>
    <t>Caída de acople</t>
  </si>
  <si>
    <t>A partir de las 5:30 p.m. se inició la presurización de la red aérea del sistema ACI instalado en el CD Huachipa. Luego de emplear la bomba jockey para levantar presión se procedió a activar la bomba principal. Tras la 3era activación de dicha bomba principal un tramo de tubería ubicada en la azotea de la zona de vestidores se desplazó 50 cm, separándose del tramo de tubería adyacente que quedó fijo (el codo también se separó de la columna a la cual estaba anclado). El acople que unía ambos tramos cayó a 6 metros de su posición original (sobre la misma azotea de la zona de vestidores). En ese momento, se liberó el caudal del agua que cubrió el techo de la azotea y descendió también al primer piso (zona de acceso a los vestidores y estacionamiento). Además del acople caído, se registró desprendimiento del tarrajeo donde se ubicaba el anclaje del codo mostrado en la foto. El incidente está en proceso de investigación.</t>
  </si>
  <si>
    <t xml:space="preserve">Lesiones  </t>
  </si>
  <si>
    <t>Tubería de servicios</t>
  </si>
  <si>
    <t>CD Piura</t>
  </si>
  <si>
    <t>Amago de incendio</t>
  </si>
  <si>
    <t xml:space="preserve">Durante el proceso de descargue en CD Piura, se observó un pequeño amago de incendio debajo de la cabina del camión. En ese momento, el almacén procedió a activar la alarma contra incendios. Sin embargo, se identificó que la unidad ya contaba con un dispositivo bloqueador de energía, siendo así, ya no fue necesario el uso de extintores y demás, puesto que el amago se apagó automáticamente y casi de inmediato. </t>
  </si>
  <si>
    <t>Incendio</t>
  </si>
  <si>
    <t>Fuego</t>
  </si>
  <si>
    <t>CD Santa Cruz</t>
  </si>
  <si>
    <t xml:space="preserve">En fecha 13 de febrero de 2025, el montacarguista de turno, operador del equipo TOWMOTOR GP25S, regresaba de la cámara fría tras completar el traslado de producto terminado para continuar con sus labores en la operación. 
Durante el traslado por la zona, la uña derecha se engancha en el enmallado que delimita la zona, lo atraviesa y perfora producto apilado en el lugar. El operador retira el montacargas para revisión del daño material. </t>
  </si>
  <si>
    <t>Daño de malla de protección</t>
  </si>
  <si>
    <t>CD Latam 600</t>
  </si>
  <si>
    <t>Alrededor de las 11:34 horas del 19/02 el operador ETV finalizaba de realizar una tarea de almacenaje en la cámara refrigerada, y al salir con el mástil del equipo elevado, impactó con la parte superior del marco de la puerta de la cámara de frio, generando la caída de una parte de este al piso. Por tal motivo, la puerta de acceso a la cámara refrigerada queda bloqueada hasta su reparación. 
No se reportó daños personales.</t>
  </si>
  <si>
    <t>Daño de marco de puerta</t>
  </si>
  <si>
    <t>APT Fideería</t>
  </si>
  <si>
    <t>Incidente</t>
  </si>
  <si>
    <t>Aproximadamente a las 20:40 horas, un ayudante de despacho se encontraba empujando la mercadería para que esta pueda ser recogida por el montacarguista para luego ser cargada en la unidad de transporte. Sin embargo, debido a que la paleta ubicada en la parte delantera tenía un tamaño menor en comparación con las posteriores, no advirtió su presencia y continuó con la maniobra, lo que provocó la caída de la mercadería hacia la parte exterior del muelle.
Afortunadamente no hubo daños materiales ni personales ya que el personal del patio de maniobras se encontraba apartado.</t>
  </si>
  <si>
    <t>Potencial daño material o personal</t>
  </si>
  <si>
    <t>CDC</t>
  </si>
  <si>
    <t>TERCERA</t>
  </si>
  <si>
    <t>Alto potencial</t>
  </si>
  <si>
    <t>Al promediar las 12:10, personal tercero se percata que un balón de gas (nuevo) montado en el equipo RUA01 presentaba una fuga, inmediatamente informa la jefe de turno quien solicita apoyo mediante la radio al centro de control.
A los pocos minutos personal de seguridad se acercan para revisar el balón, donde comprueban que existe una ligera fuga, inmediatamente proceden a taparlo con jabón y aislar el balón.
Luego de ello se procedió a informar al proveedor ZGAS para que retire el balón con fuga.</t>
  </si>
  <si>
    <t>Explosión de balón de gas</t>
  </si>
  <si>
    <t>Balon de GLP</t>
  </si>
  <si>
    <t>Galletera/Sidsur</t>
  </si>
  <si>
    <t>Durante el arranque de producción de inicio de semana de la línea 2, el ayudante hornero Eloy Cutipa identifica un amago de incendio en un pedazo de masa (20 cm) de galletas que se desplaza por la malla del horno, Eloy  comunica al coordinador Loyber Hilachoque acerca del evento. Ambos trabajadores proceden a parar la faja para controlar el amago. Posterior a ello se apagan los equipos y componentes mecánicos hasta que se eliminen las brasas generadas por el amago. No se registraron daños materiales ni personales.</t>
  </si>
  <si>
    <t xml:space="preserve">Potencial incendio </t>
  </si>
  <si>
    <t>Aproximadamente a las 11:30, un operador de montacarga eléctrico realizaba el proceso de almacenaje. Tenía una tarea de cajas de aceites que mandaba al séptimo nivel. Cuando se encontraba colocando la paleta sintió que se atoró, posiblemente por motivo de una caja sobresalida y al no poder seguir ingresando la paleta, optó por sacarla. Sin embargo, ya estaba la paleta sentada sobre el parante y al momento del retroceder alza nuevamente las uñas de la máquina y generó que la paleta se incline por un lado y caiga toda la mercadería.
Afortunadamente no hubo daños personales, pero si materiales.</t>
  </si>
  <si>
    <t>Daño paleta de aceite</t>
  </si>
  <si>
    <t>Galletera &amp; Instantáneos</t>
  </si>
  <si>
    <t>Aproximadamente a las 10:58 horas en la enfardeladora de postres (Boato), durante el proceso de embolsado de gelatina, se presentó un amago de incendio en la lámina microperforada. 
Afortunadamente solo hubo daños materiales mínimos ya que el personal reacción rápido para controlar dicho amago.</t>
  </si>
  <si>
    <t>Almacén Copsa Envases Copsa</t>
  </si>
  <si>
    <t>Alrededor de las 11:15 horas del 28/02, el operador de ETV al realizar la maniobra para bajar un pallet del cuarto nivel, que tenía un insumo en bidones sin estar empacado de stretch film, pierde equilibrio y se caen 4 bidones del pallet afectando a otros materiales y al piso del almacén por el derrame ocasionado. No se reportó daños personales.</t>
  </si>
  <si>
    <t>Daño paleta de insumo líquido</t>
  </si>
  <si>
    <t>Al promediar las 3:25 am, mientras se realizaba el proceso de recirculación del tanque 4 de Ácido Sulfónico Lineal (HLAS), se produjo la fisura de la sección lateral del manifold N° 2, que inició el derrame del mencionado producto químico. A las 5:00 am se recibió la llamada del agente de seguridad de garita reportando un derrame en la zona de despacho y se activó el plan de contingencias para la contención del derrame.</t>
  </si>
  <si>
    <t>Aproximadamente a las 8:00 am, el conductor de la empresa Corzev se acercó a su unidad y se percató que el lado lateral izquierdo de la cabina había sido impactado. Inmediatamente, procedió a comunicarse con el almacén para revisar lo sucedido.
En la revisión de las cámaras se observó que la unidad con placa BBX945 de Transportes e Inversiones Pacífico, al momento de estacionarse, fue la causante del impacto.</t>
  </si>
  <si>
    <t>Daño al camión</t>
  </si>
  <si>
    <t>Molino Paita</t>
  </si>
  <si>
    <t>MASTERBREAD</t>
  </si>
  <si>
    <t>Aproximadamente a las 15:54 pm. el Operador de Montacarga de Combustión Juan Chiroque Coveñas; realizaba el proceso de trasladar 18 paletas de la zona de paletas limpias a la zona de empaque; el operador al ver que no tenía visibilidad optó por trasladarse en retroceso, sin embargo, cuando estuvo cerca a la puerta, quiso frenar, y en lugar de pisar el freno, presionó el acelerador, impactando la máquina con la puerta elevadiza automática.</t>
  </si>
  <si>
    <t>CD El Alto Senkata</t>
  </si>
  <si>
    <t>En fecha 22 de marzo, a horas 10:05 am, durante el desprecintado de la compuerta del contenedor de importación para descarguio, el estibador de la empresa tercera BMG corta el precinto naviero con las tenazas donde por la fuerza ejercida al momento del corte una parte del precinto superior sale disparada hacia el rostro del colaborador, el mismo llega a rozar la parte izquierda de la nariz causándole corte superficial. Se procedió a dar primeros auxilios donde se desinfecto la zona de la herida y se puso una banda protectora.</t>
  </si>
  <si>
    <t>Lesiones</t>
  </si>
  <si>
    <t>Precinto de camión</t>
  </si>
  <si>
    <t>CD Arequipa</t>
  </si>
  <si>
    <t>El día 26 de marzo, a horas 04:10 am, el operador de ETV Ferrer Llacho se encontraba terminando una operación en el pasillo 10. Posterior a eso, se le asigna una operación en el pasillo 6, por lo cual se dirige por la parte posterior del almacén (pegado a la pared) a trasladarse desde el pasillo 10 al pasillo 6. El operador, sin carga, inicia el recorrido del elevador con el mástil hacia adelante; cuando en la columna entre el pasillo 8 y 9, golpea con la parte de la batería del elevador un gabinete contra incendio y lo daña. Procede a parar su operación y a reportar lo acontecido. No se generó ningún daño al personal. Se informa a seguridad para validar el mantenimiento correctivo del equipo de emergencia. La investigación se encuentra en curso.</t>
  </si>
  <si>
    <t xml:space="preserve">El día 03 de Abril a las 03:05 pm, el operador de Montacargas de Combustión Víctor Charca en el equipo MYA07 se encontraba cargando la unidad con paletas vacías, eleva la ruma de paletas y al momento de cuadrarla dentro del camión; la última paleta choca con la estructura de la unidad cayendo sobre el mástil del montacarga causando la rotura del faro delantero derecho del equipo, el operador para la maniobra, apaga el equipo y comunica el incidente. El operador no sufrió ningún daño. </t>
  </si>
  <si>
    <t>Daño a equipo logístico</t>
  </si>
  <si>
    <t>APT Galletera</t>
  </si>
  <si>
    <t xml:space="preserve">Al promediar las 11:30 a.m. el operador de combustión Rodrigo Pezo, se encontraba realizando la labor de carga del contenedor a través de una rampa metálica de color azul, cuando terminó de realizar la carga del contenedor, quiso cerrar la llave de este, al no poder alcanzarlo, utilizó como soporte las uñas del montacargas, previamente haberlo apagado, este incidente de alto potencial no ocasionó daños personales en el operador. La investigación continúa en curso.            </t>
  </si>
  <si>
    <t xml:space="preserve">Lesiones </t>
  </si>
  <si>
    <t>Lurín 1</t>
  </si>
  <si>
    <t>Siendo las 21:32 horas durante el inicio de la descarga de sal industrial, se produjo el vuelco de la tolva de descarga del camión de la empresa Transler EIRL, que es subcontratada por el proveedor de sal industrial (Sociedad punta de lobos Perú SAC).
No se registraron personas afectadas
Se procede con la investigación del evento</t>
  </si>
  <si>
    <t>Vehículo de carga</t>
  </si>
  <si>
    <t>Aproximadamente a las 20:45 cuando el trabajador Richard Rivera Vásquez transitaba por la batidora de masa 3, sintió tras él la caída de una herramienta (llave francesa) del personal tercero quienes estaban realizado trabajos de limpieza de filtros en altura, cabe mencionar que el área no se encontraba delimitada por la empresa Soluciones Rápidas CRC por lo que no se había restringido el tránsito en esa zona.</t>
  </si>
  <si>
    <t>Equipo manufacura</t>
  </si>
  <si>
    <t>Indicente</t>
  </si>
  <si>
    <t>Aproximadamente a las 16:24 hrs el trabajador Samuel Rojas Carlos se encontraba realizando la limpieza del equipo Mezclador #3 cuando al introducir la pala con la que remueve el producto este queda atrapado en  las aspas del equipo en mención, por lo que el operador suelta la pala de forma apresurada y procede a apagar el equipo, luego procede a comunicar el suceso al Ingeniero de Turno César Orellana.</t>
  </si>
  <si>
    <t xml:space="preserve">CDC </t>
  </si>
  <si>
    <t>El sábado a las 19:05, en el almacén CDC zona de Cámara de Frio (Pasillo 15), se registró un incidente de alto potencial durante el almacenamiento de un pallet con mantas térmicas en el 4to nivel de la estantería rack. Durante la maniobra, la parte superior del pallet topa el aspersor accidentalmente, provocando su activación.
Se emitió la alerta por medio del radio al equipo de seguridad industrial, a lo cual el inspector Jerson Romero Samaniego acudió al evento de forma inmediata. Este último realizó el cierre de válvulas de agua de la zona.
Por otro lado, se comunicó al electricista de turno para la revisión de la zona por riesgos eléctricos. Así mismo, se realizó un hard stop operativo para sensibilizar el incidente al 100% del personal.
El operario involucrado fue dirigido al Tópico para su evaluación médica post-incidente a lo cual medicina ocupacional nos indicó que guardara reposo hasta terminar su jordana, no presenta ningún daño físico.
No se registran daños estructurales y se cuantificará los daños materiales ocasionados por el evento.</t>
  </si>
  <si>
    <t>Daño a producto terminado</t>
  </si>
  <si>
    <t>Almacén de insumos fidería</t>
  </si>
  <si>
    <t xml:space="preserve">Alrededor de las 01:30 p.m., el operador Anthony Yarleque se encontraba ejecutando la labor de almacenamiento de una paleta de devolución, utilizando un ETV. Durante la maniobra, una de las mangueras del equipo logístico presentó una falla repentina, lo que provocó la ruptura de esta y la consiguiente fuga de aceite hidráulico al piso.
Tras el incidente, se activaron los protocolos correspondientes: se procedió de inmediato con la limpieza y contención del derrame, asegurando el área y evitando cualquier tipo de exposición o riesgo adicional.           
Este incidente no ocasionó daños personales en el operador. La investigación continúa en curso.            </t>
  </si>
  <si>
    <t>SIDSUR</t>
  </si>
  <si>
    <t xml:space="preserve">El Martes 29/04/2025 a las 06:20 am, en el vestuario de Operadores de planta Galleteria ,se observa incidente de alto potencial  en el tablero eléctrico alimentación planta de 220 V trifásico , el cual genera la emisión de humo debido a un corto circuito en el cable de alimentación de extractores del vestuario. 
El personal del área de mantenimiento se acercó a la zona y evidenció un fusible activado y unos cables quemados, posteriormente se comunicó a todo el personal del área de galletería para atender el incidente. 
No se registraron daños personales.  </t>
  </si>
  <si>
    <t>Instalaciones eléctricas</t>
  </si>
  <si>
    <t>El viernes 02 de mayo a las 9:50 pm, durante el turno 3 se presentó un incidente en la zona de casilleros de la planta galletería, donde parte del cielo raso cayó.
Se tomaron medidas inmediatas para asegurar el área, el acceso fue restringido desde ayer, además se comunicó a los trabajadores de turno acerca del incidente y la restricción de acceso, el día de hoy se realizaron labores de retiro del material caído y el resto de estructura sobrante.</t>
  </si>
  <si>
    <t>Techo de instalación</t>
  </si>
  <si>
    <t>Caída de producto</t>
  </si>
  <si>
    <t>El jueves 08.05 alrededor de las 9am, en el almacén CDC zona Nave nueva (Pasillo 3), se registró un incidente de alto potencial durante el almacenamiento de un pallet con cajas de aceite en el 4to nivel del flowrack F1-01-02. Durante el almacenamiento, producto del movimiento, la cama superior del pallet se ladeó provocando la caída de 14 cajas (13 quedaron en el flowrack y 1 cayó al piso), generado derrame de líquido.
Se procedió con el cercado de zona afectada para restringir el tránsito de equipos eléctricos. Se activó al equipo de Alteliza para el inicio de trabajos y al proveedor Flamil para el recupero de cajas en rack.
El operador ETV no presenta ningún daño físico ni tampoco se registran daños estructurales. Producto del evento, 8 cajas fueron enviadas a la zona de PNC.
Se realizó hardstop para comentar lo sucedido con el equipo y reforzar el enfoque en seguridad. Se procederá con la investigación correspondiente para determinar los detalles adicionales.</t>
  </si>
  <si>
    <t>Mercadería almacenada</t>
  </si>
  <si>
    <t>Fuga de cloro</t>
  </si>
  <si>
    <t>Al promediar las 17:25 horas un colaborador que se encontraba cerca a la zona de formulación de hipoclorito de sodio al 8% reporta presencia de olor a cloro. Inmediatamente se procede con la activación del protocolo de emergencias y la evacuación del personal. Las lecturas arrojaron valores por debajo de 2.25 ppm con duración inferior a un minuto.
No se registraron personas afectadas
Se procede con la investigación del evento</t>
  </si>
  <si>
    <t>ÑAÑA</t>
  </si>
  <si>
    <t>El día 14/05/2025 un colaborador de la empresa MANPOWER se encontraba realizando despacho de materia prima hacia el área de producción operando un transpalet eléctrico, el cual se encontraba retrocediendo hacia la puerta de ingreso de producción en ese instante se rompió el selector de marcha del equipo por lo que perdió el control e impactando con la puerta elevadiza. Su reacción en ese instante fue presionar el botón de emergencia para que el equipo se detuviera y no siga avanzando.
Cabe resaltar, que el equipo contaba con su mantenimiento preventivo y su check list de pre-uso actualizado.</t>
  </si>
  <si>
    <t>Predio central</t>
  </si>
  <si>
    <t>Derrame de producto químico</t>
  </si>
  <si>
    <t xml:space="preserve">El día 21/05, a las 17:45 p.m., se reportó un incidente de alto potencial en la zona de tanques de Soda Cáustica, ubicado en el predio Callao.
El operador del área de Aguas Residuales, que está al costado de la zona de tanques, nos alerta sobre un derrame de Soda Cáustica en la zona de descarga del insumo. Al realizar la consulta al operador de tanques, nos comenta que la causa preliminar puede haberse originado debido a que el conductor ha regado con agua la zona para limpiar su manguera con la que descarga el insumo y no ha dejado en buenas condiciones el espacio. </t>
  </si>
  <si>
    <t>Potencial daño al medio ambiente y personales</t>
  </si>
  <si>
    <t>El día 23 de mayo a las 07:14 a.m., se reportó un incidente con alto potencial de riesgo en el área de elaboración L1, en la planta de galletas. Durante la operación de elevación de una artesa (depósito de masa) hacia la tolva del laminador, el operador masero olvido asegurar correctamente el manubrio de la artesa antes de ejecutar la elevación.
Como consecuencia de esta omisión, el manubrio cayó y quedó apoyado contra la puerta del equipo, generando un punto de palanca entre la artesa y dicha puerta. El operador, al no mantener ojo y mente en la actividad, no se dio cuenta de la condición anómala. Esto provocó la deformación de las uñas de sujeción del sistema elevador de artesas y el deterioro del mecanismo de elevación.
Ante la situación, el equipo de mantenimiento y seguridad acudió de inmediato al área para acordonarla, asegurar la zona y proceder con el descenso controlado de la artesa que había quedado suspendida.</t>
  </si>
  <si>
    <t>Parte de equipo</t>
  </si>
  <si>
    <t>SALSAS</t>
  </si>
  <si>
    <t>Operador de manufactura abre el caño del bidón de aceite de mostaza al 10% para hacer el fraccionamiento en un jarrón. En ese momento, el operador deja el caño abierto y se dirige a realizar otra actividad, segundos después regresa y se percata de que se había producido el derrame de aprox. 8 litros de aceite de mostaza. Se retiran del lugar, dejando los ambientes ventilados e ingresa el inspector de seguridad para atender la emergencia.</t>
  </si>
  <si>
    <t>Chorrillos</t>
  </si>
  <si>
    <t xml:space="preserve">El día de hoy a las 10:45 horas, se reportó un incidente con daño material en la zona de picking del APT Chorrillos. El operador de transpaleta eléctrica mientras trasladaba una paleta con PT, subió la rampa, calculó mal y chocó con una baranda causando daño material.
</t>
  </si>
  <si>
    <t>Lurín 6</t>
  </si>
  <si>
    <t xml:space="preserve">El día de hoy a las 12:24 horas, se reportó un incidente con daño material en el patio de maniobra de Lurin 6. La unidad de transporte de residuos sólidos retrocedió y chocó con el soporte del extintor, causando su rotura. 
</t>
  </si>
  <si>
    <t>Aproximadamente a la 1:30 PM, un colaborador OMC se acerca a uno de los montacargas de combustión que se encontraba estacionado en el patio de maniobras y escucha que había una fuga de gas de la parte delantera del equipo. Procede a cerrar la válvula del balón para evitar el pase del gas y se comunica con el analista de turno. Se procede a llamar al equipo de SSOMA quienes brindaron soporte de inmediato. Junto con el personal Inhouse del proveedor se determinó que el origen de la fuga era una manguera rota al interior del montacargas. No se registraron daños personales.</t>
  </si>
  <si>
    <t>Aproximadamente a las 05:15 pm, se reportó un incidente de alto potencial en el patio de maniobras de CD Huachipa. El controlador de patio de turno, durante el proceso de dirigir a una unidad de transporte en la maniobra de retroceso (desde una distancia prudente y a un lado de la unidad), tropezó con el sardinel y cayó levemente al gras ubicado al costado de la pared del predio, esto generó que el conductor de la unidad no tenga una alerta oportuna del punto máximo al que debería retroceder e impactó ligeramente la pared.
Ante el contacto de la unidad de transportes con la pared, el conductor detuvo la unidad. El incidente fue reportado de inmediato al jefe de turno.</t>
  </si>
  <si>
    <t>Margarinas y mantecas</t>
  </si>
  <si>
    <t>El día de hoy aproximadamente 03:30 pm, se reportó un incidente de alto potencial en el área de margarinas ubicada en planta Copsa.  Durante la recirculación de producto en la línea de margarinas de formato 45gr se produce una fuga de amoniaco líquido por el oring del cilindro del cristalizador de dicha línea.
Al identificar la fuga, se evacuó al personal de planta,  se cerró la válvula de ingreso de amoniaco a dicho equipo por parte del líder de mantecas siguiendo el protocolo de emergencia vigente lográndose contener la fuga. A raíz de este evento, una colaboradora se sintió afectada por dicho gas derivándose al tópico para la atención pertinente.
El incidente se encuentra en investigación.</t>
  </si>
  <si>
    <t>Sustancia química</t>
  </si>
  <si>
    <t>Detergentes Callao</t>
  </si>
  <si>
    <t>Durante el desmontaje de la compuerta del transportador de sulfato de sodio realizado por la empresa contratista INFINITO se produjo la caída del motor + transportador durante la maniobra. No se registraron daños personales.
Se realizó el cercado y aseguramiento del área, verificando que no queden equipos suspendidos que puedan generar algún riesgo.
El evento se encuentra en proceso de investigación</t>
  </si>
  <si>
    <t>Equipo de manufactura</t>
  </si>
  <si>
    <t>Jabonería</t>
  </si>
  <si>
    <t>El día de hoy, aproximadamente a las 12:45 a. m., se reportó un incidente de alto potencial en la Paila 5, ubicada en la zona de Efluentes (exterior de la planta Jabonería). Se produjo una filtración de ácido sulfúrico hacia el drenaje de la planta, lo que generó una reacción con el agua presente, provocando la emisión de vapores que eventualmente ingresaron al interior de la planta.
Al detectar la presencia de vapor, se procedió de inmediato a evacuar al personal de la planta Jabonería, siguiendo el protocolo de emergencia correspondiente, con el objetivo de contener y controlar la generación de vapores.
Actualmente, el incidente se encuentra bajo investigación.</t>
  </si>
  <si>
    <t>El 08/06 aproximadamente a las 07:35 p.m. se reportó un incidente de alto potencial en el APT Fideería. El conductor de la empresa de transportes Pacífico subió a su vehículo estacionado e intentó encenderlo. En ese momento ocurrió un amago de incendio en la zona de baterías ubicada en el lado izquierdo del tracto.
El conductor bajó de la unidad y usó un extintor disponible en las oficinas para apagar el fuego. El evento fue controlado de forma inmediata y reportado al equipo presente.
No hubo personas afectadas y la unidad fue remolcada. La investigación del evento está en curso.</t>
  </si>
  <si>
    <t>APUDEX</t>
  </si>
  <si>
    <t>Alrededor de las 12:29 el proveedor Peru BN trasladaban un andamio a la parte externa de la nave 2.
Al momento de trasladarlo no se percataron del espejo panorámico chocando con este y rompiéndose en su totalidad y cayeron residuos del espejo al piso, no hubo lesiones personales
Se paro el trabajo inmediatamente y se cercó el lugar con conos para evitar el tránsito.
Actualmente, el incidente se encuentra bajo investigación.</t>
  </si>
  <si>
    <t>Andamio</t>
  </si>
  <si>
    <t>El 13/06 aproximadamente a las 3 p.m. se reportó un incidente de alto potencial en la salida vehicular de Fideería. Una unidad perteneciente a la empresa JMA CARGO impactó con el vehículo de una colaboradora de Alicorp. El vehículo de JMA se encontraba en dirección a la salida vehicular de Fideeria con sus luces de giro en dirección a la Izquierda, en ese momento el vehículo menor se aproximaba para el punto de control de salida. 
Cuando el vehículo se intenta estacionar en el punto de control de salida, la unidad de JMA dobla a la derecha (sentido contrario a lo indicado con las luces) y es donde por el radio de giro de la unidad termina impactando al vehículo menor generando que este sea arrastrado unos metros hacia al costado (Berma).
El incidente ocasionó solo daños materiales, el conductor de la unidad de JMA ha sido bloqueado para el ingreso al predio y la investigación del evento está en curso.</t>
  </si>
  <si>
    <t>A las 13:25 hrs se reporta fuga de agua en ablandador ubicado en el tercer piso de planta, por rotura de unión roscada en válvula. De inmediato se reporta a mantenimiento para el cambio de la válvula. Debido a esta fuga se originó un aniego en el techo de planta evidenciándose filtración en la zona de envasado lo que provocó el desprendimiento del techo de drywall.  No hubo personal afectado</t>
  </si>
  <si>
    <t>Al promediar las 09:00 horas personal de producción detecta olor a cloro por la zona de tratamiento de efluentes no recuperables. Inmediatamente se procede con la activación del protocolo de emergencias y la evacuación del personal. Las lecturas arrojaron valores por debajo de 1.25 ppm.
Producto del evento, una persona fue derivada al tópico para atención y posteriormente se reincorporó a sus actividades.</t>
  </si>
  <si>
    <t>El 26/06 aproximadamente a las 10:30 a.m. se reportó un incidente de alto potencial en la zona de descarga de ácido sulfónico del predio Callao
Al momento de ingresar a la zona para la descarga del material, la Unidad de Transporte impacta con posapié de ascenso a cabina la tranquera de acceso, la cual no se encontraba completamente abierta.
Este evento fue alertado por el supervisor de seguridad patrimonial del predio, dando conocimiento a seguridad industrial y al responsable del área.
Se hizo una prueba de dosaje etílico al chofer la cual salió negativo.
El incidente ocasionó daños materiales leves.</t>
  </si>
  <si>
    <t>Salsas 1 – COPSA</t>
  </si>
  <si>
    <t xml:space="preserve">El día de hoy, aproximadamente a las 00:02 a.m., cuando operadora de manufactura se encontraba elaborando mayonesa, escucha un fuerte sonido, producto de la ruptura de una las ventanas de vidrio templado que se tiene en el área. Parte del vidrio templado cae sobre el piso de manufactura, sin afectación del personal.
Acciones inmediatas:
La operadora, acciona la botonera de emergencia para comunicar el incidente y tomar las medidas pertinentes. El ingeniero de turno coordina con la líder y el inspector de seguridad, las medidas necesarias para asegurar el área y poder reiniciar activades.
Situación actual:
El incidente se encuentra en proceso de investigación. </t>
  </si>
  <si>
    <t>Ventana de vidrio</t>
  </si>
  <si>
    <t>Planta Hipoclorito – Lurin N° 1</t>
  </si>
  <si>
    <t>Al promediar las 05:20 horas, durante el proceso de arranque de producción de hipoclorito de sodio se inició la succión de efluentes de la poza hacía los tanques de neutralización correspondiente. Durante esta operación el operador percibe el gas Cloro por los tanques de efluentes no recuperables.
Inmediatamente se procede con la activación del protocolo de emergencias y la evacuación del personal. Las lecturas arrojaron valores hasta 10ppm
No se registraron personas afectadas.
Se procede con la investigación del evento</t>
  </si>
  <si>
    <t>Planta Frascos– COPSA</t>
  </si>
  <si>
    <t>El día de hoy, alrededor de las 06:45 a.m., mientras los operarios del área de encajado realizaban sus actividades con normalidad, se escuchó un fuerte ruido . Al verificar el origen del sonido, el personal identificó la rotura de una ventana de vidrio templado.
Acciones inmediatas:
•	Se detuvo la operación de forma inmediata.
•	Se delimitó el área afectada para garantizar la seguridad del personal.
•	Se retiraron los restos de vidrio para evitar riesgos de contaminación y accidentes.
•	Los materiales del proceso de encajado fueron rotulados y retirados de la planta como medida preventiva.
Situación actual:
El incidente se encuentra en proceso de investigación para determinar la causa raíz y establecer las acciones correctivas necesarias.</t>
  </si>
  <si>
    <t>Durante el proceso de descarga de trigo se alertó de un olor extraño en la zona de 5to piso al ingreso de zona de silos de concreto; se dio aviso al área de calidad para realizar las mediciones de fosfamina-PH3 con el equipo Dragër en toda la instalación del molino, obteniendo valores mayores a cero en 2 puntos críticos: sótanos de silos de concreto y 5to piso sobre los silos de concreto (manhole). Se realizaron diversas mediciones en planta, tolvas de descarga, hangares de almacenamiento (empresa tercera) y en las cámaras de la nave de importación y se determinó que la presencia de fosfamina estaba en el trigo a granel, el mismo que fue fumigado previo al envío de la nave.
Acciones inmediatas:
•	Se bloquearon los accesos a las zonas críticas identificadas.
•	Se paró la descarga de trigo y se envió al almacén tercero.
•	Se realizaron mediciones periódicas de las concentraciones de fosfamina.
•	Se realizó ventilación forzada con un extractor de aire en las áreas críticas identificadas (sótanos).
Situación actual:
Las áreas críticas se encuentran en medición periódica cada 2 horas de las concentraciones de fosfamina hasta asegurar una concentración de 0 ppm. Finalmente, se están realizando las investigaciones respectivas junto al equipo de importación de MMPP para reforzar el flujo de información y tomar medidas preventivas en el caso se requiera.</t>
  </si>
  <si>
    <t>El 04/07 aproximadamente a las 08:30 a.m. se reportó un incidente de alto potencial en el almacén IN01 en EEII Detergentes.
Al momento de almacenar el insumo granel Oxiper SHC - Percarbonato de Sodio, en el 6to nivel de anaquelería acumulativa, se oye un ruido atípico y el pallet cae hasta el primer nivel.
A nivel personal, el operador fue trasladado al tópico donde se confirmó su óptimo estado de salud; a nivel proceso, se bloqueó el acceso al pasillo afectado hasta el término de las labores de limpieza. 
Este evento fue alertado por el equipo y, junto con el equipo de seguridad industrial, realizamos un Hard Stop en las operaciones. 
El incidente ocasionó daños materiales (1Big Bag de mercadería no operativa).
La investigación del evento está en curso, los mantenemos al tanto de la misma.</t>
  </si>
  <si>
    <t xml:space="preserve">Alrededor de las 10:14 am la empresa de transporte TACSA, al momento de retroceder para salir a su ruta para Dex Cunza, no se percata y choca con uno de los parantes de acceso peatonal, generando el deterioro de este parante (roto) </t>
  </si>
  <si>
    <t>CD Lambayeque</t>
  </si>
  <si>
    <t xml:space="preserve">El día viernes 11 de julio del 2025 a las 08:39 horas el personal de vigilancia Marco Antonio Torres Anagui de la empresa CASEVIP, proveedor de servicios de seguridad a RANSA  llama al chofer Fredyy Vasquez Lujan de la empresa TRANSCOM para que ingresara a  realizar la descarga  de productos al CD Alicorp Lambayeque, después de unos minutos se procede con el ingreso y antes de que ingrese en su totalidad el portón mecánico colisiona con la parte trasera izquierda de dicha unidad los daños son para ambas partes la unidad queda golpeada y con platinas rotas y el portón raspado doblado y descentrado.  </t>
  </si>
  <si>
    <t>Intracan</t>
  </si>
  <si>
    <t>Alrededor de las 3:15 pm del 11/07 el operador de transpalet eléctrico procedió a aperturar la rampa N°6 para realizar un despacho. Presionó el botón para elevar la puerta y justo antes de que se aperture en su totalidad evidencia que el cable del riel izquierdo se rompe, en ese momento el operador presiona el botón de stop para parar la operación; al momento de presionarlo se desprendió un pasador del riel derecho de aproximadamente 4 m de altura que cae e impacta en la cabeza del operador que en ese momento tenía el casco de seguridad. El operador procede a reportar el incidente al supervisor y al monitor de turno.
Consideraciones:
•	No se presentaron daños personales.
•	El incidente se encuentra en investigación.</t>
  </si>
  <si>
    <t>Puerta enrollable</t>
  </si>
  <si>
    <t>El día sabado 12.07.2025 a las 13.09 horas el conductor Willy Espiritu Ascayo de la empresa TRANSPORTES RODRICK con el tracto AFG907 y la carreta D6A991 se encontraba realizando traslados de PT entre los centros Planta 1 Lurín -Intracloro. Al momento de llegar al último predio mencionado, al ingresar de retroceso (forma de ingreso regular) el conductor impactó el porton de ingresó con la parte derecha de la carreta. Se tuvo daños en el transporte y en el porton. Se procederá con la investigación al respecto.</t>
  </si>
  <si>
    <t>El sábado 12/07 aproximadamente a las 02:55 AM, se presenta un corto en la mordaza de la enfardadora 2003, generando que la lámina plástica de enfardado se empiece a quemar, en ese instante el operador del equipo activa la parada de emergencia y utiliza un extintor de PQS para apagar las llamas incipientes.
Se comunica el hecho al área de mantenimiento para el desenergizado y bloqueo del equipo.
El evento se encuentra en proceso de investigación.</t>
  </si>
  <si>
    <t>Equipo de envasado</t>
  </si>
  <si>
    <t>Laboratorio microbiología - Predio central</t>
  </si>
  <si>
    <t>Alrededor de las 07 am del 15/07, personal del laboratorio de Microbiología que iniciaba sus labores se percata un olor a quemado en la sala de Lavado de Materiales, encontrando que uno de los autoclaves empleados para la esterilización de desechos tenía hollín por fuera. 
Al abrir el equipo, se evidenció que el material al interior del equipo se encontraba chamuscado.
El equipo en mención estuvo en funcionamiento a las 10:15 pm del 14/07, momento en que el personal del 2do turno lo deja en modo termostato, pero, por razones que se encuentran en investigación, posteriormente la temperatura aumentó sin control, ocasionando el incidente mencionado, aproximadamente entre la 01:00 am y las 03:00 am del 15/07.
Consideraciones:
No se presentaron daños personales.
El incidente se encuentra en investigación.</t>
  </si>
  <si>
    <t>Equipo de laboratorio</t>
  </si>
  <si>
    <t>Planta Cochabamba</t>
  </si>
  <si>
    <t>El día miércoles 16 de julio de 2025, durante la operación de carguío de producto terminado en el segundo turno, el colaborador encargado de conducir el montacargas detectó que una de las llantas de la máquina se encontraba pinchada. Por tal motivo, se suspendió el uso del equipo a la espera de su reparación al día siguiente.
El día 17 de julio, el colaborador del primer turno constató que la llanta se encontraba completamente desinflada, lo que impedía el uso del gato hidráulico para su remoción. Por esta razón, se utilizó otro montacargas para elevar la máquina y se colocaron tacos de madera con el fin de retirar la llanta y proceder con su reparación.
Se está realizando la investigación para determinar las acciones correspondientes.</t>
  </si>
  <si>
    <t xml:space="preserve">El analista de turno se encontraba haciendo el inventario de balones de gas de la jaula cuando notó que de uno de ellos empezó a fugar gas. En ese momento pulsó la alarma contra incendios, y el equipo de inspectores de SSOMA llegó al lugar de inmediato. Se procedió con el aislamiento del balón, validaron que la fuga no continúe e identificaron que el acople que conecta el balón con la válvula de alivio se encontraba deteriorado. Debido a ello se realizó el vaciado del balón. El evento continúa en investigación. No se registraron daños personales. </t>
  </si>
  <si>
    <t>Lurín 4</t>
  </si>
  <si>
    <t>Aproximadamente a las 07:40 p.m. del 1/09, durante el proceso de secado en la planta detergente Lurin, se produjo un desacople de los elementos de sujeción de las tuberías que transportan la pasta del detergente hacia el interior de la torre de secado, generando que esta salga expulsada antes de entrar a la torre de secado. El operador del área cierra la válvula para detener el derrame y da aviso a la sala de control para detener la operación. No se registraron daños personales.</t>
  </si>
  <si>
    <t>Insumos en polvo</t>
  </si>
  <si>
    <t xml:space="preserve">Aproximadamente a las 07:40 p.m. del 8/09, durante el proceso de instalación de stickers en la nave de CD Huachipa, a cargo de las contratistas WC y Segecon, no se percataron y dejaron un taco en la base del tijeral, el mismo que al descender presiono el taco y lo proyecto hacia la parte externa.
Se detuvieron los trabajos, hasta que las contratistas envíen su plan de acción, así mismo, ambas contratistas deberán reevaluar la documentación presentada en campo. </t>
  </si>
  <si>
    <t>Taco de vehículo</t>
  </si>
  <si>
    <t>CD Bolivia</t>
  </si>
  <si>
    <t>El dia 12/09/2025 a las 23:00 hras aproximadamente, a través de las cámaras de video vigilancia se evidenció que, una vez concluida la carga de la unidad de transporte 4505-CLL y durante el proceso de encarpado, el conductor Moises Layme realiza una maniobra con un alto nivel de riesgo: 
Ascendió por la parte posterior del furgón hasta llegar a la parte superior de la unidad sin contar con un sistema de protección contra caídas. En todo momento se observó que no portaba arnés de seguridad ni se encontraba conectado a una línea de vida, exponiéndose a un riesgo elevado de accidente.
Esto representa un acto inseguro con alto potencial de caída a desnivel. Esta situación constituye una falta al cumplimiento de las medidas de seguridad establecidas para trabajos en altura, generando un riesgo significativo tanto para la integridad del conductor como para la operación misma.</t>
  </si>
  <si>
    <t>Acto inseguro</t>
  </si>
  <si>
    <t>El 16 de septiembre, a las 08:00 horas, mientras un trabajador de empresa contratista operaba un equipo de manipulación de cargas (Tawi) para levantar un saco de azúcar, el equipo se desprendió de su sistema de anclaje y cayó de forma repentina.</t>
  </si>
  <si>
    <t>El día 22/09/2025 a las 11:22 horas aproximadamente, en el Centro de Distribución Arequipa se presentó un incidente de alto potencial. Durante el traslado en Montacarga de una paleta de harina destinada a despacho en el Anexo 4, el personal detectó que la carga se inclinaba hacia el lado izquierdo, por lo que procedió a detener la operación de manera inmediata.
Al realizar la inspección correspondiente, se evidenció que una de las uñas del montacargas se había fracturado internamente, presentando signos de corrosión no visibles en la parte exterior. Como consecuencia directa, se produjo la caída de 17 sacos de harina al suelo.
Es importante considerar que el operador no realizó una maniobra inadecuada ni se registró ningún tipo de impacto o colisión con la unidad. En este caso, se percibe que la falla estuvo asociada al desgaste interno de la uña, el cual no era perceptible a simple vista. Nos encontramos en proceso de investigación.</t>
  </si>
  <si>
    <t>Alrededor de las 07:50 am la empresa de transporte Balbín Pio, quien venia de Molino Callao para dejar productos terminados, al momento de retroceder para ingresar a la zona de espera, no se percata y choca con uno de los parantes de acceso peatonal.
generando la rotura del mismo.</t>
  </si>
  <si>
    <t>Durante el proceso de extracción de mercadería para despacho a planta, se produce la caída de bobinas desde el quinto nivel sobre pallets con envases, quedándose 04 de ellas sobre un pallet en el cuarto nivel que luego fueron retiradas tomando las medidas respectivas de seguridad.
Según protocolo, el operador fue atendido en tópico donde se corroboró que no tuvo ningún tipo de daño.
La investigación se encuentra en curso.</t>
  </si>
  <si>
    <t xml:space="preserve">Alrededor de las 16:20 hrs, la empresa TRANSVIDA procedía a levantar una caja ecológica con el intercambiador, cargada de calaminas proveniente del retiro del techo parabólico de la nave ex Reciclaje PET. Al proceder a izar la carga, sufre una inclinación quedando en la posición mostrada en la imagen.
Se procedió a detener los trabajos, activar plan de emergencia de proveedor y reposicionar la caja ecológica.
No se registraron daños personales.
</t>
  </si>
  <si>
    <t>CD Ransa</t>
  </si>
  <si>
    <t>RANSA</t>
  </si>
  <si>
    <t>El Operador de combustión realizó el retiro de una paleta del bloque de harinas puesta en segundo nivel sin considerar que había una paleta más encima. Al cargar ambas paletas y moverlas generó inestabilidad y parte del producto de la segunda paleta cae contra el piso y el montacargas. Se validó que el personal no tiene ningún daño, sólo hay daño material. Junto con el equipo de HSE de Ransa y el Supervisor de turno Herver Palomino.
Como acciones iniciales se tomaron acciones:
- Cerrar la zona
- Realizar el recojo y limpieza del producto y la zona
- Coordinar con proveedor de montacargas para revisión y retiro del montacargas
- Derivar al colaborador con el área de HSE y dar por finalizado su turno.</t>
  </si>
  <si>
    <t>Lesiones incapacitantes</t>
  </si>
  <si>
    <t>Aproximadamente a las 19:20 h, se produjo una mezcla accidental entre el granel Desatorador de Baño (hipoclorito de sodio al 10.5%) y el granel Desmanchador de Ropa (peróxido de hidrógeno al 50%), generando una reacción química con liberación de oxígeno y formación abundante de espuma, la cual se desbordó del tanque de elaboración y se extendió hasta el patio de planta.
El incidente no ocasionó daños personales y se encuentra actualmente en proceso de investigación para determinar las causas y acciones preventivas correspondientes</t>
  </si>
  <si>
    <t>Derrame</t>
  </si>
  <si>
    <t>Mezcla accidental de químicos</t>
  </si>
  <si>
    <t>El operador del equipo Order Picker, mientras realizaba el traslado de mercadería por la rampa de acceso desde la Nave Antigua hacia la Nave Nueva, informó que la máquina perdió potencia y se apagó repentinamente. Ante esta situación, el operador procedió a activar el botón de emergencia, sin embargo, este no respondió. Como resultado, el equipo rodó cuesta abajo sin control, hasta colisionar con la baranda de seguridad.
Acciones Posteriores:
Se verificó inmediatamente el estado de salud del operador, sin presentarse lesiones ni afectaciones a su integridad física. El incidente resultó únicamente en daños estructurales al equipo y a la infraestructura.
El operario procedió llenar la hoja de testimonio y posterior a ello su traslado al tópico para evaluar su condición. Se han solicitado cámaras de seguridad de la zona para evidenciar el acto e investigación. Se realizó la charla de seguridad por el evento con los operarios.</t>
  </si>
  <si>
    <t>Se recibió el reporte de un colaborador que identificó restos de concreto en el piso de la zona de tránsito peatonal adyacente al silo de concreto. Tras la verificación en campo, se confirmó que el material provenía del borde superior del silo. No se registraron daños personales ni materiales. El incidente ha sido clasificado como de alto potencial y se encuentra en proceso de investigación.</t>
  </si>
  <si>
    <t>Silo de concreto</t>
  </si>
  <si>
    <t>Durante la producción de hipoclorito de sodio (10.5%), el sistema SCADA no permitía realizar funciones de control con los equipos de plantas, deteniendo automáticamente todos los equipos. Al inactivarse los equipos, dentro de ellos la bomba del Scrubber (Soda caustica) y el sistema de extracción, se origino fuga de gas cloro que fue detectado por los sensores. 
Como parte del protocolo, se activó el pulsador manual para la evacuación del personal hacia la zona segura.
El personal de instrumentación intervino de forma oportuna, procediendo a activar manualmente el lavador de gases y el sistema de extracción para controlar la emisión de gas cloro.
Se procedió con el protocolo de evaluación medica preventiva a todo el personal (74 personas entre propios y terceros) y se identificaron 19 personas son afectaciones leves que están en seguimiento médico.</t>
  </si>
  <si>
    <t>Cloro</t>
  </si>
  <si>
    <t>Detergentes Lurín</t>
  </si>
  <si>
    <t>Derrame de pasta</t>
  </si>
  <si>
    <t>Aproximadamente a las 04:30 p.m. del 29/10, durante el proceso de batido de detergente, se produjo el rebalse de pasta neutralizada del tanque autolimpiante, generando el derrame de esta sobre la estructura y el piso. Una vez identificado el derrame, desde la Sala de Control se detuvo el proceso de batido. No se registraron daños personales ni materiales.</t>
  </si>
  <si>
    <t>Pasta neutralizada</t>
  </si>
  <si>
    <t>El hornero de turno tarde reportó que se tenía presencia de humo en la salida del horno de la línea 2, la línea se encontraba minutos previos al arranque de un SKU, pero aún no se había ingresado masas al horno.
Posterior a ello se le comunicó al área de seguridad con quién se acudió al punto y en ese proceso se activaron las alarmas sonoras, solicitando soporte de brigadistas para realizar la evaluación y brindar la atención del incidente.
En el lugar se realizó el retiro de la galleta de la parte baja de la malla y se utilizó un extintor para detener las brasas de la galleta, con el soporte de los inspectores de seguridad y personal de elaboración, se controlaron las trazas de brasas y con ello de disipó el humo del ambiente.</t>
  </si>
  <si>
    <t>Potecial incendio</t>
  </si>
  <si>
    <t>Horno de galletas</t>
  </si>
  <si>
    <t>El día 30 de octubre aproximadamente mediodía se reportó un incidente de alto potencial en el área de margarinas ubicada en planta Copsa.  Durante la recirculación de producto en la línea de mantecas 1 se activa la válvula de alivio de la unidad de amoniaco 2 del cristalizador Kombinator 1 lo cual origina que por un momento se emane el gas al medio ambiente. 
Al identificarse la activación de la válvula de alivio, se evacuó al personal de planta siguiendo el protocolo de emergencia vigente. 
El incidente se encuentra en investigación.</t>
  </si>
  <si>
    <t>Equipo de cristalización</t>
  </si>
  <si>
    <t>Aproximadamente a las 10:00 p.m. del 31/10, durante el cambio de balones de GLP de un montacargas de combustión, se produjo la fuga de gas por uno de los balones que abastece al equipo. Al detectar la fuga, el operador procede evacuar y comunicar del evento a personal Seguridad Industrial, los cuales controlan el incidente. 
No se registraron daños personales ni materiales.
El incidente se encuentra en proceso de investigación.</t>
  </si>
  <si>
    <t>En CD Huachipa, a la 1:50 am un operador de ETV estuvo realizando una maniobra de extracción del 7mo nivel, durante la actividad, no calculó bien y levantó el travesaño superior, generando un desprendimiento de este. En ese momento el OMSUP le dio soporte para sostener la base y liberar los pallets que se encontraban en ubicación. No hubo daño del personal, pero sí del rack. Se tiene bloqueada la zona para evitar el tránsito.
Se le ha tomado el testimonio al colaborador y se procederá a realizar la investigación pertinente.</t>
  </si>
  <si>
    <t>WESTFALIA</t>
  </si>
  <si>
    <t>Atropello</t>
  </si>
  <si>
    <t>Auto de transporte</t>
  </si>
  <si>
    <t xml:space="preserve">Al finalizar una extracción en el pasillo 10 - 106 - 1 (nivel 1) el Operador de ETV al realizar un giro para continuar con su trayectoria, ocasionó que cayeran 3 baldes de la paleta por no tener un Stretch film correctamente ajustado. Se procedió a realizar el bloqueo del área y la limpieza correspondiente con el proveedor Cleaned. El operador no cuenta con daño personal y el producto fue llevado al área de PNC. 
Se reforzó con el colaborador tener mayor cuidado al momento de maniobrar y validar la condición del producto. </t>
  </si>
  <si>
    <t>Copsa Refinería</t>
  </si>
  <si>
    <t>Alrededor de las 9:30 hrs, el líder y el operador de la planta de Alfa Laval detectan un olor a quemado en el primer nivel de la planta.
Revisando los equipos, observan gran cantidad de humo que se emana del aislamiento de la parte superior del tanque precapa T602 de la planta Alfa Laval 1.
Realizando la comunicación respectiva a la jefatura y al inspector de seguridad, se decide detener el proceso y se atiende la emergencia activando todos los protocolos de seguridad establecidos, logrando controlar la humareda mediante adición de agua caliente.
El evento queda en investigación.</t>
  </si>
  <si>
    <t>Aislamiento</t>
  </si>
  <si>
    <t>APT Farinaceos</t>
  </si>
  <si>
    <t>El colaborador había dejado su equipo estacionado en su puesto de trabajo y cuando retornó se dio cuenta que el balón de gas back up colocado en el montacargas tenía fuga y la válvula de alivio se había criogenizado. El balón se encontraba sellado al momento de la fuga. El colaborador avisó al inspector de SSOMA que se encontraba en la zona y se procedió a activar la brigada de la planta Molino Faucett. El personal fue evacuado y se controló el incidente. No hubo daños personales. El evento continúa en investigación.</t>
  </si>
  <si>
    <t>El colaborador se encontraba cargando un camión de traslado en el patio de maniobras del APT Fideería, cuando una unidad de cliente recoge de afrecho trató de girar dentro del mismo patio e impactó con la parte trasera del montacargas. El evento continúa en investigación</t>
  </si>
  <si>
    <t>El hornero de turno tarde reportó que se tenía presencia de un amago de incendio en la zona superior del horno a la altura del extractor de aire N° 1 en la línea 2. De manera inmediata se apagó, se desenergizó y bloqueó el equipo; la línea contigua se detuvo debido a la presencia de humo y se activó la comunicación incluyendo a brigadistas dentro de planta. Posteriormente, se controló el amago utilizando el extintor del caso, se solicitó la presencia del equipo de mantenimiento para poder aperturar los equipos necesarios e identificar la cauda raíz del orígen del amago, en esta apertura se detectó trazas de lana de roca y presencia de remanente de grasas.</t>
  </si>
  <si>
    <t xml:space="preserve">Material combustible sólido </t>
  </si>
  <si>
    <t>En fecha 11 de octubre de 2025 a horas 18:40, el operador del montacarga TOWMOTOR GP255 realizaba traslado de racks móviles vacíos dentro de la zona de almacenaje como parte de la operación regular.
Durante la actividad, el operador no se percata de la presencia de un pallet con detergente en polvo (peso aprox. 500 kg) ubicado en el tercer nivel del apila pallet, estructura metálica diseñada para almacenamiento de producto terminado.
El apila pallet se encontraba parcialmente obstruido por la base de la estructura posterior, lo que ocasionó la detención inmediata de la operación, evitando una posible caída de carga o daño material. Ante la situación, se estabilizó la estructura y se procedió al retiro controlado del pallet sin incidentes ni daños personales o materiales.
La investigación se encuentra en curso para identificar las causas raíz y establecer medidas preventivas orientadas a mejorar la visibilidad de carga y el control de condiciones en altura.</t>
  </si>
  <si>
    <t>Molino Faucett</t>
  </si>
  <si>
    <t>Siendo aproximadamente las 11:00 hr. se percibe un olor a quemado en el sector del Envasado de Productos Terminados. Se procede a la inspección de las diferentes áreas de las líneas productivas, encontrándose que el mismo provenía del almacén de envases e insumos, donde se detecta que unos envases de cartón contenidas en una parihuela habían tenido un proceso de ignición pero que ya se encontraba sofocado. El evento se encuentra en proceso de investigación.</t>
  </si>
  <si>
    <t>Aproximadamente a las 7:00 p. m., se presentó un incidente de alto potencial. Durante el proceso de almacenaje de una paleta de aceite, en el quinto nivel del rack acumulativo, la paleta impactó la base del rack, ocasionando el desprendimiento de una de las tablas inferiores y generando la desestabilización y caída de la carga. Es importante destacar que el operador no sufrió lesiones.</t>
  </si>
  <si>
    <t>Transportes Fermín</t>
  </si>
  <si>
    <t>Daño ambiental</t>
  </si>
  <si>
    <t>El día 17 de noviembre, aproximadamente a las 6:30 p.m., se recibió una llamada del Supervisor de G4S informando sobre una fuga de petróleo. Tras el reporte, se confirmó la presencia del derrame en la zona indicada.
Placa del vehículo:  C9Q-812
Empresa: Transportes  FERMIN</t>
  </si>
  <si>
    <t>Derrame de petroleo</t>
  </si>
  <si>
    <t>Dutante la extracción de una paleta completa desde el cuarto nivel, el operador del montacargas eléctrico no insertó correctamente las horquillas, levantando primero la viga y provocando la caída de la paleta contigua hasta el primer nivel. El colaborador resultó ileso y sólo se registraron daños materiales.</t>
  </si>
  <si>
    <t>CD Detergentes Lurín</t>
  </si>
  <si>
    <t>Durante el proceso de descarga de una UT, la manguera del mástil del montacargas se rompe y salpica hidrolina. El colaborador se encontraba utilizando sus lentes de seguridad.
Según protocolo, el operador fue atendido en tópico donde se corroboró que no tuvo ningún tipo de daño.
La investigación se encuentra en curso.</t>
  </si>
  <si>
    <t>Fuga de hidrolina</t>
  </si>
  <si>
    <t>El día 24 de noviembre aproximadamente a las 08:00 hrs, el abastecedor de turno se desplazaba con el equipo 960 (Apilador) hacia el Almacén de Insumos para realizar el traslado de materiales. Al aproximarse al punto de ingreso, observó que la puerta levadiza se encontraba completamente abierta, por lo que procedió a avanzar.
Durante el acercamiento, la puerta inició un descenso inesperado, generando un leve impacto entre la parte superior del apilador y la base inferior de la puerta, ocasionando una deformación en el panel.
Personal tercero (FLAMIL) acudió de inmediato para brindar soporte y se detuvieron las operaciones en la zona como medida preventiva. El evento se encuentra en investigación.</t>
  </si>
  <si>
    <t>Daño a puerta elevadiza</t>
  </si>
  <si>
    <t>El operador de Traspaleta – Senatino se encontraba realizando el acercamiento de pallets hacia la rampa para su despacho, el operador no se percata de la presencia de su compañero de Senati, quien se encontraba transitando por la zona peatonal, el operador invade la zona peatonal y empuja a su compañero con el equipo logístico.
Se le brindó los primeros auxilios de forma inmediata al colaborador afectado y luego de una evaluación por central de emergencias, se determinó que no era necesario la llegada de la ambulancia.</t>
  </si>
  <si>
    <t xml:space="preserve">BM Group </t>
  </si>
  <si>
    <t>En fecha 26 de noviembre de 2025 a Hrs. 12:46 pm posterior al horario de almuerzo, en los predios de nuestro proveedor logístico LOGRA, el cual nos alquila la nave de almacenamiento G11; el colaborador externo de la empresa BM Group se dirige de una zona de hidratación general en LOGRA hacia el almacén G11 a continuar con sus labores, cuando intempestivamente un taxi de color plateado (gris) conducido por personal de la empresa ROMABERH – DEX, la cual trabaja como nuestro cliente en el mismo predio, se dirige hacia su persona casi a punto de impactar contra el (no se registraron daños personales), se desconocen los motivos por los cuales el personal de la DEX tomo ese actuar, así mismo cabe señalar que posterior a la revisión de cámaras se evidencia lo reportado por el colaborador y de igual manera se evidencia que el transporte tenía un espacio disponible para su tránsito.</t>
  </si>
  <si>
    <t>Aproximadamente a las 01:40 a.m. del 05/12, en la sala de bombas (primer nivel), durante la operación de la bomba de alta presión B, se produjo el desacople repentino de uno de los tapones de los cabezales de la bomba generando el derrame y salpicadura de pasta en la zona. Desde la Sala de Control se detectó el sonido anómalo y se detuvo el proceso. No se registraron daños personales.
El incidente se encuentra en proceso de investigación.</t>
  </si>
  <si>
    <t>El sábado 6 de diciembre, aproximadamente a las 8:00 a.m., se detectó un fuerte olor a ácido en el cuarto de baterías, proveniente de siete baterías antiguas de los equipos ETV que se encontraban en mal estado. El olor generó malestar entre el personal de almacén y planta. El equipo de Seguridad intervino de inmediato y dispuso el aislamiento y retiro urgente de dichas baterías.</t>
  </si>
  <si>
    <t>Aproximadamente a la 1:00 p. m., el operador de almacén se disponía a bajar un pallet con bobinas de Chocobom desde el cuarto nivel de los racks utilizando el apilador. Al momento de retirar la carga, la parte posterior del pallet se desprendió y varias bobinas cayeron al piso. Se estima que cayeron entre 5 y 6 bobinas, de las cuales 4 resultaron dañadas en el cono, generando una merma aproximada de 55 kg. Las bobinas ubicadas en la tercera cama estaban en la parte posterior y no se habían movido, mientras que los saldos de la última cama permanecían visibles. El evento esta en investigación.</t>
  </si>
  <si>
    <t>TRANSPORTES TACSA</t>
  </si>
  <si>
    <t>La unidad de transporte de placa tracto: B6V972, se encontraba circulando dentro del patio de Fideería, Callao. El conductor intentó estacionarse y al realizar la maniobra impactó levemente contra el poste de la vía, solo hubieron daños materiales, no hubo ninguna lesión al conductor. La investigación del evento se encuentra en curso.</t>
  </si>
  <si>
    <t>Predio Callao</t>
  </si>
  <si>
    <t>S. G. NILSON</t>
  </si>
  <si>
    <t>El miércoles 16/12/2025 alrededor de las 12:00pm, personal tercero de la empresa S. G. Nilson, se encontraba realizando actividades de limpieza en la sala de bombas del Buhler N°2 en la cual estaba limpiando la guarda del motor, cuando parte del trapeador cuelga hacia el eje del motor en funcionamiento, generando el atrapamiento del trapeador.
El evento se encuentra en investigación.</t>
  </si>
  <si>
    <t>Esencial a la estructura propia del artesa como tambien al enrejado de seguridad.
Siendo las 09:10 horas aproximadamene, durante la maniobra de posicionamiento y elevación de la artesa de masa hacia el recolector mediante la plataforma hidráulica, se produjo una falla mecánica en el sistema de aseguramiento (pestillo/seguro) del manubrio de la artesa.
Dicha falla ocasionó la apertura involuntaria del seguro, provocando la liberación intempestiva y caída del manubrio hacia la zona de operación. Si bien no hubo contacto con el personal, el evento generó una condición de riesgo crítico por caída de objeto contundente, con potencial de causar lesiones severas al colaborador que se encontraba en la línea de fuego.</t>
  </si>
  <si>
    <t>Masterbread Cajamarquilla</t>
  </si>
  <si>
    <t>AGRONEGOCIOS CASAGRANDE</t>
  </si>
  <si>
    <t>El 18 de diciembre del 2025, a las 08:15 a. m., la unidad de transporte del proveedor de maíz, Agronegocios Casagrande, durante la maniobra de retroceso para su posicionamiento junto a la tolva de recepción, impactó contra la base de la plataforma, ocasionando daños estructurales. Cabe indicar que este hecho ocurrió al no contar con un personal vigía (paletero) que guíe la maniobra, generando una condición insegura en el área. No se registraron lesiones al personal. El evento se encuentra en proceso de investigación.</t>
  </si>
  <si>
    <t>Siendo aproximadamente las 4:40 a. m., durante la incineración de la malla del horno de la línea 1, en la parte posterior del equipo se observó la presencia de abundante humo. El coordinador de elaboración informó de inmediato al ingeniero de turno, quien a su vez comunicó la situación al inspector de seguridad del predio. Al acudir al punto, y considerando la cantidad de humo acumulado en el área, se procedió a la apertura de las puertas de emergencia para facilitar su disipación. Durante esta acción, las brasas de carbón de galleta presentes en la zona comenzaron a arder, por lo que el equipo operativo de planta utilizó un extintor para sofocar el fuego. El evento fue controlado oportunamente, sin registrarse daños materiales ni lesiones al personal. El incidente se encuentra actualmente en investigación.</t>
  </si>
  <si>
    <t>Siendo aproximadamente las 12:30 horas, una aprendiz se encontraba realizando labores de limpieza en la mesa de trabajo, cuando de manera repentina, varias bandejas cayeron, una de ellas impactó en la mano izquierda de la aprendiz, golpeando el dorso de la mano y ocasionando un corte leve en el tercer dedo.
Ante lo ocurrido, se procedió a trasladar a la aprendiz al tópico, con la finalidad de que reciba atención médica oportuna.</t>
  </si>
  <si>
    <t>El lunes 22/12/2025 alrededor de las 14:45pm, se desprendió un pedazo de Eternit del techado del área de paletizado en la zona del robot. Esto fue causado por el desprendimiento de una dilatación ubicada en el exterior del molino como consecuencia de los fuertes vientos. Cabe precisar que no hubo personal afectado durante este suceso.
De inmediato cercamos el área y se activaron los protocolos de comunicación hacia el personal para evitar el tránsito hasta corregir la condición.
El evento se encuentra en investigación.</t>
  </si>
  <si>
    <t>TRANSPORTES S&amp;R (TRANSVIDA)</t>
  </si>
  <si>
    <t>En momentos en que la unidad BKS-703 se encontraba realizando el izaje del contenedor de residuos no aprovechables (7m3) en el acopio de residuos de planta, el perno de la cadena del lado derecho se desprende dejando la carga ladeada sobre la base de la plataforma de la unidad. 
Inmediatamente el conductor procedió a apagar el vehículo y a activar el plan de emergencia: aislamiento de la zona, solicitud de auxilio mecánico externo, entre otros. No se registraron daños personales.
La investigación se encuentra en curso.</t>
  </si>
  <si>
    <t>VIRGEN DE SILLOTA</t>
  </si>
  <si>
    <t>El día sábado a las 17:00 horas el conductor de la empresa VIRGEN DE SILLOTA, el tracto M1U-857 / carreta V5U-985, se encontraba realizando traslados de PT de HHII por el anexo 6. En esa circunstancia, por dar pase a otra UT y retroceder a la vez esta impacta ligeramente con un sujetador de base moviéndola 20 cm de su sitio habitual. Se están realizando las investigaciones. No se tienen daños personales.</t>
  </si>
  <si>
    <t>COPSA – Margarinas</t>
  </si>
  <si>
    <t>El día 30 de diciembre aproximadamente a las 07:30 pm, se reportó un incidente de alto potencial en la sala de compresores de la planta de Margarinas donde se evidenció fuga de gas amoniaco por el sello mecánico del compresor GEA2.
Se activó el sistema de comando de incidentes para atender la emergencia y se evacuó el personal que se encontraba por la zona, de manera preventiva.
El incidente se encuentra en investigación.</t>
  </si>
  <si>
    <t>Alicorp SAA</t>
  </si>
  <si>
    <t>Daño Material</t>
  </si>
  <si>
    <t>En CD Huachipa, alrededor de las 08:50 pm tuvimos un corte de energía eléctrica debido a un aparente corto circuito en la celda de media tensión de la subestación del predio. Se alerto de inmediato al equipo de seguridad y mantenimiento para que podamos hacer las revisiones preliminares y se ubicó humo dentro de la subestación. No fue posible usar el grupo electrógeno que se tiene en el predio ya que podría generar alguna complicación sin tener el diagnóstico por un especialista. Se asignó un proveedor especializado para atender el caso y para asignar un grupo electrógeno con el será posible operar mientras se da solución a la falla presentada. Se procederá a realizar la investigación pertinente.</t>
  </si>
  <si>
    <t>APT FARINÁCEOS</t>
  </si>
  <si>
    <t>El 6 de enero, aproximadamente a las 10:00 a. m., el equipo del Molino Faucett se encontraba en la zona del robot de la línea de subproducto cuando se percibió un ruido proveniente del montacargas de combustión ubicado en el mismo sector. El Inspector de Seguridad se acercó al punto y verificó la presencia de una fuga en la válvula de alivio del balón de gas de respaldo (back up). Ante esta situación, se activó la brigada de respuesta y en conjunto con el equipo de inspectores de Seguridad se procedió al vaciado controlado del balón, el cual se encontraba sellado y sin uso al momento del evento. El incidente permanece en investigación, no hubo daños personales ni materiales.</t>
  </si>
  <si>
    <t>El día 08 de enero aproximadamente a las 02:30 pm, se reportó un incidente en el área de envasado de planta Margarinas y Mantecas, donde se percibió el olor característico de gas amoniaco. Se activó el sistema de comando de incidentes para atender la emergencia y se evacuó al personal que se encontraba por la zona, de manera preventiva. La fuga fue por la válvula de alivió del sistema de seguridad del cristalizador Kombinator 4. El incidente se encuentra en investigación.</t>
  </si>
  <si>
    <t>APT MOLINO CALLAO</t>
  </si>
  <si>
    <t>Durante el traslado de PNC de producción desde la balanza antigua hacia la z6ona de robots (Zonas pertenecientes a planta), el OMC no se percató de que el portón no se encontraba completamente cerrado, y termina impactándolo, ocasionando su desprendimiento. No se registraron daños personales y el portón actualmente ya se encuentra operativo. Se estará realizando la investigación correspondiente para determinar las causas del incidente.</t>
  </si>
  <si>
    <t>El día 16/01/2025, aproximadamente a las 15:00 horas, en el Centro de Distribución Arequipa, se presentó un incidente operacional. Durante el traslado de una paleta estándar vacía mediante montacargas, se desprendió uno de los listones de la paleta, el cual fue posteriormente pisado por el montacargas. De acuerdo con lo indicado por el operador, el montacargas únicamente pasó por encima del listón desprendido, sin que se haya registrado una maniobra inadecuada, impacto o colisión. Asimismo, no se reportaron daños personales ni afectaciones al montacargas. El evento no generó consecuencias adicionales. Nos encontramos en proceso de investigación.</t>
  </si>
  <si>
    <t>El día 16/01/2025, aproximadamente a las 15:50 horas, en el APT Molino Callao, se presentó un incidente operacional. Durante la carga de subproducto, mientras el OMC estaba retrocediendo extrayendo una paleta, colisiona con el muro de protección de la columna, lo cual genera daño ligero en el muro y el contrapeso del montacargas. No se reporta daño personal alguno. El incidente está en proceso de investigación.</t>
  </si>
  <si>
    <t>Aproximadamente a las 03:10 p.m. del 18/01, durante el proceso de recepción de sulfato de sodio, se produjo el derrame del insumo por la parte superior del silo. Una vez identificada la desviación se realizó la detención del proceso y se realiza el control del evento. No se registraron daños personales ni materiales. El incidente se encuentra en proceso de investigación</t>
  </si>
  <si>
    <t>SI</t>
  </si>
  <si>
    <t>CD Latam 400</t>
  </si>
  <si>
    <t>CEVA</t>
  </si>
  <si>
    <t>El día 21/01/2026, aproximadamente a las 03:25 horas, en el Centro de Distribución Latam 400, se presentó un incidente con daño material. Durante la extracción de una parihuela en el sexto nivel, el operario realiza un giro con la paleta aún en altura (maniobra prohibida), golpeando una tubería de la red contraincendio. El operario se percató del golpe e instantáneamente culminó la maniobra sin reportar daños personales, solo materiales. El evento no generó consecuencias adicionales. Nos encontramos en proceso de investigación.</t>
  </si>
  <si>
    <t>CD2 Planta 4 Lurin ITDC</t>
  </si>
  <si>
    <t>SAPISCO COMERCIAL</t>
  </si>
  <si>
    <t>El día 21/01/2026, aproximadamente a las 12:15 p.m., en el patio de maniobras del CD2 Lurin ITDC, en las maniobras para el armado y paletizado del material, al momento de bajar los sacos de manera manual, golpean un armado que estaba encima de la UT que no estaba empacado y ocasiona la caída de 6 sacos. El evento no generó consecuencias adicionales, no hubo daños personales y ni de materiales.Nos encontramos en proceso de investigación.</t>
  </si>
  <si>
    <t>Detergentes Lurin</t>
  </si>
  <si>
    <t>Aproximadamente a las 03:15 p.m. del 21/01, durante la elaboración de polvo pulidor, y posterior a una intervención realizada por el maquinista, la tapa del equipo quedó desajustada. Al reiniciarse la rotación de la mezcladora, la tapa se desprendió repentinamente, generando la dispersión del producto en el ambiente. El evento fue detectado de inmediato, procediéndose a la detención del equipo y a la evacuación del personal del área para controlar la situación. No se registraron daños personales ni materiales. El incidente se encuentra en proceso de investigación.</t>
  </si>
  <si>
    <t>CD Cusco</t>
  </si>
  <si>
    <t>El día 21/01/2025, aproximadamente a las 11:15 horas, en el Centro de Distribución Cusco, se presentó un incidente operacional. Durante el traslado de PT desde el CD al canal de recepción Dexsur, el operador de montacargas intentó realizar el traslado de 2 paletas apiladas del producto SALSA. ALPESA KETCHUP 10X1KG 1CJA. Como consecuencia de este acto se originó la deformación de los productos de la paleta inferior y la caída del producto de la paleta superior mientras se realizaba el traslado. El incidente se encuentra en investigación.</t>
  </si>
  <si>
    <t>Aproximadamente a las 05:00 horas del sábado 31 de enero, un operador sufrió un golpe en el codo derecho al impactar con la esquina de una bandeja metálica de la faja de salida de la envasadora de refrescos R1. El evento ocurrió cuando el operador intentaba recuperar los sobres de refresco que no habían sido encajados por su compañera, produciéndose el golpe durante dicha maniobra. Al terminar el turno, el colaborador no reportó el evento.</t>
  </si>
  <si>
    <t>PREDIO CALLAO</t>
  </si>
  <si>
    <t>Aproximadamente a las 17:40 horas, una aprendiz sufrió un corte en el antebrazo derecho mientras realizaba la alimentación de galletas en la Torre 2. La aprendiz se ubicó en la parte anterior de la zona de alimentación por considerarlo más cómodo para la actividad, momento en el cual tuvo contacto con una parte metálica con bordes filosos.</t>
  </si>
  <si>
    <t>PREDIO SIDSUR</t>
  </si>
  <si>
    <t>Aproximadamente a las 08:00 h, durante la actividad de limpieza de filtros con aire comprimido en la azotea, una abrazadera se desprendió e impactó sobre el casco de un trabajador del servicio de limpieza que realizaba labores rutinarias en la zona</t>
  </si>
  <si>
    <t>Siendo aproximadamente las 07:40 horas, se desprendió un protector de luminaria, el cual cayó en las inmediaciones de la zona de moldeado de la Línea 1, generando una condición insegura que pudo haber ocasionado una lesión al colaborador que se encontraba realizando actividades en dicha etapa del proceso.</t>
  </si>
  <si>
    <t>El trabajador Operario de producción refiere que siendo las 02:06 horas, se encontraba dirigiéndose a tomar su refrigerio y transitaba por el sendero peatonal de planta (altura de Línea 1 y Línea 2 de envasado de galletas) cuando de pronto observo que su compañera estaba trasladando una bandeja con granel y decide moverse a un costado para ceder el paso, luego avanza y no se percata que delante suyo había una estructura metálica que pertenece a una faja, y golpea su muslo derecho contra la estructura.</t>
  </si>
  <si>
    <t>aproximadamente las 08:50 horas, una aprendiz acude a limpiar la faja de la línea 1 de envasado, esta estaba apagada, pero al lado había una faja en movimiento, ella se percata que esta faja estaba sucia y decide estirar la mano por encima de la cabeza para limpiarlo, en ello recibe un atrapamiento que provoca una herida en el dedo meñique de la mano derecha.</t>
  </si>
  <si>
    <t>Durante el traslado interno de productos no conformes (Galletas) realizados con un apilador eléctrico (1.5 TON), al momento de elevar el pallet con carga hacia la máquina de molienda este sufre un desbalance y vuelca lateralmente impactando contra el suelo</t>
  </si>
  <si>
    <t>CALICORP</t>
  </si>
  <si>
    <t>Alrededor de las 11:40 am., el maquinista de la planta galletera, luego de culminar el cambio de bobina en la maquina Bosh N2, se encontraba utilizando una escalera de 3 peldaños. Al retroceder, el Trabajador refiere haber pisado al vacio, lo que ocasiono su caída, golpeandose la espalda y el tobillo.</t>
  </si>
  <si>
    <t>ATP GALLETERA</t>
  </si>
  <si>
    <t>El proveedor Autorel, que actualmente brinda servicios al área de Proyectos, ingresó al APT desde la zona de robots para hacer mediciones, cruzando la puerta que da acceso al patio de maniobras. En ese momento, el ETV que se encontraba en el exterior accionó el claxon con la intención de ingresar, sin embargo, el proveedor no percibió la señal auditiva y continuó su desplazamiento.El ETV se detuvo de manera inmediata cuando lo vio, sin embargo, se produjo un contacto leve con el proveedor a la altura del hombro con la parrilla</t>
  </si>
  <si>
    <t>Siendo las 05:55 p.m. la trabajadora de manufactura de salsas 1 purga la línea de agua para el lavado de tolva; al momento de dejar la manguera de lavado en la tolva se da la vuelta y siente el agua caliente escurriéndose por su espalda, automáticamente sale del ambiente y llama a sus compañeros. Como primera medida se le aplica agua fría en la zona expuesta y se llama al equipo de tópico, brindándole los primeros auxilios</t>
  </si>
  <si>
    <t>LURIN</t>
  </si>
  <si>
    <t>Siendo las 3:51 am suena la alarma de detección de GLP indicando alerta de fuga en el bunker de la línea 04 marcando 72%/LEL, Inmediatamente se procede a bajar la llave de alimentación de gas y mediate el sistema de ventilación de extracción para disipar el gas de la zona. Posterior a ello, ingreso el equipo de producción y mantenimiento para determinar las causas de la fuga. Encontrándose el perno de sujeción de una de las boquillas roto.</t>
  </si>
  <si>
    <t>Aproximadamente a las 07:40 horas, un personal tercero sufrió un corte en el dedo meñique de la mano izquierda mientras realizaba la limpieza del magazín de la máquina D1. La herida fue por contacto con una parte metálica filosa del magazín.</t>
  </si>
  <si>
    <t>Aproximadamente a las 13:00 horas del martes 10 de febrero, un operador tercero reportó dolor de fuerte intensidad en región lumbar. El operador a las 11:45 horas realizaba el traslado de una bandeja de galleta, momento en el cual, sintió un estirón en la zona lumbar. Con el transcurso de las horas, el dolor se intensificó, por el cual reportó lo sucedido.</t>
  </si>
  <si>
    <t>Alrededor de las 8:50 am el operario de almacén, al momento de almacenar una paleta de productos terminados, con stoca de una zona a otra zona, al empujar sintió un dolor en la espalda al lado izquierdo, la cual nos informó y se procedió a comunicar a nuestra jefatura y se procedió llamar al central de emergencia para su evaluación</t>
  </si>
  <si>
    <t>Aproximadamente a las 10:40 horas, un personal aprendiz sufrió una leve excoriación en el borde del 5to dedo de su mano izquierda. La herida fue por roce con galleta mientras realizaba la actividad de alimentación.</t>
  </si>
  <si>
    <t>Durante el proceso de ordenamiento y revisión de mermas, al estar manipulando una caja de lejía, le salpica un remanente del producto en la pierna derecha.</t>
  </si>
  <si>
    <t> Alrededor de la 1 AM, se activo alarma debido a que se  produjo una fuga de producto en el cuarto nivel de procesos en Tornillo de transporte de Sulfato de Sodio durante la transferencia  al edificio. Se procede a ventilar el área y realizar limpieza de la misma.</t>
  </si>
  <si>
    <t>Colaboradora que refiere se encontraba en línea 2 realizando alimentación de galletas y al trasladarse a buscar una bandeja se resbala por sus propios pies y se cae, se golpea el brazo izquierdo izquierdo y la región de cadera derecha.</t>
  </si>
  <si>
    <t>Cuando la colaboradora de la empresa Charlotte se desplazaba desde la cámara de frío hacia la cocina llevando una bandeja con frutas para picado se tropieza con una jaba que se encontraba en el camino sufre una caída que ocasionó un raspón en la rodilla. </t>
  </si>
  <si>
    <t>CD Detergentes Lurin</t>
  </si>
  <si>
    <t>El día 12/02/2026, aproximadamente a las 09:30 am., en el almacén CD1 Detergentes Lurin al momento de la maniobra de almacenamiento del producto terminado el operador de Ransa impactó con el larguero superior provocando asi el desplazamiento de 3 cajas al piso y 3 cajas que quedaron suspendidas en el rack.</t>
  </si>
  <si>
    <t>Al término del proceso de almacenamiento, el operador se percata que había líquido en el piso proviniendo del equipo ETV2245. Cuando se dirige a estacionar el equipo para poder reportar el hallazgo, al tener el piso mojado, las ruedas no respondieron adecuadamente al freno y el operador impacta con una guarda de rack.</t>
  </si>
  <si>
    <t>La trabajadora se encontraba alimentando galleta en granel en la mesa de acomodo de Línea 4 y refiere que con el roce de la galleta se produce una ampolla en pulpejo de quinto dedo de mano derecha, con el paso de las horas de manipulación de granel se rompe la ampolla y refiere leve dolor.</t>
  </si>
  <si>
    <t>El trabajador traslada un pallet con bandejas que contenían granel de galletas, bajó la rampa ubicada al ingreso de línea 4 envasado y al girar el pallet las bandejas se inclinan y salen de la base del pallet impactando contra un pallet de galleta para reproceso.</t>
  </si>
  <si>
    <t>ITDC- Lurin</t>
  </si>
  <si>
    <t>Aproximadamente a las 10:00 horas, el operador de apilador electrico ETV estaba extrayendo una paleta desde posiciones altas de los racks en el almacén #5. Al momento de descender el mástil con la paleta suspendida choca con el timón de otro equipo(Order Picker) que había sido dejado en el pasillo.</t>
  </si>
  <si>
    <t>ATP MCA</t>
  </si>
  <si>
    <t>Durante el proceso de carga de subproductos, al subir la manta para entoldar la unidad ya estibada, el operador eleva demasiado el mástil lo cual ocasiona que el respaldo de carga tenga contacto con la viga protectora de la línea de vida, ocasionando se fracture la estructura metálica. Se informa al equipo de soporte y proveedor para las investigaciones del caso. El incidente no reviste ningún daño personal al operador de montacargas; el equipo se envía a estacionamiento de montacargas para su evaluación inmediata que está en proceso.</t>
  </si>
  <si>
    <t>Siendo las 10:40 p.m. el trabajador de envasado de salsas 1 se dirige al área de encajado para revisar la totalidad de producción del turno, cuando al caminar por el pasadizo de la zona de encajado, sufre una caída a causa de una bandeja sobresalida.</t>
  </si>
  <si>
    <t>Aproximadamente a las 00:05 horas, un operador sufrió un corte leve en el antebrazo derecho mientras realizaba la actividad de alimentación / acomodo de paquetes primarios en la línea 2. La herida fue por contacto con un perno metálico sobresalido de las guías del transportador de paquetes.</t>
  </si>
  <si>
    <t>SALSAS 2</t>
  </si>
  <si>
    <t>Siendo las 10:30 p.m. el trabajador tercero de Prolabora usa la Stoka para retirar un tablero de cajas de vegetales que se encontraba dentro del elevador, al intentar mover el tablero resbala y cae al piso golpeando parte de su pie derecho con la Stoka.</t>
  </si>
  <si>
    <t>Lurin 1</t>
  </si>
  <si>
    <t>Durante ese intervalo, la bomba continuó operando, generando el bombeo de aire a través de las tuberías hacia el tanque de almacenamiento. Esta acción provocó la formación excesiva de espuma dentro del tanque, ocasionando el rebalse de espuma alrededor del mismo y sobre sus tapas.</t>
  </si>
  <si>
    <t>Lurín 2</t>
  </si>
  <si>
    <t>el día 17/02/2026 a las 10:21 a.m. aproximadamente. Durante el proceso de traslado de materiales con una transpaleta eléctrica, cuatro cilindros de ácido sulfónico cayeron, lo que ocasionó que uno de ellos se abriera y se produjera el derrame del insumo.</t>
  </si>
  <si>
    <t>Aproximadamente a las 03:15 horas del jueves 19 de febrero, un operador sufrió una lesión en el dedo medio de la mano derecha mientras realizaba la actividad de carga de galletas en el magazín previo al arranque de línea.</t>
  </si>
  <si>
    <t>El lunes 16/02/2026 alrededor de las 17:00 horas, el operario de producción se encontraba realizando el triturado de fideo corto, mientras el colaborador movía el tecle hacia uno de los lados para descargar la bolsa de big bag, el mando del tecle se resbala de su mano e ingresa a la tolva y causa el atoro del triturador.</t>
  </si>
  <si>
    <t>Almacen Detergentes Callao</t>
  </si>
  <si>
    <t>En el patio del almacén de Detergentes se registró una fuga de gas GLP proveniente de un balón instalado en el montacargas de combustión asignado al operador del área de Jabones. El evento fue atendido de manera inmediata por el área de Seguridad, logrando controlar la fuga mediante el aseguramiento de la válvula.</t>
  </si>
  <si>
    <t>ALICORP BOLIVIA</t>
  </si>
  <si>
    <t>Aproximadamente a las 08:58 hrs, la unidad de transporte con placa 4716-HRI, colisionó con la estructura superior de la caseta de vigilancia de Planta (Portería 1), impactando con el lateral derecho del camión en el techo de la misma.</t>
  </si>
  <si>
    <t xml:space="preserve">En CD Huachipa, alrededor de las 06:30 am se registró un incidente de alto potencial en el muelle de carga / descarga. El proveedor que realiza labores de estibado para la empresa de transporte Codiso, unidad con placa AWR751, transitó de manera temeraria por la instalación, generando un casi accidente con el operario que maniobraba una transpaleta eléctrica (ERE). El colaborador de Alicorp al visualizar al proveedor caminando apresuradamente, reaccionó de inmediato, logrando esquivarlo. El proveedor también se apartó del equipo en movimiento. </t>
  </si>
  <si>
    <t>El trabajador Operario de Limpieza se encontraba realizando labores de trasvase de detergente líquido M&amp;M2000 desde el envase original (Bidón de 25 Kg) hacia su coche de limpieza, en ese momento le salpica el insumo químico en ambas vistas, inicialmente fue atendido por el Coordinador de Producción quien acompaña al trabajador hasta la estación de lavaojos.</t>
  </si>
  <si>
    <t>Siendo las 09:20 a.m. el conductor de la empresa TRANSFLOVAL detiene el camión que conducía, baja del vehículo e ingresa debajo del mismo según refiere que se trabo la caja de cambios del camión.</t>
  </si>
  <si>
    <t>El Aprendiz de Senati realizaba labores de alimentación de granel de galletas hacia los magazines de la envasadora C9, y al momento de subir la torre apilada de granel su tercer dedo entra en contacto con la varilla de acomodo causándole una herida superficial.</t>
  </si>
  <si>
    <t>Predio Central</t>
  </si>
  <si>
    <t>Siendo aproximadamente las 17:30 la trabajadora maniefiesta que siente dolor muscular en el hombro izquierdo, esto debido al sobre esfuerzo y trabajo repetitivo propio del proceso de estuchado en el area de instantaneos.</t>
  </si>
  <si>
    <t>Predio Callo</t>
  </si>
  <si>
    <t>Aproximadamente a las 21:25 horas, un operador sufre un corte superficial en el quinto dedo de la mano derecha, mientras realiza la limpieza de la mariposa de la máquina encremadora A2 de L3 durante el cambio de producto. El contacto se produjo con un aspa de dicha mariposa.</t>
  </si>
  <si>
    <t>Masterbread Ñaña</t>
  </si>
  <si>
    <t>El operador se encontraba en la planta piloto realizando labores de limpieza en una zaranda vibratoria. Para retirar el agua acumulada, procedió a sopletear aire a una llanta de la zaranda utilizando directamente la manguera de aire, sin hacer uso de la pistola reguladora de presión. Durante esta actividad, la llanta se desprendió de manera repentina y una de sus partes impactó los dedos índice y medio de la mano izquierda del operador.</t>
  </si>
  <si>
    <t xml:space="preserve">Siendo las 01:50 p.m., el operador se encontraba en el segundo piso del Molino C, realizando su ronda correspondiente al cierre de turno. Durante dicha inspección, se percató de que la tapa de una tubería se encontraba fuera de su posición. Al proceder a colocarla nuevamente, la tubería se sale de su posición, generando un golpe en el brazo derecho del trabajador. </t>
  </si>
  <si>
    <t xml:space="preserve">Aproximadamente a las 13:00 horas, el operador de envasado estaba cambiando de lámina, al momento de introducir su mano derecha para regular el sensor de la fotocélula roza con el borde de la estructura metálica de la envasadora el cual le generó un raspón en la parte superficial en dorso de la mano derecha. </t>
  </si>
  <si>
    <t>En CD Huachipa, alrededor de las 05:00 pm se registró un incidente de alto potencial en al amacén con ubicación PA-06-076-5. El colaborador, quien realizaba labores de almacenamiento utilizando un apilador eléctrico (ETV), reportó de manera inmediata una molestia ocular tras colocar el pallet en su posición final, manifestando la posible presencia de un agente externo en el ojo.</t>
  </si>
  <si>
    <t>Durante labores de limpieza de la tolva en el área de Food Service, el operario, al manipular la aspiradora para realizar la actividad de limpieza respectiva, percibe el paso de corriente eléctrica, motivo por el cual detiene inmediatamente la operación.</t>
  </si>
  <si>
    <t>Siendo aproximadamente las 12:50 horas la colaboradora se encontraba acomodando galletas antes de ser empaquetadas por la pack C6, cuando de pronto se percata que el dedo indice de su mano derecha presenta un ligero corte. Al revisar el entorno se evidencia que una plancha de la faja presenta un pequeño borde filoso.</t>
  </si>
  <si>
    <t xml:space="preserve"> El día 24/02 a las 00:30, el operador de ETV se encontraba dirigiéndose para un proceso de reposición en el pasillo 18. En este pasillo, un personal de la empresa Cleaned se encontraba trapeando el piso y por omisión, no colocó la señalética correcta. Esto hizo que el ETV pierda adherencia con el piso y tenga un impacto con el protector de los racks. No hubo daños personales y se revisó el equipo en el instante. Actualmente nos encontramos en proceso de investigación.</t>
  </si>
  <si>
    <t>Aproximadamente a las 20:25 horas del viernes 27 de febrero, una operadora tercera sufrió un golpe en el quinto dedo de la mano izquierda mientras realizaba la actividad de alimentación de galleta. La lesión ocurrió por contacto con el magazín metálico de máquina envasadora D2.</t>
  </si>
  <si>
    <t>El colaborador se encontraba realizando labores de abastecimiento de insumos en el ingreso del almacén de materias primas, al momento de cruzar la cortina plástica de la entrada, la stocka impacta la parte baja
del chasis con una parte metálica que no se encontraba a nivel de piso, en ese momento el colaborar siente un tirón en la parte posterior de la espalda, comunicando de lo sucedido a la jefatura inmediata.</t>
  </si>
  <si>
    <t>colaboradora refiere que estaba alimentado galleta en la plataforma de línea 2 y bajo a dejar bandejas vacías, al momento de subir a la plataforma de 25 cm aprox, se resbala y golpea su tibia izquierda contra el filo de plataforma. Se trasporta al tópico y se realiza limpieza de parte afectada.</t>
  </si>
  <si>
    <t>COPSA</t>
  </si>
  <si>
    <t xml:space="preserve">El día 28/02/26, alrededor de las 9:00 p.m se registró un incidente en el área de Frascos durante el traslado de una paleta con baldes que contenían base vegetal para la preparación de salsas. La carga estaba siendo movilizada con una estoca manual por la rampa cuando, durante la maniobra de ascenso, la paleta perdió estabilidad, ocasionando la caída de varios baldes y el derrame del producto sobre el piso. </t>
  </si>
  <si>
    <t>El trabajador Operario de producción se encontraba saliendo del vestuario de planta Galletera, y al momento de intentar abrir la puerta, sujeta con su mano izquierda uno de los extremos de la barra antipánico y empuja con fuerza causándole un corte en el tercer dedo de la mano izquierda.</t>
  </si>
  <si>
    <t>Detergente Callao</t>
  </si>
  <si>
    <t>Durante la operación de secado de detergentes, se identificó una fuga leve de GLP aguas abajo del vaporizador (ubicado en el sector exterior de la planta). Al detectar la fuga y flama leve, el personal de mantenimiento que se encontraba en el área hace uso del extintor cercano.</t>
  </si>
  <si>
    <t>Durante el recorrido de uno de los operarios de planta percibió un olor a quemado en el sótano 2 de molino. Cuando se acerca, observa que en la guarda de la faja del molino martillo salía humo, inmediatamente da aviso al coordinador de molino quienes en conjunto utilizan uno de los extintores más cercanos y controlan el conato</t>
  </si>
  <si>
    <t>Durante la producción de ácido clorhídrico (HCl), a las 15:03 h del día jueves 05/03, se produjo una combustión en el quemador de la torre de HCl, ubicado en el cuarto nivel. De manera inmediata se activó la parada de emergencia, deteniendo la producción y suspendiendo el ingreso de las materias primas (cloro e hidrógeno). Tras esta acción, la combustión se detuvo por completo</t>
  </si>
  <si>
    <t>El 3 de marzo, en el área de Fabricación Acuosos, durante la elaboración del granel Desatorador de Cocina, se realizó el vaciado de solución amoniacal , lo que generó la emisión de vapores de amoniaco (NH₃). Debido a que el sistema de ventilación del área tiene la salida de aire conectada a las rejillas del área de Envasado de las zonas contiguas, los vapores se dispersaron hacia dichas áreas, provocando malestar en cuatro colaboradoras.</t>
  </si>
  <si>
    <t>Aproximadamente a las 11:30 horas, un colaborador que se encontraba en proceso de Inducción en Planta Galletera, presentó episodio de mareo mientras procedía a trasladarse a los SSHH, durante este traslado presentó inestabilidad, perdiendo el equilibrio y descendiendo al suelo, generándose contacto de rodilla izquierda con la estuctura del piso de un escalón.</t>
  </si>
  <si>
    <t xml:space="preserve">Siendo aproximadamente las 10:00 a.m., la colaboradora Erika Sequera, perteneciente al área de Lavavajillas, se encontraba realizando la actividad de encajado en el área de envasado Lavavajillas en pote. Durante este proceso la colaboradora coloca manualmente la caja en la máquina encintadora, en ese momento se percata que el guante es atrapado entre la caja y los rodillos guiadores, ocasionando ligero aplastamiento en el dedo anular de la mano derecha. </t>
  </si>
  <si>
    <t>Siendo las 11:40 am, en el primer piso de planta de galletería el Coordinador Hermogenes Condori, reporta al área de mantenimiento (personal electricista) una parada del equipo del horno N°1, el coordinador apertura las compuertas de la chimenea en la salida del horno para disipar el humo y el olor a quemado en la sala. Alrededor de unos minutos se acerca el personal de mantenimiento para realizar la atención de la falla en ese momento el electrico activa los motores que le dan movimiento a la malla, llegando al punto de salida un tramo de galleta carbonizada, al inyectar el oxigeno del ambiente se genera un amago de incendio, el Coordinador retira al personal que estaba soportando en la salida del horno para hacer uso de extintor PQS mas cercano al punto.</t>
  </si>
  <si>
    <t>Siendo aproximadamente  las 04:08 p.m. un colaborador del área de Almacenes, se encontraba realizando el cambio de baterías. Durante este proceso, con la ayuda de un order picker, trasladaba la batería desde la sala de baterías al almacén 01, cuando la estación perdió el equilibrio y cayó lateralmente.</t>
  </si>
  <si>
    <t>El turno tarde en el puesto de mesa de Inspección en la línea 2; en la faja de salida de la envasadora primaria SIG5 se encontraban 2 operarias de producción realizando el acomodo de Galletas, en el momento del ordenamiento de galletas, la operaria sin percatarse sobrepasa el área de inspección e ingreso la mano a la altura de la zona de los puentes, para levantar unos paquetes de galletas que se encontraba generando trabamiento del flujo continuo, sufriendo una presión del antebrazo izquierdo entre la galleta en movimiento y puente metálico; en ese momento la operaria retira su mano de manera inmediata y procede a reportar el evento.</t>
  </si>
  <si>
    <t>Siendo aproximadamente las 01:00 horas, en la zona de aduana, un personal tercero (Prolabora), acude a retirar papel toalla para secarse las manos, y no se percata que habia un tornillo, este al tener contacto con su mano, le genera un pequeño corte.</t>
  </si>
  <si>
    <t>Durante el despacho de hipoclorito de sodio al 8% en el primer turno del día 09/03, al finalizar la carga, el operador panelista olvidó retirar la tubería de conexión hacia la cisterna. Posteriormente, el vehículo avanzó para realizar el cierre de la tapa, lo que ocasionó la ruptura de la tubería.</t>
  </si>
  <si>
    <t xml:space="preserve"> Ñaña</t>
  </si>
  <si>
    <t>El 10 de marzo, en la Casa de Fuerza, se registró un evento de descarga de amoniaco (NH₃) debido a la activación de la válvula de seguridad. Como consecuencia, el gas amoniaco fue liberado hacia áreas aledañas, lo que generó una alerta inmediata.</t>
  </si>
  <si>
    <t>A las 10:00 a. m. del miércoles 11 de marzo, durante el arranque de planta, se observó presencia de humo en el tercer lecho del convertidor de SO₂ a SO₃ de la planta de sulfonación 2. El humo provenía de un trapo que quedó en la zona luego de un trabajo de soldadura realizado en ese punto.</t>
  </si>
  <si>
    <t>Siendo aproximadamente las 03:00 horas, en la linea 2 una aprendiz que realizaba la alimentacion de galleta de casino menta, golpea su rodilla con un fierro que forma parte de la estructura de la nueva linea 2, el golpe fue leve pero genero un dolor que causo malestar en la persona involucrada.</t>
  </si>
  <si>
    <t>Durante la operación con un order picker, el colaborador se ubica al lado izquierdo del equipo, quedando fuera de la posición central establecida como segura. Al realizar la maniobra de giro para ingresar al pasillo 5, el trabajador intenta descender
colocando el pie izquierdo en el suelo. Sin embargo, manifiesta que “sin querer, con el brazo derecho presiona el acelerador”, lo que provoca que el equipo continue desplazándose en el sentido del giro. Como consecuencia, el pie izquierdo queda aprisionado entre la carcasa de la transpaleta y el suelo, generándose un atrapamiento en la zona del empeine.</t>
  </si>
  <si>
    <t>El día 12 de marzo durante los trabajos de instalación del segundo vaporizador para el abastecimiento de GLP a Planta Galletas, ejecutados por la empresa BEGAS INGENIEROS SAC (contratista de SOLGAS), se produjo un evento de ignición durante una maniobra de venteo de remanente de GLP en tuberías, lo que generó una irritación en la cara del operador que realizaba el venteo.</t>
  </si>
  <si>
    <t>A las 14:50, el operador de abastecimiento de botellas para esencia de vainilla (Instantáneos) sufrió un raspón superficial en el brazo izquierdo. El evento fue reportado al día siguiente por premura al cierre de turno. Según protocolo, el operador fue atendido en tópico, sin presentar restricciones ni descanso médico. Como acción inmediata, se limaron las asperezas de la superficie rugosa identificada. Sin mayores consecuencias.</t>
  </si>
  <si>
    <t>Durante la actividad de reposición de nitrógeno líquido (LN₂) al tanque pulmón, a una temperatura aproximada de -196 °C, realizada por el proveedor Linde, el operador encargado del abastecimiento detectó la presencia de una fisura en la superficie del tanque. A través de dicha fisura se evidenciaba una fuga de nitrógeno. Tras la identificación de la anomalía, se emitió la alerta.</t>
  </si>
  <si>
    <t>Aproximadamente a las 21:50 horas, una aprendiz sufrió una presión en el tercer dedo de la mano izquierda al intentar sentarse. Durante la maniobra, su dedo quedó atrapado momentáneamente entre la estructura metálica y el asiento, lo que generó presión sobre el dedo afectado.</t>
  </si>
  <si>
    <t>Planta Fideería</t>
  </si>
  <si>
    <t>El colaborador se encontraba realizando verificación de los equipos de inyección de aire ubicados en la azotea. Al momento de bajar por la escalera para regresar a planta, pisa una zona en desnivel, generando una torcedura del tobillo derecho.</t>
  </si>
  <si>
    <t>Camión cisterna de soda caustica con placa AUQ-906 realiza maniobras en el espacio correspondiente para la descarga del químico a sus tanques de almacenamiento, al momento de realizar la maniobra el camion se posiciona cerca de las tuberías principales de petróleo, en ese momento la llanta delantera golpea la tubería de alimentación a las bombas de combustible de las acalderas ocasionando un desgarro de los hilos del acoplamiento universal y una fuga de petróleo en dicha tubería, esto ocasiona que la caldera pare su operación por baja presión.</t>
  </si>
  <si>
    <t>El día lunes a las 14.02 a las 23:50 pm, el conductor de la empresa TRANSPORTES NAJEDI, V6O811 se encontraba traslandandola producción de planta galletera hacia el CD Arequipa. Al momento de estacionarse, rozó su parachoques delantero con una ruma de pallets vacíos, lo que finalmente decantó en una rajadura del mismo. </t>
  </si>
  <si>
    <t>Siendo aproximadamente las 04:00 horas, en la linea 4 un personal tercero que realizaba la alimentacion de galleta margarita, golpea su dedo de la mano con la estructura metalica del Magazzine, este golpe provoco un dolor intenso en el dedo pulgar derecho.</t>
  </si>
  <si>
    <t>El colaborador se encontraba realizando actividades de estiba en línea manual cuando su compañero usando una transpaleta eléctricamente asistida retira las paletas terminadas. Durante la actividad, se realiza una mala maniobra en el retiro de la paleta generando que esta se desplace en sentido opuesto e impacte en la parte inferior de la pierna del colaborador.</t>
  </si>
  <si>
    <t>Durante su primer día de labores y en proceso de aprendizaje, una colaboradora nueva presentó una molestia en los dedos índice de ambas manos mientras realizaba la función de alimentación de galletas en la línea de producción. El incidente ocurrió al momento de tomar y colocar las galletas en el punto correspondiente, generándose un roce repetitivo de los dedos con una varilla o estructura metálica del equipo, lo que ocasionó fricción directa en la zona de contacto.</t>
  </si>
  <si>
    <t xml:space="preserve">El colaborador se encontraba en la oficina del coordinador de envasado realizando vía SAP los requerimiento del dia para el almacén, culminada esta actividad refiere que se dirigía a su zona de trabajo ubicado en el 1er piso del edificio, es ahí donde al bajar el primer tramo de escaleras resbala en uno de los peldaños y evita caerse al sostenerse de la baranda, es ahí donde al apoyar el pie izquierdo siente un dolor fuerte y al querer continuar bajando las escaleras se intensifica mas el dolor. </t>
  </si>
  <si>
    <t>Aproximadamente a las 03:30 h, un colaborador del área de mantenimiento realizaba la intervención de una bomba de soda cáustica debido a una falla. Durante la actividad, sufrió una salpicadura de producto que se filtró por la parte superior del calzado de seguridad, teniendo contacto con el dorso de su pie izquierdo.</t>
  </si>
  <si>
    <t>El colaborador refiere que se encontraba realizando labores de limpieza en la Línea 2 de la Planta Galletera, cuando de manera involuntaria se golpea la región lumbar (espalda baja) contra una estructura metálica / tablero del área.</t>
  </si>
  <si>
    <t>Aproximadamente a las 10:25 horas, una aprendiz reportó que la ampolla que presentaba en el dedo meñique de la mano izquierda se había reventado, ella llevaba puesto guantes. La aprendiz manifestó que desde hace 3 días venía presentando molestias debido al roce repetitivo con la superficie metálica mientras realizaba la actividad de alimentación de galleta.</t>
  </si>
  <si>
    <t>Aproximadamente a las 10:00 horas del miércoles 18 de marzo, una aprendiz reportó dolor en el pulgar y dorso de la mano izquierda. La colaboradora indicó que la molestia se presentó durante la ejecución de las actividades de alimentación de galletas en la línea 3.</t>
  </si>
  <si>
    <t>Siendo aproximadamente las 19:00 horas, en la linea 2 un colaborador presenta un dolor localizado en la region de la muñeca izquierda de intensidad leve, se evidencia hematoma en el area afectada, sin embargo el trabajador refiere no haber recibido ningun golpe al momento de sus operaciones.</t>
  </si>
  <si>
    <t>Siendo aproximadamente las 20:00 horas, en la linea de banado un colaborador presenta dolor en ambos miembros superiores, el cual limita a los movimientos de flexion, extension y elevacion, esto debido al levantamiento de bandejas y manipulacion de productos, propia de la operacion.</t>
  </si>
  <si>
    <t>CD Lurín 1</t>
  </si>
  <si>
    <t>Aproximadamente a las 14:25 hrs,el conductor Luciano Avila de la unidad de transporte con placa 2306-PCS, tras recibir su documentación, intentó retirarse sin esperar la colocación de precintos, desobedeciendo las instrucciones del personal. Durante la intervención para redirigir la unidad, el conductor realizó una maniobra inadecuada y colisionó contra la barrera de seguridad y el CAR, provocando el desplazamiento de la estructura, la cual protege infraestructura crítica del sistema contra incendios.</t>
  </si>
  <si>
    <t>El colaborador se encontraba realizando traslado de bobinas de aproximadamente 50-90 kgs, y siente un tirón en la espalda baja, siguió realizando la actividad y al mover la segunda bobina comenzó con dolor y contractura en región lumbar. El colaborador fue atendido en el tópico donde se le diagnostico Contractura Muscula.</t>
  </si>
  <si>
    <t>CD Detergente Lurín</t>
  </si>
  <si>
    <t>Durante la maniobra de descarga de PT en el patio de maniobras de CD2 se evidenció la caída de algunas cajas desde la parte superior de la carga, generando derrame de producto y salpicadura en el colaborador que realizaba la operación, a la altura de la cintura hacia abajo</t>
  </si>
  <si>
    <t>Durante la operación de abastecimiento de insumos a Planta, en la maniobra de retroceso de un montacargas, se genera el impacto del equipo contra la infraestructura, ocasionando daños en la pared del área.</t>
  </si>
  <si>
    <t>El turno tarde en el puesto encajonado Línea 2 en la producción de Soda Día en la encintadora de la presentación Soda Dia x10 packs, se tuvo un atracón en la encintadora la cuál sedio unos centimetros, desplazando el caballete cercano
al puesto de encajado, colisionando la estructura metálica con la rodilla de la persona en el puesto.</t>
  </si>
  <si>
    <t>Aproximadamente a las 14:45 horas, un operador reportó una herida en el dedo anular de la mano izquierda mientras manipulaba cajas en la zona de encajado manual de Torre 4. Al momento del incidente, el colaborador no utilizaba sus guantes de protección.</t>
  </si>
  <si>
    <t>El conductor Francisco Pérez Quiroz (Lic. 7955369), de la unidad con placa 5350USD del proveedor de transporte COCAPATA, realizó una maniobra no autorizada dentro del patio, posicionándose por iniciativa propia en una rampa sin contar con la guía ni indicación del personal responsable, y sin verificar previamente las condiciones de seguridad como la altura de la infraestructura; esta acción insegura derivó en el impacto de la unidad contra la estructura del techo del estacionamiento, generando daños materiales y comprometiendo la seguridad del área.</t>
  </si>
  <si>
    <t>Aproximadamente a las 12:50 horas, un operador sufrió un corte superficial en el cuarto dedo de la mano derecha mientras realizaba la alimentación de galleta en la Torre 2.</t>
  </si>
  <si>
    <t>En fecha martes 17 de marzo de 2026, a horas 04:00 a.m., se registró lluvia intensa en la ciudad de Cochabamba, con una precipitación pluvial de 135 mm (135 L/m²), provocando inundaciones en diferentes sectores de la ciudad. Este evento también afectó a Planta Cochabamba, registrándose además de la lluvia un corte de energía eléctrica de origen externo, lo cual ocasionó la parada de los procesos de la operación.</t>
  </si>
  <si>
    <t>ATP Molino Callao</t>
  </si>
  <si>
    <t> Aproximadamente a las 14.22 p.m, el colaborador de Línea Vertical con 1 año 09 Meses laborando y 5 años de experiencia como técnico vertical; se encontraba realizando labores de limpieza (barrido) en la cubierta del almacén C, cuando  se bloqueó el sistema anticaída (ASAP) del trabajador. Al detenerse para desbloquear el sistema, permaneció próximo a la zona de trabajo de su compañero, produciéndose el impacto del extremo del mango de la escoba contra su ceja derecha.</t>
  </si>
  <si>
    <t>Aproximadamente a las 04:00 horas, la operaria de empacado (Manpower) estaba en el llenado de caja manual y al colocar las bolsas a la caja su mano roza con la caja, y se genera un pequeño golpe al borde las uñas.</t>
  </si>
  <si>
    <t>Aproximadamente a las 12:30 p. m., el operador de montacargas del almacén se encontraba realizando el despacho de paletas a planta cuando, durante una maniobra inadecuada, las uñas del equipo impactaron contra la esquina de la base del almacén, ocasionando daños en la infraestructura</t>
  </si>
  <si>
    <t>Aproximadamente a las 04:30 pm, el técnico se encontraba retirando un rollo del caballete de transito, en el segundo nivel, en la maniobra observa que el rollo se balancea y coloca la mano derecha para sujetar el rollo, en ese instante su dedo meñique es presionado entre la estructura del caballete y el rollo.</t>
  </si>
  <si>
    <t>Siendo aproximadamente las 09:00 horas, en la linea 2 un colaborador se econtraba realizando cambio de formato de producto, y al momento de bajar, pisa una banca que sirve de soporte para subir la plataforma principal, pues este al no estar fija se ha movido con la fuerza de la presion del pie, esto provoca una caida a desnivel ocasionando un golpe en la pierna y brazo.</t>
  </si>
  <si>
    <t>Detergente Lurín</t>
  </si>
  <si>
    <t>El colaborador afectado se encontraba operando un transpaleta eléctrico cuando el equipo se detuvo repentinamente, provocando que su cuerpo se desplace hacia adelante, y se golpee el dedo meñique izquierdo contra el timón del equipo.</t>
  </si>
  <si>
    <t>El colaborador afectado se encontraba realizando labores de apilamiento de producto en paletas, ubicado entre dos de ellas. En ese momento, el operador del transpaleta introdujo las uñas del equipo en la paleta situada detrás del colaborador; estas se trabaron a mitad del ingreso, generando un desplazamiento inesperado que impactó su pie y le ocasionó molestias en la zona afectada.</t>
  </si>
  <si>
    <t>Siendo la 01:30 a.m. el Aprendiz de Senati se encontraba realizando labores de alimentación de granel Casino desde la mesa de acomodo de línea 2 hacia los magazines de la envasadora Torre L2B, y de pronto se percata que hay una aglomeración de granel entre las guías de acomodo y procede a realizar el desatoro de manera manual con su mano derecha, durante esta acción su tercer dedo fricciona contra un componente metálico (perno y tuerca) causándole una leve herida.</t>
  </si>
  <si>
    <t>Aproximadamente a las 18:00 horas, el aprendiz CAPE se encontraba realizando labores de alimentación en la Línea 1. Durante el cambio de puesto, decidió asistir a una compañera para ayudarla a subir a la plataforma de trabajo. En ese momento, al apresurarse en jalar la plataforma, esta se desplazó de manera brusca, ocasionando un golpe entre la plataforma y la estructura fija.</t>
  </si>
  <si>
    <t xml:space="preserve">Alrededor de las 11:00 a. m. del 29/03, durante la operación de batido de detergente, se registró el rebalse de slurry desde el tanque autolimpiante, ocasionando derrame sobre la estructura y el piso. </t>
  </si>
  <si>
    <t>El 26 de marzo, en la Planta Principal de Intradevco, el colaborador técnico mecánico de mantenimiento sufrió la exposición de polvo en el ojo izquierdo mientras realizaba desmontaje de maquinaria sin usar lentes de protección. No presentó síntomas inmediatos y continuó trabajando sin reportar el incidente.</t>
  </si>
  <si>
    <t xml:space="preserve">Aproximadamente a las 10:15 am, el operario de producción se encontraba realizando labores de sellado de bolsas en la línea de puré y almidones. Durante la operación, sintió calor y observó que el ventilador no estaba direccionado hacia su posición de trabajo, por lo que decidió mover el ventilador con la mano, lo que generó un contacto con las hélices y su dedo ocasionando un leve corte en el pulgar. </t>
  </si>
  <si>
    <t>Siendo aproximadamente las 05:15 horas, un colaborador tercero se encontraba trasladando bandejas con producto granel de galleta Glacita, esto  mediante el uso de una carretilla hidráulica; y al momento de pasar por la rampa de ingreso de la linea 4, pierde el control, lo que ocasionó la pérdida de equilibrio y el deslizamiento de las bandejas al piso.</t>
  </si>
  <si>
    <t>COCHABAMA</t>
  </si>
  <si>
    <t>El día de hoy, 02 de abril de 2026, aproximadamente a las 10:30 horas, mientras un camión de la empresa COTRAINCO se encontraba en proceso de ingresar a la posición 3 para su carguío de exportación, el mismo siendo guiado por el personal de estibaje. El chofer no se percata que su parachoque de la parte de atrás (punto ciego) se engancha en la baranda lado baños, provocando el desprendimiento y daños materiales en dicha estructura.</t>
  </si>
  <si>
    <t>Siendo las 12:50 p.m. el trabajador Operador de Moldeado el trabajador con ayuda de una plataforma móvil sube a la mesa de la estación de moldeado para realizar labores de limpieza de estructura de cilindros laminadores, culminada la actividad el trabajador baja y posiciona su pie derecho sobre un balde con agua que su compañero había dejado luego de retirar la plataforma móvil, causándole una caída a nivel.</t>
  </si>
  <si>
    <t xml:space="preserve">Siendo las 10:30 a.m. la trabajadora Operario de Producción de la empresa Prolabora Solutions SAC se encontraba realizando labores de alimentación de granel hacia los magazines en la mesa de acomodo de Línea 4 envasado, y al momento de apilar la galleta de manera manual aproxima su cabeza contra el magazine causándole un corte superficial en el parpado superior de la vista derecha. </t>
  </si>
  <si>
    <t>Siendo las 21:10 horas, el auxiliar de almacén se retiraba del área operando el transpaleta eléctrico en retroceso, al realizar la maniobra no se percata que en el piso había residuos de polvillo, el cual género que la rueda se deslice de manera rápida y parte del equipo impacte con la puerta de sala de comprensores. Cabe resaltar que el colaborador no tuvo ningún impacto y procedió a comunicar al lider de turno del evento ocurrido.</t>
  </si>
  <si>
    <t>Aproximadamente a la 01:00 a. m., el colaborador Cesar Figueroa (ETV) se encontraba realizando labores de almacenamiento en dicha área. Al momento de ingresar, un order picker accede primero a la zona, y el colaborador procede a seguirlo manteniendo distancia; tras el paso del equipo, el colaborador no se da cuenta que la puerta se encontraba en proceso de cierre automático, impactando con la misma.</t>
  </si>
  <si>
    <t>Siendo las 08:15 horas, operador del área de producción se encontraba en los SSHH de los vestuarios, reportó olor a lejía lo cual le ocasionó irritación en los ojos, nariz y garganta. El personal de CLEANED realizaba limpieza en ese momento.</t>
  </si>
  <si>
    <t>Siendo las 12:00 p.m. la trabajadora se encontraba realizando labores de bandejeo de granel desde la mesa de acomodo de línea 1, y cuando traslada la torre apilada de galletas hacia la bandeja, su antebrazo izquierdo tiene contacto con el vástago inferior del perno causándole excoriación (El perno este situado en uno de los extremos del puente situado frente a la envasadora C5).</t>
  </si>
  <si>
    <t>El día miércoles 08 de abril de 2026, durante las operaciones de traslado interno dentro del CD Arequipa, el conductor perteneciente al proveedor Transporte Najedi incurrió en una acción no permitida al subirse a la unidad con el fin de asegurar la carga. Esta práctica contraviene los procedimientos de seguridad establecidos para este tipo de actividades.</t>
  </si>
  <si>
    <t>Alrededor de las 2:50 p. m., el ayudante de planta se aproxima al cuarto piso y accede a la parte superior de la tolva de afrecho con el fin de verificar un trabajo realizado días previos. Al momento de iniciar el descenso por la escalera, esta se desliza debido a la falta de sujeción, por lo que el trabajador se sostiene apoyando sus brazos en la tolva para evitar una caída. En ese instante, realiza un llamado a su compañero técnico electricista, quien se encontraba en el tercer piso. Su compañero al escucharlo acude en su ayuda, asegurando la escalera para que el trabajador pueda descender de manera segura</t>
  </si>
  <si>
    <t>El día 12 de abril, aproximadamente a las 11:30 a.m., un operario de limpieza se encontraba realizando labores de limpieza en el horno directo, específicamente en la zona de la cinta transportadora. Durante el desarrollo de la actividad, la cinta de transporte se puso en funcionamiento de manera no prevista, en un momento en que aún se encontraba personal de limpieza en el interior del equipo. Ante esta situación, el trabajador actuó de manera oportuna y se desplazó rápidamente hacia una zona segura dentro del horno. A los pocos segundos del encendido de la faja, se logró alertar a personal externo, quienes procedieron a detener la faja de transporte.</t>
  </si>
  <si>
    <t>Siendo las 5:15 am, la colaboradora de la empresa Prolabora menciona que se dispone a barrer con prisa y golpea el brazo izquierdo contra la baranda provocándole dolor, informa a su supervisor y es traslada al tópico donde recibe atención, posterior retorna a sus actividades sin inconvenientes</t>
  </si>
  <si>
    <t xml:space="preserve">En fecha 13/04/2026, aproximadamente a las 12:10 p.m., durante la ejecución de labores de encarpado en la carrocería de un camión, un operador sufrió una caída desde la parte superior del vehículo. No obstante, el uso adecuado de la línea de vida y el arnés evitó una caída directa al suelo, mitigando la gravedad del incidente. Inmediatamente, el supervisor trasladó al trabajador a la posta médica para su evaluación. </t>
  </si>
  <si>
    <t>NO</t>
  </si>
  <si>
    <t>El ayudante de planta se encontraba realizando labores de limpieza en el primer piso del área de embolsado. Durante la actividad, se produjo el rebose de la rosca de subproducto, generando la liberación de polvo que alcanzó sus ojos. Como consecuencia, presentó irritación en el ojo izquierdo por exposición a material particulado. De inmediato se procedió a activar el protocolo de atención con la central de emergencia, solicitando la presencia de la ambulancia para evaluar al colaborador, determinando su evacuación al tópico del predio central</t>
  </si>
  <si>
    <t>Aproximadamente a las 16:45 horas, una aprendiz sufrió un corte leve en el dedo índice izquierdo mientras intentaba desatorar galletas en el transportador vertical (magazín). No hubo equipos en marcha</t>
  </si>
  <si>
    <t>Aproximadamente a las 01:00 horas, un operador de producción sufrió un golpe leve en el dedo meñique de la mano derecha mientras alimentaba paquetes de galletas desde las bandejas hacia faja de pack</t>
  </si>
  <si>
    <t>ATP Detergentes</t>
  </si>
  <si>
    <t>Aproximadamente a las 17:00 horas, el operador de montacargas del almacén de Detergentes se encontraba realizando labores de re paletizado del stock de Detergentes situado en el APT de Panetones. Durante la ejecución de la maniobra, se produjo un impacto de la paleta contra la esquina de la pared del almacén, ocasionando daños en la infraestructura.</t>
  </si>
  <si>
    <t>Aproximadamente a las 15:00 horas del 16-abril, al final de su turno el operador de producción se percató que tenía una herida una herida en el tercer dedo de la mano izquierda, la cual asocia a la manipulación de cajas durante sus labores. Esto fue reportado al Ing. De turno al siguiente día 17-abril.</t>
  </si>
  <si>
    <t>Aproximadamente a las 04:00 am, el operador de empacado se encontraba manipulando una parihuela para trasladar al área de paletizado. Al bajar la parihuela, parte de ésta se desprende y cae al piso, golpeando parte de su muñeca derecha. La trabajadora no presentó ningún malestar y continuó con sus actividades hasta finalizar su turno. Al día siguiente al realizar movimientos repetitivos sintió que el brazo se empezaba a hinchar y presentaba indicios del golpe, por ende, solicitó retirarse y se procedió con la derivación al área de salud ocupacional Manpower para su atención.</t>
  </si>
  <si>
    <t>ATP Cochabamba</t>
  </si>
  <si>
    <t xml:space="preserve">El día 18 de abril de 2026, aproximadamente a las 13:10 horas, en el Almacén E de producto terminado, durante el retiro de producto lavandina de los racks, el stretch film que se utiliza para asegurar la carga se engancha en el rack generando la caída de 13 cajas de producto al piso reventando y manchando el área circundante. </t>
  </si>
  <si>
    <t>Aproximadamente a las 15:50 horas, una operadora en entrenamiento sufrió un corte en la uña del dedo pulgar de la mano izquierda al hacer contacto con el borde de una guía metálica (dedo de arrastre) del transportador de paquetes primarios hacia la máquina pack de bañados.</t>
  </si>
  <si>
    <t>Siendo las 02:30 a.m. la Aprendiz de Senati se encontraba alimentado granel de Vainilla Dia hacia los magazines de la envasadora C3, mientras realizaba la actividad se suscita un atoro y procede a pulsar la botonera de emergencia, levanta la guarda de seguridad y desatora el granel; y al momento de cerrar la guarda, impacta con su cuarto dedo de la mano izquierda generándole una herida superficial.</t>
  </si>
  <si>
    <t xml:space="preserve">CD Lurín </t>
  </si>
  <si>
    <t>El 22 de abril de 2026, el personal del proveedor traslada la paleta de madera sin ayuda de un compañero exponiéndose a lesiones musco-esqueléticas por la mala manipulación. Se detiene la actividad y se le brinda el feedback. El caso se encuentro en proceso de investigación para la determinación de las causas y definición de acciones correspondientes.</t>
  </si>
  <si>
    <t>El 22/04 a las 16:00, en el área de envasado pulidor, durante la descarga de producto, se produjo un derrame (5 Kg), debido a una condición de la tapa del mezclador. El evento fue detectado de inmediato, procediéndose al cierre de la válvula y a la evacuación del personal cercano al área. No se registraron daños personales ni materiales.</t>
  </si>
  <si>
    <t xml:space="preserve">Se reporta un incidente en CD Huachipa al promediar las 5:30 am con una unidad - placa D8G 703 de la empresa Hermanos Perez. Se ha producido una sulfatación del borne de la batería,  lo cual generó que la unidad  no pueda arrancar. Se procedió a revisar lo sucedido in situ, detener toda actividad, revisar que no se tengan riesgos por cortocircuito, colocar conos y tacos de seguridad alrededor de la unidad hasta que un técnico especialista pueda solucionar la falla reportada. </t>
  </si>
  <si>
    <t>Siendo aproximadamente las 15:15 horas, en la linea de Instantaneo refrescos una colaboradora se encontraba colocando sobres en los estuches (chicha morada), en eso un companero pasa con una escalera cerca de un ventilador esto provoca que parte del polvo que estaba acumulado en la escalera sea movido con la fuerza del viento y sea expuesto en el airea, haciendo que una parte de ello le caiga en el ojo de la colaborada.</t>
  </si>
  <si>
    <t>El día 25/04 a las 23:40 horas aproximadamente, los colaboradores de turno tarde se encontraban a bordo de la movilidad que los traslada del MCA al Predio Central a cargo de la empresa INNOVACION Y OPERACIONES LOGISTICAS S.A. de placa AXI – 036.
La movilidad se encontraba en la Av. Argentina con Av. Faucett a punto de detenerse, sin embargo, aún en movimiento realiza un freno en seco, por la parada imprevista del auto que se encontraba delante de ella; Los colaboradores fueron sacudidos bruscamente al producirse esta frenada repentina.</t>
  </si>
  <si>
    <t xml:space="preserve">Aproximadamente a las 21:20 horas un operario sufre un resbalón en una superficie lisa de línea 2, mientras cargaba una bandeja con galleta granel. El operador colocó su mano izquierda en el piso para no caer por completo. </t>
  </si>
  <si>
    <t>Siendo aproximadamente las 22:50 horas, un colaborador se encontraba alimentando galleta casino en la Linea 2 y al momento de girar para apilar las bandejas se resbala por sus propios pies y cae golpeandose con el filo de la plataforma en la espalda.</t>
  </si>
  <si>
    <t>Siendo aproximadamente las 12:40 pm, el colaborador se encontraba realizando la apertura de bolsas de insumos para la preparación de mezclas de instantáneos. Al momento de realizar el corte del cintillo plástico con la cuchilla, coloca el dedo en una posición cercana al punto de contacto, generándole un pequeño corte en el dedo índice de la mano izquierda.</t>
  </si>
  <si>
    <t>Se reporta un incidente laboral en CD Huachipa. Al promediar la 1 pm, en garita vehicular un personal de G4S se encontraba realizando una llamada telefónica y no se percató de sentarse correctamente en la silla y resbaló al suelo.
Inmediatamente se le dio atención y se realizó tele-consulta con central médica para la revisión con el especialista.  El médico le realizo consultas de evaluación al personal y revisión en caso se tenga algún hematoma. El médico validó que no se tenía alguna observación al respecto, y se cerró la incidencia compartiendo el reporte del médico al personal del incidente. Se reforzó con el personal la importancia de mantener un entorno seguro, movimientos concentrados y cuidado en todo aspecto laboral.</t>
  </si>
  <si>
    <t xml:space="preserve">APT PLANTA 1 </t>
  </si>
  <si>
    <t xml:space="preserve">Se reporta un incidente de caída de insumo HLAS (Acido sulfónico) aproximadamente la 8:43 pm del día 05/05. El operador de montacarga se encontraba realizando la descarga de una unidad plataforma y, al momento de posicionarla en el piso para el traslado por parte del operador de transpaleta eléctrica hacia el almacén, se evidenció la caída de varios cilindros. Durante el incidente, uno de los cilindros presentó derrame del producto por la tapa. Como acción inmediata, se cercó y acordonó el área involucrada utilizando el kit antiderrame. Posteriormente, se realizó el recojo del material derramado y la limpieza correspondiente del área afectada. Una vez controlada la situación y asegurada el área, se reiniciaron las operaciones. </t>
  </si>
  <si>
    <t>El miércoles 06 de mayo, aproximadamente a las 18:40 horas, un operador tercero sufrió un golpe en el pie derecho con la base del timón de una transpaleta manual. El incidente ocurrió cuando el operador intentó subir una pequeña rampa y otra persona intervino para ayudar empujando la carga desde la parte posterior. Debido a la fuerza aplicada durante la maniobra, el operador perdió estabilidad momentáneamente y al levantar el pie impactó contra la base del timón de la transpaleta.</t>
  </si>
  <si>
    <t>CAJAMARQUILLA</t>
  </si>
  <si>
    <t>Siendo las 17:05 horas, la unidad de transporte del cliente INNOVA &amp; DISTRIBUCIÓN, a quien se le realiza la venta de residuos (cliente recoge), maniobrando de retroceso con la carrocería del furgón impacta en la parte superior de la estructura de la escalera que se encuentra anclada al piso, generando un quiebre en la base de la estructura, quedando la escalera inoperativa.</t>
  </si>
  <si>
    <t>El día 07/05/2026, aproximadamente a las 11:50 horas, el colaborador que se desempeña como operador de máquina se encontraba realizando sus funciones rutinarias cuando, de pronto, en la faja de la D1, por debajo de la escalera, se produjo el atoro de paquetes de galletas. Ante esta situación, el colaborador introdujo la mano en el espacio con la finalidad de liberar la faja; sin
embargo, tuvo contacto con un borde metálico con filo, ocasionándole un corte en la parte baja de la palma de la mano izquierda.</t>
  </si>
  <si>
    <t>Se reporta un incidente en la planta de Instantáneos Línea de producción de Postres – Boato al promediar las 7:30 am el equipo TEKNOTOK 2 generó un amago de incendio. Se procedió a detener toda actividad y derivar el caso con Mantemiento para las acciones correctivas.</t>
  </si>
  <si>
    <t>El día 08/05/2026, aproximadamente a las 07:30 horas, la colaboradora que se desempeña como operaria de producción se encontraba realizando sus funciones de alimentación de galletas a la línea, cuando de pronto se percata que se le generó una pequeña herida en el dedo meñique producto de la fricción durante la tarea.</t>
  </si>
  <si>
    <t>Se reporta un incidente en CD Huachipa al promediar las 09:15PM con una unidad - placa CAI-841 (camión carreta) de la empresa Corporación XianFi S.A.C. Durante el viraje de la unidad, esta impactó levemente en la parte trasera de un montacarga que estaba estacionado de forma provisional (sin operador) cerca del acceso peatonal y muelle de carga. Solo se cuentan con daños materiales (abolladuras, daño en faro y cargador de máquina. Hace unos minutos hemos tenido un incidente de alto potencial en Huachipa. Durante el viraje de la unidad CAI841 de la empresa XianFi, esta impactó levemente en la parte posterior de un Montacargas que estaba estacionado de forma provisional (sin operador) cerca del acceso peatonal y muelle de carga.</t>
  </si>
  <si>
    <t>Aproximadamente a las 12:45 horas, la contratada se encontraba realizando labores de alimentación en la Línea 1. Producto de la fricción constante con la galleta se le pela la piel del primer dedo de la mano derecha.</t>
  </si>
  <si>
    <t>El sábado 9 de mayo, aproximadamente a las 21:15 horas, una operadora sufrió un golpe en el dedo medio de la mano derecha mientras intentaba desatorar galletas en el magazín lento de la máquina C1 de la línea de Bañados. El impacto se produjo contra una espiga de la cadena de arrastre.</t>
  </si>
  <si>
    <t>El día 12/05/2026, aproximadamente a las 10:00 am, la colaboradora que se desempeña como operaria de producción se encontraba realizando la actividad de alimentacion de galletas en envase primario en la máquina Pack C10 cuando al tratar de tomar una de las galletas que se atoró en la faja, le generó un corte superficial en el dedo índice de la mano derecha. Latrabajadora fue derivada al tópico para la debida atención y retornó a planta. El evento se encuentra en investigación.</t>
  </si>
  <si>
    <t>El día 12/05/2026, aproximadamente a las 13:30 hrs, el colaborador que se desempeña como operario de producción se encontraba realizando la actividad de alimentacion de galletas hacia los magazines, al tratar de tomar una de las pilas de galletas genera un leve rozamiento con las guías metálicas, ocasionándole un corte superficial en el tercer dedo de mano derecha.</t>
  </si>
  <si>
    <t>El día 13/05/2026, aproximadamente a las 09:15 am, la colabroadora que se desempeña como operaria de producción se encontraba realizando la actividad de alimentación de frascos para la producción de esencia de vainilla de 90ml, al momento de girar para desplazarse tropieza con una plataforma metálica ubicada cerca a la zona y cae al piso.</t>
  </si>
  <si>
    <t>Aproximadamente a las 15:00 horas, el operador de maquina envasadora realizaba la actividad de jalar el laminado de galleta vainilla, el quinto dedo de la mano derecha fricciona con parte del formador de lamina y sufre un corte en la mano derecha</t>
  </si>
  <si>
    <t>Alrededor de las 05:00 a. m., los trabajadores de la zona de elaboración observaron presencia de humo, generado por el abrazamiento de galleta en el pozo de término del horno. Inmediatamente, el personal procedió a detener la línea y activar el protocolo de emergencia, logrando controlar el evento de manera oportuna.</t>
  </si>
  <si>
    <t>Siendo aproximadamente las 18:40 horas, un colaborador se encontraba haciendo cambio de formato en la linea 2, cuando en eso retirando las varillas, su mano tiene contacto con un borde filoso, ocasionando un pequeno corte.</t>
  </si>
  <si>
    <t>El lunes 11/05/2026 alrededor de las 10:00 am, Un colaborador del servicio de limpieza fina (empresa Cleaned) se encontraba realizando sus labores habituales en el 5to piso del área de Molino, cuando al intentar desplazar la aspiradora  sintió una leve contacto eléctrico.</t>
  </si>
  <si>
    <t xml:space="preserve">El viernes 15/05/2026 alrededor de las 09:48 am, el Inspector de Seguridad se encontraba revisando los hallazgos de condiciones subestándar reportadas. Durante la verificación del estado de una manguera, procedió a mover un balón GLP, ocasionando la fuga de gas por desprendimiento de la manguera, sin tener contacto directo con el gas. De inmediato, se activó el protocolo de emergencia para su posterior control.  </t>
  </si>
  <si>
    <t>El sábado 16 de mayo, aproximadamente a las 00:00 horas, un maquinista sufrió un corte en el dedo índice de la mano derecha mientras realizaba el cambio de laminado en la envasadora D1 de la línea 4. El corte se produjo con un borde filoso del formador de paquetes.</t>
  </si>
  <si>
    <t>El día 16/05/2026, aproximadamente a las 10:00 am, la colaboradora que se desempeña como operaria de producción, se encontraba realizando la actividad de alimentado de galletas en la envasadora C8 de la línea 3, cuando se percata de una herida en el dedo producto del rozamiento con la galleta y guías de la mesa de acomodo.</t>
  </si>
  <si>
    <t>El día 16/05/2026, aproximadamente a las 08:30 am, la colaboradora de la empresa PROLABORA quien se desempeña como operariade de producción, se encontraba bajando por la escalera de la mesa 4. Al momento de pisar el primer escalón, sufrio un resbalon, lo que ocasiono su caída al nivel del piso.</t>
  </si>
  <si>
    <t>Aproximadamente a las 11:am, el operador de producción estaba limpiando por debajo de la faja del 3er nivel de envasado, cuando retira su brazo no se percata de un perno sobresalido, y se raspa el brazo derecho. Se comunicó con el monitor de turno para ser derivado al tópico donde fue atendido por la doctora, posteriormente regresó a sus actividades.</t>
  </si>
  <si>
    <t>LURÍN 2</t>
  </si>
  <si>
    <t>Durante el abastecimiento de hipoclorito de sodio al 10.5% hacia el tanque de almacenamiento desde la planta de producción, se presentó una falla en el sensor de nivel del tanque, el cual no detectó que este había alcanzado su capacidad máxima y permitió que el proceso de llenado continuara. Como consecuencia, se produjo el desfogue de hipoclorito a través de la línea de venteo/tubería hacia la zona de tanques de lejía, generando un derrame aproximado de 7 toneladas de hipoclorito de sodio al 10.5% (equivalente a 6.31 m³). El evento se encuentra en investigación para tomar las acciones respectivas.</t>
  </si>
  <si>
    <t>La cisterna de tracto M2P854, participante en un operativo de transporte de crudo, se encontraba saliendo en condición vacía del predio central. Durante el proceso, el conductor detuvo la unidad para realizar su segundo pesaje; sin embargo, al intentar reanudar la marcha, se evidenció la emisión de humo blanco proveniente de la parte inferior de la carrocería. Ante esta condición, se aproximó el inspector de seguridad, quien instruyó al conductor a retirar la llave de contacto y abstenerse de manipular la unidad hasta la llegada del auxilio mecánico.</t>
  </si>
  <si>
    <t>Durante las actividades de guía y capacitación a personal nuevo SENATI, una colaboradora realizaba la verificación de labores de primera inyección (máquina CINCINATI 2). Durante la revisión de rebaba, la trabajadora inclinó la cabeza para observar la tarea mientras su compañero manipulaba una cuchilla (cúter), produciéndose un corte superficial leve sobre el labio superior</t>
  </si>
  <si>
    <t>En línea de envasado L2, aproximadamente a las 10:45 hrs, un colaborador refiere estaba realizando limpieza de faja con una espatula metálica y al realizar el movimiento hacia delante en la faja que es rugosa se le desliza su mano hacia delante y se produce herida superficial en dedo pulgar de mano derecha.</t>
  </si>
  <si>
    <t>Siendo aproximadamente las 12:40 pm, el colaborador se encontraba realizando la apertura de bolsas de insumos para la preparación de mezclas de instantáneos. Al momento de realizar el corte del cintillo plástico con la cuchilla, coloca el dedo en una posición cercana al punto de contacto, generándole un pequeño corte en el dedo índice de la mano izquierda.
El evento se encuentra en investigación.</t>
  </si>
  <si>
    <t>Se reporta un incidente en CD Huachipa al promediar las 09:15PM con una unidad - placa CAI-841 (camión carreta) de la empresa Corporación XianFi S.A.C. Durante el viraje de la unidad, esta impactó levemente en la parte trasera de un montacarga que estaba estacionado de forma provisional (sin operador) cerca del acceso peatonal y muelle de carga. Solo se cuentan con daños materiales (abolladuras, daño en faro y cargador de máquina
Hace unos minutos hemos tenido un incidente de alto potencial en Huachipa. Durante el viraje de la unidad CAI841 de la empresa XianFi, esta impactó levemente en la parte posterior de un Montacargas que estaba estacionado de forma provisional (sin operador) cerca del acceso peatonal y muelle de carga</t>
  </si>
  <si>
    <t>En la mañana de hoy 21/05, se identificó una máquina recién traída para el proyecto lego2 con presencia de gorgojos en el primer piso de limpia, lo cual alertó a los ingenieros de planta, quienes se acercaron al punto a validar la situación. La Ing. de Calidad comunica al técnico de plagas que se acerque al punto, cuando este llega, verifica que no hay nadie en ese piso y procede bloquear la zona e iniciar con el tratamiento de aspersión con producto cipermetrina, sin embargo, los ingenieros que habían llegado minutos antes se encontraban en el sótano 2 completando el recorrido, cuando comienzan a sentir un olor al producto químico, la Ing. De Calidad observa mediante un orificio, cayéndole en el rostro algunas gotas del insecticida, y sale rápidamente en compañía de los demás. Luego siente una irritación y procede a lavarse el rostro con abundante agua y se comunicó a la central de emergencias quién la atendió y le dio seguimiento al caso, encontrándose estable al momento.</t>
  </si>
  <si>
    <t>Alrededor de las 9:30 El colaborador refiere que se encontraba realizando actividades de encajonado en el área de
Galletería. durante la manipulación y movilización de una caja de cartón el segundo dedo de la mano derecha
habría hecho contacto con el borde de la tapa de la caja, produciendose un corte superficial y leve sangrado en la
zona afectada.</t>
  </si>
  <si>
    <t>En CD Huachipa, aproximadamente a las 02:45 pm, se registró un incidente en el patio de maniobras. El transporte de la empresa Mi Beatriz, con placa AKD924, correspondiente al viaje 1000121022, durante la maniobra de estacionamiento y retroceso, impactó los pallets que se encontraban ubicados en la zona asignada. Se tomó el testimonio del transportista, quien manifestó no haberse percatado ni haber sentido el impacto durante la maniobra.No se reportaron daños al personal; sin embargo, algunos pallets resultaron caídos y/o desacomodados producto del incidente.</t>
  </si>
  <si>
    <t xml:space="preserve">El viernes 22 de mayo, aproximadamente a las 18:00 horas, una operaria de producción sufrió un golpe en el quinto dedo de la mano izquierda con el borde del soporte estructural del magazín de alimentación de la máquina Torre 2. </t>
  </si>
  <si>
    <t>En la línea de envasado L3, aproximadamente a las 12:41 hrs, un colaborador se encontraba realizando la alimentación de galletas y se produce herida superficial en el 3er dedo de mano izquierda con el producto.De manera inmediata, comunico el hecho al Ingeniero de Turno y fue derivado al tópico para su evaluación.</t>
  </si>
  <si>
    <t>El día 26/05/2026 aproximadamente a las 13:55 horas, el colaborador que se desempeña como operario de producción, se encontraba en la mesa de acomodo realizando la tarea de alimentación de galletas, cuando intentó
mover una pila de bandejas hacia otra posición.Al momento de jalar la pila se golpea con la estructura porta bandejas que se encontraba al costado y le generó un corte en el dedo del medio de la mano derecha.</t>
  </si>
  <si>
    <t>Siendo aproximadamente las 02:40 pm, el colaborador que se desempeña como operador de producción, se encontraba realizando la limpieza de la cuchilla de arrastre del tunel de enfriamiento de chocotec 1, cuando al
momento de montar el polin de la faja, el peso del polin presiona la mano derecha contra una malla metálica generándole un raspón en los nudillos. Se traslada al colaborador al topico para recibir la atención correspondiente. Posteriormente regresa a planta. El evento se encuentra en investigación.</t>
  </si>
  <si>
    <t xml:space="preserve">Siendo las 11:30 am aproximadamente, el operador de montacarga del Molino Victoria se encontraba cargando una unidad estibada con Iolsa en el muelle del Anexo 5. Luego de abastecer una paleta de harina, el operador procede a transitar por el muelle para llevar otra paleta, cruzando la puerta de despacho. En ese momento, repentinamente, un estibador sale dentro del almacén y casi es alcanzado por el montacarga eléctrico. </t>
  </si>
  <si>
    <t>CD1 LURIN</t>
  </si>
  <si>
    <t xml:space="preserve">El 14/05, aproximadamente a las 8:15 a.m., el conductor Leonidas Cacallica Choque ingresó al almacén para realizar su carga y fue dirigido a estacionarse en la rampa 19. Durante la maniobra de salida y posicionamiento en retroceso, la unidad se aproximó excesivamente al lado derecho, impactando y desgarrando el portón de ingreso.A raíz del incidente, el portón sufrió daños que afectaron su correcto funcionamiento, por lo que se realizaron las reparaciones correspondientes. </t>
  </si>
  <si>
    <t>CD2 Lurín</t>
  </si>
  <si>
    <t>Por medio del presente, se informa que el personal de Ransa, a las 10:30 horas aproximadamente del día 26/05/2026, generó un incidente en la zona de patio CD2, durante el proceso de descarga de un traslado interno desde una planta externa. El incidente ocurrió durante la extracción de una paleta desde la unidad de transporte (UT). Debido a una mala manipulación durante la operación, se generó la caída de 7 cajas desde una altura aproximada de 3 metros, ocasionando que dicho inventario pase a estatus de merma.</t>
  </si>
  <si>
    <t>Aproximadamente a las 23:35 horas, el trabajador se encontraba realizando labores de limpieza en séptimo piso de embolsado, específicamente en el retiro y manipulación de bandeja de rechazo de producto del equipo cernedor.
Durante la maniobra de descenso de la bandeja hacia su posición, el trabajador entró en contacto con la esquina metálica del rotulo, lo que ocasionó un corte superficial en el dedo pulgar de la mano derecha.</t>
  </si>
  <si>
    <t>El día 27/05/2026, aproximadamente a las 09:30 am, el colaborador que se desempeña como ayudantes de máquina se encontraba realizando la actividad de alimentación de cajas al equipo, cuando al momento de cortar el suncho de los paquetes de cajas, una partícula de plástico salta en dirección cercana a su ojo
causándole una molestia.</t>
  </si>
  <si>
    <t xml:space="preserve">El día 27-may aproximadamente 03:30 pm, se reportó un incidente de alto potencial en el área de mantecas ubicada en planta Copsa.  Durante la producción regular por dicha línea se produce una fuga de amoniaco líquido por el vástago de la válvula de ingreso hacia el cristalizador. Al identificar la fuga, se cerró la válvula de ingreso de amoniaco a dicho equipo por parte del líder de mantecas siguiendo el protocolo de emergencia vigente lográndose contener la fuga. </t>
  </si>
  <si>
    <t>Siendo aproximadamente a las 12:30 hrs, la colaboradora que se desempeña como operaria de producción se encontraba terminando su refrigerio. Saliendo del comedor de galletaría, al momento de bajar los últimos escalones de la escalera tropieza, sin embargo logra evitar la caída gracias a sostenerse de la
baranda. El evento es reportado para ser difundido durante el turno con el personal de planta.</t>
  </si>
  <si>
    <t xml:space="preserve">El viernes 29 de mayo, aproximadamente a las 20:50 horas, una aprendiz reportó una herida en el dedo índice de la mano izquierda mientras realizaba la alimentación de galletas hacia la envasadora C9 de línea 3.
</t>
  </si>
  <si>
    <t>Siendo aproximadamente las 03:00 horas, una colaboradora se encontraba haciendo inspeccion en el rayo x de la linea 1, y al momento de trasladarse por la zona se golpea el muslo con una varilla que sobrasele de la faja.</t>
  </si>
  <si>
    <t>En la línea de envasado L1, aproximadamente a las 20:15 horas, un colaborador se encontraba realizando la alimentación de galletas desde la mesa de acomodo hacia los magazines. Al momento de tomar una bandeja de galletas, sufrió una herida superficial en el tercer dedo de la mano derecha, ocasionada por chocar con la estructura de las guías de la mesa de acomodo.</t>
  </si>
  <si>
    <t>En la línea de envasado L1, aproximadamente a las 16:20 hrs, un colaborador se encontraba realizando la alimentación de paquetes primarios hacia la envasadora pack, en un momento los paquetes primarios salen sin sellar y  se procede a retirarlos, es ahí donde se produce una herida superficial en el 5to dedo de mano izquierda</t>
  </si>
  <si>
    <t>Aproximadamente a las 16:20 horas, un operador sufrió un corte superficial en la muñeca izquierda mientras realizaba la actividad de pelado de galletas en la máquina T2B. Durante la disposición de una envoltura plástica en el contenedor de residuos, el trabajador realizó un movimiento de alcance y entró en contacto con un borde filoso ubicado en una canaleta de protección, provocándose la lesión</t>
  </si>
  <si>
    <t> CD1 DETERGENTES LURIN</t>
  </si>
  <si>
    <t>El viernes 26.06.2026, durante el proceso del carguío, la empresa de Transportes ROSYMAR Perú, con la placa CFB-784/ BTN-970, al hacer una maniobra para terminar de estacionar la UT en la rampa N°1, terminó colisionando contra la baranda peatonal.</t>
  </si>
  <si>
    <t>Aproximadamente a las 20:00 hrs del 30/06, durante la limpieza regular
del filtro de SLOP, se produjo el derrame de detergente recuperado por la
tuberia abierta por la limpieza del filtro.Una vez identificada la desviacion se realizo la detención del proceso, se
culminó la limpieza de filtro y se realizó la limpieza del área afectada.
No se registraron daños personales ni materiales.</t>
  </si>
  <si>
    <t>Alas 17:50 horas, en el area de Manufactura Detergentes y como parte de la elaboracion del
slurry, se realizaba la carga de sulfato de sodio desde la tolva de almacenamiento hacia la
balanza automatica. Durante esta operación, se genero una emisión de polvo al ambiente
provocada por el aire encapsulado en el producto durante su transferencia.</t>
  </si>
  <si>
    <t xml:space="preserve"> Cochabamba</t>
  </si>
  <si>
    <t>El 1 de julio de 2026, aproximadamente a las 03:30 horas, en la avenida 2 (punto de descarga de SEBO), el montacarga golpeó con una de las llantas el parachoques de un camión de cisterna de SEBO mientras se dirigía a recoger producto terminado.</t>
  </si>
  <si>
    <t>El jueves 02 de julio, aproximadamente a las 09:25 h, colaborador reportó que mientras se encontraba realizando sus funciones en Rayos X L2, presenta contacto accidental del primer dedo con borde filoso del equipo produciendo herida superficial. El colaborador fue derivado al tópico para atención.</t>
  </si>
  <si>
    <t>El jueves 02 de julio, aproximadamente a las 05:10 hr, el personal tercero de la empresa Servicios Generales Nilson reportó que mientras se encontraba realizando las funciones de encajado en la línea de bloques de margarinas sufre un corte superficial por contacto del cuarto dedo de su mano derecha con el transportador de tablillas de cajas con producto terminado. El personal fue derivado al tópico para atención.</t>
  </si>
  <si>
    <t>Siendo el día 06/07/2026 de a las 09:25 a.m. El colaborador de la planta galletas, las actividades de apilado en la línea 1, refiere que mientras descendía en la plataforma de 2 pasos al pisar el último peldaño, sintió un dolor
en la rodilla derecha, indica que en ese momento el dolor era muy leve, sin embargo al momento de finalizar el turno alrededor de la 1:15 p.m.</t>
  </si>
  <si>
    <t>LURÍN 1</t>
  </si>
  <si>
    <t xml:space="preserve">Siendo aproximadamente las 03:05 p.m., un colaborador del area de Almacen se encontraba realizando el almacenamiento de paletas en el rack del cuarto nivel. Durante la maniobra, la parte superior de las
cajas impacto con la viga del rack, ocasionando la caída de cuatro cajas hacia el tercer nivel, afectando
dos paletas diferentes. El evento fue reportado de inmediato al supervisor de turno, quien dispuso el descenso de las dospaletas involucradas para su verificación. Una vez ubicadas en el piso, se evidenció que algunas cajas
se encontraban rotas y mojadas, afectando el contenido de ambas paletas. </t>
  </si>
  <si>
    <t>El 08 de julio de 2026, aproximadamente a las 13:00 horas, durante la producción del formato WC Plus 500 mL en la línea KTF, se presentó un atoro de tapas en la tolva de alimentación. Durante las acciones para retirar la obstrucción, el colaborador sufrió un raspón superficial en la mano izquierda. Al inspeccionar el equipo, se identificó un alambre interno expuesto en la manguera de alimentación de tapas, el cual ocasionó la lesión por contacto.</t>
  </si>
  <si>
    <t>Siendo las 20:00 horas la Aprendiz de Senati se encontraba realizando la actividad de alimentación de granel de Casino Clara desde la mesa de acomodo hacia los magazines de la envasadora Torre 2B y de pronto sufre un leve raspón a la altura del antebrazo izquierdo.</t>
  </si>
  <si>
    <t>APT MFA</t>
  </si>
  <si>
    <t>Siendo aproximadamente las 11:00 a. m., el conductor se encontraba realizando la apertura de las puertas posteriores de la unidad como parte de la inspección previa al carguío, cuando la puerta posterior izquierda cedió de manera inesperada, quedando suspendida.</t>
  </si>
  <si>
    <t>Cajamarquilla</t>
  </si>
  <si>
    <t>Al abrir el saco, percibió olor a gas, por lo que dio aviso inmediato al área de Mantenimiento para realizar la medición de PH₃ (fosfina). La medición efectuada con el equipo arrojó un valor de 5 ppm, superando el Límite Máximo de Exposición Promedio Ponderado (TWA 8 horas) establecido en 0,3 ppm. Como medida de verificación, se realizó una medición de confirmación directamente en los sacos de maíz ubicados en el camión, obteniéndose resultados similares.</t>
  </si>
  <si>
    <t>La colaboradora refiere que el día 10/07, al finalizar su jornada laboral y salir por la Garita Chávez, sufrió un golpe en el segundo dedo de la mano derecha al accionar el botón de apertura de la puerta metálica.</t>
  </si>
  <si>
    <t>Siendo aproximadamente las 10:50 p. m., una operadora de producción de la Línea 4, perteneciente a la empresa Prolabora, transitaba por las inmediaciones de la envasadora D3 cuando sufrió un resbalón debido a la presencia de acumulación de producto en el piso. Como consecuencia, cayó sobre su brazo izquierdo, ocasionándose un golpe en dicha extremidad.</t>
  </si>
  <si>
    <t xml:space="preserve">	
12/07/2026</t>
  </si>
  <si>
    <t>Aproximadamente a las 16:00 horas, el personal de Producción de Detergentes reportó la caída de una paleta de LES (Lauril Éter Sulfato de Sodio al 70%), ubicada en la zona de recepción del almacén de Detergentes. La carga estaba conformada por cinco cilindros de 170 kg cada uno y se encontraba apilada sobre otra paleta de las mismas características. Tras el incidente, el personal de planta procedió a asegurar el área mediante el uso del kit antiderrames y comunicó oportunamente lo ocurrido a las áreas involucradas.</t>
  </si>
  <si>
    <t xml:space="preserve">Jaboneria </t>
  </si>
  <si>
    <t>El día Lunes 13.07.2026 a las 00:33 horas, se reportó un aniego de agua originado por el desborde de la poza de efluentes de la Planta de Frascos, lo que ocasionó el ingreso de agua al primer piso de la Planta de Jabonería</t>
  </si>
  <si>
    <t>Salsas 4 – COPSA</t>
  </si>
  <si>
    <t>El día Lunes 13.07.2026 a las 10:50 am, se reportó un aniego de agua originado por la fuga de agua en un lavadero del 1er Piso de la Planta Salsas 4.</t>
  </si>
  <si>
    <t>Siendo aproximadamente las 3:00 p. m., en el área de Galletería, segundo nivel, Línea 1, durante el reemplazo de tareas, una colaboradora de SENATI, al parase de la silla de trabajo, impactó su cabeza contra el panel de control del equipo Multipack (Equipo fuera de uso).</t>
  </si>
  <si>
    <t>Aproximadamente a las 7:40 am, el operador de envasado estaba realizando una inspección de mordaza, y al momento de levantarse no se percata de la pantalla de la envasadora golpeándose la cabeza con la parte trasera de la estructura.</t>
  </si>
  <si>
    <t>Siendo aproximadamente las 01:10 horas, una colaboradora se encontraba alimentando galletas en la línea 1, al momento de sentarse apoya su pie izquierdo en una bandeja que sirve para recolectar galletas no conformes, esta bandeja con la presion del pie se gira y provoca un golpe en la rodilla</t>
  </si>
  <si>
    <t>La colaboradora Linares Mejia Yamali (Operaria de producción) al momento de mover las gavetas con soda V para ingresar a la linea de empaques las galletas envasadas, tropieza con otra pila de gavetas (el área estaba con varias de estas y con poco espacio de movilidad), golpeandoce en la tibia de la pierna derecha con la generando una hinchazón en la parte afectada. Seguidamente, se acercó al coordinador de turno para realizar el reporte y solicitar su atención correspondiente.</t>
  </si>
  <si>
    <t xml:space="preserve">La colaboradora de SENATI - Galletería, Paola Andrea Felipe Paucar al reincorporarse a su puesto de trabajo, descendía por las escaleras de la Línea 1 cuando, al pisar los dos últimos peldaños, sufrió un resbalón, perdiendo el equilibrio y cayendo, lo que le ocasionó golpes en la pantorrilla derecha y en la región lumbar (espalda baja).
</t>
  </si>
  <si>
    <t>Aproximadamente a las 18:30 horas, durante la operación de la línea Foodservice, dos operadores reportaron enrojecimiento y leves raspones en los nudillos de las manos. Esto ocurrió luego de realizar el acomodo manual de sacos, los cuales presentaban mayor volumen de lo habitual, requiriendo un esfuerzo adicional para su correcta disposición.</t>
  </si>
  <si>
    <t>Siendo las 09:20 horas el Operario de producción se encontraba realizando la actividad de colocación de estación de bolsas para reproceso en la envasadora C9 y al intentar colocar dicha estación se percata que esta no ingresaba con facilidad y decide ejercer presión con ambas manos y sufre una leve excoriación en el segundo nudillo de la mano derecha.</t>
  </si>
  <si>
    <t>LURÍN 3</t>
  </si>
  <si>
    <t xml:space="preserve">	
18/07/2026</t>
  </si>
  <si>
    <t>Siendo las 14:00 horas, un operador de la empresa Thel, quien realizaba trabajos con un manlift en la zona de despacho de HLAS efectuó una maniobra incorrecta, impactando con la línea de vida y provocando la activación del absorbedor de impacto, lo que dejó el sistema fuera de servicio.</t>
  </si>
  <si>
    <t xml:space="preserve">	
Predio Callao</t>
  </si>
  <si>
    <t xml:space="preserve">	
21/07/2026</t>
  </si>
  <si>
    <t>El martes 21 de julio, aproximadamente a las 14:30 horas, una operadora tercera reportó un golpe en la región palmar de la mano izquierda mientras realizaba el movimiento de 3 bandejas vacías de galletas.</t>
  </si>
  <si>
    <t xml:space="preserve">	
CD Huachipa</t>
  </si>
  <si>
    <t>Aproximadamente a las 5:30 p. m., un operador que conducía un Equipo de Transporte Vertical (ETV) se disponía a salir del almacén con dirección a la sala de baterías. Durante el desplazamiento, la parte superior del equipo impactó contra la parte inferior de la puerta elevadiza, ocasionando el hundimiento de la estructura e impidiendo posteriormente su cierre.</t>
  </si>
  <si>
    <t>APT MCA</t>
  </si>
  <si>
    <t>Aproximadamente a las 17:40 horas, OME del Apt. se encontraba reubicando PNC de la zona de producción con el fin de liberar espacio para la circulación de una escalera y otros materiales a pedido del contratista de planta, En la maniobra impacta con la carga, al manómetro del manifold del SCI; como consecuencia se produce una fuga de agua presurizada del sistema, generando un charco de agua en la zona. El OME informa al JT quien cierra la válvula del manifold para contener la citada fuga, se comunica al equipo de seguridad de planta  y se dispone la recolección y limpieza del agua en la zona.</t>
  </si>
  <si>
    <t>En coordinación entre el equipo de CD Huachipa y el proveedor NSF, se programó la actividad de desinsectación del predio de CD Huachipa, la cual estaba prevista para ejecutarse el sábado 18/07/26.</t>
  </si>
  <si>
    <t>El 20 de julio aproximadamente a las 11:10 PM, un colaborador se encontraba realizando labores de traslado de paletas hacia la zona de abastecimiento del APT Galletera con su equipo asignado ETV. Al efectuar la maniobra de retroceso con el equipo, no se percató que la puerta automática estaba descendiendo, ocasionando que la parte superior del mástil impactara con la puerta.</t>
  </si>
  <si>
    <t xml:space="preserve">El 20 de julio, aproximadamente a las 12:45 PM, un colaborador se encontraba en el patio de maniobras del APT Fideería cuando, al acercarse a la zona de montacargas, percibió olor a gas. El colaborador logró identificar que la fuga provenía de uno de los balones de GLP de uno de los equipos estacionados y procedió a comunicar el evento al analista de turno. </t>
  </si>
  <si>
    <t>El viernes 31 de julio, aproximadamente a las 13:35 horas, un operador reportó una herida superficial en el dedo pulgar de la mano izquierda mientras realizaba el cambio de teflón del formador de la máquina D1 sobre su mesa de trabajo. Durante la maniobra, el dedo del colaborador hizo contacto con un borde filoso del componente.</t>
  </si>
  <si>
    <t>Siendo las 04:50 horas del 31/07, una operaria de Producción de Galletas se dispuso a ingresar a la planta y encontró la puerta de la aduana cerrada, con un cartel de señalización que indicaba “Prohibido pasar”. Sin embargo, la colaboradora hizo caso omiso a la restricción e ingresó a la planta con la finalidad de registrar su asistencia y ubicar al ingeniero de turno.</t>
  </si>
  <si>
    <t>N° de ROM</t>
  </si>
  <si>
    <t>SOCIEDAD2</t>
  </si>
  <si>
    <t>VP</t>
  </si>
  <si>
    <t>DIRECCIÓN</t>
  </si>
  <si>
    <t>CATEGORÍA</t>
  </si>
  <si>
    <t>PLANTA DE OCURRENCIA</t>
  </si>
  <si>
    <t>PLANTA SIGMA</t>
  </si>
  <si>
    <t>FECHA</t>
  </si>
  <si>
    <t>HORA DE OCURRENCIA</t>
  </si>
  <si>
    <t>TURNO</t>
  </si>
  <si>
    <t>DIA DE SEMANA</t>
  </si>
  <si>
    <t>APELLIDOS DEL ACCIENTADO</t>
  </si>
  <si>
    <t>NOMBRE DEL ACCIDENTADO</t>
  </si>
  <si>
    <t>DNI</t>
  </si>
  <si>
    <t>EDAD DEL ACCIDENTADO</t>
  </si>
  <si>
    <t>TIEMPO EN LA EMPRESA (meses)</t>
  </si>
  <si>
    <t>TIEMPO EN LA EMPRESA (años)</t>
  </si>
  <si>
    <t>CANTIDAD DE HORAS TRABAJADAS EN EL TURNO</t>
  </si>
  <si>
    <t>ÁREA DEL ACCIDENTADO</t>
  </si>
  <si>
    <t>Tipo de Trabajador</t>
  </si>
  <si>
    <t>DESCRIPCIÓN</t>
  </si>
  <si>
    <t>LESIÓN</t>
  </si>
  <si>
    <t>DÍAS REGISTRABLES</t>
  </si>
  <si>
    <t>FUENTE DE PELIGRO</t>
  </si>
  <si>
    <t>CAUSA BASICA (SEGÚN SCAT)</t>
  </si>
  <si>
    <t xml:space="preserve">CAUSA PRINCIPAL </t>
  </si>
  <si>
    <t>CAUSA INMEDIATA</t>
  </si>
  <si>
    <t>TRIMESTRE</t>
  </si>
  <si>
    <t>DIAS SEGUROS</t>
  </si>
  <si>
    <t>Turno</t>
  </si>
  <si>
    <t>T1</t>
  </si>
  <si>
    <t>T2</t>
  </si>
  <si>
    <t>¿La Investigación está  cerrada?</t>
  </si>
  <si>
    <t>¿Tiene
 ROM?</t>
  </si>
  <si>
    <t>¿Se difundieron
 las lecciones aprendidas?</t>
  </si>
  <si>
    <t>¿Se realizó
 el Hard Stop?</t>
  </si>
  <si>
    <t>¿Se difundió en el espacio diario?</t>
  </si>
  <si>
    <t>ALICORP_SAA</t>
  </si>
  <si>
    <t>SUPPLY CHAIN</t>
  </si>
  <si>
    <t>MANUFACTURA</t>
  </si>
  <si>
    <t>FARINACEOS</t>
  </si>
  <si>
    <t xml:space="preserve">FIDERÍA </t>
  </si>
  <si>
    <t>DÍA</t>
  </si>
  <si>
    <t>DHYNESAL  S.R.L</t>
  </si>
  <si>
    <t>Contratista</t>
  </si>
  <si>
    <t xml:space="preserve">El contratista de la empresa DHYNESAL se encontraba en el cuarto piso del sistema de molienda Bühler 1 planta de Fideeria Lima a la espera que técnico mecánico termine la actividad de desatoro de la tolva M621 de la L26. En ese momento la colaboradora al intentar verificar la caída de producto introduciendo su mano a un espacio confinado señalizado y sufriendo  un corte severo con la válvula de rotativa de corte (esclusa) en el tercer dedo de la mano izquierda con lesión de uña. </t>
  </si>
  <si>
    <t>Amputación</t>
  </si>
  <si>
    <t>Máquina en movimiento</t>
  </si>
  <si>
    <t>Mal juicio / Exceso de confianza</t>
  </si>
  <si>
    <t>ACTO INSEGURO</t>
  </si>
  <si>
    <t>INTRADEVCO_INDUSTRIAL_SA</t>
  </si>
  <si>
    <t>LOGÍSTICA</t>
  </si>
  <si>
    <t>PREDIOS INDUSTRIALES</t>
  </si>
  <si>
    <t>CD1-2</t>
  </si>
  <si>
    <t>DISTRIBUCIÓN INTRADEVCO</t>
  </si>
  <si>
    <t>RANSA COMERCIAL SA</t>
  </si>
  <si>
    <t>Durante la acción de retroceso, el trabajador se dirige a una zona cercana a las líneas peatonales del patio para dejar el equipo y alcanzar al líder para preguntarle sobre sus tareas programadas para la tarde. Es en estas circunstancias, que cuando el trabajador se aproxima con el equipo al área de descarga para estacionarse, decide bajar ligeramente su pie sin detener el equipo, impactando luego contra la barrera metálica de la manguera de aire de los silos, lo que genera que su pie derecho quede atrapado entre la plataforma del equipo y la barrera metálica.</t>
  </si>
  <si>
    <t>Herida en tobillo</t>
  </si>
  <si>
    <t xml:space="preserve">Equipo logístico </t>
  </si>
  <si>
    <t>Uso inadecuado de herramienta/equipo</t>
  </si>
  <si>
    <t>ALTELIZA SAC</t>
  </si>
  <si>
    <t>Tercero - Limpieza</t>
  </si>
  <si>
    <t>La operaria se encontraba realizando la actividad de secado de piso haciendo uso de una escoba y trapo. Al ejercer el movimiento, el palo de la escoba se quiebra en 02 partes y una de las puntas se incrusta en su dedo pulgar, involucrando la uña del mismo. Se notifica de inmediato al personal de ITDC en zona de monitores CD2 quien la acompaña hacia el tópico para su atención y también comunica al personal de seguridad industrial y analista Alicorp. El personal fue derivado a la clínica activando su SCTR. La investigación continúa en curso.</t>
  </si>
  <si>
    <t xml:space="preserve">Herida   </t>
  </si>
  <si>
    <t>Herramienta</t>
  </si>
  <si>
    <t>OTRAS DIRECCIONES</t>
  </si>
  <si>
    <t>SSOMA</t>
  </si>
  <si>
    <t>TARDE</t>
  </si>
  <si>
    <t>ALICORP S.A.A</t>
  </si>
  <si>
    <t>PROPIO</t>
  </si>
  <si>
    <t>Trabajador refiere el dia de hoy a las 15:40 que iba caminando con 1 extintor y al estar caminando en el piso habia un hueco y el pies se le quedo atrapado y se cae golpeandose la rodilla derecha causando dolor de moderada intensidad y le leve  aceracion ,motivo por el cual acude para atencion medica</t>
  </si>
  <si>
    <t>Esguince/Torcedura</t>
  </si>
  <si>
    <t>Equipo extintor</t>
  </si>
  <si>
    <t>Transito por zona no autorizada</t>
  </si>
  <si>
    <t>GALLETERÍA E INSTANTANEOS</t>
  </si>
  <si>
    <t>Paciente masculino de 50 años de edad quien refiere el dia de hoy a las 22:20 estar entrando al
vestuario de galletera y el piso estaba mojado y se rebalo perdiendo el equilibrio cayo
colocando la mano derecha como soporte ,lesionandose la mano ,refiere dolor de
moderada intensidad al realizar flexion y extension se evidencia signos de inflamacion,
motivo por el cual se recibe llamada del ing isaac perez para atencion medica .antecedentes de
importancia :dm2</t>
  </si>
  <si>
    <t>Piso resbaloso</t>
  </si>
  <si>
    <t>CONDICIÓN INSEGURA</t>
  </si>
  <si>
    <t>HOME Y PERSONAL CARE</t>
  </si>
  <si>
    <t>CHORRILLOS</t>
  </si>
  <si>
    <t>El sr. Mascco culminó la limpieza y lavado del tanque correspondiente y decide bajar de la plataforma para poder cerrar la manguera de agua, sin embargo, se encontraba otra manguera en el segundo peldaño de la escalera de la plataforma, la cual no estaba siendo usada y no cumplía con ninguna función. Al descender, por esquivar la manguera, el colaborador no pisa bien el primer peldaño y resbala hacia atrás, golpeándose la parte posterior de la cabeza con el vértice de la plataforma.</t>
  </si>
  <si>
    <t>Contusión/Trauma</t>
  </si>
  <si>
    <t>Escalera de acceso</t>
  </si>
  <si>
    <t>Acceso inadecuado</t>
  </si>
  <si>
    <t>OLEOS</t>
  </si>
  <si>
    <t>REFINERÍA</t>
  </si>
  <si>
    <t>SSAYS SAC</t>
  </si>
  <si>
    <t>El colaborador de la empresa tercera que brinda el servicio de limpieza en planta refinería se encontraba utilizando guantes de protección de jebe y se dispone a realizar una limpieza de estos en un cilindro con agua y detergente, en donde poco después empieza a sentir que el agua ingresa dentro del guante por la parte superior y le provoca una irritación en el brazo derecho. Ante esto aún después de 2 horas comunica a su empresa quienes coordinan una atención en clínica y donde le diagnostican una quemadura en dicha zona.</t>
  </si>
  <si>
    <t>Dermatitis/Irritación de la piel</t>
  </si>
  <si>
    <t>Contacto con producto químico</t>
  </si>
  <si>
    <t xml:space="preserve">Restringir ingreso a zona de trabajo </t>
  </si>
  <si>
    <t>LURIN 2</t>
  </si>
  <si>
    <t>OUTSOURCING</t>
  </si>
  <si>
    <t>Service</t>
  </si>
  <si>
    <t>La colaboradora Cauper Tello Leny procedía a recoger una etiqueta, por lo cual tránsito de forma rápida, lo que acasionó que  se tropezará en la base de una paleta de ruma de cajas, por lo que la colaboradora perdió el equilibrio ocasionando que caiga poniendo todo su peso en su brazo derecho.</t>
  </si>
  <si>
    <t xml:space="preserve">Paleta </t>
  </si>
  <si>
    <t>LURÍN 4</t>
  </si>
  <si>
    <t>Consulting Advisers</t>
  </si>
  <si>
    <t>Colaboradora se encontraba verificando y pasando las cajas para que su compañero realice la actividad de apilado en la línea 3. Debido a la variación una de las cajas choca con la codificadora generando que ésta se mueva y al intentar detenerla golpea con su mano derecha. Refiere que su reacción inmediata fue detener el equipo sin medir las consecuencias</t>
  </si>
  <si>
    <t>Máquina codificadora</t>
  </si>
  <si>
    <t>SERVICIOS GENERALES 
NILSON</t>
  </si>
  <si>
    <t>El colaborador de la empresa tercera que brinda el servicio de encajado manual en planta Salsas 1 se encontraba separando cajas de faja transportadora cuando de repente la manga larga del polo de mano izquierda se engancha en el traslape del transportador de banda y el transportador de polines provocando el atrapamiento de mano. En ese instante, se detuvo la línea para atender a la colaboradora derivándola al tópico para su revisión.</t>
  </si>
  <si>
    <t>Transportador en movimiento</t>
  </si>
  <si>
    <t xml:space="preserve">Máquina en movimiento </t>
  </si>
  <si>
    <t>CONSUMO MASIVO</t>
  </si>
  <si>
    <t>CD HUACHIPA</t>
  </si>
  <si>
    <t>Durante la búsqueda de documentos en el archivador, el colaborador Sergio Velazco intentó retirar una caja con documentos de un anaquel, se sujeta del borde de éste con su mano izquierda para tomar impulso y con la otra mano jalar la caja, en ese momento realizó fuerza para el impulso generando el corte en los dedos.</t>
  </si>
  <si>
    <t>Corte/Herida</t>
  </si>
  <si>
    <t>Borde filoso</t>
  </si>
  <si>
    <t>Almacenamiento incorecto</t>
  </si>
  <si>
    <t>ADMINISTRACIÓN</t>
  </si>
  <si>
    <t>RELACIONES LABORALES</t>
  </si>
  <si>
    <t>Charlotte</t>
  </si>
  <si>
    <t>El accidente ocurrió aproximadamente a las 16:10 p.m., cuando la colaboradora del concesionario, transitaba por el área de lavado de vajillas. Durante su recorrido, resbaló y cayó, impactando su codo derecho, espalda y cabeza. Fue trasladada de inmediato al tópico para recibir atención médica inicial y, tras la evaluación, derivada a la Clínica Providencia acompañada por la supervisora de calidad de su empleador. En la clínica, se activó su SCTR y el médico tratante le otorgó descanso médico por tres días.</t>
  </si>
  <si>
    <t xml:space="preserve">Contusión </t>
  </si>
  <si>
    <t>Falta de drenaje</t>
  </si>
  <si>
    <t>MOLINOS</t>
  </si>
  <si>
    <t>MOLINO CALLAO</t>
  </si>
  <si>
    <t>MCA</t>
  </si>
  <si>
    <t>Durante el turno mañana, aproximadamente a las 08:00am, el operador luego de guardar su casco en los colgadores del área, al momento de bajar su mano, golpea su codo con la oreja de la puerta del área, la cual sirve para colocar un candado. El operador minimiza el evento al no sentir dolor y aproximadamente a las 09:00am, se percata que su codo estaba hinchado, de inmediato procede a reportar al monitor de turno, activándose los protocolos correspondientes, luego es trasladado a la clínica San Gabriel.</t>
  </si>
  <si>
    <t>Acopio</t>
  </si>
  <si>
    <t>Transvida</t>
  </si>
  <si>
    <t>Trabajador contratista se encontraba trasladando una jaula móvil de recepción de residuos sobre una pendiente empujándolo en posición de espalda, en cierto momento intenta detener la jaula y esta cede, por lo que, la base de esta golpea el tobillo de su pie izquierdo ocasionándole una herida en dicha zona.</t>
  </si>
  <si>
    <t>Herida múltiple</t>
  </si>
  <si>
    <t>Jaula metálica</t>
  </si>
  <si>
    <t>El viernes 28/02 aproximadamente a la 1:50 pm, se generó la explosión de un envase de Aerosol, lo que generó el desprendimiento del fondo del envase, que termina impactando en el rostro de la colaboradora.
En el tópico, se brindaron los primeros auxilios y se trasladó a la Clínica San Pablo para recibir atención médica.</t>
  </si>
  <si>
    <t>Domo de envase</t>
  </si>
  <si>
    <t>Falta de mantenimiento o desgaste</t>
  </si>
  <si>
    <t>El 28 de febrero, aproximadamente a las 16:10 horas, el operador 1 de Molino, Eduardo Ciudad, sufrió un golpe en la pantorrilla de la pierna derecha ocasionado por la caída de la tapa superior del banco de cilindros C2 mientras realizaba la actividad de regulación del equipo en el banco de cilindros C3. 
El colaborador notificó de inmediato lo sucedido, activando el protocolo correspondiente. Posteriormente, fue trasladado a la clínica San Gabriel para su atención donde le otorgan descanso médico hasta el 02/03.</t>
  </si>
  <si>
    <t>Tapa de banco de cilindro</t>
  </si>
  <si>
    <t>Aprox. a las 10:15 am, el colaborador Bruno Portilla (Prolabora) se encontraba en el área de Sanitarios, en la Línea Z8 realizando la limpieza del área y de la máquina luego de finalizar con el envasado de producto desatorador de cocina.
En el transcurso de la actividad, el colaborador realizó el trasvase de un balde lleno de residuos de lavado (agua + producto), hacia otro recipiente. Al verter el líquido, este se escurre entre el espacio de separación de la manga de PVC y el guante de nitrilo. El colaborador reportó el hecho luego de 5 minutos, momento en que empezó a sentir ardor en la mano derecha. El colaborador comunica lo sucedido al maquinista, y este le indica que se realice el lavado de la parte afectada con agua. Luego, el colaborador acude al tópico, donde lo atendieron y posteriormente es evacuado a la Clínica San Pablo. **La formulación del producto incluye soda caustica y solución amoniacal.</t>
  </si>
  <si>
    <t>Quemadura</t>
  </si>
  <si>
    <t>ALICORP_BOLIVIA</t>
  </si>
  <si>
    <t>CD SUCRE</t>
  </si>
  <si>
    <t>CD/APT Bolivia</t>
  </si>
  <si>
    <t>Tertiary Services Bolivia S.R.L.</t>
  </si>
  <si>
    <t>En fecha 13 de marzo, a horas 10:11 am, durante la operación de descarguío de producto terminado en el almacén B, el personal de estibaje Omar Cardozo y Erick Pinto (Personal tercero eventual), se encontraban descargando cajas de aceite de un camión sencillo proveniente de Cochabamba. Ambos estibadores se encontraban realizando el apilado de un pallet de aceite, el trabajador Omar Cardozo en el intento de terminar de completar las últimas cajas de aceite en el pallet desde la plataforma del camión, apoya su pie sobre la pisadera del camión (1.30 mts altura), resbalando y cayendo a nivel del suelo apoyando el brazo izquierdo, ocasionando una fractura del radio.</t>
  </si>
  <si>
    <t>Fractura</t>
  </si>
  <si>
    <t>Camión</t>
  </si>
  <si>
    <t>La colaboradora Celia Carrasco Flores (Consulting) realizaba la actividad de recepción de bolsas de producto de la envasadora de pulidor, en un momento aprecia que uno de los envases se encontraba en una posición incorrecta, por lo que decide acomodarlo introduciendo su mano izquierda por la parte superior de la mordaza, en ese momento el equipo se acciona generándole un aplastamiento en la mano.</t>
  </si>
  <si>
    <t>LURIN 1</t>
  </si>
  <si>
    <t>Durante el proceso de recirculación de salmuera, se produjo la liberación de gas cloro a través de la tubería de venteo del lavador de gases que se encontraba apagado. Producto de esto, se activaron los detectores de gases de las instalaciones e inició la evacuación de las personas del predio. Se reportaron 3 personas de otras áreas afectadas por exposición.</t>
  </si>
  <si>
    <t>Proceso</t>
  </si>
  <si>
    <t>GLOBAL PLANTA</t>
  </si>
  <si>
    <t>Masterbread</t>
  </si>
  <si>
    <t>El trabajador afectado se encontraba realizando labores de limpieza en la línea de producción de harina de arroz. Como parte de la actividad de limpieza, el trabajador procede al desmontaje de la tubería de la salida de la esclusa de transporte neumático con el equipo apagado, según las indicaciones de su operador líder.  Una vez finalizado el desmontaje, el trabajador introduce aire comprimido en la esclusa apagada, momento en el cual el operador líder procede a encender el equipo sin verificar previamente que el trabajador haya culminado con la actividad de limpieza, originando una lesión en la mano al activarse la esclusa.  El trabajador comunica lo sucedido de inmediato y es llevado al tópico donde se le brinda los primeros auxilios y posteriormente es trasladado al centro de salud para su atención inmediata.</t>
  </si>
  <si>
    <t>Esclusa</t>
  </si>
  <si>
    <t>LURÍN 5</t>
  </si>
  <si>
    <t>La colaboradora Skandra Cardenas (Consulting) se encontraba realizando la actividad de desarmado de cajas en el área de etiquetado (línea N°2). Durante la actividad, observó que habían cajas que estaban en un extremo de la paleta, por lo que decide subirse a ella para alcanzarlas, en ese momento su pie derecho ingresa por el orificio de la paleta, generándole una contusión en el tobillo.</t>
  </si>
  <si>
    <t>04/04/2025, Aprox. a las 14:15 horas, el colaborador se encontraba en el área de Sanitarios, en la Volpack 260 realizando la regulación de las cuchillas del equipo de corte de envases.
Durante la regulación de las tijeras de la máquina, el trabajador rozó accidentalmente la cuchilla de la máquina con su dedo índice de la mano derecha, sufriendo un corte superficial con levantamiento de piel. (El colaborador no estaba usando guantes de seguridad).
El trabajador fue derivado al tópico, y posteriormente fue derivado a la clínica San Pablo para su atención.</t>
  </si>
  <si>
    <t>ADMINISTRACION</t>
  </si>
  <si>
    <t>Durante las labores de un colaborador de Alteliza, el trabajador accidentado se encontraba limpiando la puerta de ingreso del vestuario del área de ofertado. Durante la actividad, el trabajador tenia colocada la mano izquierda en el marco de la puerta, en ese momento otro trabajador (que se encontraba dentro del vestuario) cierra la puerta golpeando su mano izquierda entre la puerta y el marco.
El colaborador dio aviso de lo ocurrido horas después del evento y fue atendido en el tópico, catalogándose como accidente no incapacitante.
El trabajador fue derivado a una clínica al día siguiente, por decisión de su empresa.</t>
  </si>
  <si>
    <t xml:space="preserve">Golpe con puerta </t>
  </si>
  <si>
    <t>Siendo las 08:05 am aprox. del 09/04, en el área de envasado de Sanitarios, se produjo la falla (desacople del racor y campana) de una manguera de conexión, ocasionando la salpicadura del producto que se estaba transportando en ese momento (desatorador de cocina), ello ocasionó la afectación a 7 colaboradores.
Los trabajadores fueron atendidos en el tópico, de los cuales 6 presentaron lesiones leves, 1 colaborador fue evacuado a la clínica San Pablo para recibir atención especializada. Inmediatamente se detuvieron las operaciones del área. 
Un trabajador sufrió una lesión en el 5to dedo del pie durante las operaciones de limpieza, debido a que su calzado de seguridad se encontraba en mal estado. No reportó el hecho hasta el siguiente día.</t>
  </si>
  <si>
    <t>Selección incorrecta</t>
  </si>
  <si>
    <t>Alrededor de las 19:45 horas, el colaborador de la empresa Consulting, se disponía a abastecer materia prima hacia el dosificador de la línea Sika 2 en la planta de soplado. Para ello levanta un saco de 25 Kg para llenar el cilindro dosificador, lo coloca sobre el borde del cilindro de forma vertical e intenta levantarlo con ambas manos para vaciar el contenido, en ese instante el saco resbala y cae, el colaborador intenta sostenerlo con la mano izquierda pero su mano es golpeada por el saco y el borde del cilindro ocasionando que su muñeca se doble.</t>
  </si>
  <si>
    <t>Carga manual</t>
  </si>
  <si>
    <t>El 06/05 aproximadamente a las 05:45 am, el Técnico de Laboratorio se encontraba en el 8vo piso del laboratorio de reología preparando sus materiales para el análisis de acidez en harinas. Durante esta tarea, el trabajador intentó colocar la bombilla (pre-pipeta) en la pipeta de 1mL para extraer la fenolftaleína (indicador de color). Al momento de colocarlo ejerce una fuerza de tal manera que quiebra la pipeta a la mitad y por inercia, la parte superior rota de la pipeta sigue su curso y corta el dedo medio de la mano derecha del colaborador. El trabajador fue trasladado a la Clínica San Gabriel donde fue atendido y se le diagnosticó herida de dedo en la mano derecha, no otorgándole descanso médico. Al día siguiente el trabajador se dirige a su seguro donde lo atienden y le otorgan 3 días de descanso médico en total.</t>
  </si>
  <si>
    <t>INGENIERÍA</t>
  </si>
  <si>
    <t>PANETONES</t>
  </si>
  <si>
    <t>SC INGENIERIA Y CONSTRUCCION SAC</t>
  </si>
  <si>
    <t>En fecha 07 de mayo aproximadamente a las 11:40 a.m., un trabajador de la empresa contratista SC Ingeniería y Construcción, con el puesto de operario, sufrió un accidente mientras realizaba el alineamiento de la estructura aérea de los soportes de enfriamiento de panetones, utilizando un manlift en el área de envasado.
Durante la actividad de limpieza mecánica, restos de polvo metálico quedaron en su careta de protección; al levantarse la careta facial, una esquirla metálica le cae en el ojo izquierdo. El trabajador fue trasladado inmediatamente al tópico para atención inicial y, posteriormente, derivado a la clínica Internacional, donde se le diagnosticó la presencia de un cuerpo extraño en el ojo.</t>
  </si>
  <si>
    <t xml:space="preserve">Cuerpo extraño en vista </t>
  </si>
  <si>
    <t>Partículas metálicas</t>
  </si>
  <si>
    <t>PLANEAMIENTO</t>
  </si>
  <si>
    <t>INSUMOS</t>
  </si>
  <si>
    <t>AGROINDUSTRIA SAN ANTONIO  S.R.L</t>
  </si>
  <si>
    <t>09:37am Se realiza el 1er pesaje y se percata que el motor no arrancaba.​
09:44am El conductor decide levantar la cabina, posarse debajo e intervenir.​
09:53am El Balancero observa que la unidad sigue estacionada, sale de la oficina, detecta el acto subestándar y decide abordar al conductor indicando que no debe realizar ninguna intervención.​
09:58am El Balancero vuelve a salir de la oficina  y nuevamente detecta que el conductor está manipulando el purgador de combustible, lo aborda nuevamente indicando que no debe intervenir. En ese instante se percata que la mano derecha del conductor tenía una lesión por quemadura. ​
10:10am El equipo de Vigilancia llega a la zona de la incidencia y deciden llamar a la Ambulancia + SSOMA.​
10:34am El conductor fue trasladado inmediatamente al tópico para atención inicial y, posteriormente, derivado a la clínica San Gabriel, donde se le diagnosticó quemaduras en muñeca y mano derecha de 1er y 2do grado. (DM 03 días)</t>
  </si>
  <si>
    <t xml:space="preserve">Hacer caso omiso </t>
  </si>
  <si>
    <t>GLOBAL</t>
  </si>
  <si>
    <t xml:space="preserve">El operador de envasado estaba realizando la limpieza del eje portabobina en la envasadora 14 y al momento de desactivar el freno neumático el eje del portabobina no salía con facilidad de su posición, por lo cual activa y desactiva nuevamente el freno. El operador intenta retirar el freno manualmente y en ese momento  el eje sale de su posición cayendo e impactando sobre el empeine del pie izquierdo del operador. </t>
  </si>
  <si>
    <t>Contusión</t>
  </si>
  <si>
    <t xml:space="preserve">Eje portabobina </t>
  </si>
  <si>
    <t>Aproximadamente a las 10:45 am un operario del área de envasado se encontraba laborando en la maquina Intrapack #18. Detiene el equipo para hacer regulaciones del mismo, antes de reiniciar operaciones se percata de que una bolsita iba a ingresar de forma incorrecta a la mordaza de sellado, en ese momento introduce la mano izquierda para guiar la bolsa de forma correcta y con la mano derecha activa la secuencia de arranque. No retira la mano izquierda, la cual es jalada por la bolsa y atrapada por la mordaza de sellado. 
El trabajador fue trasladado al tópico para ser atendido, y posteriormente evacuado a la clínica San Pablo para recibir atención especializada.</t>
  </si>
  <si>
    <t>El operador de Order Picker se encontraba realizando una tarea de picking, decide manipular un pallet sin protección de manos y  en ese instante su dedo entra en contacto con un clavo que sobresalía del pallet, generando una  lesión punzocortante en el el dedo medio de la mano derecha.
Se le brindó primeros auxilios en el CD en coordinación con la central de emergencias.</t>
  </si>
  <si>
    <t xml:space="preserve">Pallet en mal estado </t>
  </si>
  <si>
    <t>Durante el 1er turno se  reportan problemas de flujo con la línea de producción. A la 1:00 p.m.  el equipo de mantenimiento  interviene la línea a fin de identificar el problema .
A las 3:10 p.m. el mecánico de turno retira el clamp de la tubería provocando la liberación presurizada de producto caliente (Smoky Heat), el cual alcanzó a cinco colaboradores: Tres técnicos de mantenimiento y dos operarios de producción (empresa Prolabora).
Se derivo al centro médico a 02 colaboradores (1 Tec. Mantto y 01 OP)</t>
  </si>
  <si>
    <t>Tubería presurizada</t>
  </si>
  <si>
    <t>Energía acumulada</t>
  </si>
  <si>
    <t>PROLABORA</t>
  </si>
  <si>
    <t>EDIFICIO MIRAFLORES</t>
  </si>
  <si>
    <t>En circunstancias que colaboradora se encontraba en la sala de juegos del Piso 10, al levantarse del mueble y bajar el primer peldaño, sufre una caída, generando una torcedura en el tobillo del pie derecho.</t>
  </si>
  <si>
    <t>Escalera (zona de juegos)</t>
  </si>
  <si>
    <t>MOLINO AREQUIPA</t>
  </si>
  <si>
    <t>AREQUIPA</t>
  </si>
  <si>
    <t>El lunes 19 de mayo de 2025, el trabajador manifestó que se encontraba realizando labores de limpieza en la zona ubicada debajo del carrusel, sin portar casco de seguridad. Durante dicha actividad, al levantar la cabeza, se golpeó con una superficie metálica, lo que le ocasionó una lesión en la cabeza.
Ante el accidente, el trabajador informó de inmediato a su coordinador, quien activó el protocolo correspondiente, contactando a la central de emergencias. Posteriormente, el trabajador fue trasladado al centro médico para su atención.</t>
  </si>
  <si>
    <t>Carrusel de envasado</t>
  </si>
  <si>
    <t>ALICORP SOLUCIONES</t>
  </si>
  <si>
    <t>Aproximadamente a las 14:50h, el operario de Alteliza,  estaba realizando la limpieza de las paletas usando los EPP respectivos, en un instante decide  deslizar la paleta que se encontraba en la parte superior(5ta posición), esta cae en el piso y le rebota en el pie izquierdo.
Se llamo a la ambulancia donde fue evaluado por el personal médico de cardio móvil, posteriormente fue dirigido a la clínica San Gabriel acompañado por el Supervisor de SSOMA de Alteliza  y JT de turno.</t>
  </si>
  <si>
    <t>Alrededor de la 1:00 pm, la colaboradora retornaba a su puesto de trabajo luego del refrigerio e inició la colocación de sus EPPs. Al notar que requería renovar sus guantes, se acercó al escritorio de la supervisora del área y durante su retorno por la escalera de la línea de envasado, perdió el equilibrio y cayó desde el cuarto escalón.
De acuerdo con su declaración, la colaboradora se desplazaba sin sujetarse del pasamanos y llevaba el mandil no sujeto.</t>
  </si>
  <si>
    <t>NOCHE</t>
  </si>
  <si>
    <t xml:space="preserve"> Siendo las 5:00 a.m. el operador 1 de molino procede a realizar limpieza de área en el primer piso de Molino, el trabajador percibe el olor del gas fosfamina proveniente de una ruma fumigada.​
Procede avisar al monitor de producción quien activa el protocolo de emergencia. La ambulancia Cardiomóvil se acerca al lugar para su evaluación y luego de ello se decide llevarlo a la clínica San Gabriel, donde queda internado para el monitoreo respectivo.​
Actualmente el colaborador continúa internado.</t>
  </si>
  <si>
    <t>Fuga fosfina</t>
  </si>
  <si>
    <t>El trabajador procedió a colocar la artesa en la mezcladora 1. Posteriormente, bajó la guarda y accionó el movimiento de las hélices desde el tablero de control. Al acercarse a la máquina, cuando la hélice comenzó a bajar hacia la artesa, el trabajador acercó la mano al eje de la hélice y sufrió un atrapamiento entre la base de la hélice y la superficie de la guarda. Al percibir el atrapamiento, el trabajador solicitó ayuda a sus dos compañeros que se encontraban cerca. Estos procedieron a presionar la parada de emergencia y, posteriormente, el botón de elevación, lo que permitió liberar la mano del trabajador.</t>
  </si>
  <si>
    <t>Artesa de mezcladora</t>
  </si>
  <si>
    <t>Latam 600</t>
  </si>
  <si>
    <t xml:space="preserve">Minutos antes de culminar y relevar el turno, todo el personal realiza el ordenamiento   de almacén para el inicio de operaciones de la siguiente jornada.
 El colaborador involucrado, se encontraba realizando la limpieza de sus pasillos (23 - 24), bajó del equipo para ordenar la ubicación y tomó la decisión de manipular el order picker fuera del mismo, operación no regular. Debido al uso incorrecto del equipo , no mide el espacio y rango de movimiento, sufrió el atrapamiento de su pie derecho contra el rack en la curva del pasillo.
Inmediatamente se activó el personal de brigadas para poder auxiliar e inmovilizar al colaborador hasta la llegada de la ambulancia.
El trabajador fue derivado a la clínica San Gabriel de surco, donde fue atendido. </t>
  </si>
  <si>
    <t>Atrapamiento</t>
  </si>
  <si>
    <t>TRANSPORTES</t>
  </si>
  <si>
    <t>Transportes</t>
  </si>
  <si>
    <t>Transportes Lindsay</t>
  </si>
  <si>
    <t>Tercero - Transportes</t>
  </si>
  <si>
    <t>El 16/06 aproximadamente a las 12:30 pm se reportó accidente incapacitante en la zona de carga de cisternas de COPSA, donde el conductor Raymundo Ticlavilca Huere de la empresa de transportes Lindsay con 65 años de edad, se tropieza con una de las bases de fierro de los topes de estacionamiento. Al caer, coloca las manos; sin embargo, con la caída el casco golpea el piso y a su vez golpea la frente del conductor.
El conductor fue auxiliado rápidamente por su compañero de trabajo y personal Alicorp, atendido en el tópico y luego derivado a la clínica donde le dieron 2 días de descanso médico. Se procede con la investigación del evento.</t>
  </si>
  <si>
    <t xml:space="preserve">A las 4:00 p.m., el maquinista de producción del área de litografía estaba tomando una muestra de lámina de hojalata para verificar los parámetros de color. Al momento de reponer la lámina en el transportador auxiliar, la colocó de tal forma que un extremo chocó contra parte del sistema de transporte, provocando un rebote que impactó directamente en su rostro, causándole un corte a la altura de la nariz.
Inmediatamente, recibió atención en el tópico de planta Lurín 5 y, posteriormente, fue trasladado a la clínica San Pablo para atención médica. Se le otorga 5 días de descanso médico, posteriormente se le amplia a 4 días mas. </t>
  </si>
  <si>
    <t>Diseño inadecuado</t>
  </si>
  <si>
    <t>El día 28/06, aproximadamente a las 12:00 p.m., personal de la empresa SSAYS se encontraba realizando labores de limpieza de canaletas en la zona de los DEOS. Durante el proceso de recolección manual de residuos sólidos acumulados en las canaletas, una operadora de limpieza sufrió una lesión en el dedo anular de la mano izquierda.
La trabajadora estaba utilizando equipo de protección personal para la tarea, incluyendo guantes de nitrilo y guantes anticorte. Sin embargo, al manipular los residuos con un recogedor y sus manos, sintió una punzada en el dedo. Al inspeccionar la lesión, se identificó que un alambre metálico se le había incrustado a través de los guantes.</t>
  </si>
  <si>
    <t>Alambre metálico</t>
  </si>
  <si>
    <t>Evaluación inadecuada del riesgo</t>
  </si>
  <si>
    <t>El colaborador Kenneth Leon, se dirigía a los vestuarios del CDC asignado al personal de Panetones; en esas circunstancias, bajando las escaleras se resbala debido al piso mojado y para no caer se sujeta de la baranda; la cual también se encontraba mojada y es en ese instante que sufre la torcedura de la muñeca.
Inmediatamente se traslada al tópico para los primeros auxilios.</t>
  </si>
  <si>
    <t>Motivación inadecuada / Intento inapropiado de ahorrar tiempo y esfuerzo</t>
  </si>
  <si>
    <t>Cochabamba</t>
  </si>
  <si>
    <t>El sábado 5 de julio alrededor de las 14:45, durante la operación de traslado de producto desde envasado hacia el Almacén de Producto Terminado, un colaborador que conducía un tractor con chata por la avenida 2 detuvo su marcha para dar paso a una cisterna de aceite crudo de soya que ingresaba a planta para el correspondiente descarguío.
En ese momento, la llanta trasera interna del carro cisterna reventó generando una explosión causando una onda expansiva acompañada de una nube de polvo y partículas, alcanzando al rostro del colaborador y provocando un dolor y zumbido en el oído del trabajador (montacarguista). El colaborador se encontraba utilizando adecuadamente sus elementos de protección personal: casco, lentes de seguridad y protección auditiva.
Se activaron los protocolos de atención y se derivó al colaborador a emergencia del Policlínico Cordes Quillacollo para una atención médica, concluyendo con el diagnóstico de trauma acústico.
El evento se encuentra actualmente en proceso de investigación y análisis para la implementación de las medidas correctivas correspondientes.</t>
  </si>
  <si>
    <t>Trauma acústico</t>
  </si>
  <si>
    <t>El jueves 17/07 aproximadamente a las 08:30 h dos colaboradores del área de producción decidieron trasladar un tecle móvil en desuso hacia la planta de plásticos, esto a pedido de un compañero del área. Al ver que el equipo era más alto que el pasadizo por donde iban a trasladarlo deciden inclinarlo, ello originó que un componente metálico del equipo se desprenda y caiga sobre la cabeza de un colaborador.
El colaborador afectado fue trasladado al tópico y posteriormente a la Clínica San Pablo para recibir atención especializada.</t>
  </si>
  <si>
    <t>Traumatismo encefalocreneano</t>
  </si>
  <si>
    <t>Aproximadamente a las 07:40, un colaborador de la empresa Alteliza se encontraba realizando la limpieza del pasadizo, producto de la rotura de una tubería de la planta de tratamiento de agua. Mientras realizaba la labor de limpieza y secado de la zona, al momento de retroceder se resbala y su pierna ingresa en el buzón ya que por el nivel de agua no se visualizaba la ubicación. Inmediatamente se retira de la zona hacia tópico, para posteriormente ser derivado a la clínica para recibir atención especializada.</t>
  </si>
  <si>
    <t xml:space="preserve">Buzón abierto </t>
  </si>
  <si>
    <t>LÍNEA VERTICAL</t>
  </si>
  <si>
    <t>Aproximadamente a las 12.15 p.m, el colaborador de Línea Vertical con 7 meses 18 días laborando y 9 años de
experiencia como técnico vertical; habiendo terminado sus labores en el APT (limpieza de techos), se dirige a los
vestuarios. Luego se retira tocando la puerta con la mano derecha sobre el vidrio, ocasionando que se rompa y
produciendo cortes en la mano derecha. Se llamo a la ambulancia donde fue evaluado por el personal médico de cardio móvil, posteriormente fue dirigido a la clínica Auna Bellavista acompañado por el Supervisor de Soma de Línea Vertical y JT de turno.</t>
  </si>
  <si>
    <t>Vidrio de puerta</t>
  </si>
  <si>
    <t>BIOTEK GROUP</t>
  </si>
  <si>
    <t>Un colaborador de la empresa Biotek Group S.A.C., se desplazaba por el ingreso al almacén de productos no conformes y al mismo tiempo revisando su celular para realizar las coordinaciones administrativas de venta de residuos y cuando estaba por cruzar la puerta del portón se tropezó con el marco, que tuvo como consecuencia la pérdida del equilibrio provocando una caída al mismo nivel. De manera inmediata, se notificó al personal SSOMA de turno para atender la emergencia y fue asistido por la ambulancia, siendo trasladado al tópico.</t>
  </si>
  <si>
    <t>El mecánico de mantenimiento se dirigió al área de elaboración para atender un reporte de trabamiento en el sistema de apertura de la puerta de la mezcladora N°3._x000B_En una primera revisión superficial logró ponerla en funcionamiento sin necesidad de realizar una intervención mayor; sin embargo, minutos después se reportó nuevamente el mismo problema.
Al inspeccionar nuevamente el sistema, el mecánico identificó una falla en el reductor del accionamiento de la puerta, por lo que, en coordinación con personal de producción, se decidió desacoplar la parte mecánica de transmisión e intentar realizar el destrabe de forma manual. Para ello, el trabajador utilizó una llave stilson, con la finalidad de ejercer fuerza sobre el eje del sistema y lograr la apertura de la tolva, a fin de retirar la masa que había quedado retenida en su interior.
Durante la maniobra, al aplicar fuerza con la llave stilson sobre el eje, la energía mecánica residual se liberó, lo que generó un golpe con una parte metálica en el tercer dedo de la mano del trabajador.</t>
  </si>
  <si>
    <t>Mezcladora</t>
  </si>
  <si>
    <t>Aproximadamente a las 14:00 h un colaborador del área de producción se dirigió al 4to piso (zona de escapes) para iniciar labores de limpieza de fin de producción. Como parte del inicio de la actividad procedió con la apertura de la compuerta de un hidrociclón: Retira el 1er seguro y lo deja en el piso, luego retira el 2do seguro y es colocado en la misma ubicación, al momento de reincorporarse, la compuerta se abre generándole un golpe en el rostro (parte izquierda). En el momento del accidente el colaborador se encontraba con los equipos de protección personal colocados (botas, traje de protección, guantes, lentes de seguridad).
El trabajador afectado fue trasladado al tópico y posteriormente a la Clínica San Pablo para recibir atención especializada.</t>
  </si>
  <si>
    <t>MOLINO FAUCETT</t>
  </si>
  <si>
    <t>SMAL</t>
  </si>
  <si>
    <t>Aproximadamente a las 10:40am el trabajador de la empresa SMAL se encontraba prestando servicio de mantenimiento correctivo en el banco de cilindros D1.​
Se desplaza por el pasadizo colindante del banco de cilindros doble T1/T2 (el cual producto de un atoro en el T1 estaba siendo inspeccionado por los coordinadores de mantenimiento y producción), es en ese momento donde sufre un atrapamiento de su mano izquierda en el T2.</t>
  </si>
  <si>
    <t>Amputación del 2° al 5° dedo mano izquierda</t>
  </si>
  <si>
    <t>Equipo en movimiento</t>
  </si>
  <si>
    <t>A las 11:00 a.m., una colaboradora de la empresa SSAYS se encontraba realizando labores de limpieza en la línea de ingreso de aceite desodorizado al intercambiador 881A, utilizando un escobillón. Durante la actividad, se produjo la apertura accidental de la válvula de acceso al sistema de lavado químico del intercambiador de calor.​
Dicha tubería contenía grasa desodorizada a una temperatura entre 100 °C y 110 °C. El punto de contacto no contaba con un cierre físico que impidiera el acceso o la manipulación accidental.</t>
  </si>
  <si>
    <t>Quemadura de 2° grado</t>
  </si>
  <si>
    <t>Grasa caliente</t>
  </si>
  <si>
    <t>APT FARINACEOS</t>
  </si>
  <si>
    <t>El colaborador se encontraba en su equipo logístico (ETV) cruzando el patio de maniobras de Galletas hacia Fideería, cuando sintió que un objeto extraño ingresó a su ojo derecho. Se dirigió al tópico y debido a que la molestia persistía fue derivado a la clínica.</t>
  </si>
  <si>
    <t>Cuerpo extraño en ojo</t>
  </si>
  <si>
    <t>Partícula en ambiente</t>
  </si>
  <si>
    <t>El 27-Set. previa planificación con el coordinador de planta y sin personal de producción en el área, se ejecutaron los trabajos de abertura de pared de drywall para puerta de acceso en limpiatodo.​
El 30-Set. personal de CJ CONTRATISTA retorna al lugar a culminar el resane de perfil de la puerta, con ATS y sin coordinar la actividad, procede a realizar picado del suelo llegando a proyectar una partícula en el ojo izquierdo de colaborador de la empresa CONSULTING de producción.</t>
  </si>
  <si>
    <t>Proyección de partícula</t>
  </si>
  <si>
    <t>El día lunes 06 de octubre de 2025 a horas 23:10 pm, en línea de envasado de aceite (FINOPET), se produjo filtración de un bidón de aceite (por defecto de fábrica) generando un derrame en el suelo y por tanto una superficie resbalosa, al intentar retirar el bidón, el colaborador sufrió un resbalón que ocasionó una caída, golpeándose la rodilla izquierda contra el suelo, inmediatamente se llevó al colaborador al centro de salud, donde le dieron calmantes, posteriormente el colaborador se retiró a su domicilio, la investigación del accidente se encuentra en curso.</t>
  </si>
  <si>
    <t xml:space="preserve">Trauma contuso rodilla izquierda  </t>
  </si>
  <si>
    <t>Tercero</t>
  </si>
  <si>
    <t xml:space="preserve">El día viernes 10 de octubre a las 8:30 am aproximadamente, el Personal Operario de Limpieza se encontraba realizando labores de recolección de residuos en la zona peatonal de la Planta Principal del Patio de Maniobra (Lote 1).
Mientras recogía basura con una bolsa negra, la trabajadora adoptó una posición que limitó su campo visual, provocando que se tropezara con un tope de llantas de protección. Tras la caída, el peso de su cuerpo recayó sobre su mano derecha, afectando específicamente su dedo índice.
De forma inmediata, la trabajadora fue trasladada al tópico para una evaluación inicial. Se activó el Seguro Complementario de Trabajo de Riesgo (SCTR) para su traslado a la Clínica San Pablo, donde se le diagnosticó una fractura del dedo índice derecho. </t>
  </si>
  <si>
    <t>Luxo fractura de dedo meñique mano izquierda</t>
  </si>
  <si>
    <t>Tope de camión</t>
  </si>
  <si>
    <t>07:43pm : Durante el desarrollo del turno 2, el ayudante Alexis se encontraba estacionado con el equipo logístico ERD al costado de una columna, en el pasillo 29.  En ese momento, el ayudante Marco, se acercó caminando, colocándose entre el equipo ERD y apoyándose en el rack para conversar con Alexis.  Al terminar de conversar y continuar sus operaciones, Alexis retrocedió ligeramente el equipo ERD para alinearse en la dirección de salida, en ese instante impacta el equipo ERD contra la pierna de Marco, quien aún se encontraba en la misma posición (entre el equipo ERD y el rack). ​​
​​El trabajador fue evaluado en el tópico y derivado a la clínica donde le diagnosticó Traumatismo por aplastamiento en la pierna.</t>
  </si>
  <si>
    <t>Traumatismo por aplastamiento en la pierna.</t>
  </si>
  <si>
    <t xml:space="preserve">El día 13 de octubre, el colaborador de la empresa Prolabora, ingresa a su turno de las 3:00 pm para realizar labores de abastecimiento de azúcar refinada. Tanto el  colaborador accidentado  y su compañero estaban bromeando; en ese contexto le solicita el cutter a su compañero, quién tenía el cutter retráctil sujetada en la mano con el filo expuesto y hace la entrega;  al tomar  el cutter se produce  el corte de su mano derecha.​
Testimonio 13/10: El colaborador indicó que se realizó en casa, sin embargo a su supervisor si lo reporta el mismo día antes del ingreso a tópico. ​
Colaborador en tópico reporta que se lo realiza en casa y se deriva a Essalud. </t>
  </si>
  <si>
    <t>Herida en mano</t>
  </si>
  <si>
    <t>Cutter</t>
  </si>
  <si>
    <t>El trabajador se encontraba realizando sus labores en la faja 208, correspondiente a la salida SIG 06.
_x000B_Aproximadamente a las 21:30 horas, observó que la máquina SIG 05 presentó una falla. Pensando que dicha falla podría generar congestión en la faja, el trabajador decidió acercarse apresuradamente para presionar la botonera de emergencia y detener la línea._x000B_Durante esta acción, al extender el brazo para alcanzar la botonera, impactó su rodilla contra un selector que sobresalía en la parte frontal del equipo.</t>
  </si>
  <si>
    <t>Contusión de rodilla</t>
  </si>
  <si>
    <t>Selector de botonera</t>
  </si>
  <si>
    <t xml:space="preserve">A las 19:00 horas, en el área de preparación de coberturas, dos operadores realizaban la maniobra de subir un pallet de 820 kg con recorte de cobertura. Durante la maniobra, el operador que jalaba el pallet observó que no podía completar el ascenso, por lo que mencionó a su compañero que iba a bajar a nivel del piso el pallet. En ese momento el operador de la parte posterior tenia su pie izquierdo colocado entre las horquillas del pallet y fue presionado con el pallet con carga. </t>
  </si>
  <si>
    <t xml:space="preserve">Atrapamiento  de dedo pie con stoca manual </t>
  </si>
  <si>
    <t>Pallet con carga</t>
  </si>
  <si>
    <t>Siendo las 15:15 h, el colaborador del área de Balanzas descendió de su vehículo en el estacionamiento de la planta MCA. Al hacerlo, pisó un hueco en el piso, ocasionándose una torsión en el tobillo izquierdo.
En ese momento no reportó el hecho ni manifestó dolor inmediato, continuando sus labores con normalidad. Posteriormente, a las 17:33 h, comunicó al analista que su tobillo se había inflamado.
El colaborador fue derivado a la clínica, donde se diagnosticó esguince y torcedura del tobillo izquierdo, otorgándose 02 días DM y 07 días de alta con restricciones</t>
  </si>
  <si>
    <t>Esguince y torcedura del tobillo izquierdo</t>
  </si>
  <si>
    <t>Orificio en el piso</t>
  </si>
  <si>
    <t>IOLSA</t>
  </si>
  <si>
    <t xml:space="preserve">Siendo las 22:45 h, el colaborador de la empresa IOLSA realizaba labores de estiba de sacos de harina.  Durante la manipulación de un saco de harina de la cama 7, se desliza un saco de la cama 8 y golpeó el dedo pulgar de su mano derecha. El trabajador no reportó el hecho y continuó con sus labores. </t>
  </si>
  <si>
    <t>Inflamación de tendón pulgar mano derecha</t>
  </si>
  <si>
    <t>Sacos de harina</t>
  </si>
  <si>
    <t xml:space="preserve">El 29 de octubre alrededor de las 10:00 a.m., el electricista retornaba tras haber realizado un bloqueo eléctrico en el centro de distribución Arequipa (CDA)
Durante su desplazamiento, el trabajador caminaba próximo a una pared donde se encontraba un elemento metálico sobresaliente (perno), del cual no se percató, golpeándose contra este. </t>
  </si>
  <si>
    <t>Contusión de mano</t>
  </si>
  <si>
    <t>Perno metálico</t>
  </si>
  <si>
    <t>El ingeniero Edert Velarde, al tener conocimiento del evento, derivó al trabajador al tópico para recibir la atención necesaria. El diagnóstico inicial fue: lesión por corriente eléctrica e indica derivación a Clínica San Gabriel.
Se traslada al accidentado en la ambulancia y en la clínica es atendido por el médico de turno. En la clínica ingresa a shock trauma para monitoreo y se le indica hospitalización por lo menos dos días. Se comunica a las áreas pertinentes: Bienestar, RRLL, Salud Ocupacional y Seguridad.
El diagnóstico fue exposición a líneas de transmisión eléctrica en área industrial y de la construcción.</t>
  </si>
  <si>
    <t>Contacto eléctrico indirecto</t>
  </si>
  <si>
    <t>Cordón eléctrico</t>
  </si>
  <si>
    <t>Ingeniería inadecuada</t>
  </si>
  <si>
    <t>La colaboradora se encontraba realizando el tapado de actuadoras a las latas en una línea manual, cuando de pronto sintió un golpe en el brazo izquierdo proveniente del domo de una lata que salió expulsado de la llenadora de gas, la proyección de la lata fue originado por la sobrepresión de un una doble inyección de gas, de inmediato, los compañeros notificaron a la encargada, para que avisara a Seguridad Industrial, y se traslade al tópico para que se le brinden los primeros auxilios correspondientes.
La colaboradora es atendida en el tópico y es derivada a la clínica activándose el SCTR.</t>
  </si>
  <si>
    <t>Contusión en brazo</t>
  </si>
  <si>
    <t>Envase con aerosol</t>
  </si>
  <si>
    <t xml:space="preserve">En circunstancias que colaboradores de la empresa CJ movilizaban una transpaleta manual con 25 bolsas de cemento (aprox. 1Tn), al estar pasando por la zona acondicionada para el pesado de PT de aerosoles, personal de CONSUTING se cruza sobre el camino de este, generando que en la pendiente colaborador de CJ pierda el control de la transpaleta ocasionando que choque con un pallets vacío y este a su vez golpee el tobillo del pie izquierdo del colaborador de CONSULTING que se encontraba parado en dicha zona. </t>
  </si>
  <si>
    <t>Contusión en pie</t>
  </si>
  <si>
    <t>Transpaleta manual</t>
  </si>
  <si>
    <t>LIMPIEK</t>
  </si>
  <si>
    <t>Siendo las 20:50 h, operaria de limpieza de la empresa Limpie se encontraba en el área de Extruido – Indirecto 1, realizando la limpieza del techo del primer nivel utilizando una solución de detergente industrial Skill Cleaner 3009 diluido en agua. Mientras frotaba la superficie, una salpicadura de la mezcla cayó sobre la frente y descendió hacia el ojo izquierdo. La trabajadora portaba lentes de seguridad para proyección de partículas, los cuales no brindan protección contra salpicaduras químicas. Se deriva a centro de salud para su atención.</t>
  </si>
  <si>
    <t>Hiperemia de conjuntiva ocular</t>
  </si>
  <si>
    <t>Aproximadamente a las 08:45 horas, durante las actividades de cambio de formato en la Línea 2, una aprendiz sufrió el aplastamiento de su dedo medio de la mano derecha con los dados de teflón de la mesa de acomodo. El accidente ocurrió cuando un compañero, ubicado en el lado opuesto, empujó los dados y varillas mientras ella reposaba su mano en la zona.
De inmediato, la colaboradora fue trasladada al tópico y posterior a Clínica. El diagnóstico fue una  fractura en el dedo medio de mano derecha</t>
  </si>
  <si>
    <t>Los colaboradores del área se encontraban realizando labores de recuperación de frascos producto de una prueba de desarrollo con un mal sellado de las tapas; el colaborador en cuclillas recogía las tapas observadas del suelo, uno de sus compañeros levanta una caja con frascos sin tapas, que se encontraban sobre un pallet, y esta cede de su base lo cual provoca la caía de los frascos al suelo generando salpicadura del producto al colaborador alcanzando la parte lateral del cuerpo no cubierta por el mandil, mojandole le polo y transfiriendose a la piel. Se brindan los primeros auxilios con ducha prolongada, posterior a ello es evaluado en topico y trasladado a la clínica donde se le otorga tratamiento y descanso por 5 días.</t>
  </si>
  <si>
    <t>INDUSTRIAS DEL ESPINO_SA</t>
  </si>
  <si>
    <t>REFINERIA PALMAWASI</t>
  </si>
  <si>
    <t>Turno 1</t>
  </si>
  <si>
    <t>CHUQUIYURI CRISOSTOMO</t>
  </si>
  <si>
    <t xml:space="preserve"> SILVANA LUZ</t>
  </si>
  <si>
    <t>PRODUCCIÓN</t>
  </si>
  <si>
    <t>La operaria se encontraba saliendo de la cabina de Grasas Especiales, iniciaba descenso por escaleras, portaba en la mano derecha su laptop y celular y procedió a bajar las escaleras con dirección al 1er nivel, sosteniéndose con su única mano libre, resbala en escalón y cae golpeándose muslo derecho, generándole una contusión. Da aviso inmediato a Prevencionista de turno, se activa el traslado a Posta para la evaluación. No hubo indicación por parte del equipo de Salud Ocupacional para atención adicional ni otra indicación. Sin embargo, a solicitud de afectada se dio tratamiento con médico externo.</t>
  </si>
  <si>
    <t>Contusión de pierna</t>
  </si>
  <si>
    <t>Escalera</t>
  </si>
  <si>
    <t>Motivación incorrecta / Intento incorrecto de ahorrar tiempo o esfuerzo</t>
  </si>
  <si>
    <t>Acto Inseguro</t>
  </si>
  <si>
    <t>PCO26786</t>
  </si>
  <si>
    <t>MARGARINAS &amp; MANTECAS</t>
  </si>
  <si>
    <t>Chumbe Silva</t>
  </si>
  <si>
    <t xml:space="preserve">Jonathan </t>
  </si>
  <si>
    <t>MANTENIMIENTO</t>
  </si>
  <si>
    <t xml:space="preserve">El colaborador, junto con su compañero, se encontraba realizando el trabajo de drenado de aceite del enfriador del compresor de NH3. Uno de los colaboradores sostenía la manguera dentro del bidón con agua y el otro colaborador aperturaba la válvula. Culminan el drenado en el lado de aceite y luego, durante el drenado en el lado de NH3, la manguera sale del bidón y genera una salpicadura de NH3 a los colaboradores, alcanzando en la parte del tronco al colaborador que regulaba la válvula y en la zona del abdomen al colaborador que sostenía la manguera, mojándoles el polo y transfiriéndose el NH3 a la piel. </t>
  </si>
  <si>
    <t>Quemadura de 2do grado</t>
  </si>
  <si>
    <t>Amoniaco</t>
  </si>
  <si>
    <t>Estándares de Trabajo Inadecuados/ Desarrollo inadecuado de estándares</t>
  </si>
  <si>
    <t>Condición Insegura</t>
  </si>
  <si>
    <t>MCA26860</t>
  </si>
  <si>
    <t>Yamunaque</t>
  </si>
  <si>
    <t xml:space="preserve">Manuel </t>
  </si>
  <si>
    <t>LIMPIE</t>
  </si>
  <si>
    <t>Siendo aproximadamente las 03:30 a. m., una operaria de la empresa Limpie se encontraba realizando labores de limpieza en el área de empacado. Posteriormente, se dirigió hacia el área de laboratorio, para lo cual debía abrir una puerta de acceso. Al momento de ingresar, la puerta se cerró de manera brusca debido a una diferencia de presión entre ambos ambientes. En un intento por evitar el golpe de la puerta, la trabajadora colocó su mano derecha en el marco, produciéndose una contusión en el dedo medio. Luego del evento, la trabajadora fue trasladada a una clínica, donde fue diagnosticada con contusión del dedo medio.</t>
  </si>
  <si>
    <t>Contusión dedo medio Mano derecha</t>
  </si>
  <si>
    <t>Máquina cocedora</t>
  </si>
  <si>
    <t>Ingeniería Inadecuada / Estándares, especificaciones y /o criterios de diseño
inadecuados</t>
  </si>
  <si>
    <t>Motivación inadecuada /Falta de concentración y ojos no en la tarea</t>
  </si>
  <si>
    <t>GÑA26851</t>
  </si>
  <si>
    <t>ROMERO CHOCA</t>
  </si>
  <si>
    <t>MARISOL YANETH</t>
  </si>
  <si>
    <t>Durante el turno de embolsado de salvado de 20 kg, aproximadamente a las 12:40 a.m., un trabajador se encontraba realizando labores de cosido de sacos en el área de Salvado.
Al momento de sacudir y doblar el saco para colocarlo en la cosedora, uno de los extremos del saco se rompió inesperadamente, provocando que el trabajador pierda estabilidad en el movimiento y que su mano impacte contra una parte de la máquina cosedora, generándose un golpe en la mano izquierda.
De inmediato se procedió a activar el protocolo de atención con la central de emergencia, solicitando la presencia de la ambulancia para evaluar al colaborador.
El evento está en proceso de investigación para determinar las causas y tomar las acciones correctivas.</t>
  </si>
  <si>
    <t>Golpe mano</t>
  </si>
  <si>
    <t>Maquina cosedora</t>
  </si>
  <si>
    <t>Compras Inadecuadas / Especificaciones inadecuadas en las requisiciones</t>
  </si>
  <si>
    <t xml:space="preserve"> Condición Insegura</t>
  </si>
  <si>
    <t>ALI27101</t>
  </si>
  <si>
    <t>LIMPIEZA Y VIGILANCIA</t>
  </si>
  <si>
    <t>PREDIO CENTRAL</t>
  </si>
  <si>
    <t>OTROS</t>
  </si>
  <si>
    <t xml:space="preserve">LEGUA BARRIOS </t>
  </si>
  <si>
    <t>MARITZA JANETH</t>
  </si>
  <si>
    <t>CLEANED</t>
  </si>
  <si>
    <t>Aproximadamente a las 11:45 am, una colaboradora de la empresa Alteliza se encontraba realizando la limpieza de la base de las sombrillas, al momento de levantarse se golpea la cabeza con la cobertura rectangular del cable de acero de las sombrillas. Inmediatamente se retira de la zona hacia tópico, para posteriormente ser derivado a la clínica para recibir atención especializada.
El evento se encuentra en investigación.</t>
  </si>
  <si>
    <t>Golpeado contra</t>
  </si>
  <si>
    <t>Caja reculadora de sombrilla</t>
  </si>
  <si>
    <t>Mala técnica de ejecución</t>
  </si>
  <si>
    <t>GÑA26880</t>
  </si>
  <si>
    <t>Turno 2</t>
  </si>
  <si>
    <t xml:space="preserve">Rutti Condor </t>
  </si>
  <si>
    <t>Nilton</t>
  </si>
  <si>
    <t>42130387</t>
  </si>
  <si>
    <t>Siendo las 08:40 horas, el operario se dirigió a realizar el retiro de la compuerta del tambor rociador utilizando una escalera tipo avión. Dicha escalera cuenta con un diseño especial de uso exclusivo para el horno secador, debido a que presenta un último peldaño tipo voladizo que solo es estable cuando se ancla a dicha estructura.
El trabajador trasladó la escalera a una zona distinta al horno, debido a la falta de disponibilidad de otras escaleras. Durante el ascenso, al pisar el último peldaño, la escalera perdió estabilidad y se volcó, ocasionando la caída del trabajador, quien presentó contusión en la rodilla.</t>
  </si>
  <si>
    <t>Contusión en la rodilla</t>
  </si>
  <si>
    <t xml:space="preserve">Escalera </t>
  </si>
  <si>
    <t>Herramientas y Equipo Inadecuados /Evaluación inadecuada de necesidades y riesgos</t>
  </si>
  <si>
    <t xml:space="preserve"> Acto Inseguro</t>
  </si>
  <si>
    <t>ILU26888</t>
  </si>
  <si>
    <t xml:space="preserve">MAYURI BOTERIN </t>
  </si>
  <si>
    <t>JORGE ERNESTO</t>
  </si>
  <si>
    <t>45072642</t>
  </si>
  <si>
    <t xml:space="preserve">Aproximadamente a las 01:30 horas, un colaborador del área de manufactura – zona de coches se encontraba realizando la actividad de traslado de coches vacíos. Durante esta labor, al juntar los coches vacíos para su traslado, el colaborador atrapó el dedo pulgar derecho entre estructuras del coche, ocasionándole un golpe. </t>
  </si>
  <si>
    <t>Contusión de dedo</t>
  </si>
  <si>
    <t>coche</t>
  </si>
  <si>
    <t>Liderazgo o Supervisión Inadecuados/  Dar política, procedimiento, prácticas o pautas
inadecuadas</t>
  </si>
  <si>
    <t>SID26927</t>
  </si>
  <si>
    <t xml:space="preserve">JARA QUISPE </t>
  </si>
  <si>
    <t xml:space="preserve">ELVIS </t>
  </si>
  <si>
    <t>29710743</t>
  </si>
  <si>
    <t xml:space="preserve">Alrededor de las 11:40 a.m., durante el cambio de bobina en la máquina BOSCH N.° 2, el maquinista utilizó una escalera portátil de tres peldaños colocada en posición lateral para acceder al portabobina. Al finalizar la tarea, inició el descenso realizando el movimiento como si la escalera estuviera en posición frontal, produciéndose una pisada en vacío, pérdida de equilibrio y caída, golpeándose los gluteos . </t>
  </si>
  <si>
    <t>Falta de Habilidad
/ Instrucción inicial inadecuada</t>
  </si>
  <si>
    <t>ILU27126</t>
  </si>
  <si>
    <t xml:space="preserve">ACOSTA PEREZ </t>
  </si>
  <si>
    <t>MILAGROS MALBELIS</t>
  </si>
  <si>
    <t>TERCERO</t>
  </si>
  <si>
    <t>El día 10/02 una colaboradora de la empresa CLEANED se encontraba realizando labores de limpieza en los servicios higiénicos cuando aplicó detergente y lejía sobre superficies donde previamente se había utilizado un producto desincrustante (quita sarro). La interacción de estos productos habría generado vapores irritantes, ocasionando una exposición por inhalación. Posteriormente, la colaboradora presentó síntomas compatibles con irritación respiratoria, manifestando mareos al finalizar la jornada, situación que fue comunicada a su supervisión. No obstante, continuó desarrollando sus actividades en los días siguientes.​
El 25/02/2026, ante la persistencia del malestar, la colaboradora acudió al tópico de planta detergente, donde refirió síntomas asociados al episodio de exposición química previo. Debido a su condición de salud se gestionó su traslado a un centro médico para evaluación especializada conforme a los protocolos establecidos.</t>
  </si>
  <si>
    <t>Exposición a Productos Químicos</t>
  </si>
  <si>
    <t>Sustancia quimica</t>
  </si>
  <si>
    <t>Falta de Conocimientos
/ Falta de experiencia</t>
  </si>
  <si>
    <t>PCO27017</t>
  </si>
  <si>
    <t>rojas</t>
  </si>
  <si>
    <t>Orlando</t>
  </si>
  <si>
    <t>25690145</t>
  </si>
  <si>
    <t>El colaborador de la empresa Prolabora se encontraba trasladando insumos desde el elevador de carga hacia la cámara de frío, utilizando una stoka.
Durante la ejecución de la tarea, intentó retirar con la stoka un palet que contenía cajas de vegetales, el cual se encontraba sobreapilada y en condición inestable. Al aplicar fuerza adicional para retirar los insumos, perdió estabilidad y resbaló, golpeándose el pie derecho con la stoka.</t>
  </si>
  <si>
    <t>Contusión de pie</t>
  </si>
  <si>
    <t>Piso mojado</t>
  </si>
  <si>
    <t xml:space="preserve">Estándares de Trabajo Inadecuados/ Desarrollo inadecuado de estándares </t>
  </si>
  <si>
    <t>GÑA27110</t>
  </si>
  <si>
    <t xml:space="preserve"> Lancha Chota</t>
  </si>
  <si>
    <t>Max</t>
  </si>
  <si>
    <t>47232429</t>
  </si>
  <si>
    <t>Siendo las 4:40pm ,operario realizaba limpieza de zaranda utilizando una manguera conectada a la línea principal de aire comprimido del proceso productivo, la cual operaba a aproximadamente 6 bar (≈87 psi).
La limpieza se realizaba sin el uso de pistola reguladora de presión y mientras direccionaba el aire hacia una llanta plástica del equipo, el componente se fragmentó debido a la sobrepresión aplicada. 
Un fragmento impactó en su mano, generando contusión en los dedos índice y medio y un corte superficial.</t>
  </si>
  <si>
    <t xml:space="preserve">Contusión en dedos </t>
  </si>
  <si>
    <t>Rueda de zaranda</t>
  </si>
  <si>
    <t>Motivación Incorrecta / Frustración excesiva</t>
  </si>
  <si>
    <t>Falta de estándar</t>
  </si>
  <si>
    <t>PGL27014</t>
  </si>
  <si>
    <t>RAMOS PEREZ</t>
  </si>
  <si>
    <t>SHARON</t>
  </si>
  <si>
    <t>Aproximadamente a las 20:25 horas del viernes 27 de febrero, una operadora tercera sufrió un golpe en el quinto dedo de la mano izquierda durante el traslado de la fila de galletas hacia la bandeja por contacto con el magazín metálico de máquina envasadora D2 de Línea 4</t>
  </si>
  <si>
    <t>Golpe de dedo izquierdo</t>
  </si>
  <si>
    <t>MAGAZIN D2</t>
  </si>
  <si>
    <t>Ingeniería Inadecuada /  Control inadecuado de la construcción</t>
  </si>
  <si>
    <t>ILU27116</t>
  </si>
  <si>
    <t>PEÑALOZA VARGAS</t>
  </si>
  <si>
    <t>MAYRA</t>
  </si>
  <si>
    <t>La colaboradora se encontraba en capacitación para el puesto de control documentario, estaba observando el llenado de algunos registros y decide trasladar una silla hacia el punto de entrenamiento para sentarse; levanta la silla de manera horizontal y en el traslado se le resbala de la mano derecha, ella intenta sujetarla en el aire y en ese momento su dedo anular se engancha en el reposapiés provocándole un dolor intenso.​
​
Nota: No reporta el evento inmediatamente, sin embargo, al pasar 5 min sufre una descompensación ajena al evento</t>
  </si>
  <si>
    <t>Fractura oblicua</t>
  </si>
  <si>
    <t>REPOSAPIES GIRATORIO DE LA SILLA</t>
  </si>
  <si>
    <t>Falta de Habilidad /  Instrucción inicial inadecuada</t>
  </si>
  <si>
    <t>PGL27052</t>
  </si>
  <si>
    <t>SANTAMARIA FOLCH</t>
  </si>
  <si>
    <t>BRYAN CALEB</t>
  </si>
  <si>
    <t>74395221</t>
  </si>
  <si>
    <t>Aproximadamente a las 20:00 horas, un operador transitaba por el sendero peatonal del estacionamiento cuando tropezó con un desnivel entre las juntas de concreto. El operador indica que, para evitar caer al suelo, se apoyó con su pierna izquierda, lo que le ocasionó malestar en la rodilla izquierda al caminar.</t>
  </si>
  <si>
    <t>Esguince en rodilla izquierda</t>
  </si>
  <si>
    <t>Desnivel en piso</t>
  </si>
  <si>
    <t>ILU27317</t>
  </si>
  <si>
    <t>ROCA VALVERDE</t>
  </si>
  <si>
    <t xml:space="preserve">MIGUEL </t>
  </si>
  <si>
    <t>06884720</t>
  </si>
  <si>
    <t>Aproximadamente a las 03:30 h del viernes 13, un colaborador del área de mantenimiento realizaba la intervención de una bomba de soda cáustica debido a una falla (trabamiento del impulsor). La actividad consistía en desmontar la bomba para identificar el problema y realizar la corrección. Antes de iniciar la intervención se elaboró un ATS y permiso de trabajo en frio (sustancias químicas), sin embargo en el permiso no se consideró el uso de botas adecuada para la ejecución de la actividad (calzado resistente a químicos). Durante las pruebas de la bomba post intervención, el colaborador afectado sufrió un contacto de soda que se filtró por la parte superior del calzado de seguridad (botín) teniendo contacto con el dorso de su pie izquierdo. El colaborador no evaluó la severidad del hecho, y no reporto en el momento lo ocurrido. El trabajador acude a laborar de manera normal al día siguiente (viernes 2do turno) sin comentar lo ocurrido. El día sábado a las 11:40am da aviso a su jefatura de lo ocurrido y de la atencion de salud que había recibido.</t>
  </si>
  <si>
    <t>Quemadura química</t>
  </si>
  <si>
    <t>Estándares de Trabajo Inadecuados / Desarrollo inadecuado de estándares</t>
  </si>
  <si>
    <t>PFL27197</t>
  </si>
  <si>
    <t>Arellano Velarde</t>
  </si>
  <si>
    <t>Hebert</t>
  </si>
  <si>
    <t>41478657</t>
  </si>
  <si>
    <t>El colaborador se encontraba realizando verificación de los equipos de inyección de aire ubicados en la azotea a solicitud de producción
(Piso 3 – Zona de Rotostares) . Al momento de bajar por la escalera para regresar a planta, pisa una zona en desnivel, generando una torcedura del tobillo derecho. El colaborador acude al tópico para atención. Al día siguiente acude al tópico para su revisión. Posterior a ello se realiza la derivación a clínica siendo el diagnostico esguince de tobillo derecho.</t>
  </si>
  <si>
    <t>Esguince en tobillo</t>
  </si>
  <si>
    <t>Ingeniería Inadecuada /  Estándares, especificaciones y /o criterios de diseño
inadecuados</t>
  </si>
  <si>
    <t>MFA27240</t>
  </si>
  <si>
    <t>Lopez Maldonado</t>
  </si>
  <si>
    <t>Jorge Antonio</t>
  </si>
  <si>
    <t>Siendo las 09:05 am aproximadamente, el trabajador se encontraba bajando desde la oficina del Coordinador de Envasado cuando, al descender por las escaleras internas del edificio de Envasado, resbaló en el tercer peldaño (entre el piso 1 y piso 2) y sufrió una torcedura en el pie izquierdo.</t>
  </si>
  <si>
    <t>Esguince en pie izquierdo</t>
  </si>
  <si>
    <t>Escalero de acceso</t>
  </si>
  <si>
    <t>DIS27200</t>
  </si>
  <si>
    <t>MONZON MANUYAMA</t>
  </si>
  <si>
    <t>SANDER YAMIR</t>
  </si>
  <si>
    <t>Aproximadamente a las 14.22 p.m, el colaborador de Línea Vertical con 1 año 09 Meses laborando y 5 años de experiencia como técnico
vertical; se encontraba realizando labores de limpieza (barrido) en la cubierta del almacén C, cuando se bloqueó el sistema anticaída (ASAP)
del trabajador. Al detenerse para desbloquear el sistema, permaneció próximo a la zona de trabajo de su compañero, produciéndose el
impacto del extremo del mango de la escoba contra su ceja derecha. Fue evaluado por el personal médico de cardio móvil, posteriormente
fue dirigido a la clínica Providencia acompañado por el Supervisor de Soma de Línea Vertical y JT de turno.</t>
  </si>
  <si>
    <t>Corte/Herida en ceja</t>
  </si>
  <si>
    <t>Mango extensor de escoba</t>
  </si>
  <si>
    <t>Tensión Mental o Psicológica / Instrucciones exigencias confusas</t>
  </si>
  <si>
    <t>SÍ</t>
  </si>
  <si>
    <t>MCA27284</t>
  </si>
  <si>
    <t>Sacha Quispe</t>
  </si>
  <si>
    <t>Anderson</t>
  </si>
  <si>
    <t>46957304</t>
  </si>
  <si>
    <t>Aproximadamente a las 16:30 horas, el técnico se encontraba realizando el retiro de un rollo del caballete de tránsito, específicamente en el segundo nivel de la estructura. Durante la maniobra, observa que el rollo presenta un movimiento oscilante, por lo que procede a colocar la mano derecha con la intención de estabilizarlo. En ese instante, su dedo meñique queda atrapado y es presionado entre la estructura del caballete y el rollo, generándose la lesión. El trabajador comunica de inmediato lo sucedido a su jefatura, activándose el protocolo de atención de emergencias. Posteriormente, tras la evaluación realizada por el personal de Cardio Móvil, se determina su traslado a la Clínica San Gabriel para una atención especializada.</t>
  </si>
  <si>
    <t>Contusión en dedo</t>
  </si>
  <si>
    <t>Rollo de molino</t>
  </si>
  <si>
    <t>Motivación Incorrecta / El desempeño correcto es castigado</t>
  </si>
  <si>
    <t>JABONERÍA WILSON</t>
  </si>
  <si>
    <t>Calacalí</t>
  </si>
  <si>
    <t>Laso Collaguazo</t>
  </si>
  <si>
    <t>Luis Geovanny</t>
  </si>
  <si>
    <t>El señor pertenece a la nómina de Jabonería Wilson y se desenvuelve en las actividades de trabajador de planta en la producción de polvo detergente. El mismo se encuentra cursando un carrera superior en la rama de electricidad y solicita una pasantía en el área de mantenimiento.
• Talento Humano aprueba la pasantía considerando toda la parte legal correspondiente, para lo cual el señor Luis Laso decide aprovechar sus vacaciones para realizar estas actividades.
• El días martes 24-03-2026 al momento de romper una amarra que sostenía unos cables eléctricos de un equipo que se encontraba en el área de mantenimiento, el señor se corta el 2do y 3er dedo (superficial) de la mano izquierda con un estilete.</t>
  </si>
  <si>
    <t>Corte/Herida en dedo</t>
  </si>
  <si>
    <t>Cuchilla</t>
  </si>
  <si>
    <t>Falta de Habilidad / Instrucción inicial inadecuada</t>
  </si>
  <si>
    <t xml:space="preserve">Falta de entrenamiento </t>
  </si>
  <si>
    <t>ILU27286</t>
  </si>
  <si>
    <t>GANOZA QUISPE</t>
  </si>
  <si>
    <t xml:space="preserve">JORGE LUIS </t>
  </si>
  <si>
    <t>45347066</t>
  </si>
  <si>
    <t xml:space="preserve">Aproximadamente a la 1:45 pm el colaborador detecta que una de las boquillas de la maquina estaba obtruida y decide revisar y limpiar la tuberia de producto que ingresa a dicha boquilla; cierra la válvula de producto y retira el codo de ingreso de material y se dispone a limpiar; en ese momento la manguera que sujetaba la válvula se desprende de la tuberia y el producto que se encontraba en ella salpica al colaborador en la parte derecha del pecho y cuello.
El colaborador se dirige a la ducha y posteriormente al tópico donde se revisa y deriva a la clinica donde le dieron 2 dias de descanso medico 
</t>
  </si>
  <si>
    <t xml:space="preserve">Ingeniería Inadecuada </t>
  </si>
  <si>
    <t>PGL27349</t>
  </si>
  <si>
    <t>SAMAN CUENCA</t>
  </si>
  <si>
    <t>RAUL</t>
  </si>
  <si>
    <t>15397601</t>
  </si>
  <si>
    <t>Siendo las 18:45 horas, un colaborador  regresaba al área de instantáneos luego de sus refrigerio, en eso él ve que la puerta de ingreso estaba elevada y decide pasar, sin embargo esta desciende de manera inesperada golpeando la cabeza del colaborador.</t>
  </si>
  <si>
    <t xml:space="preserve">Contusión en la cabeza </t>
  </si>
  <si>
    <t>Puerta de ingreso elevable</t>
  </si>
  <si>
    <t>DET27377</t>
  </si>
  <si>
    <t>DETERGENTE CALLAO</t>
  </si>
  <si>
    <t xml:space="preserve"> Artola</t>
  </si>
  <si>
    <t>Alfredo</t>
  </si>
  <si>
    <t>25708949</t>
  </si>
  <si>
    <t>Durante un cambio de bobina de laminado Bolivar de aprox. 70 kilos en la maquina 1008. El operador de envasadora Masipack se dispone a bajar una bobina de la paleta para colocarlo en el coche elevador de bobinas y posteriormente colocarla en la envasadora.​
Para realizar la actividad de forma correcta: ​
- Se debe primero elevar la bobina usando el tecle con volteador. ​
- Estando suspendida, se activa el volteador para que este de forma horizontal el eje de la bobina. ​
- Se coloca en el coche elevador para ser trasladado a la parte posterior de la envasadora.​
El trabajador obvio el paso 1 y 2, queriendo voltear la bobina con sus manos y pasarlo al coche elevador. Durante esa maniobra, debido al peso de la bobina, se genera un deslizamiento perdiendo el control de la misma y atrapando su dedo contra otra bobina.​</t>
  </si>
  <si>
    <t>Atrapamiento y contusión en dedo de la mano</t>
  </si>
  <si>
    <t>Bobina de laminado de aproximadamente 70 kg</t>
  </si>
  <si>
    <t>Motivación Incorrecta</t>
  </si>
  <si>
    <t>Intento incorrecto de ahorrar tiempo o esfuerzo</t>
  </si>
  <si>
    <t>ALI27418</t>
  </si>
  <si>
    <t>CENTRO DE DISTRIBUCION HUACHIPA</t>
  </si>
  <si>
    <t xml:space="preserve">GALVEZ FREYRE </t>
  </si>
  <si>
    <t>DYLAN PASCUAL</t>
  </si>
  <si>
    <t>HASP SERVICE</t>
  </si>
  <si>
    <t>Tercero-servicios de alimentación</t>
  </si>
  <si>
    <t>Aprox. a las 08:30 a.m., durante las labores de habilitado en el área de cocina fría, colaborador sufre un corte en el dedo pulgar de la mano izquierda con el cuchillo mientras cortaba la lechuga.</t>
  </si>
  <si>
    <t>Corte en el dedo pulgar de la mano izquierda</t>
  </si>
  <si>
    <t>Cuchillo de cocina</t>
  </si>
  <si>
    <t>Falta de Habilidad / Procedimiento inadecuado</t>
  </si>
  <si>
    <t>ILU27379</t>
  </si>
  <si>
    <t>MANIHUARI ANDRADE</t>
  </si>
  <si>
    <t>VICTOR</t>
  </si>
  <si>
    <t xml:space="preserve">Aproximadamente a las 8:20 am, el colaborador afectado se encontraba realizando la actividad de abastecimiento de producto en coches hacia la tolva de una de las envasadoras de detergente. Durante el abastecimiento, observó que la lona se encontraba mal posicionada en la tolva, por lo que se agachó para acomodarla. Una vez realizada la acción, el colaborador retiró los brazos de manera rápida, sin advertir la proximidad de la estructura del coche, impactando su codo izquierdo contra una parte de dicha estructura, lo que le ocasionó una contusión en la zona afectada.​
Continuó con sus labores; sin embargo, al cabo de unos minutos notó una ligera incomodidad y una protuberancia en la zona, por lo que dio aviso  inmediato. </t>
  </si>
  <si>
    <t>Contusión en codo izquierdo</t>
  </si>
  <si>
    <t>Estructura metálica del coche de abastecimiento</t>
  </si>
  <si>
    <t>PGL27404</t>
  </si>
  <si>
    <t>Turno 3</t>
  </si>
  <si>
    <t>Zaravia Taboada</t>
  </si>
  <si>
    <t>José Antonio</t>
  </si>
  <si>
    <t>Siendo las 05:20 a. m., el operador de mesa de acomodo de la Línea 2 se dispone a pasar por debajo de la estructura del brazo vibratorio, momento en el cual impacta su cabeza contra una esquina metálica de la estructura. Como consecuencia del golpe, el trabajador presenta una contusión.</t>
  </si>
  <si>
    <t>Contusión en la cabeza</t>
  </si>
  <si>
    <t>Estructura metálica del brazo vibratorio</t>
  </si>
  <si>
    <t>PGL27446</t>
  </si>
  <si>
    <t xml:space="preserve">PEÑALOZA POMAZONCCO </t>
  </si>
  <si>
    <t>CINTHIA DAYSI</t>
  </si>
  <si>
    <t>42533647</t>
  </si>
  <si>
    <t xml:space="preserve">A las 15:45 se envasaban los refrescos; un operador manipuló la escalera de avión y accidentalmente en el tránsito golpeó el ventilador de la zona que se encontraba encendido. 
Este ventilador tenía polvillo acumulado y al ser golpeado, el polvillo se liberó y fue arrastrado por el aire llegando de esta manera a los ojos de la afectada generando irritación </t>
  </si>
  <si>
    <t>Irritación ocular</t>
  </si>
  <si>
    <t>Ventilador en funcionamiento con acumulación de polvillo</t>
  </si>
  <si>
    <t>Liderazgo y/o Supervisión Inadecuados</t>
  </si>
  <si>
    <t>COCHABAMBA</t>
  </si>
  <si>
    <t>Hurtado Pinto</t>
  </si>
  <si>
    <t xml:space="preserve">Juan Silvio </t>
  </si>
  <si>
    <t>Transporte Gregorio Condori TGC​</t>
  </si>
  <si>
    <t>En fecha 26/04/2026, a horas 18:00 durante el proceso de descarga de sebo, materia prima utilizada para la producción de manteca en Planta Cbba, se produjo un accidente incapacitante con 2 días DM.
- Previo a la descarga, el producto permaneció detenido para la realización de análisis de impurezas al cisterna, situación que ocasionó el congelamiento del sebo en la línea de descarga. En este contexto, el conductor del cisterna realizó, sin autorización, el calentamiento con vapor de la válvula de descarga y conexión hacia la línea de sebo; mientras paralelamente el Asistente de Refinería ejecutaba trabajos con aire para destrancar la tubería hacia el tanque de recepción de crudo.
- Durante la actividad, la presencia de energía remanente (aire no purgado) provocó el retorno de aire hacia el cisterna, ocasionando el desacople de la manguera de descarga. Como consecuencia, la manguera golpeó el brazo del conductor y ocasionó que la línea de vapor genere una quemadura de 2° grado en la pierna izquierda.</t>
  </si>
  <si>
    <t>Quemadura de segundo grado en pierna izquierda</t>
  </si>
  <si>
    <t>Energía no controlada (aire y vapor)</t>
  </si>
  <si>
    <t>Liderazgo y/o Supervisión Inadecuados / Falta de cumplimiento de procedimientos y control de energías peligrosas</t>
  </si>
  <si>
    <t>PGL27468</t>
  </si>
  <si>
    <t>SILVA SEVERINO</t>
  </si>
  <si>
    <t xml:space="preserve"> JHON ALEXANDER​</t>
  </si>
  <si>
    <t xml:space="preserve">Aproximadamente a las 21:20 horas un operario sufre un resbalón en una superficie lisa de línea 2, mientras trasladaba una bandeja con galleta granel para apilarlo en el pallet. El operador colocó su mano izquierda en el piso para no caer por completo. </t>
  </si>
  <si>
    <t>Golpe de mano</t>
  </si>
  <si>
    <t xml:space="preserve"> Superficie lisa de la línea 2</t>
  </si>
  <si>
    <t>Mantenimiento inadecuado</t>
  </si>
  <si>
    <t>Limpieza o recubrimiento de superficie inadecuado</t>
  </si>
  <si>
    <t>GÑA27513</t>
  </si>
  <si>
    <t>Mendoza</t>
  </si>
  <si>
    <t xml:space="preserve">Isuiza Elda </t>
  </si>
  <si>
    <t>Siendo aproximadamente las 18:45 horas, una operaria de limpieza se encontraba culminando labores de limpieza en la plataforma del 3er nivel de Envasado. Al momento de​ descender al 2do nivel por una escalera fija portando un balde con trapeador en la mano derecha y apoyándose en la baranda con la mano izquierda, usando guantes de jebe que limitaban el agarre firme.​ Al pisar el segundo escalón, su pie derecho tropieza y pierde el equilibrio y producto de una abertura pronunciada entre la baranda y el rodapié, la trabajadora cae lateralmente desde una altura aproximada de 2.5 m, impactando sobre la plataforma del 2do nivel.​</t>
  </si>
  <si>
    <t>Golpe lateral contra superficie</t>
  </si>
  <si>
    <t xml:space="preserve">Escalera fija con abertura en la protección lateral </t>
  </si>
  <si>
    <t xml:space="preserve">Estándares, especificaciones y/o criterios de diseño inadecuados </t>
  </si>
  <si>
    <t>Calderon</t>
  </si>
  <si>
    <t xml:space="preserve">Hugo </t>
  </si>
  <si>
    <t>Propio</t>
  </si>
  <si>
    <t xml:space="preserve">En fecha miércoles 29 de abril de 2026, aproximadamente a horas 07:30 am, durante la actividad de limpieza de prensa en el área de blanqueo de Sebo, el operador realizaba el traslado de un pallet con una carga parcial de bolsa de un peso aprox. 350 [kg] destinada a la recepción de tierra filtrada de la prensa.
Durante el ingreso, el operador pisó una rejilla de inspección lo que ocasionó su desequilibrio. Como consecuencia, el transpallet se desplazó hacia el pie de apoyo, generando una atrición entre el transpallet y la base del motor del tanque de blanqueo en la pantorrilla derecha. </t>
  </si>
  <si>
    <t>Fractura Tibia - pie derecho</t>
  </si>
  <si>
    <t xml:space="preserve">Rejilla de inspección </t>
  </si>
  <si>
    <t>Estándares de trabajo inadecuados</t>
  </si>
  <si>
    <t>Comunicación inadecuada de estándares para entrenamiento</t>
  </si>
  <si>
    <t>ILU27889</t>
  </si>
  <si>
    <t>LURIN CD1</t>
  </si>
  <si>
    <t xml:space="preserve">GUILLEN OREJUELA </t>
  </si>
  <si>
    <t xml:space="preserve"> RAUL GERARDO</t>
  </si>
  <si>
    <t xml:space="preserve">El día 06/05/2026 a horas 10:50 pm aproximadamente, el trabajador tercero de Clenead, se encontraba retornando de su refrigerio y al bajar las escaleras, en uno de los peldaños no pisa firmemente a lo cual sufre una dobladura de tobillo, al no sentir dolor inmediato, siguió con sus labores y pasado unos 30 minutos empezó a sentir molestia y dolor, a lo cual se comunicaron con su supervisor y fue atendido en el tópico.
Medico ocupacional de ITDV, en la revisión, indica que guarde reposo ante la contusión hasta finalizar el turno, no se deriva a clínica.
Posterior a ello colaborador al retirarse fuera del predio (hora de salida) es contactado por su área de Medicina ocupacional a lo cual sí es derivado a clínica y se le brinda 6 días de DM. 
</t>
  </si>
  <si>
    <t>Torcedura de pie</t>
  </si>
  <si>
    <t>I+D</t>
  </si>
  <si>
    <t>Laboratorio I+D</t>
  </si>
  <si>
    <t>Montaluisa Naranjo</t>
  </si>
  <si>
    <t>Bryan Fabricio</t>
  </si>
  <si>
    <t xml:space="preserve">El día viernes 8-05-2026 16H30 el colaborador se encontraba en el área del laboratorio de calidad realizando el análisis de densidad en muestras de jabón líquido con viscosidad alta,  colocado todo su EPP´s, realizo 3 análisis de densidad, al realizar el cuarto análisis, coge con la mano izquierda el picnómetro de vidrio y con la mano derecha vierte  la muestra; debido a la viscosidad de la misma existió dificultad en el llenado, por lo que procede a golpear el picnómetro sobre la toalla y el papel que estaba asentada sobre la mesa de trabajo, en ese momento el picnómetro se rompe y le corta el dedo medio de su mano izquierda, recibe primeros auxilios en el dispensario médico y es derivado a una unidad de salud privada, es valorado por el especialista, le suturan 4 puntos y le dan 2 días de reposo (8/05/2026 hasta 9/05/2026) para su recuperación. El colaborador reingreso a sus actividad laborales el 11/05/2026 sin restricción médicas
</t>
  </si>
  <si>
    <t>Herida en dedo</t>
  </si>
  <si>
    <t>ILU27141</t>
  </si>
  <si>
    <t xml:space="preserve"> MANUFACTURA</t>
  </si>
  <si>
    <t xml:space="preserve">SALAZAR RAMOS </t>
  </si>
  <si>
    <t>ALVARO CESAR</t>
  </si>
  <si>
    <t>Aproximadamente cerca de las 16:05 horas, el trabajador accidentado se dispuso a realizar la limpieza de las fajas de tracción de la envasadora #36. El trabajador se dispone a realizar la limpieza con un trapo y alcohol. Esta actividad la ejecuta con la fajas del equipo en funcionamiento, las cuales giran en sentido antihorario y están cercanas al tubo formador del equipo.​
Al colocar el trapo sobre la parte superior de la faja, el trapo queda atrapado entre la faja y el tubo formador arrastrando su mano izquierda, generándole  un aplastamiento en el dedo medio izquierdo.</t>
  </si>
  <si>
    <t>Amputación parcial dedo</t>
  </si>
  <si>
    <t>Máquina empacadora</t>
  </si>
  <si>
    <t>ILU27554</t>
  </si>
  <si>
    <t>RAMOS CASTAÑEDA</t>
  </si>
  <si>
    <t>MANUEL NATIVIDAD</t>
  </si>
  <si>
    <t>CONSULTING</t>
  </si>
  <si>
    <t>El sábado 09/05 aproximadamente a las 06:10 am, el trabajador accidentado (Consulting Advisers) se encontraba manipulando el tecle eléctrico del silo diario de carbonato, ello para facilitar el espacio y dejar libre para la actividad que se realizaba en la base del mismo (colocación de pernos). Al realizar la manipulación del mismo (elevación de la cadena), no se percata que el gancho del tecle queda enganchado en un ángulo de la estructura del silo, el colaborador siguió oprimiendo el botón de ascenso, lo que originó que la cadena acumule presión. Esta cadena sube de manera súbita generando un movimiento en forma de péndulo impactando en el dedo medio de la mano derecha del colaborador.</t>
  </si>
  <si>
    <t>Tecle de izaje</t>
  </si>
  <si>
    <t>Falta de entrenamiento</t>
  </si>
  <si>
    <t>PGL27563</t>
  </si>
  <si>
    <t xml:space="preserve"> Gavilán Barrutia</t>
  </si>
  <si>
    <t>Xiomara Sofía</t>
  </si>
  <si>
    <t>60827934</t>
  </si>
  <si>
    <t>El día 12-may a las 10:15 am durante el abastecimiento de paquetes a la envasadora C10 de L3, un paquete se atoró en el transportador y en el intento de desatorar el paquete, la trabajadora sufrió un corte en el segundo dedo de la mano derecha.</t>
  </si>
  <si>
    <t>ILU27590</t>
  </si>
  <si>
    <t>SILVA CARDENAS</t>
  </si>
  <si>
    <t>GERARDO</t>
  </si>
  <si>
    <t>El colaborador se encontraba en Soplado realizando el abastecimiento manual de frascos vacíos desde una bandeja hacia la faja transportadora de la máquina Sika N.° 4. Durante la ejecución de esta actividad, generando movimientos verticales, impactó la parte superior de su cabeza contra un soporte metálico tipo perno perteneciente al pulsador instalado en la estructura de la faja transportadora.</t>
  </si>
  <si>
    <t>Herida en cabeza</t>
  </si>
  <si>
    <t>PGL27591</t>
  </si>
  <si>
    <t xml:space="preserve"> AYMA MELQUIADES</t>
  </si>
  <si>
    <t>ZANABRIA</t>
  </si>
  <si>
    <t>25832977</t>
  </si>
  <si>
    <t xml:space="preserve">Aproximadamente a las 18:35 horas del lunes 18 de mayo, un operador sufrió una herida en la ceja derecha con el borde de una bandeja de plástico. El contacto ocurrió cuando el operador intentó mover 3 bandejas vacías.
</t>
  </si>
  <si>
    <t>Bandeja galleta</t>
  </si>
  <si>
    <t>ILU27615</t>
  </si>
  <si>
    <t xml:space="preserve">GARCIA HERNANDEZ </t>
  </si>
  <si>
    <t>ANTONY YERSON</t>
  </si>
  <si>
    <t>46295022</t>
  </si>
  <si>
    <t xml:space="preserve">El trabajador de mantenimiento se encontraba realizando labores de limpieza en un torno utilizando una línea de aire comprimido para el sopleteado de virutas y residuos metálicos.
Al finalizar la actividad y mientras se disponía a colgar la manguera de aire, observó que una viruta metálica se había enredado en el espiral de la línea de aire. Al intentar retirarla manualmente, jala la viruta con al mano derecha ,produciéndose en ese momento un corte en el dedo medio. El trabajador sintió ardor inmediatamente e informó el incidente a su supervisor. Posteriormente fue trasladado al tópico y, debido a la profundidad de la lesión, fue derivado a una clínica para la atención médica correspondiente, donde se determinó la necesidad de sutura.
</t>
  </si>
  <si>
    <t>Herramientas o equipos inadecuados</t>
  </si>
  <si>
    <t>PCO27813</t>
  </si>
  <si>
    <t>TENAZOA TORRES</t>
  </si>
  <si>
    <t xml:space="preserve"> LERY GRETEL</t>
  </si>
  <si>
    <t xml:space="preserve">En circunstancias que Supervisora de Cleaned sale de la oficina de calidad de Oleos, al bajar peldaño de la vereda se tropieza, llegando a doblar el tobillo del pie derecho. </t>
  </si>
  <si>
    <t xml:space="preserve">SID27830 </t>
  </si>
  <si>
    <t>ARANZABAL ROMAN</t>
  </si>
  <si>
    <t>WYATT HERBERT</t>
  </si>
  <si>
    <t>Alrededor de las 13:15 horas, el operario se encontraba en la mesa de inspección de la Línea 2 durante aproximadamente los primeros 15 minutos de su jornada. Posteriormente fue derivado a la Línea 1.
Durante el transito hacia la zona de magazines, el trabajador refiere haber pisado sunchos plásticos que se encontraban en el piso produciéndose un resbalón y posterior caída sobre su propio peso, apoyando la mano derecha contra el piso.
El trabajador continuó realizando actividades de alimentación al magazine por algunos minutos, al percibir incremento del dolor en la mano reportó lo ocurrido a su coordinador, quien procedió con la activación del protocolo de atención correspondiente.</t>
  </si>
  <si>
    <t>Esguinde de mano</t>
  </si>
  <si>
    <t>ILU27627</t>
  </si>
  <si>
    <t>Espinoza Tapia</t>
  </si>
  <si>
    <t>Ricardo</t>
  </si>
  <si>
    <t xml:space="preserve">Un colaborador de Consulting Advisers se encontraba en la zona de coches, efectuando el traslado y acomodo de coches con detergente hacia la balanza N° 2, con el fin de facilitar la descarga del producto. Durante la ejecución de dicha actividad, otro colaborador de Consulting Advisers movilizó un coche con producto (278 kg) sin percatarse de la ubicación de su compañero, ocasionando el impacto del coche contra el hombro y pie izquierdo. Posterior al evento el colaborador manifestó dolor en el hombro y pie.
El evento fue comunicado de manera inmediata a la supervisión del área. El colaborador fue atendido en tópico, siendo evaluado inicialmente como accidente no incapacitante (con reubicación). En las posteriores reevaluaciones, se determinó la necesidad de trasladarlo a la clínica San Pablo para recibir atención especializada
</t>
  </si>
  <si>
    <t>Coche</t>
  </si>
  <si>
    <t>ILU27801</t>
  </si>
  <si>
    <t>PALACIOS CARHUA</t>
  </si>
  <si>
    <t xml:space="preserve"> ENRIQUE</t>
  </si>
  <si>
    <t>Un colaborador de la empresa Consulting Advisers se encontraba realizando labores de fraccionamiento y abastecimiento de LESS (Lauril Éter Sulfato de Sodio 70%), durante la actividad el colaborador debido a la incomodidad se retira los lentes antiparra y se frota el ojo derecho con los guantes contaminados, generándole irritación y enrojecimiento.​
El evento fue comunicado al día siguiente de lo ocurrido donde fue atendido en tópico, siendo evaluado inicialmente como accidente no incapacitante. En las posteriores reevaluaciones, se determinó la necesidad de trasladarlo a la clínica San Pablo para recibir atención especializada.</t>
  </si>
  <si>
    <t>Cuerpo extraño en vista</t>
  </si>
  <si>
    <t>ALI27891</t>
  </si>
  <si>
    <t xml:space="preserve"> MILAGROS DEL VALLE</t>
  </si>
  <si>
    <t>VILLAROEL</t>
  </si>
  <si>
    <t>En circunstancias que colaboradora procede a salir del área de vestuario con una bolsa de residuos por la puerta intermedia, al jalar de la manija para abrir se golpea el dorso de la mano derecha contra la pared.</t>
  </si>
  <si>
    <t xml:space="preserve">
Golpe de mano contra</t>
  </si>
  <si>
    <t xml:space="preserve"> Puerta y pared del área de vestuario.</t>
  </si>
  <si>
    <t>Ingeniería Inadecuada</t>
  </si>
  <si>
    <t>Consideración inadecuada de factores humanos / ergonomía</t>
  </si>
  <si>
    <t>PGL27850</t>
  </si>
  <si>
    <t>NAVARRO VILLODAS</t>
  </si>
  <si>
    <t>YULIANA HEIDI</t>
  </si>
  <si>
    <t>El día 12/06/2026, aproximadamente a las 06:50 am, la colaboradora que se desempeña como operaria de producción se encontraba caminando por el sendero peatonal (frente a patio de maniobras de MFA) en dirección a la planta de G&amp;I, cuando se detiene a amarrarse los pasadores apoyando un pie en el muro y al reincorporarse pierde el equilibrio al pisar un desnivel, cayéndose y golpeándose la cabeza y la rodilla.</t>
  </si>
  <si>
    <t>Golpe en cabeza y rodilla por caída en senda</t>
  </si>
  <si>
    <t>Sendero peatonal con desnivel.</t>
  </si>
  <si>
    <t>Evaluación inadecuada de exposición a pérdidas</t>
  </si>
  <si>
    <t>MPA28023</t>
  </si>
  <si>
    <t>MOLINO PAITA</t>
  </si>
  <si>
    <t xml:space="preserve">TORRES MORAN </t>
  </si>
  <si>
    <t>ANDRY</t>
  </si>
  <si>
    <t>Un colaborador del área de embolsado se encontraba movilizando envases de harina mediante un carrito desde el primer hacia el segundo nivel de empaque. Al llegar a la puerta de salida del primer piso, la cual tiene un diseño de puerta de emergencia, es golpeado contra la barra antipánico de la puerta, la cual tenía una superficie filosa causándole un corte en el antebrazo derecho. Se le brinda los primeros auxilios y es evacuado a clínica para sutura</t>
  </si>
  <si>
    <t>Herida cortante en antebrazo derecho</t>
  </si>
  <si>
    <t>Puerta de emergencia con barra antipánico.</t>
  </si>
  <si>
    <t>Herramientas y Equipo Inadecuados</t>
  </si>
  <si>
    <t>Estándares o especificaciones inadecuadas</t>
  </si>
  <si>
    <t>ILU27959</t>
  </si>
  <si>
    <t xml:space="preserve">PALOMARE SECLEN </t>
  </si>
  <si>
    <t>CESAR SMITH</t>
  </si>
  <si>
    <t>Siendo aprox. 04:50 am durante la actividad de traslado de paletas vacías desde el almacén CD1 a la jaula de paletas (patio CD2), el colaborador de Ransa ingresó en retroceso conforme al procedimiento establecido y procedió a acomodar las rumas de paletas vacías.​
Sin embargo, al maniobrar con la mano derecha apoyándose del mango, en el impacto con otra ruma de paletas, este le ocasionó el atrapamiento de los dedos de la mano derecha.</t>
  </si>
  <si>
    <t>atrapamiento dedos mano derecha</t>
  </si>
  <si>
    <t>Rumas de paletas vacías y mango del equipo de traslado.</t>
  </si>
  <si>
    <t>MCA27983</t>
  </si>
  <si>
    <t xml:space="preserve">DIAZ MOYA </t>
  </si>
  <si>
    <t>MARCO ANTONIO</t>
  </si>
  <si>
    <t>Aproximadamente a las 08:40 hrs, en el área de embolsado, el colaborador se encontraba laborando en la Línea 1 y, al detectar un saco con error de costura, intenta retirar el saco de la faja transportadora.
En la maniobra, el colaborador golpea el saco contra la baranda guía, haciendo que pierda la estabilidad y resbalando hacia atrás, provocando que caiga de espaldas.
El colaborador es auxiliado por los compañeros y se informa inmediatamente al supervisor, se llama a la ambulancia y se revisa al colaborador, quien es llevado a tópico para su atención</t>
  </si>
  <si>
    <t>Contusión en espalda por caída al mismo nivel</t>
  </si>
  <si>
    <t>Faja transportadora, saco de producto y baranda guía.</t>
  </si>
  <si>
    <t>Estándares de Trabajo Inadecuados</t>
  </si>
  <si>
    <t>Procedimientos, prácticas / reglas.</t>
  </si>
  <si>
    <t xml:space="preserve"> ALI28020</t>
  </si>
  <si>
    <t>OTRAS VICEPRESIDENCIAS</t>
  </si>
  <si>
    <t>ALDIVIA VILLAGARAY</t>
  </si>
  <si>
    <t xml:space="preserve">FRANCISCO ITALO </t>
  </si>
  <si>
    <t>BOCACION S.A.C</t>
  </si>
  <si>
    <t xml:space="preserve">En circunstancias que el colaborador procedía a realizar la actividad de habilitado de zapallo, coge el cuchillo por el mango con la mano derecha y con la mano izquierda abraza la parte filosa, a fin de generar presión sobre la verdura (zapallo), lo que ocasiona que se corte el dedo medio de la mano izquierda, a la altura de la última falange. </t>
  </si>
  <si>
    <t xml:space="preserve">Corte dedo medio </t>
  </si>
  <si>
    <t>Cuchillo (hoja filosa).</t>
  </si>
  <si>
    <t xml:space="preserve"> Falta de Habilidad</t>
  </si>
  <si>
    <t>Procedimiento inadecuado</t>
  </si>
  <si>
    <t>Burgos</t>
  </si>
  <si>
    <t xml:space="preserve">Gabriel </t>
  </si>
  <si>
    <t xml:space="preserve">El colaborador se encontraba realizando limpieza de su zona de trabajo, transporte neumático, el día 19/06/2026 en el turno de la noche.​En sus funciones está la limpieza de las gradas.​ A la 1h50 el colaborador está realizando un barrido de la zona de las escaleras pierde la estabilidad al bajar de grada y se golpea el lado derecho de las costillas contra el pasamano.​ El incidente es notificado al supervisor de turno, pero no se retira de sus actividades ya que el colaborador menciona que no tiene dolor, al finalizar el turno comenta que se va a realizar el chequeo de la zona afectada con un doctor particular y se retira.​
</t>
  </si>
  <si>
    <t>Contusión en el lado derecho del tórax</t>
  </si>
  <si>
    <t>Escaleras (gradas) y pasamanos.</t>
  </si>
  <si>
    <t>Procedimientos / prácticas / reglas</t>
  </si>
  <si>
    <t>ILU27997</t>
  </si>
  <si>
    <t>MARQUINA SILVA</t>
  </si>
  <si>
    <t>RENZO MARTIN</t>
  </si>
  <si>
    <t>Un colaborador de la empresa Consulting Advisers se encontraba realizando labores de abastecimiento de coches, durante la actividad el colaborador decidió trasladar dos coches de manera simultánea sujetando un coche con cada mano, al momento de posicionarlos y acomodarlos sufrió un golpe en la mano derecha. Luego de unos minutos al evidenciar incomodidad da aviso a su supervisor y es derivado al tópico de planta.
El evento fue determinado inicialmente como accidente no incapacitante sin embargo en su reevaluación del día siguiente se determinó derivarlo a la clínica para atención especializada.</t>
  </si>
  <si>
    <t>Contusión en la mano derecha por golpe</t>
  </si>
  <si>
    <t>Coches de abastecimiento.</t>
  </si>
  <si>
    <t xml:space="preserve"> Motivación Incorrecta</t>
  </si>
  <si>
    <t>Intento incorrecto de ahorrar tiempo o esfuerzo.</t>
  </si>
  <si>
    <t>ILU28037</t>
  </si>
  <si>
    <t>El 26/06 a las 07:00h, al culminar las labores de succión de efluentes y con la poza prácticamente vacía, se presentó una liberación de gases desde la poza, como consecuencia el personal de la empresa contratista Praxis manifestó malestar y fue evaluado en tópico donde recibió tratamiento médico. Posteriormente el equipo de producción verificó que las válvulas de salida de óleum se encontraban cerradas, sin embargo quedó pendiente la inspección de la válvula ubicada en la línea de ingreso de la poza de efluentes.</t>
  </si>
  <si>
    <t>Intoxicación por inhalación de gases</t>
  </si>
  <si>
    <t>Poza de efluentes</t>
  </si>
  <si>
    <t>Identificación y evaluación inadecuadas de exposición a pérdidas</t>
  </si>
  <si>
    <t>STC28004</t>
  </si>
  <si>
    <t>Santa Cruz</t>
  </si>
  <si>
    <t>Barrancos</t>
  </si>
  <si>
    <t xml:space="preserve">Sioni </t>
  </si>
  <si>
    <t xml:space="preserve">El día 30/06/2026 a horas 8:30 am aproximadamente, la recepcionista de oficina central Sioni Barrancos perteneciente a la empresa contratista TSB, se encontraba yendo al área de archivo y al dirigirse hacia el parqueo con ambas manos ocupadas con 2 tasas al bajar el desnivel de la acera pisó en falso sufriendo una caída, lo que ocasiono un pequeño corte cerca a la rodilla y torcedura del tobillo izquierdo.
De manera inmediata recibió auxilio con el botiquín de la empresa realizando su curación de la rodilla y posteriormente se dirigió a su centro de salud de su seguro para evaluación de la inflamación de su tobillo.
Diagnostico medico: esguince grado 2 en tobillo izquierdo </t>
  </si>
  <si>
    <t>Esguince de tobillo</t>
  </si>
  <si>
    <t>Acera con desnivel</t>
  </si>
  <si>
    <t>PGL27999</t>
  </si>
  <si>
    <t xml:space="preserve">FLORES AGUILA </t>
  </si>
  <si>
    <t>SILVIA KARINA</t>
  </si>
  <si>
    <t xml:space="preserve">Aproximadamente a las 05:40 a. m., la operadora de producción asignada a la Línea 2 sufrió un incidente al atraparse el quinto dedo de la mano derecha con el asa de una bandeja de galletas, produciéndose un estiramiento del dedo afectado. Tras el evento, fue trasladada al tópico para la atención inicial y posteriormente derivada a una clínica para una evaluación médica más especializada. El diagnostico final esta en trascurso. </t>
  </si>
  <si>
    <t>Distensión (estiramiento) del quinto dedo de la mano derecha</t>
  </si>
  <si>
    <t>Asa de bandeja de galletas.</t>
  </si>
  <si>
    <t xml:space="preserve">	ILU28036</t>
  </si>
  <si>
    <t xml:space="preserve">CAMPOS CABRERA </t>
  </si>
  <si>
    <t>KEVIN FERNANDO</t>
  </si>
  <si>
    <t>PRAXIS ECOLOGY</t>
  </si>
  <si>
    <t>Durante las actividades de recojo de residuos sólidos peligrosos, un operario de la empresa contratista Praxis manifestó una sensación de ardor en los ojos mientras realizaba el carguío de sacos contaminados. Ante esta situación, se retiró temporalmente algunos elementos de protección personal (respirador, guantes y lentes) para limpiarse el sudor y posteriormente retomó la ejecución de la actividad.</t>
  </si>
  <si>
    <t>Irritación ocular / ardor ocular.</t>
  </si>
  <si>
    <t xml:space="preserve">Residuos sólidos peligrosos contaminados </t>
  </si>
  <si>
    <t>Intento incorrecto de evitar incomodidad</t>
  </si>
  <si>
    <t>ILU28073</t>
  </si>
  <si>
    <t xml:space="preserve">AGURTO CABRERA </t>
  </si>
  <si>
    <t>ROSA</t>
  </si>
  <si>
    <t>El personal de Cleaned a su encargada de la presencia de sintomatología relacionada a intoxicación (Dolor de cabeza, náuseas, mareos, urticaria, etc). Pasado unos minutos, más colaboradores de la concesionaria empiezan a presentar los mismos síntomas, por lo que también son derivados.</t>
  </si>
  <si>
    <t xml:space="preserve">Sustancia química de desinsectación </t>
  </si>
  <si>
    <t>PFL28132</t>
  </si>
  <si>
    <t xml:space="preserve">IBARRA MELENDEZ </t>
  </si>
  <si>
    <t>LUIS ERNESTO</t>
  </si>
  <si>
    <t>El 08/07 a las 2:40 p. m., durante labores de limpieza en la Prensa L22, un técnico mecánico de mantenimiento sufrió una herida en la región frontal izquierda tras el impacto de una varilla que cayó desde un segundo nivel.</t>
  </si>
  <si>
    <t xml:space="preserve"> corte/laceración </t>
  </si>
  <si>
    <t>Varilla caída desde segundo nivel.</t>
  </si>
  <si>
    <t>Evaluación inadecuada de necesidades y riesgos</t>
  </si>
  <si>
    <t>ILU28185</t>
  </si>
  <si>
    <t xml:space="preserve">SEGOVIA GUTIERREZ </t>
  </si>
  <si>
    <t>EDWIN SMITH</t>
  </si>
  <si>
    <t>CALIDAD</t>
  </si>
  <si>
    <t xml:space="preserve">El personal de Calidad informa a su encargada de la presencia de sintomatología relacionada a intoxicación (Dolor de cabeza, náuseas, mareos, urticaria, etc). Pasado unos minutos, más colaboradores de la concesionaria empiezan a presentar los mismos síntomas, por lo que también son derivados.
</t>
  </si>
  <si>
    <t xml:space="preserve">SIFUENTES SOSA </t>
  </si>
  <si>
    <t>MELISA ANDREA</t>
  </si>
  <si>
    <t xml:space="preserve"> LOCK CAMINO </t>
  </si>
  <si>
    <t>JAIME EDUARDO</t>
  </si>
  <si>
    <t>AMERICA CAUTERING</t>
  </si>
  <si>
    <t>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Cabe agregar que el mismo día aproximadamente a las 02:45 am se ejecuta la desinsectación de ambientes de dicho comedor.</t>
  </si>
  <si>
    <t>ILU28186</t>
  </si>
  <si>
    <t xml:space="preserve">FERNANDEZ QUISPE </t>
  </si>
  <si>
    <t>JOSSELIN JUDITH</t>
  </si>
  <si>
    <t>ILU28187</t>
  </si>
  <si>
    <t>MALPARTIDA TORRES</t>
  </si>
  <si>
    <t xml:space="preserve"> ANGEL</t>
  </si>
  <si>
    <t>ILU28188</t>
  </si>
  <si>
    <t xml:space="preserve">NASHNATE UNICAHUARI </t>
  </si>
  <si>
    <t>HERMES</t>
  </si>
  <si>
    <t>ILU28189</t>
  </si>
  <si>
    <t xml:space="preserve">VILCAS GAMBOA </t>
  </si>
  <si>
    <t>GERALDINE SONIA</t>
  </si>
  <si>
    <t>ILU28190</t>
  </si>
  <si>
    <t xml:space="preserve">YOVERA FLORES </t>
  </si>
  <si>
    <t>GEYDE YSABED</t>
  </si>
  <si>
    <t>ILU28191</t>
  </si>
  <si>
    <t>BRACHO GRATEROL</t>
  </si>
  <si>
    <t xml:space="preserve"> AERLIN</t>
  </si>
  <si>
    <t>ILU28192</t>
  </si>
  <si>
    <t>GONZALES MOQUILLAZA</t>
  </si>
  <si>
    <t xml:space="preserve"> ROSA ANGELICA</t>
  </si>
  <si>
    <t>El colaborador de la empresa Cleaned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Cabe agregar que el mismo día aproximadamente a las 02:45 am se ejecuta la desinsectación de ambientes de dicho comedor.</t>
  </si>
  <si>
    <t>ILU28193</t>
  </si>
  <si>
    <t xml:space="preserve">ROBLES GARCIA </t>
  </si>
  <si>
    <t>YAHAIRA LISSET</t>
  </si>
  <si>
    <t xml:space="preserve">El colaborador de la empresa Cleaned informa a su encargada de la presencia de sintomatología relacionada a intoxicación (Dolor de cabeza, náuseas, mareos, urticaria, etc). Pasado unos minutos, más colaboradores de la concesionaria empiezan a presentar los mismos síntomas, por lo que también son derivados. </t>
  </si>
  <si>
    <t>PAN28087</t>
  </si>
  <si>
    <t xml:space="preserve">SILLOCA SILLOCA </t>
  </si>
  <si>
    <t>VITALIANO WENCESLAO</t>
  </si>
  <si>
    <t>Siendo aproximadamente las 10:20 a.m., el trabajador se encontraba realizando la apertura manual de la puerta corrediza de recepción de materiales para el área de materias primas de Galletería, sujetando la manija con la mano izquierda y apoyando la mano derecha sobre la pared. Durante la maniobra, al ejercer fuerza sobre la manija porque presentaba dureza en el recorrido, ocasionó el atrapamiento del primer dedo de la mano derecha entre la manija de la puerta y la pared. De forma inmediata, el trabajador fue trasladado al tópico de la empresa, donde recibió atención médica preliminar y posteriormente se deriva a la Clinica San Juan de Dios.</t>
  </si>
  <si>
    <t>Contusión / aplastamiento del primer dedo de la mano derecha.</t>
  </si>
  <si>
    <t xml:space="preserve"> Puerta corrediza manual </t>
  </si>
  <si>
    <t>Ajuste / reparación / mantenimiento inadecuados</t>
  </si>
  <si>
    <t xml:space="preserve">	SID28172</t>
  </si>
  <si>
    <t xml:space="preserve">OCHOA ROCA </t>
  </si>
  <si>
    <t>JUAN CARLOS</t>
  </si>
  <si>
    <t>El colaborador se encontraba realizando labores en el área de Envasado cuando intentó orientar un ventilador para dirigir el flujo de aire hacia su posición de trabajo. Durante esta acción, tomó el ventilador con ambas manos desde la guarda tipo rejilla y no se percató de que esta presentaba una deformación, ocasionando que uno de sus dedos rozara con las aletas del ventilador, produciéndose un corte.
El colaborador fue trasladado al tópico para su atención médica. Actualmente, se viene realizando la investigación del evento para determinar las causas y establecer las acciones correspondientes</t>
  </si>
  <si>
    <t>Corte (laceración) en dedo de la mano.</t>
  </si>
  <si>
    <t>Ventilador con guarda/rejilla deformada</t>
  </si>
  <si>
    <t>Remoción y reemplazo inadecuado de artículos inapropiados</t>
  </si>
  <si>
    <t xml:space="preserve">RIOS RIOJA </t>
  </si>
  <si>
    <t>ROCIO CAMILA</t>
  </si>
  <si>
    <t xml:space="preserve">Un colaboradora de la empresa Consulting Advisers se encontraba realizando labores de tapado manual de potes, durante la actividad la colaboradora se encontraba de pie sobre una plataforma de trabajo. Al realizar un movimiento durante la ejecución de la tarea, apoyó el pie fuera del borde de la plataforma, perdiendo la estabilidad. Como consecuencia, sufrió la torcedura del tobillo derecho. Tras el evento, se la derivo al tópico de planta donde se le aplico la medicina correspondiente. Al finalizar el turno el dolor se intensificó y fue derivada a la clínica para atención especializada.  
</t>
  </si>
  <si>
    <t>Esguince de tobillo derecho.</t>
  </si>
  <si>
    <t>Plataforma de trabajo (borde de la plataforma)</t>
  </si>
  <si>
    <t xml:space="preserve">	ILU28088</t>
  </si>
  <si>
    <t xml:space="preserve">GUERRA TORO </t>
  </si>
  <si>
    <t>TEODORO JOSÉ</t>
  </si>
  <si>
    <t>Aproximadamente a las 18:00 horas, durante el abastecimiento de paletas de manteca, el operador del apilador impactó la estructura del equipo TAWI. Como consecuencia del impacto, uno de los rieles de la estructura se desprendió y cayó sobre la espalda de un operador tercero, quien se encontraba realizando la actividad de abastecimiento de manteca en ese momento.</t>
  </si>
  <si>
    <t>Contusión en la espalda.</t>
  </si>
  <si>
    <t>Riel desprendido de la estructura</t>
  </si>
  <si>
    <t>PGL28127</t>
  </si>
  <si>
    <t xml:space="preserve">CASTILLO MOLINA </t>
  </si>
  <si>
    <t>Trabajador quien refiere que mientras se encontraba realizando manipulacion de un balde con contenido de dos bolsas de yemas, con un peso aproximado de 2 kg cada una, el cual se encontraba ubicado sobre un estante a una altura aproximada entre 1.20 y 1.50 metros. refiere que, al momento de intentar abrir la tapa del balde, observa que este presentaba humedad externa por condensación, provocando que se resbalara de sus manos. como consecuencia, el balde cae y roza directamente la cara anterolateral de la pierna derecha, posterior refiere no presentar dolor importante ni limitación funcional. sin embargo, si hay dolor a la digitopresión sobre la zona de impacto y aumento de volumen.</t>
  </si>
  <si>
    <t>Contusión en pierna derecha</t>
  </si>
  <si>
    <t>Balde con contenido almacenado en altura</t>
  </si>
  <si>
    <t>Inventario y evaluación de exposiciones y necesidades</t>
  </si>
  <si>
    <t xml:space="preserve">BRACHO GRATEROL </t>
  </si>
  <si>
    <t>AERLIN</t>
  </si>
  <si>
    <t xml:space="preserve">
El día 20 de julio de 2026, aproximadamente a las 12:00 horas, la trabajadora del comedor , se desplazaba por el área de cocina del comedor, luego de haberse colocado su uniforme. En ese momento, otro trabajador se encontraba culminando el retiro de agua acumulada en el piso. Durante su desplazamiento, la trabajadora pisó una superficie que aún se encontraba húmeda, perdió la estabilidad y sufrió una caída al mismo nivel, impactando principalmente el lado izquierdo de su cuerpo y quedando en posición sentada.</t>
  </si>
  <si>
    <t>Contusión en el lado izquierdo del cuerpo.</t>
  </si>
  <si>
    <t>Piso húmedo en área de cocina</t>
  </si>
  <si>
    <t>Liderazgo y/o Supervisión Inadecuados.</t>
  </si>
  <si>
    <t>Identificación y evaluación inadecuadas de exposición a pérdidas.</t>
  </si>
  <si>
    <t>AMERICA CATERING</t>
  </si>
  <si>
    <t>El día 21 de julio de 2026, aproximadamente a las 13:00 horas, la trabajadora del comedor, se desplazaba por el área de cocina del comedor, luego de haberse colocado el uniforme. Previamente, la trabajadora había recibido la indicación expresa de no utilizar las botas recién entregadas hasta que se verificaran sus condiciones de seguridad y adecuación para el área de trabajo. No obstante, la trabajadora utilizó dicho calzado y, durante su desplazamiento por la cocina, resbaló y cayó, golpeándose la cabeza.</t>
  </si>
  <si>
    <t>Contusión en la cabeza.</t>
  </si>
  <si>
    <t>Calzado de seguridad</t>
  </si>
  <si>
    <t>Motivación Incorrecta.</t>
  </si>
  <si>
    <t xml:space="preserve">RAMIREZ MATSUBARA </t>
  </si>
  <si>
    <t>TEOFILO MANUEL</t>
  </si>
  <si>
    <t>ALICORP S.A.A.</t>
  </si>
  <si>
    <t xml:space="preserve">El 22 de julio de 2026, a las 17:45 p.m., durante la ejecución de la actividad de traslado de pirotines en el área de Elaboración, el trabajador del área de elaboración se disponía a trasladar las bandejas en coordinación con su compañero, para proceder al área de fermentación. Durante la manipulación, la bandeja golpeó su mano izquierda parte dorsal, ocasionándole una contusión
</t>
  </si>
  <si>
    <t>Contusión en la región dorsal de la mano izquierda.</t>
  </si>
  <si>
    <t>Manipulación manual de bandejas de pirotines.</t>
  </si>
  <si>
    <t>Procedimientos, prácticas o reglas inadecuadas</t>
  </si>
  <si>
    <t>Etiquetas de fila</t>
  </si>
  <si>
    <t>Fideería Lima</t>
  </si>
  <si>
    <t>(en blanco)</t>
  </si>
  <si>
    <t>Total general</t>
  </si>
  <si>
    <t>(Todas)</t>
  </si>
  <si>
    <t>Cuenta de EMPRESA</t>
  </si>
  <si>
    <t>2026</t>
  </si>
  <si>
    <t>CAUSA PRINCIPAL</t>
  </si>
  <si>
    <t>Contusión dedo medio, mano der</t>
  </si>
  <si>
    <t>Contusión en la pierna</t>
  </si>
  <si>
    <t>Buzón abierto</t>
  </si>
  <si>
    <t>Falta de mantenimiento o desgast</t>
  </si>
  <si>
    <t>Golpe en la mano</t>
  </si>
  <si>
    <t>Hacer caso omiso</t>
  </si>
  <si>
    <t>Eje portabobina</t>
  </si>
  <si>
    <t>Motivación inadecuada / Intento i</t>
  </si>
  <si>
    <t>Motivacion inadecuada /Falta de</t>
  </si>
  <si>
    <t>Pallet en mal estado</t>
  </si>
  <si>
    <t>Restringir ingreso a zona de trabajo</t>
  </si>
  <si>
    <t>Escalera de horno</t>
  </si>
  <si>
    <t>Sobrecraga laboral</t>
  </si>
  <si>
    <t>Golpe con puerta</t>
  </si>
  <si>
    <t>Transito por zorą no autorizada</t>
  </si>
  <si>
    <t>Uso inadecuado de herramienta/e</t>
  </si>
  <si>
    <t>Paleta</t>
  </si>
  <si>
    <t>Puerta</t>
  </si>
  <si>
    <t>(Varios elementos)</t>
  </si>
  <si>
    <t>Cuenta de Tipo de evento</t>
  </si>
  <si>
    <t>APUTEX</t>
  </si>
  <si>
    <t>Siendo las 01:50 p.m., el operador se encontraba en el segundo piso del Molino C, realizando su ronda correspondiente al cierre de turno. Durante dicha inspección, se percató de que la tapa de una tubería se encontraba fuera de su posición. Al proceder a</t>
  </si>
  <si>
    <t>Siendo las 13:50 horas, el auxiliar de almacén sufrió un golpe en el dedo anular izquierdo al trasladar una bobina de 25 kg de una paleta a otra.
El evento ocurrió cuando el operario se encontraba realizando el picking de laminas para despacho a producción y al trasladar una de las bobinas suelta demasiado fuerte ocasionando un pequeño rebote entre las bobinas, lo cual, atrapa y golpea el dedo anular izquierdo; por consiguiente, produciendo una contusión.</t>
  </si>
  <si>
    <t>DÍAS SIN ACCIDENTES INCAPACITANTES</t>
  </si>
  <si>
    <t>Sociedad</t>
  </si>
  <si>
    <t>Punto Focal (Planta)</t>
  </si>
  <si>
    <t>Fecha último accidente incapacitante</t>
  </si>
  <si>
    <t>Días sin accidentes</t>
  </si>
  <si>
    <t>Accidentes 2026</t>
  </si>
  <si>
    <t>Total accidentes</t>
  </si>
  <si>
    <t>FIDERÍA</t>
  </si>
  <si>
    <t>Actualizado el 14/08/2026  ·  150 accidentes analizados  ·  incapacitante = 1 o más días registrables</t>
  </si>
  <si>
    <t>Planta Sigma</t>
  </si>
  <si>
    <t>Oficinas SCZ</t>
  </si>
  <si>
    <t>Almacen de Insumos (1)</t>
  </si>
  <si>
    <t>Parqueos (1)</t>
  </si>
  <si>
    <t>Centros de Distribución (8 CD +1 APT)</t>
  </si>
  <si>
    <t>Centros de Acopio (IASA)</t>
  </si>
  <si>
    <t>Planta Parque Industrial (IASA)</t>
  </si>
  <si>
    <t>Planta Don Felipe (IASA)</t>
  </si>
  <si>
    <t>INTRADEVCO SA</t>
  </si>
  <si>
    <t>DISTRIBUCION ITDC</t>
  </si>
  <si>
    <t>ALMACEN INS&amp;ENV ITDC</t>
  </si>
  <si>
    <t>LURIN 5</t>
  </si>
  <si>
    <t>LURIN 4</t>
  </si>
  <si>
    <t>LURIN 1 Y 3</t>
  </si>
  <si>
    <t>MOLINO PAITA - DIST</t>
  </si>
  <si>
    <t>GLOBAL - INSUMOS</t>
  </si>
  <si>
    <t>GLOBAL - DISTRIBUCIÓN</t>
  </si>
  <si>
    <t>TEAL - INSUMOS</t>
  </si>
  <si>
    <t>TEAL - DISTRIBUCIÓN</t>
  </si>
  <si>
    <t>TEAL PLANTA</t>
  </si>
  <si>
    <t>ALMACEN INSUMOS-ENVASES - SIDSUR</t>
  </si>
  <si>
    <t>ALICORP SAA</t>
  </si>
  <si>
    <t>ALMACEN INSUMOS-ENVASES - DETER</t>
  </si>
  <si>
    <t>ALMACEN INSUMOS-ENVASES - GALLETAS</t>
  </si>
  <si>
    <t>ALMACEN INSUMOS-ENVASES - F. LIMA</t>
  </si>
  <si>
    <t>ALMACEN INSUMOS-ENVASES - MFA</t>
  </si>
  <si>
    <t>ALMACEN INSUMOS-ENVASES - MCA</t>
  </si>
  <si>
    <t>ALMACEN INSUMOS-ENVASES - COPSA</t>
  </si>
  <si>
    <t>ALMACEN INSUMOS-ENVASES (TOTAL)</t>
  </si>
  <si>
    <t>DESARROLLO TECNOLÓGICO</t>
  </si>
  <si>
    <t>CD Trujillo</t>
  </si>
  <si>
    <t>CD Chiclayo</t>
  </si>
  <si>
    <t>DISTRBUCION PROVINCIAS</t>
  </si>
  <si>
    <t xml:space="preserve">APT Farináceos </t>
  </si>
  <si>
    <t>CD Agustino</t>
  </si>
  <si>
    <t>APT MSR</t>
  </si>
  <si>
    <t>APT Molino Callao</t>
  </si>
  <si>
    <t>CD Central</t>
  </si>
  <si>
    <t>DISTRBUCION LIMA</t>
  </si>
  <si>
    <t>MANUFACTURA ALICORP</t>
  </si>
  <si>
    <t xml:space="preserve">SIDSUR </t>
  </si>
  <si>
    <t>DETERGENTES</t>
  </si>
  <si>
    <t>FIDEERIA LIMA</t>
  </si>
  <si>
    <t>GALLETERIA&amp;INSTANT.</t>
  </si>
  <si>
    <t>MOL. CALLAO</t>
  </si>
  <si>
    <t xml:space="preserve">MOL. FAUCETT </t>
  </si>
  <si>
    <t>AÑO 2024</t>
  </si>
  <si>
    <t>PLANTAS</t>
  </si>
  <si>
    <t>SOCIEDAD</t>
  </si>
  <si>
    <t>SAO (BOL)</t>
  </si>
  <si>
    <t>INTERNACIONAL</t>
  </si>
  <si>
    <t>FINO COCHABAMBA (BOL)</t>
  </si>
  <si>
    <t>GLOBAL ALIMENTOS</t>
  </si>
  <si>
    <t>OTRAS OPERACIONES PERU</t>
  </si>
  <si>
    <t>VITAPRO</t>
  </si>
  <si>
    <t>TEAL</t>
  </si>
  <si>
    <t>JABONERIA WILSON</t>
  </si>
  <si>
    <t>JABONERIA</t>
  </si>
  <si>
    <t>ALMACEN INSUMOS ENVASES (TOTAL)</t>
  </si>
  <si>
    <t>PROYECTOS</t>
  </si>
  <si>
    <t>MOL. FAUCETT</t>
  </si>
  <si>
    <t>MOL. STA ROSA</t>
  </si>
  <si>
    <t>AÑO 2023</t>
  </si>
  <si>
    <t>TOTAL</t>
  </si>
  <si>
    <t>Categoría</t>
  </si>
  <si>
    <t>COPSA - SALSAS</t>
  </si>
  <si>
    <t>COPSA - REFINERÍA</t>
  </si>
  <si>
    <t>COPSA - Transportes</t>
  </si>
  <si>
    <t>COPSA - OTRAS DIRECCIONES</t>
  </si>
  <si>
    <t>MULTISERVICIOS DE LIMPIEZA NAVARRO EIRL</t>
  </si>
  <si>
    <t>MORI ICUMINA</t>
  </si>
  <si>
    <t xml:space="preserve"> KEVIN ELIAS</t>
  </si>
  <si>
    <t>Trabajador realizaba labores de limpieza al interior de un tanque cuando sufrió un resbalón y caída, impactando la región cervical contra un serpentín metálico. Inicialmente permaneció consciente y logró incorporarse por sus propios medios; sin embargo, presentó pérdida súbita de conciencia, activándose de inmediato la atención de emergencia. Durante la evaluación inicial se evidenció alteración del nivel de conciencia y pulso carotídeo débil, por lo que recibió maniobras de soporte básico, monitoreo continuo y oxigenoterapia. Posteriormente recuperó progresivamente la conciencia, refiriendo dolor intenso en la región cervical tras el impacto.</t>
  </si>
  <si>
    <t>Contusión cervical</t>
  </si>
  <si>
    <t>Superficie de trabajo resbaladiza y estructura metálica</t>
  </si>
  <si>
    <t>Evaluación inadecuada de exposición a pérdidas.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</si>
</sst>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m/yyyy"/>
    <numFmt numFmtId="165" formatCode="[$-F400]h:mm:ss\ AM/PM"/>
  </numFmts>
  <fonts count="32" x14ac:knownFonts="1">
    <font>
      <sz val="11"/>
      <color theme="1"/>
      <name val="Aptos Narrow"/>
      <family val="2"/>
      <scheme val="minor"/>
    </font>
    <font>
      <sz val="10"/>
      <name val="Aptos Narrow"/>
      <family val="2"/>
      <scheme val="minor"/>
    </font>
    <font>
      <sz val="10"/>
      <color theme="1"/>
      <name val="Aptos Narrow"/>
      <family val="2"/>
      <scheme val="minor"/>
    </font>
    <font>
      <sz val="11"/>
      <color rgb="FF000000"/>
      <name val="Aptos"/>
      <family val="2"/>
    </font>
    <font>
      <b/>
      <sz val="11"/>
      <name val="Aptos Narrow"/>
      <family val="2"/>
      <scheme val="minor"/>
    </font>
    <font>
      <sz val="11"/>
      <color theme="1"/>
      <name val="Arial"/>
      <family val="2"/>
    </font>
    <font>
      <sz val="12"/>
      <color theme="1"/>
      <name val="Arial"/>
      <family val="2"/>
    </font>
    <font>
      <sz val="12"/>
      <name val="Arial"/>
      <family val="2"/>
    </font>
    <font>
      <sz val="11"/>
      <name val="Arial"/>
      <family val="2"/>
    </font>
    <font>
      <sz val="12"/>
      <color rgb="FF242424"/>
      <name val="Aptos Display"/>
      <family val="2"/>
    </font>
    <font>
      <sz val="12"/>
      <color rgb="FFFF0000"/>
      <name val="Arial"/>
      <family val="2"/>
    </font>
    <font>
      <sz val="12"/>
      <color theme="9"/>
      <name val="Arial"/>
      <family val="2"/>
    </font>
    <font>
      <b/>
      <sz val="11"/>
      <name val="Arial"/>
      <family val="2"/>
    </font>
    <font>
      <sz val="8"/>
      <name val="Aptos Narrow"/>
      <family val="2"/>
      <scheme val="minor"/>
    </font>
    <font>
      <b/>
      <sz val="11"/>
      <color theme="1"/>
      <name val="Aptos Narrow"/>
      <family val="2"/>
      <scheme val="minor"/>
    </font>
    <font>
      <sz val="12"/>
      <color theme="1"/>
      <name val="Aptos Narrow"/>
      <family val="2"/>
      <scheme val="minor"/>
    </font>
    <font>
      <sz val="11"/>
      <color theme="1"/>
      <name val="Aptos Narrow"/>
      <family val="2"/>
      <scheme val="minor"/>
    </font>
    <font>
      <b/>
      <sz val="12"/>
      <name val="Arial"/>
      <family val="2"/>
    </font>
    <font>
      <sz val="12"/>
      <color theme="1"/>
      <name val="Arial"/>
    </font>
    <font>
      <sz val="12"/>
      <name val="Arial"/>
    </font>
    <font>
      <b/>
      <sz val="11"/>
      <color rgb="FFFF0000"/>
      <name val="Arial"/>
      <family val="2"/>
    </font>
    <font>
      <b/>
      <sz val="11"/>
      <color rgb="FFFFFFFF"/>
      <name val="Aptos Narrow"/>
      <family val="2"/>
      <scheme val="minor"/>
    </font>
    <font>
      <b/>
      <sz val="13"/>
      <color rgb="FFFFFFFF"/>
      <name val="Aptos Narrow"/>
      <family val="2"/>
      <scheme val="minor"/>
    </font>
    <font>
      <sz val="9"/>
      <color rgb="FF666666"/>
      <name val="Aptos Narrow"/>
      <family val="2"/>
      <scheme val="minor"/>
    </font>
    <font>
      <b/>
      <sz val="11"/>
      <color theme="1"/>
      <name val="Arial"/>
      <family val="2"/>
    </font>
    <font>
      <sz val="9"/>
      <name val="Arial Nova"/>
      <family val="2"/>
    </font>
    <font>
      <b/>
      <sz val="9"/>
      <name val="Arial Nova"/>
      <family val="2"/>
    </font>
    <font>
      <sz val="11"/>
      <color rgb="FF000000"/>
      <name val="Aptos Narrow"/>
      <family val="2"/>
    </font>
    <font>
      <b/>
      <sz val="10"/>
      <name val="Arial Nova"/>
      <family val="2"/>
    </font>
    <font>
      <sz val="10"/>
      <color rgb="FF1F3864"/>
      <name val="Arial"/>
      <charset val="1"/>
    </font>
    <font>
      <b/>
      <sz val="10"/>
      <color rgb="FF1F3864"/>
      <name val="Arial"/>
      <charset val="1"/>
    </font>
    <font>
      <b/>
      <sz val="11"/>
      <color rgb="FF1F3864"/>
      <name val="Arial"/>
      <charset val="1"/>
    </font>
  </fonts>
  <fills count="27">
    <fill>
      <patternFill patternType="none"/>
    </fill>
    <fill>
      <patternFill patternType="gray125"/>
    </fill>
    <fill>
      <patternFill patternType="solid">
        <fgColor theme="7" tint="0.79998168889431442"/>
        <bgColor indexed="64"/>
      </patternFill>
    </fill>
    <fill>
      <patternFill patternType="solid">
        <fgColor rgb="FFC0E6F5"/>
        <bgColor rgb="FFC0E6F5"/>
      </patternFill>
    </fill>
    <fill>
      <patternFill patternType="solid">
        <fgColor rgb="FFFFFFFF"/>
        <bgColor rgb="FF000000"/>
      </patternFill>
    </fill>
    <fill>
      <patternFill patternType="solid">
        <fgColor rgb="FFFFFF00"/>
        <bgColor rgb="FFADB9CA"/>
      </patternFill>
    </fill>
    <fill>
      <patternFill patternType="solid">
        <fgColor rgb="FFFFFF00"/>
        <bgColor rgb="FF92D050"/>
      </patternFill>
    </fill>
    <fill>
      <patternFill patternType="solid">
        <fgColor rgb="FFFFFF0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theme="5" tint="0.79998168889431442"/>
        <bgColor indexed="64"/>
      </patternFill>
    </fill>
    <fill>
      <patternFill patternType="solid">
        <fgColor theme="5"/>
        <bgColor indexed="64"/>
      </patternFill>
    </fill>
    <fill>
      <patternFill patternType="solid">
        <fgColor theme="3" tint="0.89999084444715716"/>
        <bgColor indexed="64"/>
      </patternFill>
    </fill>
    <fill>
      <patternFill patternType="solid">
        <fgColor rgb="FFFFFF99"/>
        <bgColor indexed="64"/>
      </patternFill>
    </fill>
    <fill>
      <patternFill patternType="solid">
        <fgColor rgb="FFFFFF99"/>
        <bgColor rgb="FF000000"/>
      </patternFill>
    </fill>
    <fill>
      <patternFill patternType="solid">
        <fgColor rgb="FF1E7145"/>
        <bgColor indexed="64"/>
      </patternFill>
    </fill>
    <fill>
      <patternFill patternType="solid">
        <fgColor rgb="FFF4CCCC"/>
        <bgColor indexed="64"/>
      </patternFill>
    </fill>
    <fill>
      <patternFill patternType="solid">
        <fgColor rgb="FFFCE5CD"/>
        <bgColor indexed="64"/>
      </patternFill>
    </fill>
    <fill>
      <patternFill patternType="solid">
        <fgColor rgb="FFD9EAD3"/>
        <bgColor indexed="64"/>
      </patternFill>
    </fill>
    <fill>
      <patternFill patternType="solid">
        <fgColor rgb="FFB6D7A8"/>
        <bgColor indexed="64"/>
      </patternFill>
    </fill>
    <fill>
      <patternFill patternType="solid">
        <fgColor theme="0" tint="-0.14999847407452621"/>
        <bgColor indexed="64"/>
      </patternFill>
    </fill>
    <fill>
      <patternFill patternType="solid">
        <fgColor rgb="FFDCE6F1"/>
        <bgColor rgb="FFD9D9D9"/>
      </patternFill>
    </fill>
    <fill>
      <patternFill patternType="solid">
        <fgColor rgb="FFEFEFEF"/>
        <bgColor indexed="64"/>
      </patternFill>
    </fill>
  </fills>
  <borders count="13">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s>
  <cellStyleXfs count="2">
    <xf numFmtId="0" fontId="0" fillId="0" borderId="0"/>
    <xf numFmtId="9" fontId="16" fillId="0" borderId="0" applyFont="0" applyFill="0" applyBorder="0" applyAlignment="0" applyProtection="0"/>
  </cellStyleXfs>
  <cellXfs count="197">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wrapText="1"/>
    </xf>
    <xf numFmtId="0" fontId="2" fillId="0" borderId="2" xfId="0" applyFont="1" applyBorder="1" applyAlignment="1">
      <alignment horizontal="center" vertical="center"/>
    </xf>
    <xf numFmtId="14" fontId="2" fillId="0" borderId="2" xfId="0" applyNumberFormat="1" applyFont="1" applyBorder="1" applyAlignment="1">
      <alignment horizontal="center" vertical="center"/>
    </xf>
    <xf numFmtId="0" fontId="2"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wrapText="1"/>
    </xf>
    <xf numFmtId="0" fontId="2" fillId="0" borderId="5" xfId="0" applyFont="1" applyBorder="1" applyAlignment="1">
      <alignment horizontal="center" vertical="center"/>
    </xf>
    <xf numFmtId="14" fontId="2" fillId="0" borderId="5" xfId="0" applyNumberFormat="1" applyFont="1" applyBorder="1" applyAlignment="1">
      <alignment horizontal="center" vertical="center"/>
    </xf>
    <xf numFmtId="0" fontId="2" fillId="0" borderId="6" xfId="0" applyFont="1" applyBorder="1" applyAlignment="1">
      <alignment horizontal="center" vertical="center" wrapText="1"/>
    </xf>
    <xf numFmtId="0" fontId="2" fillId="0" borderId="2" xfId="0" applyFont="1" applyBorder="1" applyAlignment="1">
      <alignment vertical="center" wrapText="1"/>
    </xf>
    <xf numFmtId="0" fontId="3" fillId="0" borderId="0" xfId="0" applyFont="1" applyAlignment="1">
      <alignment wrapText="1"/>
    </xf>
    <xf numFmtId="0" fontId="2" fillId="0" borderId="2" xfId="0" applyFont="1" applyBorder="1" applyAlignment="1">
      <alignment vertical="top" wrapText="1"/>
    </xf>
    <xf numFmtId="14" fontId="2" fillId="0" borderId="2" xfId="0" applyNumberFormat="1" applyFont="1" applyBorder="1" applyAlignment="1">
      <alignment horizontal="center" vertical="center" wrapText="1"/>
    </xf>
    <xf numFmtId="14" fontId="2" fillId="0" borderId="5"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2" fillId="0" borderId="5" xfId="0" applyFont="1" applyBorder="1" applyAlignment="1">
      <alignment vertical="center" wrapText="1"/>
    </xf>
    <xf numFmtId="0" fontId="2" fillId="0" borderId="6" xfId="0" applyFont="1" applyBorder="1" applyAlignment="1">
      <alignment horizontal="center" vertical="center"/>
    </xf>
    <xf numFmtId="0" fontId="2" fillId="2" borderId="5" xfId="0" applyFont="1" applyFill="1" applyBorder="1" applyAlignment="1">
      <alignment horizontal="center" vertical="center"/>
    </xf>
    <xf numFmtId="0" fontId="2" fillId="2" borderId="5" xfId="0" applyFont="1" applyFill="1" applyBorder="1" applyAlignment="1">
      <alignment wrapText="1"/>
    </xf>
    <xf numFmtId="14" fontId="2" fillId="2" borderId="5" xfId="0" applyNumberFormat="1" applyFont="1" applyFill="1" applyBorder="1" applyAlignment="1">
      <alignment horizontal="center" vertical="center"/>
    </xf>
    <xf numFmtId="0" fontId="2" fillId="2" borderId="6"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2" fillId="2" borderId="6" xfId="0" applyFont="1" applyFill="1" applyBorder="1" applyAlignment="1">
      <alignment horizontal="center" vertical="center"/>
    </xf>
    <xf numFmtId="0" fontId="1" fillId="0" borderId="5" xfId="0" applyFont="1" applyBorder="1" applyAlignment="1">
      <alignment horizontal="left" vertical="center" wrapText="1"/>
    </xf>
    <xf numFmtId="14" fontId="1" fillId="4" borderId="5" xfId="0" applyNumberFormat="1" applyFont="1" applyFill="1" applyBorder="1" applyAlignment="1">
      <alignment horizontal="center" vertical="center" wrapText="1"/>
    </xf>
    <xf numFmtId="0" fontId="1" fillId="0" borderId="6" xfId="0" applyFont="1" applyBorder="1" applyAlignment="1">
      <alignment horizontal="center" vertical="center" wrapText="1"/>
    </xf>
    <xf numFmtId="0" fontId="1" fillId="3" borderId="5" xfId="0" applyFont="1" applyFill="1" applyBorder="1" applyAlignment="1">
      <alignment horizontal="center" vertical="center" wrapText="1"/>
    </xf>
    <xf numFmtId="0" fontId="1" fillId="3" borderId="5" xfId="0" applyFont="1" applyFill="1" applyBorder="1" applyAlignment="1">
      <alignment horizontal="left" vertical="center" wrapText="1"/>
    </xf>
    <xf numFmtId="14" fontId="1" fillId="3" borderId="5" xfId="0" applyNumberFormat="1" applyFont="1" applyFill="1" applyBorder="1" applyAlignment="1">
      <alignment horizontal="center" vertical="center" wrapText="1"/>
    </xf>
    <xf numFmtId="0" fontId="1" fillId="3"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5" fillId="0" borderId="0" xfId="0" applyFont="1"/>
    <xf numFmtId="1" fontId="6" fillId="0" borderId="2" xfId="0" applyNumberFormat="1" applyFont="1" applyBorder="1"/>
    <xf numFmtId="0" fontId="6" fillId="0" borderId="2" xfId="0" applyFont="1" applyBorder="1" applyAlignment="1">
      <alignment horizontal="center" vertical="center"/>
    </xf>
    <xf numFmtId="0" fontId="7" fillId="0" borderId="2" xfId="0" applyFont="1" applyBorder="1" applyAlignment="1">
      <alignment horizontal="center" vertical="center" wrapText="1"/>
    </xf>
    <xf numFmtId="0" fontId="6" fillId="0" borderId="2" xfId="0" applyFont="1" applyBorder="1" applyAlignment="1">
      <alignment vertical="center"/>
    </xf>
    <xf numFmtId="0" fontId="7" fillId="0" borderId="5" xfId="0" applyFont="1" applyBorder="1" applyAlignment="1">
      <alignment horizontal="center" vertical="center" wrapText="1"/>
    </xf>
    <xf numFmtId="0" fontId="7" fillId="0" borderId="2" xfId="0" applyFont="1" applyBorder="1" applyAlignment="1">
      <alignment vertical="center" wrapText="1"/>
    </xf>
    <xf numFmtId="0" fontId="8" fillId="0" borderId="2" xfId="0" applyFont="1" applyBorder="1" applyAlignment="1">
      <alignment horizontal="center" vertical="center" wrapText="1"/>
    </xf>
    <xf numFmtId="14" fontId="7" fillId="0" borderId="5" xfId="0" applyNumberFormat="1" applyFont="1" applyBorder="1" applyAlignment="1">
      <alignment horizontal="center" vertical="center" wrapText="1"/>
    </xf>
    <xf numFmtId="1" fontId="7" fillId="0" borderId="2" xfId="0" applyNumberFormat="1" applyFont="1" applyBorder="1" applyAlignment="1">
      <alignment horizontal="center" vertical="center" wrapText="1"/>
    </xf>
    <xf numFmtId="20" fontId="7" fillId="0" borderId="2" xfId="0" applyNumberFormat="1" applyFont="1" applyBorder="1" applyAlignment="1">
      <alignment horizontal="center" vertical="center" wrapText="1"/>
    </xf>
    <xf numFmtId="1" fontId="6" fillId="0" borderId="5" xfId="0" applyNumberFormat="1" applyFont="1" applyBorder="1"/>
    <xf numFmtId="0" fontId="6" fillId="0" borderId="5" xfId="0" applyFont="1" applyBorder="1" applyAlignment="1">
      <alignment horizontal="center" vertical="center"/>
    </xf>
    <xf numFmtId="0" fontId="6" fillId="0" borderId="5" xfId="0" applyFont="1" applyBorder="1" applyAlignment="1">
      <alignment vertical="center"/>
    </xf>
    <xf numFmtId="0" fontId="7" fillId="0" borderId="5" xfId="0" applyFont="1" applyBorder="1" applyAlignment="1">
      <alignment vertical="center" wrapText="1"/>
    </xf>
    <xf numFmtId="0" fontId="8" fillId="0" borderId="5" xfId="0" applyFont="1" applyBorder="1" applyAlignment="1">
      <alignment horizontal="center" vertical="center" wrapText="1"/>
    </xf>
    <xf numFmtId="1" fontId="7" fillId="0" borderId="5" xfId="0" applyNumberFormat="1" applyFont="1" applyBorder="1" applyAlignment="1">
      <alignment horizontal="center" vertical="center" wrapText="1"/>
    </xf>
    <xf numFmtId="20" fontId="7" fillId="0" borderId="5" xfId="0" applyNumberFormat="1" applyFont="1" applyBorder="1" applyAlignment="1">
      <alignment horizontal="center" vertical="center" wrapText="1"/>
    </xf>
    <xf numFmtId="0" fontId="6" fillId="0" borderId="2" xfId="0" applyFont="1" applyBorder="1"/>
    <xf numFmtId="14" fontId="7" fillId="0" borderId="2" xfId="0" applyNumberFormat="1" applyFont="1" applyBorder="1" applyAlignment="1">
      <alignment horizontal="center" vertical="center" wrapText="1"/>
    </xf>
    <xf numFmtId="0" fontId="6" fillId="0" borderId="5" xfId="0" applyFont="1" applyBorder="1"/>
    <xf numFmtId="0" fontId="5" fillId="0" borderId="5" xfId="0" applyFont="1" applyBorder="1"/>
    <xf numFmtId="0" fontId="6" fillId="0" borderId="5" xfId="0" applyFont="1" applyBorder="1" applyAlignment="1">
      <alignment vertical="center" wrapText="1"/>
    </xf>
    <xf numFmtId="0" fontId="6" fillId="0" borderId="5" xfId="0" applyFont="1" applyBorder="1" applyAlignment="1">
      <alignment wrapText="1"/>
    </xf>
    <xf numFmtId="1" fontId="5" fillId="0" borderId="5" xfId="0" applyNumberFormat="1" applyFont="1" applyBorder="1"/>
    <xf numFmtId="0" fontId="6" fillId="0" borderId="2" xfId="0" applyFont="1" applyBorder="1" applyAlignment="1">
      <alignment vertical="center" wrapText="1"/>
    </xf>
    <xf numFmtId="1" fontId="5" fillId="0" borderId="0" xfId="0" applyNumberFormat="1" applyFont="1"/>
    <xf numFmtId="0" fontId="6" fillId="0" borderId="5" xfId="0" applyFont="1" applyBorder="1" applyAlignment="1">
      <alignment horizontal="center" vertical="center" wrapText="1"/>
    </xf>
    <xf numFmtId="0" fontId="9" fillId="0" borderId="5" xfId="0" applyFont="1" applyBorder="1" applyAlignment="1">
      <alignment wrapText="1"/>
    </xf>
    <xf numFmtId="14" fontId="10" fillId="0" borderId="5" xfId="0" applyNumberFormat="1" applyFont="1" applyBorder="1" applyAlignment="1">
      <alignment horizontal="center" vertical="center"/>
    </xf>
    <xf numFmtId="1" fontId="6" fillId="0" borderId="5" xfId="0" applyNumberFormat="1" applyFont="1" applyBorder="1" applyAlignment="1">
      <alignment horizontal="center" vertical="center"/>
    </xf>
    <xf numFmtId="1" fontId="5" fillId="7" borderId="0" xfId="0" applyNumberFormat="1" applyFont="1" applyFill="1"/>
    <xf numFmtId="0" fontId="5" fillId="0" borderId="5" xfId="0" applyFont="1" applyBorder="1" applyAlignment="1">
      <alignment horizontal="center" vertical="center"/>
    </xf>
    <xf numFmtId="14" fontId="5" fillId="0" borderId="0" xfId="0" applyNumberFormat="1" applyFont="1"/>
    <xf numFmtId="20" fontId="5" fillId="0" borderId="0" xfId="0" applyNumberFormat="1" applyFont="1"/>
    <xf numFmtId="0" fontId="6" fillId="0" borderId="5" xfId="0" applyFont="1" applyBorder="1" applyAlignment="1">
      <alignment horizontal="left" vertical="center" wrapText="1" indent="1"/>
    </xf>
    <xf numFmtId="0" fontId="7" fillId="0" borderId="5" xfId="0" applyFont="1" applyBorder="1" applyAlignment="1">
      <alignment horizontal="justify" vertical="center" wrapText="1"/>
    </xf>
    <xf numFmtId="0" fontId="5" fillId="8" borderId="0" xfId="0" applyFont="1" applyFill="1"/>
    <xf numFmtId="14" fontId="11" fillId="0" borderId="5" xfId="0" applyNumberFormat="1" applyFont="1" applyBorder="1" applyAlignment="1">
      <alignment horizontal="center" vertical="center" wrapText="1"/>
    </xf>
    <xf numFmtId="0" fontId="6" fillId="0" borderId="5" xfId="0" applyFont="1" applyBorder="1" applyAlignment="1">
      <alignment horizontal="left" vertical="center"/>
    </xf>
    <xf numFmtId="0" fontId="7" fillId="0" borderId="5" xfId="0" applyFont="1" applyBorder="1" applyAlignment="1">
      <alignment horizontal="left" vertical="center" wrapText="1"/>
    </xf>
    <xf numFmtId="14" fontId="11" fillId="0" borderId="5" xfId="0" applyNumberFormat="1" applyFont="1" applyBorder="1" applyAlignment="1">
      <alignment horizontal="center" vertical="center"/>
    </xf>
    <xf numFmtId="0" fontId="5" fillId="7" borderId="0" xfId="0" applyFont="1" applyFill="1"/>
    <xf numFmtId="14" fontId="10" fillId="0" borderId="5" xfId="0" applyNumberFormat="1" applyFont="1" applyBorder="1" applyAlignment="1">
      <alignment horizontal="center" vertical="center" wrapText="1"/>
    </xf>
    <xf numFmtId="0" fontId="12" fillId="0" borderId="8"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9" xfId="0" applyFont="1" applyBorder="1" applyAlignment="1">
      <alignment horizontal="center" vertical="center" wrapText="1"/>
    </xf>
    <xf numFmtId="0" fontId="12" fillId="9" borderId="8" xfId="0" applyFont="1" applyFill="1" applyBorder="1" applyAlignment="1">
      <alignment horizontal="center" vertical="center" wrapText="1"/>
    </xf>
    <xf numFmtId="0" fontId="0" fillId="10" borderId="0" xfId="0" applyFill="1"/>
    <xf numFmtId="0" fontId="0" fillId="10" borderId="5" xfId="0" applyFill="1" applyBorder="1"/>
    <xf numFmtId="0" fontId="0" fillId="10" borderId="5" xfId="0" applyFill="1" applyBorder="1" applyAlignment="1">
      <alignment horizontal="left"/>
    </xf>
    <xf numFmtId="0" fontId="0" fillId="9" borderId="5" xfId="0" applyFill="1" applyBorder="1"/>
    <xf numFmtId="0" fontId="10" fillId="0" borderId="2" xfId="0" applyFont="1" applyBorder="1" applyAlignment="1">
      <alignment vertical="center" wrapText="1"/>
    </xf>
    <xf numFmtId="0" fontId="6" fillId="7" borderId="2" xfId="0" applyFont="1" applyFill="1" applyBorder="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2" fillId="7" borderId="3" xfId="0" applyFont="1" applyFill="1" applyBorder="1" applyAlignment="1">
      <alignment horizontal="center" vertical="center" wrapText="1"/>
    </xf>
    <xf numFmtId="0" fontId="0" fillId="7" borderId="0" xfId="0" applyFill="1" applyAlignment="1">
      <alignment horizontal="left" indent="1"/>
    </xf>
    <xf numFmtId="0" fontId="0" fillId="7" borderId="0" xfId="0" applyFill="1"/>
    <xf numFmtId="0" fontId="2" fillId="11" borderId="2" xfId="0" applyFont="1" applyFill="1" applyBorder="1" applyAlignment="1">
      <alignment wrapText="1"/>
    </xf>
    <xf numFmtId="0" fontId="2" fillId="12" borderId="3" xfId="0" applyFont="1" applyFill="1" applyBorder="1" applyAlignment="1">
      <alignment horizontal="center" vertical="center" wrapText="1"/>
    </xf>
    <xf numFmtId="0" fontId="2" fillId="12" borderId="6" xfId="0" applyFont="1" applyFill="1" applyBorder="1" applyAlignment="1">
      <alignment horizontal="center" vertical="center" wrapText="1"/>
    </xf>
    <xf numFmtId="0" fontId="2" fillId="13" borderId="3" xfId="0" applyFont="1" applyFill="1" applyBorder="1" applyAlignment="1">
      <alignment horizontal="center" vertical="center" wrapText="1"/>
    </xf>
    <xf numFmtId="0" fontId="2" fillId="11" borderId="3" xfId="0" applyFont="1" applyFill="1" applyBorder="1" applyAlignment="1">
      <alignment horizontal="center" vertical="center" wrapText="1"/>
    </xf>
    <xf numFmtId="0" fontId="2" fillId="14" borderId="3" xfId="0" applyFont="1" applyFill="1" applyBorder="1" applyAlignment="1">
      <alignment horizontal="center" vertical="center" wrapText="1"/>
    </xf>
    <xf numFmtId="0" fontId="2" fillId="15" borderId="3" xfId="0" applyFont="1" applyFill="1" applyBorder="1" applyAlignment="1">
      <alignment horizontal="center" vertical="center" wrapText="1"/>
    </xf>
    <xf numFmtId="164" fontId="7" fillId="0" borderId="5" xfId="0" applyNumberFormat="1" applyFont="1" applyBorder="1" applyAlignment="1">
      <alignment horizontal="center" vertical="center" wrapText="1"/>
    </xf>
    <xf numFmtId="164" fontId="7" fillId="0" borderId="2" xfId="0" applyNumberFormat="1" applyFont="1" applyBorder="1" applyAlignment="1">
      <alignment horizontal="center" vertical="center" wrapText="1"/>
    </xf>
    <xf numFmtId="0" fontId="6" fillId="0" borderId="2" xfId="0" applyFont="1" applyBorder="1" applyAlignment="1">
      <alignment horizontal="center" vertical="center" wrapText="1"/>
    </xf>
    <xf numFmtId="1" fontId="6" fillId="7" borderId="2" xfId="0" applyNumberFormat="1" applyFont="1" applyFill="1" applyBorder="1"/>
    <xf numFmtId="0" fontId="7" fillId="16" borderId="5" xfId="0" applyFont="1" applyFill="1" applyBorder="1" applyAlignment="1">
      <alignment horizontal="center" vertical="center" wrapText="1"/>
    </xf>
    <xf numFmtId="0" fontId="5" fillId="16" borderId="2" xfId="0" applyFont="1" applyFill="1" applyBorder="1"/>
    <xf numFmtId="0" fontId="5" fillId="16" borderId="5" xfId="0" applyFont="1" applyFill="1" applyBorder="1"/>
    <xf numFmtId="0" fontId="5" fillId="10" borderId="0" xfId="0" applyFont="1" applyFill="1"/>
    <xf numFmtId="164" fontId="2" fillId="0" borderId="5" xfId="0" applyNumberFormat="1" applyFont="1" applyBorder="1" applyAlignment="1">
      <alignment horizontal="center" vertical="center"/>
    </xf>
    <xf numFmtId="164" fontId="2" fillId="0" borderId="2" xfId="0" applyNumberFormat="1" applyFont="1" applyBorder="1" applyAlignment="1">
      <alignment horizontal="center" vertical="center"/>
    </xf>
    <xf numFmtId="165" fontId="7" fillId="0" borderId="2" xfId="0" applyNumberFormat="1" applyFont="1" applyBorder="1" applyAlignment="1">
      <alignment horizontal="center" vertical="center" wrapText="1"/>
    </xf>
    <xf numFmtId="164" fontId="2" fillId="7" borderId="2" xfId="0" applyNumberFormat="1" applyFont="1" applyFill="1" applyBorder="1" applyAlignment="1">
      <alignment horizontal="center" vertical="center"/>
    </xf>
    <xf numFmtId="164" fontId="2" fillId="17" borderId="2" xfId="0" applyNumberFormat="1" applyFont="1" applyFill="1" applyBorder="1" applyAlignment="1">
      <alignment horizontal="center" vertical="center"/>
    </xf>
    <xf numFmtId="164" fontId="2" fillId="11" borderId="2" xfId="0" applyNumberFormat="1" applyFont="1" applyFill="1" applyBorder="1" applyAlignment="1">
      <alignment horizontal="center" vertical="center"/>
    </xf>
    <xf numFmtId="164" fontId="2" fillId="17" borderId="5" xfId="0" applyNumberFormat="1" applyFont="1" applyFill="1" applyBorder="1" applyAlignment="1">
      <alignment horizontal="center" vertical="center"/>
    </xf>
    <xf numFmtId="14" fontId="1" fillId="18" borderId="5" xfId="0" applyNumberFormat="1" applyFont="1" applyFill="1" applyBorder="1" applyAlignment="1">
      <alignment horizontal="center" vertical="center" wrapText="1"/>
    </xf>
    <xf numFmtId="14" fontId="2" fillId="17" borderId="2" xfId="0" applyNumberFormat="1" applyFont="1" applyFill="1" applyBorder="1" applyAlignment="1">
      <alignment horizontal="center" vertical="center"/>
    </xf>
    <xf numFmtId="0" fontId="4" fillId="6" borderId="10" xfId="0" applyFont="1" applyFill="1" applyBorder="1" applyAlignment="1">
      <alignment horizontal="center" vertical="center" wrapText="1"/>
    </xf>
    <xf numFmtId="0" fontId="0" fillId="0" borderId="0" xfId="0"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1" fontId="5" fillId="0" borderId="0" xfId="0" applyNumberFormat="1" applyFont="1" applyAlignment="1">
      <alignment horizontal="center" vertical="center"/>
    </xf>
    <xf numFmtId="164" fontId="7" fillId="7" borderId="5"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6" xfId="0" applyFont="1" applyBorder="1" applyAlignment="1">
      <alignment horizontal="center" vertical="center"/>
    </xf>
    <xf numFmtId="0" fontId="6" fillId="0" borderId="4" xfId="0" applyFont="1" applyBorder="1" applyAlignment="1">
      <alignment horizontal="center" vertical="center"/>
    </xf>
    <xf numFmtId="0" fontId="6" fillId="0" borderId="11" xfId="0" applyFont="1" applyBorder="1" applyAlignment="1">
      <alignment horizontal="center" vertical="center"/>
    </xf>
    <xf numFmtId="0" fontId="6" fillId="0" borderId="1" xfId="0" applyFont="1" applyBorder="1" applyAlignment="1">
      <alignment horizontal="center" vertical="center"/>
    </xf>
    <xf numFmtId="0" fontId="5" fillId="9" borderId="5" xfId="0" applyFont="1" applyFill="1" applyBorder="1"/>
    <xf numFmtId="0" fontId="5" fillId="0" borderId="2" xfId="0" applyFont="1" applyBorder="1" applyAlignment="1">
      <alignment horizontal="center" vertical="center"/>
    </xf>
    <xf numFmtId="164" fontId="2" fillId="0" borderId="3" xfId="0" applyNumberFormat="1" applyFont="1" applyBorder="1" applyAlignment="1">
      <alignment horizontal="center" vertical="center" wrapText="1"/>
    </xf>
    <xf numFmtId="1" fontId="5" fillId="0" borderId="5" xfId="0" applyNumberFormat="1" applyFont="1" applyBorder="1" applyAlignment="1">
      <alignment horizontal="center" vertical="center"/>
    </xf>
    <xf numFmtId="2" fontId="7" fillId="0" borderId="2" xfId="0" applyNumberFormat="1" applyFont="1" applyBorder="1" applyAlignment="1">
      <alignment horizontal="center" vertical="center" wrapText="1"/>
    </xf>
    <xf numFmtId="14" fontId="15" fillId="0" borderId="5" xfId="0" applyNumberFormat="1" applyFont="1" applyBorder="1" applyAlignment="1">
      <alignment horizontal="center" vertical="center"/>
    </xf>
    <xf numFmtId="10" fontId="5" fillId="0" borderId="0" xfId="1" applyNumberFormat="1" applyFont="1"/>
    <xf numFmtId="164" fontId="17" fillId="0" borderId="2" xfId="0" applyNumberFormat="1" applyFont="1" applyBorder="1" applyAlignment="1">
      <alignment horizontal="center" vertical="center" wrapText="1"/>
    </xf>
    <xf numFmtId="18" fontId="7"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2" xfId="0" applyFont="1" applyBorder="1" applyAlignment="1">
      <alignment horizontal="center" vertical="center" wrapText="1"/>
    </xf>
    <xf numFmtId="0" fontId="6" fillId="0" borderId="5" xfId="0" applyFont="1" applyBorder="1" applyAlignment="1">
      <alignment horizontal="left" vertical="center" wrapText="1"/>
    </xf>
    <xf numFmtId="0" fontId="6" fillId="0" borderId="2" xfId="0" applyFont="1" applyBorder="1" applyAlignment="1">
      <alignment horizontal="left" vertical="center"/>
    </xf>
    <xf numFmtId="0" fontId="5" fillId="7" borderId="5" xfId="0" applyFont="1" applyFill="1" applyBorder="1" applyAlignment="1">
      <alignment horizontal="center" vertical="center"/>
    </xf>
    <xf numFmtId="0" fontId="6" fillId="0" borderId="2" xfId="0" applyFont="1" applyBorder="1" applyAlignment="1">
      <alignment horizontal="left" vertical="center" wrapText="1"/>
    </xf>
    <xf numFmtId="0" fontId="18" fillId="0" borderId="5" xfId="0" applyFont="1" applyBorder="1" applyAlignment="1">
      <alignment horizontal="left" vertical="center" wrapText="1"/>
    </xf>
    <xf numFmtId="0" fontId="5" fillId="0" borderId="2" xfId="0" applyFont="1" applyBorder="1"/>
    <xf numFmtId="0" fontId="7" fillId="0" borderId="1" xfId="0" applyFont="1" applyBorder="1" applyAlignment="1">
      <alignment horizontal="center" vertical="center" wrapText="1"/>
    </xf>
    <xf numFmtId="0" fontId="6" fillId="0" borderId="2" xfId="1" applyNumberFormat="1" applyFont="1" applyFill="1" applyBorder="1" applyAlignment="1">
      <alignment horizontal="center" vertical="center"/>
    </xf>
    <xf numFmtId="0" fontId="20" fillId="0" borderId="9" xfId="0" applyFont="1" applyBorder="1" applyAlignment="1">
      <alignment horizontal="center" vertical="center" wrapText="1"/>
    </xf>
    <xf numFmtId="0" fontId="0" fillId="0" borderId="0" xfId="0" applyAlignment="1">
      <alignment horizontal="center"/>
    </xf>
    <xf numFmtId="14" fontId="0" fillId="0" borderId="0" xfId="0" applyNumberFormat="1" applyAlignment="1">
      <alignment horizontal="center"/>
    </xf>
    <xf numFmtId="0" fontId="14" fillId="20" borderId="0" xfId="0" applyFont="1" applyFill="1" applyAlignment="1">
      <alignment horizontal="center"/>
    </xf>
    <xf numFmtId="0" fontId="14" fillId="21" borderId="0" xfId="0" applyFont="1" applyFill="1" applyAlignment="1">
      <alignment horizontal="center"/>
    </xf>
    <xf numFmtId="0" fontId="14" fillId="22" borderId="0" xfId="0" applyFont="1" applyFill="1" applyAlignment="1">
      <alignment horizontal="center"/>
    </xf>
    <xf numFmtId="0" fontId="14" fillId="23" borderId="0" xfId="0" applyFont="1" applyFill="1" applyAlignment="1">
      <alignment horizontal="center"/>
    </xf>
    <xf numFmtId="20" fontId="7" fillId="0" borderId="3" xfId="0" applyNumberFormat="1" applyFont="1" applyBorder="1" applyAlignment="1">
      <alignment horizontal="center" vertical="center" wrapText="1"/>
    </xf>
    <xf numFmtId="20" fontId="7" fillId="0" borderId="6" xfId="0" applyNumberFormat="1" applyFont="1" applyBorder="1" applyAlignment="1">
      <alignment horizontal="center" vertical="center" wrapText="1"/>
    </xf>
    <xf numFmtId="0" fontId="24" fillId="0" borderId="5" xfId="0" applyFont="1" applyBorder="1" applyAlignment="1">
      <alignment horizontal="center" vertical="center"/>
    </xf>
    <xf numFmtId="164" fontId="2" fillId="0" borderId="2" xfId="0" applyNumberFormat="1" applyFont="1" applyBorder="1" applyAlignment="1">
      <alignment horizontal="center" vertical="center" wrapText="1"/>
    </xf>
    <xf numFmtId="0" fontId="7" fillId="7" borderId="5" xfId="0" applyFont="1" applyFill="1" applyBorder="1" applyAlignment="1">
      <alignment vertical="center" wrapText="1"/>
    </xf>
    <xf numFmtId="0" fontId="7" fillId="7" borderId="2" xfId="0" applyFont="1" applyFill="1" applyBorder="1" applyAlignment="1">
      <alignment vertical="center" wrapText="1"/>
    </xf>
    <xf numFmtId="0" fontId="0" fillId="0" borderId="5" xfId="0" applyBorder="1"/>
    <xf numFmtId="0" fontId="25" fillId="0" borderId="5" xfId="0" applyFont="1" applyBorder="1" applyAlignment="1">
      <alignment vertical="center"/>
    </xf>
    <xf numFmtId="0" fontId="25" fillId="0" borderId="5" xfId="0" applyFont="1" applyBorder="1" applyAlignment="1">
      <alignment horizontal="center" vertical="center"/>
    </xf>
    <xf numFmtId="0" fontId="25" fillId="0" borderId="5" xfId="0" applyFont="1" applyBorder="1" applyAlignment="1" applyProtection="1">
      <alignment vertical="center"/>
      <protection locked="0"/>
    </xf>
    <xf numFmtId="0" fontId="25" fillId="10" borderId="5" xfId="0" applyFont="1" applyFill="1" applyBorder="1" applyAlignment="1" applyProtection="1">
      <alignment vertical="center"/>
      <protection locked="0"/>
    </xf>
    <xf numFmtId="0" fontId="25" fillId="10" borderId="5" xfId="0" applyFont="1" applyFill="1" applyBorder="1" applyAlignment="1">
      <alignment horizontal="center" vertical="center"/>
    </xf>
    <xf numFmtId="0" fontId="25" fillId="24" borderId="5" xfId="0" applyFont="1" applyFill="1" applyBorder="1" applyAlignment="1" applyProtection="1">
      <alignment vertical="center"/>
      <protection locked="0"/>
    </xf>
    <xf numFmtId="0" fontId="25" fillId="24" borderId="5" xfId="0" applyFont="1" applyFill="1" applyBorder="1" applyAlignment="1">
      <alignment horizontal="center" vertical="center"/>
    </xf>
    <xf numFmtId="0" fontId="26" fillId="10" borderId="5" xfId="0" applyFont="1" applyFill="1" applyBorder="1" applyAlignment="1" applyProtection="1">
      <alignment vertical="center"/>
      <protection locked="0"/>
    </xf>
    <xf numFmtId="0" fontId="27" fillId="0" borderId="5" xfId="0" applyFont="1" applyBorder="1" applyAlignment="1">
      <alignment horizontal="left" vertical="center"/>
    </xf>
    <xf numFmtId="0" fontId="25" fillId="10" borderId="12" xfId="0" applyFont="1" applyFill="1" applyBorder="1" applyAlignment="1" applyProtection="1">
      <alignment vertical="center"/>
      <protection locked="0"/>
    </xf>
    <xf numFmtId="0" fontId="25" fillId="10" borderId="8" xfId="0" applyFont="1" applyFill="1" applyBorder="1" applyAlignment="1" applyProtection="1">
      <alignment vertical="center"/>
      <protection locked="0"/>
    </xf>
    <xf numFmtId="0" fontId="25" fillId="10" borderId="8" xfId="0" applyFont="1" applyFill="1" applyBorder="1" applyAlignment="1">
      <alignment horizontal="center" vertical="center"/>
    </xf>
    <xf numFmtId="0" fontId="26" fillId="16" borderId="5" xfId="0" applyFont="1" applyFill="1" applyBorder="1" applyAlignment="1" applyProtection="1">
      <alignment horizontal="center" vertical="center"/>
      <protection locked="0"/>
    </xf>
    <xf numFmtId="0" fontId="28" fillId="16" borderId="5" xfId="0" applyFont="1" applyFill="1" applyBorder="1" applyAlignment="1">
      <alignment horizontal="center" vertical="center"/>
    </xf>
    <xf numFmtId="1" fontId="29" fillId="0" borderId="5" xfId="0" applyNumberFormat="1" applyFont="1" applyBorder="1" applyAlignment="1">
      <alignment horizontal="right" vertical="center"/>
    </xf>
    <xf numFmtId="0" fontId="29" fillId="0" borderId="5" xfId="0" applyFont="1" applyBorder="1" applyAlignment="1">
      <alignment horizontal="left" vertical="center"/>
    </xf>
    <xf numFmtId="0" fontId="29" fillId="0" borderId="5" xfId="0" applyFont="1" applyBorder="1" applyAlignment="1">
      <alignment horizontal="center" vertical="center"/>
    </xf>
    <xf numFmtId="1" fontId="30" fillId="0" borderId="5" xfId="0" applyNumberFormat="1" applyFont="1" applyBorder="1" applyAlignment="1">
      <alignment horizontal="right" vertical="center"/>
    </xf>
    <xf numFmtId="0" fontId="30" fillId="0" borderId="5" xfId="0" applyFont="1" applyBorder="1" applyAlignment="1">
      <alignment horizontal="left" vertical="center"/>
    </xf>
    <xf numFmtId="0" fontId="30" fillId="0" borderId="5" xfId="0" applyFont="1" applyBorder="1" applyAlignment="1">
      <alignment horizontal="center" vertical="center"/>
    </xf>
    <xf numFmtId="0" fontId="31" fillId="25" borderId="5" xfId="0" applyFont="1" applyFill="1" applyBorder="1" applyAlignment="1">
      <alignment horizontal="center" vertical="center"/>
    </xf>
    <xf numFmtId="0" fontId="14" fillId="26" borderId="0" xfId="0" applyFont="1" applyFill="1" applyAlignment="1">
      <alignment horizontal="center"/>
    </xf>
    <xf numFmtId="0" fontId="14" fillId="26" borderId="0" xfId="0" applyFont="1" applyFill="1" applyAlignment="1">
      <alignment horizontal="left"/>
    </xf>
    <xf numFmtId="0" fontId="21" fillId="19" borderId="0" xfId="0" applyFont="1" applyFill="1" applyAlignment="1">
      <alignment horizontal="center" vertical="center" wrapText="1"/>
    </xf>
    <xf numFmtId="0" fontId="22" fillId="19" borderId="0" xfId="0" applyFont="1" applyFill="1" applyAlignment="1">
      <alignment horizontal="center"/>
    </xf>
    <xf numFmtId="0" fontId="23" fillId="0" borderId="0" xfId="0" applyFont="1"/>
    <xf numFmtId="0" fontId="0" fillId="0" borderId="0" xfId="0"/>
  </cellXfs>
  <cellStyles count="2">
    <cellStyle name="Normal" xfId="0" builtinId="0"/>
    <cellStyle name="Porcentaje" xfId="1" builtinId="5"/>
  </cellStyles>
  <dxfs count="82">
    <dxf>
      <fill>
        <patternFill>
          <bgColor theme="6" tint="0.39994506668294322"/>
        </patternFill>
      </fill>
    </dxf>
    <dxf>
      <fill>
        <patternFill>
          <bgColor rgb="FFFF7C8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b val="0"/>
        <i val="0"/>
        <strike val="0"/>
        <condense val="0"/>
        <extend val="0"/>
        <outline val="0"/>
        <shadow val="0"/>
        <u val="none"/>
        <vertAlign val="baseline"/>
        <sz val="10"/>
        <color auto="1"/>
        <name val="Aptos Narrow"/>
        <family val="2"/>
        <scheme val="minor"/>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numFmt numFmtId="164" formatCode="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auto="1"/>
        <name val="Aptos Narrow"/>
        <family val="2"/>
        <scheme val="minor"/>
      </font>
      <fill>
        <patternFill patternType="solid">
          <fgColor rgb="FF92D050"/>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Arial"/>
        <family val="2"/>
        <scheme val="none"/>
      </font>
      <numFmt numFmtId="1" formatCode="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rial"/>
        <family val="2"/>
        <scheme val="none"/>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strike val="0"/>
        <outline val="0"/>
        <shadow val="0"/>
        <u val="none"/>
        <vertAlign val="baseline"/>
        <sz val="12"/>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Arial"/>
        <family val="2"/>
        <scheme val="none"/>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164" formatCode="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d/mm/yy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d/mm/yy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1"/>
        <name val="Arial"/>
        <family val="2"/>
        <scheme val="none"/>
      </font>
      <fill>
        <patternFill patternType="none">
          <fgColor rgb="FF000000"/>
          <bgColor auto="1"/>
        </patternFill>
      </fill>
    </dxf>
    <dxf>
      <border outline="0">
        <bottom style="thin">
          <color rgb="FF000000"/>
        </bottom>
      </border>
    </dxf>
    <dxf>
      <font>
        <b/>
        <i val="0"/>
        <strike val="0"/>
        <condense val="0"/>
        <extend val="0"/>
        <outline val="0"/>
        <shadow val="0"/>
        <u val="none"/>
        <vertAlign val="baseline"/>
        <sz val="11"/>
        <color auto="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Estilo de segmentación de datos 1" pivot="0" table="0" count="1" xr9:uid="{525AEC9A-4084-4EB5-92D8-BBBCF70BB1E0}"/>
  </tableStyles>
  <colors>
    <mruColors>
      <color rgb="FFFFFF99"/>
      <color rgb="FFFFFF66"/>
    </mruColors>
  </colors>
  <extLst>
    <ext xmlns:x14="http://schemas.microsoft.com/office/spreadsheetml/2009/9/main" uri="{46F421CA-312F-682f-3DD2-61675219B42D}">
      <x14:dxfs count="1">
        <dxf>
          <font>
            <b/>
            <i val="0"/>
            <color theme="1"/>
          </font>
          <fill>
            <patternFill>
              <bgColor rgb="FFFFFF99"/>
            </patternFill>
          </fill>
        </dxf>
      </x14:dxfs>
    </ext>
    <ext xmlns:x14="http://schemas.microsoft.com/office/spreadsheetml/2009/9/main" uri="{EB79DEF2-80B8-43e5-95BD-54CBDDF9020C}">
      <x14:slicerStyles defaultSlicerStyle="SlicerStyleLight1">
        <x14:slicerStyle name="Estilo de segmentación de datos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5.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11/relationships/timelineCache" Target="timelineCaches/timelineCache1.xml"/><Relationship Id="rId28" Type="http://schemas.openxmlformats.org/officeDocument/2006/relationships/calcChain" Target="calcChain.xml"/><Relationship Id="rId10" Type="http://schemas.openxmlformats.org/officeDocument/2006/relationships/externalLink" Target="externalLinks/externalLink1.xml"/><Relationship Id="rId19" Type="http://schemas.microsoft.com/office/2007/relationships/slicerCache" Target="slicerCaches/slicerCache6.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[Tablero de Accidentes e incidentes.xlsx]VISUAL!TablaDinámica1</c:name>
    <c:fmtId val="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5100401606424783E-3"/>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5100401606425703E-3"/>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1"/>
        <c:ser>
          <c:idx val="0"/>
          <c:order val="0"/>
          <c:tx>
            <c:strRef>
              <c:f>VISUAL!$B$6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4-5EB6-4A7F-BBF1-BAA4F9E133D1}"/>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FE01-48BC-977D-F94BBEBBCF4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VISUAL!$A$7:$A$8</c:f>
              <c:strCache>
                <c:ptCount val="1"/>
                <c:pt idx="0">
                  <c:v>2026</c:v>
                </c:pt>
              </c:strCache>
            </c:strRef>
          </c:cat>
          <c:val>
            <c:numRef>
              <c:f>VISUAL!$B$7:$B$8</c:f>
              <c:numCache>
                <c:formatCode>General</c:formatCode>
                <c:ptCount val="1"/>
                <c:pt idx="0">
                  <c:v>70</c:v>
                </c:pt>
              </c:numCache>
            </c:numRef>
          </c:val>
          <c:extLst>
            <c:ext xmlns:c16="http://schemas.microsoft.com/office/drawing/2014/chart" uri="{C3380CC4-5D6E-409C-BE32-E72D297353CC}">
              <c16:uniqueId val="{00000000-5EB6-4A7F-BBF1-BAA4F9E133D1}"/>
            </c:ext>
          </c:extLst>
        </c:ser>
        <c:dLbls>
          <c:showLegendKey val="0"/>
          <c:showVal val="1"/>
          <c:showCatName val="0"/>
          <c:showSerName val="0"/>
          <c:showPercent val="0"/>
          <c:showBubbleSize val="0"/>
        </c:dLbls>
        <c:gapWidth val="150"/>
        <c:shape val="cylinder"/>
        <c:axId val="1234287471"/>
        <c:axId val="1575423711"/>
        <c:axId val="0"/>
      </c:bar3DChart>
      <c:catAx>
        <c:axId val="1234287471"/>
        <c:scaling>
          <c:orientation val="minMax"/>
        </c:scaling>
        <c:delete val="1"/>
        <c:axPos val="b"/>
        <c:numFmt formatCode="General" sourceLinked="1"/>
        <c:majorTickMark val="out"/>
        <c:minorTickMark val="none"/>
        <c:tickLblPos val="nextTo"/>
        <c:crossAx val="1575423711"/>
        <c:crosses val="autoZero"/>
        <c:auto val="1"/>
        <c:lblAlgn val="ctr"/>
        <c:lblOffset val="100"/>
        <c:noMultiLvlLbl val="0"/>
      </c:catAx>
      <c:valAx>
        <c:axId val="1575423711"/>
        <c:scaling>
          <c:orientation val="minMax"/>
        </c:scaling>
        <c:delete val="1"/>
        <c:axPos val="l"/>
        <c:numFmt formatCode="General" sourceLinked="1"/>
        <c:majorTickMark val="out"/>
        <c:minorTickMark val="none"/>
        <c:tickLblPos val="nextTo"/>
        <c:crossAx val="123428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400050</xdr:colOff>
      <xdr:row>1</xdr:row>
      <xdr:rowOff>63500</xdr:rowOff>
    </xdr:from>
    <xdr:to>
      <xdr:col>8</xdr:col>
      <xdr:colOff>685800</xdr:colOff>
      <xdr:row>8</xdr:row>
      <xdr:rowOff>146050</xdr:rowOff>
    </xdr:to>
    <mc:AlternateContent xmlns:mc="http://schemas.openxmlformats.org/markup-compatibility/2006" xmlns:tsle="http://schemas.microsoft.com/office/drawing/2012/timeslicer">
      <mc:Choice Requires="tsle">
        <xdr:graphicFrame macro="">
          <xdr:nvGraphicFramePr>
            <xdr:cNvPr id="2" name="FECHA">
              <a:extLst>
                <a:ext uri="{FF2B5EF4-FFF2-40B4-BE49-F238E27FC236}">
                  <a16:creationId xmlns:a16="http://schemas.microsoft.com/office/drawing/2014/main" id="{7E17C97B-5BCE-647E-B79B-A27F9AA94774}"/>
                </a:ext>
              </a:extLst>
            </xdr:cNvPr>
            <xdr:cNvGraphicFramePr/>
          </xdr:nvGraphicFramePr>
          <xdr:xfrm>
            <a:off x="0" y="0"/>
            <a:ext cx="0" cy="0"/>
          </xdr:xfrm>
          <a:graphic>
            <a:graphicData uri="http://schemas.microsoft.com/office/drawing/2012/timeslicer">
              <tsle:timeslicer name="FECHA"/>
            </a:graphicData>
          </a:graphic>
        </xdr:graphicFrame>
      </mc:Choice>
      <mc:Fallback xmlns="">
        <xdr:sp macro="" textlink="">
          <xdr:nvSpPr>
            <xdr:cNvPr id="0" name=""/>
            <xdr:cNvSpPr>
              <a:spLocks noTextEdit="1"/>
            </xdr:cNvSpPr>
          </xdr:nvSpPr>
          <xdr:spPr>
            <a:xfrm>
              <a:off x="4813300" y="247650"/>
              <a:ext cx="3333750" cy="1371600"/>
            </a:xfrm>
            <a:prstGeom prst="rect">
              <a:avLst/>
            </a:prstGeom>
            <a:solidFill>
              <a:prstClr val="white"/>
            </a:solidFill>
            <a:ln w="1">
              <a:solidFill>
                <a:prstClr val="green"/>
              </a:solidFill>
            </a:ln>
          </xdr:spPr>
          <xdr:txBody>
            <a:bodyPr vertOverflow="clip" horzOverflow="clip"/>
            <a:lstStyle/>
            <a:p>
              <a:r>
                <a:rPr lang="es-PE" sz="1100"/>
                <a:t>Línea de tiempo: Funciona en Excel 2013 o superior. No mover ni cambiar el tamaño.</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983297</xdr:colOff>
      <xdr:row>0</xdr:row>
      <xdr:rowOff>47625</xdr:rowOff>
    </xdr:from>
    <xdr:to>
      <xdr:col>13</xdr:col>
      <xdr:colOff>1234757</xdr:colOff>
      <xdr:row>47</xdr:row>
      <xdr:rowOff>154305</xdr:rowOff>
    </xdr:to>
    <xdr:sp macro="" textlink="">
      <xdr:nvSpPr>
        <xdr:cNvPr id="17" name="Rectángulo 16">
          <a:extLst>
            <a:ext uri="{FF2B5EF4-FFF2-40B4-BE49-F238E27FC236}">
              <a16:creationId xmlns:a16="http://schemas.microsoft.com/office/drawing/2014/main" id="{E069DC40-BA74-9A72-C2A3-C1C52303764A}"/>
            </a:ext>
          </a:extLst>
        </xdr:cNvPr>
        <xdr:cNvSpPr/>
      </xdr:nvSpPr>
      <xdr:spPr>
        <a:xfrm>
          <a:off x="3428047" y="47625"/>
          <a:ext cx="10125710" cy="8575993"/>
        </a:xfrm>
        <a:prstGeom prst="rect">
          <a:avLst/>
        </a:prstGeom>
        <a:solidFill>
          <a:schemeClr val="bg1"/>
        </a:solidFill>
        <a:ln w="9525">
          <a:solidFill>
            <a:schemeClr val="accent1"/>
          </a:solid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2</xdr:col>
      <xdr:colOff>1188720</xdr:colOff>
      <xdr:row>8</xdr:row>
      <xdr:rowOff>30480</xdr:rowOff>
    </xdr:from>
    <xdr:to>
      <xdr:col>11</xdr:col>
      <xdr:colOff>304800</xdr:colOff>
      <xdr:row>28</xdr:row>
      <xdr:rowOff>175260</xdr:rowOff>
    </xdr:to>
    <xdr:graphicFrame macro="">
      <xdr:nvGraphicFramePr>
        <xdr:cNvPr id="2" name="Gráfico 1">
          <a:extLst>
            <a:ext uri="{FF2B5EF4-FFF2-40B4-BE49-F238E27FC236}">
              <a16:creationId xmlns:a16="http://schemas.microsoft.com/office/drawing/2014/main" id="{69AE4A57-2E9C-4818-6144-86AB3CE40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277177</xdr:colOff>
      <xdr:row>0</xdr:row>
      <xdr:rowOff>107634</xdr:rowOff>
    </xdr:from>
    <xdr:to>
      <xdr:col>13</xdr:col>
      <xdr:colOff>1015999</xdr:colOff>
      <xdr:row>8</xdr:row>
      <xdr:rowOff>0</xdr:rowOff>
    </xdr:to>
    <mc:AlternateContent xmlns:mc="http://schemas.openxmlformats.org/markup-compatibility/2006" xmlns:a14="http://schemas.microsoft.com/office/drawing/2010/main">
      <mc:Choice Requires="a14">
        <xdr:graphicFrame macro="">
          <xdr:nvGraphicFramePr>
            <xdr:cNvPr id="4" name="DIRECCIÓN">
              <a:extLst>
                <a:ext uri="{FF2B5EF4-FFF2-40B4-BE49-F238E27FC236}">
                  <a16:creationId xmlns:a16="http://schemas.microsoft.com/office/drawing/2014/main" id="{9317E093-7A49-B69D-663F-FA8E61A31F18}"/>
                </a:ext>
              </a:extLst>
            </xdr:cNvPr>
            <xdr:cNvGraphicFramePr/>
          </xdr:nvGraphicFramePr>
          <xdr:xfrm>
            <a:off x="0" y="0"/>
            <a:ext cx="0" cy="0"/>
          </xdr:xfrm>
          <a:graphic>
            <a:graphicData uri="http://schemas.microsoft.com/office/drawing/2010/slicer">
              <sle:slicer xmlns:sle="http://schemas.microsoft.com/office/drawing/2010/slicer" name="DIRECCIÓN"/>
            </a:graphicData>
          </a:graphic>
        </xdr:graphicFrame>
      </mc:Choice>
      <mc:Fallback xmlns="">
        <xdr:sp macro="" textlink="">
          <xdr:nvSpPr>
            <xdr:cNvPr id="0" name=""/>
            <xdr:cNvSpPr>
              <a:spLocks noTextEdit="1"/>
            </xdr:cNvSpPr>
          </xdr:nvSpPr>
          <xdr:spPr>
            <a:xfrm>
              <a:off x="11258942" y="107634"/>
              <a:ext cx="2038704" cy="1222131"/>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11</xdr:col>
      <xdr:colOff>325439</xdr:colOff>
      <xdr:row>9</xdr:row>
      <xdr:rowOff>87312</xdr:rowOff>
    </xdr:from>
    <xdr:to>
      <xdr:col>13</xdr:col>
      <xdr:colOff>1055688</xdr:colOff>
      <xdr:row>18</xdr:row>
      <xdr:rowOff>174626</xdr:rowOff>
    </xdr:to>
    <mc:AlternateContent xmlns:mc="http://schemas.openxmlformats.org/markup-compatibility/2006" xmlns:a14="http://schemas.microsoft.com/office/drawing/2010/main">
      <mc:Choice Requires="a14">
        <xdr:graphicFrame macro="">
          <xdr:nvGraphicFramePr>
            <xdr:cNvPr id="5" name="CATEGORÍA">
              <a:extLst>
                <a:ext uri="{FF2B5EF4-FFF2-40B4-BE49-F238E27FC236}">
                  <a16:creationId xmlns:a16="http://schemas.microsoft.com/office/drawing/2014/main" id="{BA1A12EE-C56F-4399-CCD1-DA9F53E453FC}"/>
                </a:ext>
              </a:extLst>
            </xdr:cNvPr>
            <xdr:cNvGraphicFramePr/>
          </xdr:nvGraphicFramePr>
          <xdr:xfrm>
            <a:off x="0" y="0"/>
            <a:ext cx="0" cy="0"/>
          </xdr:xfrm>
          <a:graphic>
            <a:graphicData uri="http://schemas.microsoft.com/office/drawing/2010/slicer">
              <sle:slicer xmlns:sle="http://schemas.microsoft.com/office/drawing/2010/slicer" name="CATEGORÍA"/>
            </a:graphicData>
          </a:graphic>
        </xdr:graphicFrame>
      </mc:Choice>
      <mc:Fallback xmlns="">
        <xdr:sp macro="" textlink="">
          <xdr:nvSpPr>
            <xdr:cNvPr id="0" name=""/>
            <xdr:cNvSpPr>
              <a:spLocks noTextEdit="1"/>
            </xdr:cNvSpPr>
          </xdr:nvSpPr>
          <xdr:spPr>
            <a:xfrm>
              <a:off x="11307204" y="1596371"/>
              <a:ext cx="2030131" cy="1700961"/>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11</xdr:col>
      <xdr:colOff>301624</xdr:colOff>
      <xdr:row>19</xdr:row>
      <xdr:rowOff>87313</xdr:rowOff>
    </xdr:from>
    <xdr:to>
      <xdr:col>13</xdr:col>
      <xdr:colOff>1087437</xdr:colOff>
      <xdr:row>27</xdr:row>
      <xdr:rowOff>111125</xdr:rowOff>
    </xdr:to>
    <mc:AlternateContent xmlns:mc="http://schemas.openxmlformats.org/markup-compatibility/2006" xmlns:a14="http://schemas.microsoft.com/office/drawing/2010/main">
      <mc:Choice Requires="a14">
        <xdr:graphicFrame macro="">
          <xdr:nvGraphicFramePr>
            <xdr:cNvPr id="6" name="PLANTA DE OCURRENCIA">
              <a:extLst>
                <a:ext uri="{FF2B5EF4-FFF2-40B4-BE49-F238E27FC236}">
                  <a16:creationId xmlns:a16="http://schemas.microsoft.com/office/drawing/2014/main" id="{29B93DF4-7A2B-D7DC-46F4-A0E5E7934B4F}"/>
                </a:ext>
              </a:extLst>
            </xdr:cNvPr>
            <xdr:cNvGraphicFramePr/>
          </xdr:nvGraphicFramePr>
          <xdr:xfrm>
            <a:off x="0" y="0"/>
            <a:ext cx="0" cy="0"/>
          </xdr:xfrm>
          <a:graphic>
            <a:graphicData uri="http://schemas.microsoft.com/office/drawing/2010/slicer">
              <sle:slicer xmlns:sle="http://schemas.microsoft.com/office/drawing/2010/slicer" name="PLANTA DE OCURRENCIA"/>
            </a:graphicData>
          </a:graphic>
        </xdr:graphicFrame>
      </mc:Choice>
      <mc:Fallback xmlns="">
        <xdr:sp macro="" textlink="">
          <xdr:nvSpPr>
            <xdr:cNvPr id="0" name=""/>
            <xdr:cNvSpPr>
              <a:spLocks noTextEdit="1"/>
            </xdr:cNvSpPr>
          </xdr:nvSpPr>
          <xdr:spPr>
            <a:xfrm>
              <a:off x="11283389" y="3389313"/>
              <a:ext cx="2085695" cy="1458165"/>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4</xdr:col>
      <xdr:colOff>832802</xdr:colOff>
      <xdr:row>0</xdr:row>
      <xdr:rowOff>126999</xdr:rowOff>
    </xdr:from>
    <xdr:to>
      <xdr:col>7</xdr:col>
      <xdr:colOff>1269</xdr:colOff>
      <xdr:row>7</xdr:row>
      <xdr:rowOff>214314</xdr:rowOff>
    </xdr:to>
    <mc:AlternateContent xmlns:mc="http://schemas.openxmlformats.org/markup-compatibility/2006" xmlns:a14="http://schemas.microsoft.com/office/drawing/2010/main">
      <mc:Choice Requires="a14">
        <xdr:graphicFrame macro="">
          <xdr:nvGraphicFramePr>
            <xdr:cNvPr id="7" name="ÁREA DEL ACCIDENTADO">
              <a:extLst>
                <a:ext uri="{FF2B5EF4-FFF2-40B4-BE49-F238E27FC236}">
                  <a16:creationId xmlns:a16="http://schemas.microsoft.com/office/drawing/2014/main" id="{69E712D7-29B0-16FD-3C84-3FA1CD8F774A}"/>
                </a:ext>
              </a:extLst>
            </xdr:cNvPr>
            <xdr:cNvGraphicFramePr/>
          </xdr:nvGraphicFramePr>
          <xdr:xfrm>
            <a:off x="0" y="0"/>
            <a:ext cx="0" cy="0"/>
          </xdr:xfrm>
          <a:graphic>
            <a:graphicData uri="http://schemas.microsoft.com/office/drawing/2010/slicer">
              <sle:slicer xmlns:sle="http://schemas.microsoft.com/office/drawing/2010/slicer" name="ÁREA DEL ACCIDENTADO"/>
            </a:graphicData>
          </a:graphic>
        </xdr:graphicFrame>
      </mc:Choice>
      <mc:Fallback xmlns="">
        <xdr:sp macro="" textlink="">
          <xdr:nvSpPr>
            <xdr:cNvPr id="0" name=""/>
            <xdr:cNvSpPr>
              <a:spLocks noTextEdit="1"/>
            </xdr:cNvSpPr>
          </xdr:nvSpPr>
          <xdr:spPr>
            <a:xfrm>
              <a:off x="5516861" y="126999"/>
              <a:ext cx="1835467" cy="1163080"/>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4</xdr:col>
      <xdr:colOff>800100</xdr:colOff>
      <xdr:row>29</xdr:row>
      <xdr:rowOff>175260</xdr:rowOff>
    </xdr:from>
    <xdr:to>
      <xdr:col>6</xdr:col>
      <xdr:colOff>1203960</xdr:colOff>
      <xdr:row>46</xdr:row>
      <xdr:rowOff>175260</xdr:rowOff>
    </xdr:to>
    <mc:AlternateContent xmlns:mc="http://schemas.openxmlformats.org/markup-compatibility/2006" xmlns:a14="http://schemas.microsoft.com/office/drawing/2010/main">
      <mc:Choice Requires="a14">
        <xdr:graphicFrame macro="">
          <xdr:nvGraphicFramePr>
            <xdr:cNvPr id="8" name="LESIÓN">
              <a:extLst>
                <a:ext uri="{FF2B5EF4-FFF2-40B4-BE49-F238E27FC236}">
                  <a16:creationId xmlns:a16="http://schemas.microsoft.com/office/drawing/2014/main" id="{1FC9E2A4-335A-4071-0D97-0D546A853F5C}"/>
                </a:ext>
              </a:extLst>
            </xdr:cNvPr>
            <xdr:cNvGraphicFramePr/>
          </xdr:nvGraphicFramePr>
          <xdr:xfrm>
            <a:off x="0" y="0"/>
            <a:ext cx="0" cy="0"/>
          </xdr:xfrm>
          <a:graphic>
            <a:graphicData uri="http://schemas.microsoft.com/office/drawing/2010/slicer">
              <sle:slicer xmlns:sle="http://schemas.microsoft.com/office/drawing/2010/slicer" name="LESIÓN"/>
            </a:graphicData>
          </a:graphic>
        </xdr:graphicFrame>
      </mc:Choice>
      <mc:Fallback xmlns="">
        <xdr:sp macro="" textlink="">
          <xdr:nvSpPr>
            <xdr:cNvPr id="0" name=""/>
            <xdr:cNvSpPr>
              <a:spLocks noTextEdit="1"/>
            </xdr:cNvSpPr>
          </xdr:nvSpPr>
          <xdr:spPr>
            <a:xfrm>
              <a:off x="5484159" y="5270201"/>
              <a:ext cx="1823272" cy="3048000"/>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7</xdr:col>
      <xdr:colOff>22860</xdr:colOff>
      <xdr:row>30</xdr:row>
      <xdr:rowOff>1</xdr:rowOff>
    </xdr:from>
    <xdr:to>
      <xdr:col>7</xdr:col>
      <xdr:colOff>1851660</xdr:colOff>
      <xdr:row>46</xdr:row>
      <xdr:rowOff>167641</xdr:rowOff>
    </xdr:to>
    <mc:AlternateContent xmlns:mc="http://schemas.openxmlformats.org/markup-compatibility/2006" xmlns:a14="http://schemas.microsoft.com/office/drawing/2010/main">
      <mc:Choice Requires="a14">
        <xdr:graphicFrame macro="">
          <xdr:nvGraphicFramePr>
            <xdr:cNvPr id="10" name="FUENTE DE PELIGRO">
              <a:extLst>
                <a:ext uri="{FF2B5EF4-FFF2-40B4-BE49-F238E27FC236}">
                  <a16:creationId xmlns:a16="http://schemas.microsoft.com/office/drawing/2014/main" id="{47B20B3E-802A-667A-7F4E-004CF3157457}"/>
                </a:ext>
              </a:extLst>
            </xdr:cNvPr>
            <xdr:cNvGraphicFramePr/>
          </xdr:nvGraphicFramePr>
          <xdr:xfrm>
            <a:off x="0" y="0"/>
            <a:ext cx="0" cy="0"/>
          </xdr:xfrm>
          <a:graphic>
            <a:graphicData uri="http://schemas.microsoft.com/office/drawing/2010/slicer">
              <sle:slicer xmlns:sle="http://schemas.microsoft.com/office/drawing/2010/slicer" name="FUENTE DE PELIGRO"/>
            </a:graphicData>
          </a:graphic>
        </xdr:graphicFrame>
      </mc:Choice>
      <mc:Fallback xmlns="">
        <xdr:sp macro="" textlink="">
          <xdr:nvSpPr>
            <xdr:cNvPr id="0" name=""/>
            <xdr:cNvSpPr>
              <a:spLocks noTextEdit="1"/>
            </xdr:cNvSpPr>
          </xdr:nvSpPr>
          <xdr:spPr>
            <a:xfrm>
              <a:off x="7373919" y="5274236"/>
              <a:ext cx="1828800" cy="3036346"/>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1165860</xdr:colOff>
      <xdr:row>30</xdr:row>
      <xdr:rowOff>0</xdr:rowOff>
    </xdr:from>
    <xdr:to>
      <xdr:col>4</xdr:col>
      <xdr:colOff>731521</xdr:colOff>
      <xdr:row>46</xdr:row>
      <xdr:rowOff>175260</xdr:rowOff>
    </xdr:to>
    <mc:AlternateContent xmlns:mc="http://schemas.openxmlformats.org/markup-compatibility/2006" xmlns:a14="http://schemas.microsoft.com/office/drawing/2010/main">
      <mc:Choice Requires="a14">
        <xdr:graphicFrame macro="">
          <xdr:nvGraphicFramePr>
            <xdr:cNvPr id="11" name="CAUSA PRINCIPAL ">
              <a:extLst>
                <a:ext uri="{FF2B5EF4-FFF2-40B4-BE49-F238E27FC236}">
                  <a16:creationId xmlns:a16="http://schemas.microsoft.com/office/drawing/2014/main" id="{36AA38E7-8802-6A2B-6B5E-ECC5FA01C459}"/>
                </a:ext>
              </a:extLst>
            </xdr:cNvPr>
            <xdr:cNvGraphicFramePr/>
          </xdr:nvGraphicFramePr>
          <xdr:xfrm>
            <a:off x="0" y="0"/>
            <a:ext cx="0" cy="0"/>
          </xdr:xfrm>
          <a:graphic>
            <a:graphicData uri="http://schemas.microsoft.com/office/drawing/2010/slicer">
              <sle:slicer xmlns:sle="http://schemas.microsoft.com/office/drawing/2010/slicer" name="CAUSA PRINCIPAL "/>
            </a:graphicData>
          </a:graphic>
        </xdr:graphicFrame>
      </mc:Choice>
      <mc:Fallback xmlns="">
        <xdr:sp macro="" textlink="">
          <xdr:nvSpPr>
            <xdr:cNvPr id="0" name=""/>
            <xdr:cNvSpPr>
              <a:spLocks noTextEdit="1"/>
            </xdr:cNvSpPr>
          </xdr:nvSpPr>
          <xdr:spPr>
            <a:xfrm>
              <a:off x="3586331" y="5274235"/>
              <a:ext cx="1829248" cy="3043966"/>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1129984</xdr:colOff>
      <xdr:row>0</xdr:row>
      <xdr:rowOff>128269</xdr:rowOff>
    </xdr:from>
    <xdr:to>
      <xdr:col>4</xdr:col>
      <xdr:colOff>769939</xdr:colOff>
      <xdr:row>7</xdr:row>
      <xdr:rowOff>198437</xdr:rowOff>
    </xdr:to>
    <mc:AlternateContent xmlns:mc="http://schemas.openxmlformats.org/markup-compatibility/2006" xmlns:a14="http://schemas.microsoft.com/office/drawing/2010/main">
      <mc:Choice Requires="a14">
        <xdr:graphicFrame macro="">
          <xdr:nvGraphicFramePr>
            <xdr:cNvPr id="20" name="Años (FECHA)">
              <a:extLst>
                <a:ext uri="{FF2B5EF4-FFF2-40B4-BE49-F238E27FC236}">
                  <a16:creationId xmlns:a16="http://schemas.microsoft.com/office/drawing/2014/main" id="{3CBB71AF-8EAA-1819-3305-A01DF18141CC}"/>
                </a:ext>
              </a:extLst>
            </xdr:cNvPr>
            <xdr:cNvGraphicFramePr/>
          </xdr:nvGraphicFramePr>
          <xdr:xfrm>
            <a:off x="0" y="0"/>
            <a:ext cx="0" cy="0"/>
          </xdr:xfrm>
          <a:graphic>
            <a:graphicData uri="http://schemas.microsoft.com/office/drawing/2010/slicer">
              <sle:slicer xmlns:sle="http://schemas.microsoft.com/office/drawing/2010/slicer" name="Años (FECHA)"/>
            </a:graphicData>
          </a:graphic>
        </xdr:graphicFrame>
      </mc:Choice>
      <mc:Fallback xmlns="">
        <xdr:sp macro="" textlink="">
          <xdr:nvSpPr>
            <xdr:cNvPr id="0" name=""/>
            <xdr:cNvSpPr>
              <a:spLocks noTextEdit="1"/>
            </xdr:cNvSpPr>
          </xdr:nvSpPr>
          <xdr:spPr>
            <a:xfrm>
              <a:off x="3550455" y="128269"/>
              <a:ext cx="1903542" cy="1145933"/>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7</xdr:col>
      <xdr:colOff>77788</xdr:colOff>
      <xdr:row>0</xdr:row>
      <xdr:rowOff>123509</xdr:rowOff>
    </xdr:from>
    <xdr:to>
      <xdr:col>11</xdr:col>
      <xdr:colOff>201931</xdr:colOff>
      <xdr:row>7</xdr:row>
      <xdr:rowOff>238125</xdr:rowOff>
    </xdr:to>
    <mc:AlternateContent xmlns:mc="http://schemas.openxmlformats.org/markup-compatibility/2006" xmlns:a14="http://schemas.microsoft.com/office/drawing/2010/main">
      <mc:Choice Requires="a14">
        <xdr:graphicFrame macro="">
          <xdr:nvGraphicFramePr>
            <xdr:cNvPr id="3" name="SOCIEDAD2">
              <a:extLst>
                <a:ext uri="{FF2B5EF4-FFF2-40B4-BE49-F238E27FC236}">
                  <a16:creationId xmlns:a16="http://schemas.microsoft.com/office/drawing/2014/main" id="{C211F1FD-F317-4ADD-FACE-CB4A20F22DB9}"/>
                </a:ext>
              </a:extLst>
            </xdr:cNvPr>
            <xdr:cNvGraphicFramePr/>
          </xdr:nvGraphicFramePr>
          <xdr:xfrm>
            <a:off x="0" y="0"/>
            <a:ext cx="0" cy="0"/>
          </xdr:xfrm>
          <a:graphic>
            <a:graphicData uri="http://schemas.microsoft.com/office/drawing/2010/slicer">
              <sle:slicer xmlns:sle="http://schemas.microsoft.com/office/drawing/2010/slicer" name="SOCIEDAD2"/>
            </a:graphicData>
          </a:graphic>
        </xdr:graphicFrame>
      </mc:Choice>
      <mc:Fallback xmlns="">
        <xdr:sp macro="" textlink="">
          <xdr:nvSpPr>
            <xdr:cNvPr id="0" name=""/>
            <xdr:cNvSpPr>
              <a:spLocks noTextEdit="1"/>
            </xdr:cNvSpPr>
          </xdr:nvSpPr>
          <xdr:spPr>
            <a:xfrm>
              <a:off x="7428847" y="123509"/>
              <a:ext cx="3754849" cy="1190381"/>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0</xdr:col>
      <xdr:colOff>13026</xdr:colOff>
      <xdr:row>9</xdr:row>
      <xdr:rowOff>46942</xdr:rowOff>
    </xdr:from>
    <xdr:to>
      <xdr:col>1</xdr:col>
      <xdr:colOff>1150470</xdr:colOff>
      <xdr:row>12</xdr:row>
      <xdr:rowOff>118754</xdr:rowOff>
    </xdr:to>
    <xdr:sp macro="" textlink="">
      <xdr:nvSpPr>
        <xdr:cNvPr id="23" name="CuadroTexto 22">
          <a:extLst>
            <a:ext uri="{FF2B5EF4-FFF2-40B4-BE49-F238E27FC236}">
              <a16:creationId xmlns:a16="http://schemas.microsoft.com/office/drawing/2014/main" id="{5D1403CE-FFC4-E415-5684-373A53063119}"/>
            </a:ext>
          </a:extLst>
        </xdr:cNvPr>
        <xdr:cNvSpPr txBox="1"/>
      </xdr:nvSpPr>
      <xdr:spPr>
        <a:xfrm>
          <a:off x="13026" y="1603368"/>
          <a:ext cx="2280444" cy="631152"/>
        </a:xfrm>
        <a:prstGeom prst="rect">
          <a:avLst/>
        </a:prstGeom>
        <a:solidFill>
          <a:srgbClr val="FFFF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s-PE" sz="1200" b="1" i="0">
              <a:solidFill>
                <a:srgbClr val="C00000"/>
              </a:solidFill>
              <a:effectLst/>
              <a:latin typeface="+mn-lt"/>
              <a:ea typeface="+mn-ea"/>
              <a:cs typeface="+mn-cs"/>
            </a:rPr>
            <a:t>Para ctualizar los datos, haga clic en la tabla de etiquetas</a:t>
          </a:r>
          <a:r>
            <a:rPr lang="es-PE" sz="1200" b="1" i="0" baseline="0">
              <a:solidFill>
                <a:srgbClr val="C00000"/>
              </a:solidFill>
              <a:effectLst/>
              <a:latin typeface="+mn-lt"/>
              <a:ea typeface="+mn-ea"/>
              <a:cs typeface="+mn-cs"/>
            </a:rPr>
            <a:t> </a:t>
          </a:r>
          <a:r>
            <a:rPr lang="es-PE" sz="1200" b="1" i="0">
              <a:solidFill>
                <a:schemeClr val="dk1"/>
              </a:solidFill>
              <a:effectLst/>
              <a:latin typeface="+mn-lt"/>
              <a:ea typeface="+mn-ea"/>
              <a:cs typeface="+mn-cs"/>
            </a:rPr>
            <a:t>😊</a:t>
          </a:r>
        </a:p>
        <a:p>
          <a:pPr marL="0" marR="0" lvl="0" indent="0" algn="ctr" defTabSz="914400" eaLnBrk="1" fontAlgn="auto" latinLnBrk="0" hangingPunct="1">
            <a:lnSpc>
              <a:spcPct val="100000"/>
            </a:lnSpc>
            <a:spcBef>
              <a:spcPts val="0"/>
            </a:spcBef>
            <a:spcAft>
              <a:spcPts val="0"/>
            </a:spcAft>
            <a:buClrTx/>
            <a:buSzTx/>
            <a:buFontTx/>
            <a:buNone/>
            <a:tabLst/>
            <a:defRPr/>
          </a:pPr>
          <a:endParaRPr lang="es-PE" sz="1100" b="0" i="0">
            <a:solidFill>
              <a:schemeClr val="dk1"/>
            </a:solidFill>
            <a:effectLst/>
            <a:latin typeface="+mn-lt"/>
            <a:ea typeface="+mn-ea"/>
            <a:cs typeface="+mn-cs"/>
          </a:endParaRPr>
        </a:p>
        <a:p>
          <a:r>
            <a:rPr lang="es-PE" sz="1100" baseline="0"/>
            <a:t> </a:t>
          </a:r>
          <a:endParaRPr lang="es-PE"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gpontec\Descargas\Accidentes_Incapacitantes_2023.xlsx" TargetMode="External"/><Relationship Id="rId1" Type="http://schemas.openxmlformats.org/officeDocument/2006/relationships/externalLinkPath" Target="Accidentes_Incapacitantes_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CIDENTES 2023"/>
      <sheetName val="Sheet"/>
      <sheetName val="BASE 2023"/>
    </sheetNames>
    <sheetDataSet>
      <sheetData sheetId="0"/>
      <sheetData sheetId="1"/>
      <sheetData sheetId="2">
        <row r="4">
          <cell r="B4">
            <v>0</v>
          </cell>
          <cell r="C4">
            <v>1</v>
          </cell>
          <cell r="D4">
            <v>0</v>
          </cell>
          <cell r="E4">
            <v>1</v>
          </cell>
          <cell r="F4">
            <v>0</v>
          </cell>
          <cell r="G4">
            <v>1</v>
          </cell>
          <cell r="H4">
            <v>0</v>
          </cell>
          <cell r="I4">
            <v>0</v>
          </cell>
          <cell r="J4">
            <v>1</v>
          </cell>
          <cell r="M4">
            <v>0</v>
          </cell>
          <cell r="N4">
            <v>0</v>
          </cell>
          <cell r="O4">
            <v>0</v>
          </cell>
          <cell r="P4">
            <v>0</v>
          </cell>
          <cell r="Q4">
            <v>0</v>
          </cell>
          <cell r="R4">
            <v>0</v>
          </cell>
          <cell r="S4">
            <v>0</v>
          </cell>
          <cell r="T4">
            <v>1</v>
          </cell>
          <cell r="U4">
            <v>0</v>
          </cell>
          <cell r="V4">
            <v>0</v>
          </cell>
          <cell r="W4">
            <v>0</v>
          </cell>
          <cell r="AE4">
            <v>0</v>
          </cell>
          <cell r="AF4">
            <v>1</v>
          </cell>
          <cell r="AH4">
            <v>0</v>
          </cell>
          <cell r="AI4">
            <v>0</v>
          </cell>
          <cell r="AJ4">
            <v>0</v>
          </cell>
          <cell r="AK4">
            <v>0</v>
          </cell>
          <cell r="AL4">
            <v>0</v>
          </cell>
          <cell r="AM4">
            <v>0</v>
          </cell>
          <cell r="AN4">
            <v>0</v>
          </cell>
          <cell r="AO4">
            <v>0</v>
          </cell>
          <cell r="AP4">
            <v>0</v>
          </cell>
          <cell r="AS4">
            <v>0</v>
          </cell>
          <cell r="AT4">
            <v>0</v>
          </cell>
          <cell r="AU4">
            <v>0</v>
          </cell>
          <cell r="AV4">
            <v>0</v>
          </cell>
          <cell r="AW4">
            <v>0</v>
          </cell>
          <cell r="AX4">
            <v>0</v>
          </cell>
          <cell r="AY4">
            <v>0</v>
          </cell>
          <cell r="AZ4">
            <v>0</v>
          </cell>
          <cell r="BA4">
            <v>0</v>
          </cell>
          <cell r="BB4">
            <v>0</v>
          </cell>
          <cell r="BC4">
            <v>0</v>
          </cell>
          <cell r="BK4">
            <v>0</v>
          </cell>
          <cell r="BL4">
            <v>0</v>
          </cell>
        </row>
        <row r="5">
          <cell r="B5">
            <v>0</v>
          </cell>
          <cell r="C5">
            <v>0</v>
          </cell>
          <cell r="D5">
            <v>1</v>
          </cell>
          <cell r="E5">
            <v>1</v>
          </cell>
          <cell r="F5">
            <v>0</v>
          </cell>
          <cell r="G5">
            <v>0</v>
          </cell>
          <cell r="H5">
            <v>0</v>
          </cell>
          <cell r="I5">
            <v>0</v>
          </cell>
          <cell r="J5">
            <v>0</v>
          </cell>
          <cell r="M5">
            <v>1</v>
          </cell>
          <cell r="N5">
            <v>0</v>
          </cell>
          <cell r="O5">
            <v>0</v>
          </cell>
          <cell r="P5">
            <v>0</v>
          </cell>
          <cell r="Q5">
            <v>0</v>
          </cell>
          <cell r="R5">
            <v>0</v>
          </cell>
          <cell r="S5">
            <v>0</v>
          </cell>
          <cell r="T5">
            <v>1</v>
          </cell>
          <cell r="U5">
            <v>0</v>
          </cell>
          <cell r="V5">
            <v>0</v>
          </cell>
          <cell r="W5">
            <v>0</v>
          </cell>
          <cell r="AE5">
            <v>1</v>
          </cell>
          <cell r="AF5">
            <v>0</v>
          </cell>
          <cell r="AH5">
            <v>0</v>
          </cell>
          <cell r="AI5">
            <v>0</v>
          </cell>
          <cell r="AJ5">
            <v>0</v>
          </cell>
          <cell r="AK5">
            <v>0</v>
          </cell>
          <cell r="AL5">
            <v>0</v>
          </cell>
          <cell r="AM5">
            <v>0</v>
          </cell>
          <cell r="AN5">
            <v>0</v>
          </cell>
          <cell r="AO5">
            <v>0</v>
          </cell>
          <cell r="AP5">
            <v>0</v>
          </cell>
          <cell r="AS5">
            <v>0</v>
          </cell>
          <cell r="AT5">
            <v>0</v>
          </cell>
          <cell r="AU5">
            <v>0</v>
          </cell>
          <cell r="AV5">
            <v>0</v>
          </cell>
          <cell r="AW5">
            <v>0</v>
          </cell>
          <cell r="AX5">
            <v>0</v>
          </cell>
          <cell r="AY5">
            <v>0</v>
          </cell>
          <cell r="AZ5">
            <v>0</v>
          </cell>
          <cell r="BA5">
            <v>0</v>
          </cell>
          <cell r="BB5">
            <v>0</v>
          </cell>
          <cell r="BC5">
            <v>0</v>
          </cell>
          <cell r="BK5">
            <v>0</v>
          </cell>
          <cell r="BL5">
            <v>0</v>
          </cell>
        </row>
        <row r="6">
          <cell r="B6">
            <v>0</v>
          </cell>
          <cell r="C6">
            <v>0</v>
          </cell>
          <cell r="D6">
            <v>1</v>
          </cell>
          <cell r="E6">
            <v>0</v>
          </cell>
          <cell r="F6">
            <v>0</v>
          </cell>
          <cell r="G6">
            <v>0</v>
          </cell>
          <cell r="H6">
            <v>0</v>
          </cell>
          <cell r="I6">
            <v>0</v>
          </cell>
          <cell r="J6">
            <v>0</v>
          </cell>
          <cell r="M6">
            <v>0</v>
          </cell>
          <cell r="N6">
            <v>0</v>
          </cell>
          <cell r="O6">
            <v>0</v>
          </cell>
          <cell r="P6">
            <v>0</v>
          </cell>
          <cell r="Q6">
            <v>1</v>
          </cell>
          <cell r="R6">
            <v>0</v>
          </cell>
          <cell r="S6">
            <v>0</v>
          </cell>
          <cell r="T6">
            <v>1</v>
          </cell>
          <cell r="U6">
            <v>0</v>
          </cell>
          <cell r="V6">
            <v>0</v>
          </cell>
          <cell r="W6">
            <v>1</v>
          </cell>
          <cell r="AE6">
            <v>0</v>
          </cell>
          <cell r="AF6">
            <v>0</v>
          </cell>
          <cell r="AH6">
            <v>0</v>
          </cell>
          <cell r="AI6">
            <v>0</v>
          </cell>
          <cell r="AJ6">
            <v>0</v>
          </cell>
          <cell r="AK6">
            <v>0</v>
          </cell>
          <cell r="AL6">
            <v>0</v>
          </cell>
          <cell r="AM6">
            <v>0</v>
          </cell>
          <cell r="AN6">
            <v>0</v>
          </cell>
          <cell r="AO6">
            <v>0</v>
          </cell>
          <cell r="AP6">
            <v>0</v>
          </cell>
          <cell r="AS6">
            <v>1</v>
          </cell>
          <cell r="AT6">
            <v>0</v>
          </cell>
          <cell r="AU6">
            <v>0</v>
          </cell>
          <cell r="AV6">
            <v>0</v>
          </cell>
          <cell r="AW6">
            <v>0</v>
          </cell>
          <cell r="AX6">
            <v>0</v>
          </cell>
          <cell r="AY6">
            <v>0</v>
          </cell>
          <cell r="AZ6">
            <v>0</v>
          </cell>
          <cell r="BA6">
            <v>0</v>
          </cell>
          <cell r="BB6">
            <v>0</v>
          </cell>
          <cell r="BC6">
            <v>0</v>
          </cell>
          <cell r="BK6">
            <v>0</v>
          </cell>
          <cell r="BL6">
            <v>0</v>
          </cell>
        </row>
        <row r="7">
          <cell r="B7">
            <v>0</v>
          </cell>
          <cell r="C7">
            <v>0</v>
          </cell>
          <cell r="D7">
            <v>1</v>
          </cell>
          <cell r="E7">
            <v>0</v>
          </cell>
          <cell r="F7">
            <v>0</v>
          </cell>
          <cell r="G7">
            <v>1</v>
          </cell>
          <cell r="H7">
            <v>0</v>
          </cell>
          <cell r="I7">
            <v>0</v>
          </cell>
          <cell r="J7">
            <v>0</v>
          </cell>
          <cell r="M7">
            <v>0</v>
          </cell>
          <cell r="N7">
            <v>0</v>
          </cell>
          <cell r="O7">
            <v>0</v>
          </cell>
          <cell r="P7">
            <v>0</v>
          </cell>
          <cell r="Q7">
            <v>0</v>
          </cell>
          <cell r="R7">
            <v>0</v>
          </cell>
          <cell r="S7">
            <v>0</v>
          </cell>
          <cell r="T7">
            <v>0</v>
          </cell>
          <cell r="U7">
            <v>0</v>
          </cell>
          <cell r="V7">
            <v>0</v>
          </cell>
          <cell r="W7">
            <v>0</v>
          </cell>
          <cell r="AE7">
            <v>0</v>
          </cell>
          <cell r="AF7">
            <v>0</v>
          </cell>
          <cell r="AH7">
            <v>0</v>
          </cell>
          <cell r="AI7">
            <v>0</v>
          </cell>
          <cell r="AJ7">
            <v>0</v>
          </cell>
          <cell r="AK7">
            <v>0</v>
          </cell>
          <cell r="AL7">
            <v>0</v>
          </cell>
          <cell r="AM7">
            <v>0</v>
          </cell>
          <cell r="AN7">
            <v>0</v>
          </cell>
          <cell r="AO7">
            <v>0</v>
          </cell>
          <cell r="AP7">
            <v>0</v>
          </cell>
          <cell r="AS7">
            <v>0</v>
          </cell>
          <cell r="AT7">
            <v>1</v>
          </cell>
          <cell r="AU7">
            <v>1</v>
          </cell>
          <cell r="AV7">
            <v>0</v>
          </cell>
          <cell r="AW7">
            <v>0</v>
          </cell>
          <cell r="AX7">
            <v>0</v>
          </cell>
          <cell r="AY7">
            <v>0</v>
          </cell>
          <cell r="AZ7">
            <v>0</v>
          </cell>
          <cell r="BA7">
            <v>0</v>
          </cell>
          <cell r="BB7">
            <v>0</v>
          </cell>
          <cell r="BC7">
            <v>0</v>
          </cell>
          <cell r="BK7">
            <v>1</v>
          </cell>
          <cell r="BL7">
            <v>0</v>
          </cell>
        </row>
        <row r="8">
          <cell r="B8">
            <v>0</v>
          </cell>
          <cell r="C8">
            <v>1</v>
          </cell>
          <cell r="D8">
            <v>1</v>
          </cell>
          <cell r="E8">
            <v>3</v>
          </cell>
          <cell r="F8">
            <v>0</v>
          </cell>
          <cell r="G8">
            <v>0</v>
          </cell>
          <cell r="H8">
            <v>0</v>
          </cell>
          <cell r="I8">
            <v>1</v>
          </cell>
          <cell r="J8">
            <v>0</v>
          </cell>
          <cell r="M8">
            <v>0</v>
          </cell>
          <cell r="N8">
            <v>0</v>
          </cell>
          <cell r="O8">
            <v>0</v>
          </cell>
          <cell r="P8">
            <v>0</v>
          </cell>
          <cell r="Q8">
            <v>0</v>
          </cell>
          <cell r="R8">
            <v>0</v>
          </cell>
          <cell r="S8">
            <v>0</v>
          </cell>
          <cell r="T8">
            <v>1</v>
          </cell>
          <cell r="U8">
            <v>0</v>
          </cell>
          <cell r="V8">
            <v>0</v>
          </cell>
          <cell r="W8">
            <v>1</v>
          </cell>
          <cell r="AE8">
            <v>0</v>
          </cell>
          <cell r="AF8">
            <v>0</v>
          </cell>
          <cell r="AH8">
            <v>0</v>
          </cell>
          <cell r="AI8">
            <v>0</v>
          </cell>
          <cell r="AJ8">
            <v>1</v>
          </cell>
          <cell r="AK8">
            <v>0</v>
          </cell>
          <cell r="AL8">
            <v>0</v>
          </cell>
          <cell r="AM8">
            <v>0</v>
          </cell>
          <cell r="AN8">
            <v>0</v>
          </cell>
          <cell r="AO8">
            <v>0</v>
          </cell>
          <cell r="AP8">
            <v>0</v>
          </cell>
          <cell r="AS8">
            <v>0</v>
          </cell>
          <cell r="AT8">
            <v>0</v>
          </cell>
          <cell r="AU8">
            <v>0</v>
          </cell>
          <cell r="AV8">
            <v>0</v>
          </cell>
          <cell r="AW8">
            <v>0</v>
          </cell>
          <cell r="AX8">
            <v>0</v>
          </cell>
          <cell r="AY8">
            <v>0</v>
          </cell>
          <cell r="AZ8">
            <v>0</v>
          </cell>
          <cell r="BA8">
            <v>0</v>
          </cell>
          <cell r="BB8">
            <v>0</v>
          </cell>
          <cell r="BC8">
            <v>0</v>
          </cell>
          <cell r="BK8">
            <v>0</v>
          </cell>
          <cell r="BL8">
            <v>0</v>
          </cell>
        </row>
        <row r="9">
          <cell r="B9">
            <v>0</v>
          </cell>
          <cell r="C9">
            <v>1</v>
          </cell>
          <cell r="D9">
            <v>1</v>
          </cell>
          <cell r="E9">
            <v>2</v>
          </cell>
          <cell r="F9">
            <v>0</v>
          </cell>
          <cell r="G9">
            <v>0</v>
          </cell>
          <cell r="H9">
            <v>0</v>
          </cell>
          <cell r="I9">
            <v>0</v>
          </cell>
          <cell r="J9">
            <v>0</v>
          </cell>
          <cell r="M9">
            <v>0</v>
          </cell>
          <cell r="N9">
            <v>0</v>
          </cell>
          <cell r="O9">
            <v>0</v>
          </cell>
          <cell r="P9">
            <v>0</v>
          </cell>
          <cell r="Q9">
            <v>0</v>
          </cell>
          <cell r="R9">
            <v>0</v>
          </cell>
          <cell r="S9">
            <v>0</v>
          </cell>
          <cell r="T9">
            <v>0</v>
          </cell>
          <cell r="U9">
            <v>0</v>
          </cell>
          <cell r="V9">
            <v>0</v>
          </cell>
          <cell r="W9">
            <v>1</v>
          </cell>
          <cell r="AE9">
            <v>0</v>
          </cell>
          <cell r="AF9">
            <v>0</v>
          </cell>
          <cell r="AH9">
            <v>0</v>
          </cell>
          <cell r="AI9">
            <v>0</v>
          </cell>
          <cell r="AJ9">
            <v>0</v>
          </cell>
          <cell r="AK9">
            <v>0</v>
          </cell>
          <cell r="AL9">
            <v>0</v>
          </cell>
          <cell r="AM9">
            <v>0</v>
          </cell>
          <cell r="AN9">
            <v>0</v>
          </cell>
          <cell r="AO9">
            <v>0</v>
          </cell>
          <cell r="AP9">
            <v>0</v>
          </cell>
          <cell r="AS9">
            <v>0</v>
          </cell>
          <cell r="AT9">
            <v>0</v>
          </cell>
          <cell r="AU9">
            <v>0</v>
          </cell>
          <cell r="AV9">
            <v>0</v>
          </cell>
          <cell r="AW9">
            <v>0</v>
          </cell>
          <cell r="AX9">
            <v>0</v>
          </cell>
          <cell r="AY9">
            <v>0</v>
          </cell>
          <cell r="AZ9">
            <v>0</v>
          </cell>
          <cell r="BA9">
            <v>0</v>
          </cell>
          <cell r="BB9">
            <v>0</v>
          </cell>
          <cell r="BC9">
            <v>2</v>
          </cell>
          <cell r="BK9">
            <v>0</v>
          </cell>
          <cell r="BL9">
            <v>0</v>
          </cell>
        </row>
        <row r="10">
          <cell r="B10">
            <v>0</v>
          </cell>
          <cell r="C10">
            <v>0</v>
          </cell>
          <cell r="D10">
            <v>0</v>
          </cell>
          <cell r="E10">
            <v>1</v>
          </cell>
          <cell r="F10">
            <v>0</v>
          </cell>
          <cell r="G10">
            <v>1</v>
          </cell>
          <cell r="H10">
            <v>0</v>
          </cell>
          <cell r="I10">
            <v>1</v>
          </cell>
          <cell r="J10">
            <v>1</v>
          </cell>
          <cell r="M10">
            <v>0</v>
          </cell>
          <cell r="N10">
            <v>0</v>
          </cell>
          <cell r="O10">
            <v>0</v>
          </cell>
          <cell r="P10">
            <v>0</v>
          </cell>
          <cell r="Q10">
            <v>0</v>
          </cell>
          <cell r="R10">
            <v>0</v>
          </cell>
          <cell r="S10">
            <v>0</v>
          </cell>
          <cell r="T10">
            <v>0</v>
          </cell>
          <cell r="U10">
            <v>0</v>
          </cell>
          <cell r="V10">
            <v>0</v>
          </cell>
          <cell r="W10">
            <v>1</v>
          </cell>
          <cell r="AE10">
            <v>0</v>
          </cell>
          <cell r="AF10">
            <v>0</v>
          </cell>
          <cell r="AH10">
            <v>0</v>
          </cell>
          <cell r="AI10">
            <v>0</v>
          </cell>
          <cell r="AJ10">
            <v>0</v>
          </cell>
          <cell r="AK10">
            <v>0</v>
          </cell>
          <cell r="AL10">
            <v>0</v>
          </cell>
          <cell r="AM10">
            <v>0</v>
          </cell>
          <cell r="AN10">
            <v>0</v>
          </cell>
          <cell r="AO10">
            <v>0</v>
          </cell>
          <cell r="AP10">
            <v>0</v>
          </cell>
          <cell r="AS10">
            <v>0</v>
          </cell>
          <cell r="AT10">
            <v>0</v>
          </cell>
          <cell r="AU10">
            <v>0</v>
          </cell>
          <cell r="AV10">
            <v>0</v>
          </cell>
          <cell r="AW10">
            <v>0</v>
          </cell>
          <cell r="AX10">
            <v>0</v>
          </cell>
          <cell r="AY10">
            <v>0</v>
          </cell>
          <cell r="AZ10">
            <v>0</v>
          </cell>
          <cell r="BA10">
            <v>0</v>
          </cell>
          <cell r="BB10">
            <v>0</v>
          </cell>
          <cell r="BC10">
            <v>1</v>
          </cell>
          <cell r="BK10">
            <v>0</v>
          </cell>
          <cell r="BL10">
            <v>0</v>
          </cell>
        </row>
        <row r="11">
          <cell r="B11">
            <v>0</v>
          </cell>
          <cell r="C11">
            <v>0</v>
          </cell>
          <cell r="D11">
            <v>1</v>
          </cell>
          <cell r="E11">
            <v>1</v>
          </cell>
          <cell r="F11">
            <v>0</v>
          </cell>
          <cell r="G11">
            <v>0</v>
          </cell>
          <cell r="H11">
            <v>0</v>
          </cell>
          <cell r="I11">
            <v>1</v>
          </cell>
          <cell r="J11">
            <v>1</v>
          </cell>
          <cell r="M11">
            <v>0</v>
          </cell>
          <cell r="N11">
            <v>0</v>
          </cell>
          <cell r="O11">
            <v>0</v>
          </cell>
          <cell r="P11">
            <v>0</v>
          </cell>
          <cell r="Q11">
            <v>0</v>
          </cell>
          <cell r="R11">
            <v>0</v>
          </cell>
          <cell r="S11">
            <v>0</v>
          </cell>
          <cell r="T11">
            <v>1</v>
          </cell>
          <cell r="U11">
            <v>0</v>
          </cell>
          <cell r="V11">
            <v>0</v>
          </cell>
          <cell r="W11">
            <v>0</v>
          </cell>
          <cell r="AE11">
            <v>0</v>
          </cell>
          <cell r="AF11">
            <v>0</v>
          </cell>
          <cell r="AH11">
            <v>0</v>
          </cell>
          <cell r="AI11">
            <v>0</v>
          </cell>
          <cell r="AJ11">
            <v>0</v>
          </cell>
          <cell r="AK11">
            <v>0</v>
          </cell>
          <cell r="AL11">
            <v>0</v>
          </cell>
          <cell r="AM11">
            <v>0</v>
          </cell>
          <cell r="AN11">
            <v>0</v>
          </cell>
          <cell r="AO11">
            <v>0</v>
          </cell>
          <cell r="AP11">
            <v>0</v>
          </cell>
          <cell r="AS11">
            <v>0</v>
          </cell>
          <cell r="AT11">
            <v>0</v>
          </cell>
          <cell r="AU11">
            <v>0</v>
          </cell>
          <cell r="AV11">
            <v>0</v>
          </cell>
          <cell r="AW11">
            <v>0</v>
          </cell>
          <cell r="AX11">
            <v>0</v>
          </cell>
          <cell r="AY11">
            <v>0</v>
          </cell>
          <cell r="AZ11">
            <v>0</v>
          </cell>
          <cell r="BA11">
            <v>0</v>
          </cell>
          <cell r="BB11">
            <v>0</v>
          </cell>
          <cell r="BC11">
            <v>1</v>
          </cell>
          <cell r="BK11">
            <v>0</v>
          </cell>
          <cell r="BL11">
            <v>0</v>
          </cell>
        </row>
        <row r="12">
          <cell r="B12">
            <v>0</v>
          </cell>
          <cell r="C12">
            <v>0</v>
          </cell>
          <cell r="D12">
            <v>0</v>
          </cell>
          <cell r="E12">
            <v>0</v>
          </cell>
          <cell r="F12">
            <v>0</v>
          </cell>
          <cell r="G12">
            <v>0</v>
          </cell>
          <cell r="H12">
            <v>0</v>
          </cell>
          <cell r="I12">
            <v>0</v>
          </cell>
          <cell r="J12">
            <v>0</v>
          </cell>
          <cell r="M12">
            <v>0</v>
          </cell>
          <cell r="N12">
            <v>0</v>
          </cell>
          <cell r="O12">
            <v>0</v>
          </cell>
          <cell r="P12">
            <v>0</v>
          </cell>
          <cell r="Q12">
            <v>0</v>
          </cell>
          <cell r="R12">
            <v>0</v>
          </cell>
          <cell r="S12">
            <v>0</v>
          </cell>
          <cell r="T12">
            <v>0</v>
          </cell>
          <cell r="U12">
            <v>0</v>
          </cell>
          <cell r="V12">
            <v>0</v>
          </cell>
          <cell r="W12">
            <v>1</v>
          </cell>
          <cell r="AE12">
            <v>0</v>
          </cell>
          <cell r="AF12">
            <v>0</v>
          </cell>
          <cell r="AH12">
            <v>0</v>
          </cell>
          <cell r="AI12">
            <v>0</v>
          </cell>
          <cell r="AJ12">
            <v>0</v>
          </cell>
          <cell r="AK12">
            <v>0</v>
          </cell>
          <cell r="AL12">
            <v>0</v>
          </cell>
          <cell r="AM12">
            <v>1</v>
          </cell>
          <cell r="AN12">
            <v>0</v>
          </cell>
          <cell r="AO12">
            <v>0</v>
          </cell>
          <cell r="AP12">
            <v>0</v>
          </cell>
          <cell r="AS12">
            <v>1</v>
          </cell>
          <cell r="AT12">
            <v>0</v>
          </cell>
          <cell r="AU12">
            <v>0</v>
          </cell>
          <cell r="AV12">
            <v>0</v>
          </cell>
          <cell r="AW12">
            <v>0</v>
          </cell>
          <cell r="AX12">
            <v>0</v>
          </cell>
          <cell r="AY12">
            <v>0</v>
          </cell>
          <cell r="AZ12">
            <v>0</v>
          </cell>
          <cell r="BA12">
            <v>0</v>
          </cell>
          <cell r="BB12">
            <v>0</v>
          </cell>
          <cell r="BC12">
            <v>2</v>
          </cell>
          <cell r="BK12">
            <v>0</v>
          </cell>
          <cell r="BL12">
            <v>0</v>
          </cell>
        </row>
        <row r="13">
          <cell r="B13">
            <v>0</v>
          </cell>
          <cell r="C13">
            <v>0</v>
          </cell>
          <cell r="D13">
            <v>2</v>
          </cell>
          <cell r="E13">
            <v>0</v>
          </cell>
          <cell r="F13">
            <v>0</v>
          </cell>
          <cell r="G13">
            <v>0</v>
          </cell>
          <cell r="H13">
            <v>0</v>
          </cell>
          <cell r="I13">
            <v>0</v>
          </cell>
          <cell r="J13">
            <v>0</v>
          </cell>
          <cell r="M13">
            <v>0</v>
          </cell>
          <cell r="N13">
            <v>0</v>
          </cell>
          <cell r="O13">
            <v>0</v>
          </cell>
          <cell r="P13">
            <v>0</v>
          </cell>
          <cell r="Q13">
            <v>0</v>
          </cell>
          <cell r="R13">
            <v>0</v>
          </cell>
          <cell r="S13">
            <v>0</v>
          </cell>
          <cell r="T13">
            <v>0</v>
          </cell>
          <cell r="U13">
            <v>0</v>
          </cell>
          <cell r="V13">
            <v>0</v>
          </cell>
          <cell r="W13">
            <v>1</v>
          </cell>
          <cell r="AE13">
            <v>0</v>
          </cell>
          <cell r="AF13">
            <v>0</v>
          </cell>
          <cell r="AH13">
            <v>0</v>
          </cell>
          <cell r="AI13">
            <v>0</v>
          </cell>
          <cell r="AJ13">
            <v>0</v>
          </cell>
          <cell r="AK13">
            <v>0</v>
          </cell>
          <cell r="AL13">
            <v>0</v>
          </cell>
          <cell r="AM13">
            <v>0</v>
          </cell>
          <cell r="AN13">
            <v>0</v>
          </cell>
          <cell r="AO13">
            <v>0</v>
          </cell>
          <cell r="AP13">
            <v>0</v>
          </cell>
          <cell r="AS13">
            <v>2</v>
          </cell>
          <cell r="AT13">
            <v>0</v>
          </cell>
          <cell r="AU13">
            <v>1</v>
          </cell>
          <cell r="AV13">
            <v>0</v>
          </cell>
          <cell r="AW13">
            <v>0</v>
          </cell>
          <cell r="AX13">
            <v>0</v>
          </cell>
          <cell r="AY13">
            <v>0</v>
          </cell>
          <cell r="AZ13">
            <v>0</v>
          </cell>
          <cell r="BA13">
            <v>0</v>
          </cell>
          <cell r="BB13">
            <v>0</v>
          </cell>
          <cell r="BC13">
            <v>0</v>
          </cell>
          <cell r="BK13">
            <v>1</v>
          </cell>
          <cell r="BL13">
            <v>0</v>
          </cell>
        </row>
      </sheetData>
    </sheetDataSet>
  </externalBook>
</externalLink>
</file>

<file path=xl/persons/person.xml><?xml version="1.0" encoding="utf-8"?>
<personList xmlns="http://schemas.microsoft.com/office/spreadsheetml/2018/threadedcomments" xmlns:x="http://schemas.openxmlformats.org/spreadsheetml/2006/main">
  <person displayName="Gianella Arcela Ponte Carrasco" id="{C30AD019-2174-4976-9464-A0A46BEB220D}" userId="S::GPonteC@alicorp.com.pe::95ec6f2d-9ed7-49c3-9db3-5a68daa8794f" providerId="AD"/>
  <person displayName="Yury Clemente Huerto Santillan" id="{AB54AD18-C332-47E2-85D1-5A1A61D618F6}" userId="S::YHuertoS@alicorp.com.pe::a5862a38-4d9f-40aa-8cf4-881da70be4e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ola Brillit Juarez Paico" refreshedDate="46129.402724884261" createdVersion="8" refreshedVersion="8" minRefreshableVersion="3" recordCount="229" xr:uid="{C2BD1153-21B2-4D9E-9B5A-E248D81F1CF6}">
  <cacheSource type="worksheet">
    <worksheetSource name="Tabla34"/>
  </cacheSource>
  <cacheFields count="7">
    <cacheField name="Planta" numFmtId="0">
      <sharedItems count="75">
        <s v="LATAM 400"/>
        <s v="EEII COPSA PULP 4"/>
        <s v="Molino Callao"/>
        <s v="Lurín 3"/>
        <s v="CD Huachipa"/>
        <s v="CD Piura"/>
        <s v="CD Santa Cruz"/>
        <s v="CD Latam 600"/>
        <s v="APT Fideería"/>
        <s v="CDC"/>
        <s v="Galletera/Sidsur"/>
        <s v="Galletera &amp; Instantáneos"/>
        <s v="Almacén Copsa Envases Copsa"/>
        <s v="Molino Paita"/>
        <s v="CD El Alto Senkata"/>
        <s v="CD Arequipa"/>
        <s v="APT Galletera"/>
        <s v="Lurín 1"/>
        <s v="CDC "/>
        <s v="Almacén de insumos fidería"/>
        <s v="SIDSUR"/>
        <s v="ÑAÑA"/>
        <s v="Predio central"/>
        <s v="SALSAS"/>
        <s v="Chorrillos"/>
        <s v="Lurín 6"/>
        <s v="Margarinas y mantecas"/>
        <s v="Detergentes Callao"/>
        <s v="Jabonería"/>
        <s v="APUDEX"/>
        <s v="Salsas 1 – COPSA"/>
        <s v="Planta Hipoclorito – Lurin N° 1"/>
        <s v="Planta Frascos– COPSA"/>
        <s v="CD Lambayeque"/>
        <s v="Intracan"/>
        <s v="Laboratorio microbiología - Predio central"/>
        <s v="Planta Cochabamba"/>
        <s v="Lurín 4"/>
        <s v="CD Bolivia"/>
        <s v="CD Ransa"/>
        <s v="Detergentes Lurín"/>
        <s v="Copsa Refinería"/>
        <s v="APT Farinaceos"/>
        <s v="Molino Faucett"/>
        <s v="CD Detergentes Lurín"/>
        <s v="Predio Callao"/>
        <s v="Masterbread Cajamarquilla"/>
        <s v="COPSA – Margarinas"/>
        <s v="APT FARINÁCEOS"/>
        <s v="APT MOLINO CALLAO"/>
        <s v="CD Latam 400"/>
        <s v="CD2 Planta 4 Lurin ITDC"/>
        <s v="Detergentes Lurin"/>
        <s v="CD Cusco"/>
        <s v="PREDIO SIDSUR"/>
        <s v="ATP GALLETERA"/>
        <s v="LURIN"/>
        <s v="APUTEX"/>
        <s v="CD Detergentes Lurin"/>
        <s v="ITDC- Lurin"/>
        <s v="ATP MCA"/>
        <s v="SALSAS 2"/>
        <s v="Lurin 1"/>
        <s v="Lurín 2"/>
        <s v="Almacen Detergentes Callao"/>
        <s v="Predio Callo"/>
        <s v="Masterbread Ñaña"/>
        <s v="COPSA"/>
        <s v="Detergente Callao"/>
        <s v=" Ñaña"/>
        <s v="Planta Fideería"/>
        <s v="CD Lurín 1"/>
        <s v="CD Detergente Lurín"/>
        <s v="ATP Molino Callao"/>
        <s v="Detergente Lurín"/>
      </sharedItems>
    </cacheField>
    <cacheField name="Fecha" numFmtId="14">
      <sharedItems containsSemiMixedTypes="0" containsNonDate="0" containsDate="1" containsString="0" minDate="1900-03-11T00:00:00" maxDate="2026-03-31T00:00:00" count="145">
        <d v="2025-01-06T00:00:00"/>
        <d v="2025-01-24T00:00:00"/>
        <d v="2025-01-26T00:00:00"/>
        <d v="2025-01-27T00:00:00"/>
        <d v="2025-01-28T00:00:00"/>
        <d v="2025-01-29T00:00:00"/>
        <d v="2025-02-13T00:00:00"/>
        <d v="2025-02-19T00:00:00"/>
        <d v="2025-02-21T00:00:00"/>
        <d v="2025-02-23T00:00:00"/>
        <d v="2025-02-24T00:00:00"/>
        <d v="2025-02-27T00:00:00"/>
        <d v="2025-02-28T00:00:00"/>
        <d v="2025-03-06T00:00:00"/>
        <d v="2025-03-13T00:00:00"/>
        <d v="2025-03-17T00:00:00"/>
        <d v="2025-03-22T00:00:00"/>
        <d v="2025-03-26T00:00:00"/>
        <d v="2025-04-03T00:00:00"/>
        <d v="2025-04-04T00:00:00"/>
        <d v="2025-04-11T00:00:00"/>
        <d v="2025-04-15T00:00:00"/>
        <d v="2025-04-23T00:00:00"/>
        <d v="2025-04-26T00:00:00"/>
        <d v="2025-04-29T00:00:00"/>
        <d v="2025-05-02T00:00:00"/>
        <d v="2025-05-08T00:00:00"/>
        <d v="2025-05-14T00:00:00"/>
        <d v="2025-05-21T00:00:00"/>
        <d v="2025-05-23T00:00:00"/>
        <d v="2025-05-30T00:00:00"/>
        <d v="2025-06-02T00:00:00"/>
        <d v="2025-06-04T00:00:00"/>
        <d v="2025-06-05T00:00:00"/>
        <d v="2025-06-07T00:00:00"/>
        <d v="2025-06-08T00:00:00"/>
        <d v="2025-06-13T00:00:00"/>
        <d v="2025-06-18T00:00:00"/>
        <d v="2025-06-24T00:00:00"/>
        <d v="2025-06-26T00:00:00"/>
        <d v="2025-07-01T00:00:00"/>
        <d v="2025-07-03T00:00:00"/>
        <d v="2025-07-04T00:00:00"/>
        <d v="2025-07-11T00:00:00"/>
        <d v="2025-07-12T00:00:00"/>
        <d v="2025-07-15T00:00:00"/>
        <d v="2025-07-18T00:00:00"/>
        <d v="2025-07-21T00:00:00"/>
        <d v="2025-09-01T00:00:00"/>
        <d v="2025-09-08T00:00:00"/>
        <d v="2025-09-12T00:00:00"/>
        <d v="2025-09-16T00:00:00"/>
        <d v="2025-09-22T00:00:00"/>
        <d v="2025-09-24T00:00:00"/>
        <d v="2025-09-29T00:00:00"/>
        <d v="2025-09-30T00:00:00"/>
        <d v="2025-10-02T00:00:00"/>
        <d v="2025-10-03T00:00:00"/>
        <d v="2025-10-06T00:00:00"/>
        <d v="2025-10-07T00:00:00"/>
        <d v="2025-10-29T00:00:00"/>
        <d v="2025-10-30T00:00:00"/>
        <d v="2025-10-31T00:00:00"/>
        <d v="2025-11-04T00:00:00"/>
        <d v="2025-11-07T00:00:00"/>
        <d v="2025-11-08T00:00:00"/>
        <d v="2025-11-10T00:00:00"/>
        <d v="2025-11-11T00:00:00"/>
        <d v="2025-11-14T00:00:00"/>
        <d v="2025-11-15T00:00:00"/>
        <d v="2025-11-17T00:00:00"/>
        <d v="2025-11-20T00:00:00"/>
        <d v="2025-11-21T00:00:00"/>
        <d v="2025-11-24T00:00:00"/>
        <d v="2025-11-25T00:00:00"/>
        <d v="2025-11-26T00:00:00"/>
        <d v="2025-12-05T00:00:00"/>
        <d v="2025-12-06T00:00:00"/>
        <d v="2025-12-11T00:00:00"/>
        <d v="2025-12-13T00:00:00"/>
        <d v="2025-12-16T00:00:00"/>
        <d v="2025-12-17T00:00:00"/>
        <d v="2025-12-18T00:00:00"/>
        <d v="2025-12-20T00:00:00"/>
        <d v="2025-12-21T00:00:00"/>
        <d v="2025-12-22T00:00:00"/>
        <d v="2025-12-27T00:00:00"/>
        <d v="2025-12-30T00:00:00"/>
        <d v="2026-01-03T00:00:00"/>
        <d v="2026-01-06T00:00:00"/>
        <d v="2026-01-08T00:00:00"/>
        <d v="2026-01-16T00:00:00"/>
        <d v="2026-01-18T00:00:00"/>
        <d v="2026-01-21T00:00:00"/>
        <d v="2026-01-31T00:00:00"/>
        <d v="2026-02-02T00:00:00"/>
        <d v="2026-01-30T00:00:00"/>
        <d v="2026-02-03T00:00:00"/>
        <d v="2026-02-04T00:00:00"/>
        <d v="2026-02-05T00:00:00"/>
        <d v="2026-02-07T00:00:00"/>
        <d v="2026-02-06T00:00:00"/>
        <d v="2026-02-09T00:00:00"/>
        <d v="2026-02-10T00:00:00"/>
        <d v="2026-02-11T00:00:00"/>
        <d v="2026-02-13T00:00:00"/>
        <d v="2026-02-12T00:00:00"/>
        <d v="2026-02-14T00:00:00"/>
        <d v="2026-02-17T00:00:00"/>
        <d v="2026-02-16T00:00:00"/>
        <d v="2026-02-18T00:00:00"/>
        <d v="2026-02-19T00:00:00"/>
        <d v="2026-02-20T00:00:00"/>
        <d v="2026-02-21T00:00:00"/>
        <d v="2026-02-23T00:00:00"/>
        <d v="2026-02-24T00:00:00"/>
        <d v="2026-02-26T00:00:00"/>
        <d v="2026-02-27T00:00:00"/>
        <d v="2026-02-28T00:00:00"/>
        <d v="2026-03-05T00:00:00"/>
        <d v="2026-03-04T00:00:00"/>
        <d v="2026-03-03T00:00:00"/>
        <d v="2026-03-06T00:00:00"/>
        <d v="2026-03-07T00:00:00"/>
        <d v="2026-03-09T00:00:00"/>
        <d v="2026-03-10T00:00:00"/>
        <d v="2026-03-11T00:00:00"/>
        <d v="2026-03-12T00:00:00"/>
        <d v="1900-03-11T00:00:00"/>
        <d v="2026-03-13T00:00:00"/>
        <d v="2026-03-14T00:00:00"/>
        <d v="2026-03-15T00:00:00"/>
        <d v="2026-03-17T00:00:00"/>
        <d v="2026-03-16T00:00:00"/>
        <d v="2026-03-18T00:00:00"/>
        <d v="2026-03-19T00:00:00"/>
        <d v="2026-03-21T00:00:00"/>
        <d v="2026-03-20T00:00:00"/>
        <d v="2026-03-23T00:00:00"/>
        <d v="2026-03-25T00:00:00"/>
        <d v="2026-03-24T00:00:00"/>
        <d v="2026-03-26T00:00:00"/>
        <d v="2026-03-27T00:00:00"/>
        <d v="2026-03-29T00:00:00"/>
        <d v="2026-03-30T00:00:00"/>
      </sharedItems>
    </cacheField>
    <cacheField name="EMPRESA" numFmtId="0">
      <sharedItems containsBlank="1" count="20">
        <s v="ALICORP"/>
        <s v="INTRADEVCO"/>
        <s v="TERCERA"/>
        <s v="MASTERBREAD"/>
        <s v="APUDEX"/>
        <s v="RANSA"/>
        <s v="WESTFALIA"/>
        <s v="Transportes Fermín"/>
        <s v="BM Group "/>
        <m/>
        <s v="TRANSPORTES TACSA"/>
        <s v="S. G. NILSON"/>
        <s v="AGRONEGOCIOS CASAGRANDE"/>
        <s v="TRANSPORTES S&amp;R (TRANSVIDA)"/>
        <s v="VIRGEN DE SILLOTA"/>
        <s v="Alicorp SAA"/>
        <s v="CEVA"/>
        <s v="SAPISCO COMERCIAL"/>
        <s v="CALICORP"/>
        <s v="ALICORP BOLIVIA"/>
      </sharedItems>
    </cacheField>
    <cacheField name="Tipo de evento" numFmtId="0">
      <sharedItems count="15">
        <s v="Daño material"/>
        <s v="Activación mecánica de rociador"/>
        <s v="Arranque de equipo"/>
        <s v="Fuga de Oleum"/>
        <s v="Caída de acople"/>
        <s v="Amago de incendio"/>
        <s v="Incidente"/>
        <s v="Alto potencial"/>
        <s v="Caída de producto"/>
        <s v="Fuga de cloro"/>
        <s v="Derrame de producto químico"/>
        <s v="Potencial daño material o personal"/>
        <s v="Derrame de pasta"/>
        <s v="Daño ambiental"/>
        <s v="Incidente con daño material"/>
      </sharedItems>
    </cacheField>
    <cacheField name="Descripción " numFmtId="0">
      <sharedItems containsBlank="1" count="223" longText="1">
        <s v="Siendo las 6:31 a.m. el operador de montacargas se encontraba haciendo uso del equipo MYA64 realizando la descarga de mercadería de un camión en la  rampa 19, ya por finalizar el proceso,  el operador descarga una de las paletas restantes, retrocede y luego avanza con la mercadería en dirección hacia la rampa 18, el colaborador comenta que es en ese momento que dormita y choca contra la pared de la rampa 18. "/>
        <s v="El día de hoy a las 15:50, en el almacén EE/II COPSA PUL4, se registró un incidente de alto potencial durante el almacenamiento de mercadería. Durante la maniobra, la parte superior del pallet topa el aspersor accidentalmente, provocando su activación._x000a_Se emitió la alerta, el equipo de seguridad planta acudió al evento de forma inmediata; así mismo, se realizó un hard stop operativo para sensibilizar el incidente al 100% del personal._x000a_ No se registran daños personales y se cuantificará los daños materiales ocasionados por el evento._x000a_Se procederá con la investigación correspondiente para determinar los detalles adicionales."/>
        <s v="Durante el arranque de la planta, el trabajador Robinson Vilchez detectó que uno de los equipos no contaba con la faja correspondiente. De inmediato, envió una comunicación vía mensaje whatsapp al coordinador encargado del arranque para solicitar un retraso en el proceso._x000a__x000a_Sin embargo, el coordinador de turno, quien se encontraba en la sala de supervisión, mencionó no haber visto el mensaje de Vilchez y continuó con el arranque._x000a__x000a_Al observar que las máquinas comenzaban a ponerse en marcha, Robinson decidió retirarse de la zona y se dirigió a la sala de supervisión."/>
        <s v="Durante la producción se identificó una filtración de Oleum de la tubería que sale del filtro de gases de SO3. Luego se procedió a parar la producción y empezar el proceso de desgasificado de las líneas productivas para intervenir y corregir la fisura, después de 1h se inicia la intervención de la tubería, retirando el enchaquetado para ubicar el punto exacto de fuga, y en ese momento se incrementa la fuga Oleum, generando liberación de gases al entrar en contacto con el ambiente."/>
        <s v="A partir de las 5:30 p.m. se inició la presurización de la red aérea del sistema ACI instalado en el CD Huachipa. Luego de emplear la bomba jockey para levantar presión se procedió a activar la bomba principal. Tras la 3era activación de dicha bomba principal un tramo de tubería ubicada en la azotea de la zona de vestidores se desplazó 50 cm, separándose del tramo de tubería adyacente que quedó fijo (el codo también se separó de la columna a la cual estaba anclado). El acople que unía ambos tramos cayó a 6 metros de su posición original (sobre la misma azotea de la zona de vestidores). En ese momento, se liberó el caudal del agua que cubrió el techo de la azotea y descendió también al primer piso (zona de acceso a los vestidores y estacionamiento). Además del acople caído, se registró desprendimiento del tarrajeo donde se ubicaba el anclaje del codo mostrado en la foto. El incidente está en proceso de investigación."/>
        <s v="Durante el proceso de descargue en CD Piura, se observó un pequeño amago de incendio debajo de la cabina del camión. En ese momento, el almacén procedió a activar la alarma contra incendios. Sin embargo, se identificó que la unidad ya contaba con un dispositivo bloqueador de energía, siendo así, ya no fue necesario el uso de extintores y demás, puesto que el amago se apagó automáticamente y casi de inmediato. "/>
        <s v="En fecha 13 de febrero de 2025, el montacarguista de turno, operador del equipo TOWMOTOR GP25S, regresaba de la cámara fría tras completar el traslado de producto terminado para continuar con sus labores en la operación. _x000a_Durante el traslado por la zona, la uña derecha se engancha en el enmallado que delimita la zona, lo atraviesa y perfora producto apilado en el lugar. El operador retira el montacargas para revisión del daño material. "/>
        <s v="Alrededor de las 11:34 horas del 19/02 el operador ETV finalizaba de realizar una tarea de almacenaje en la cámara refrigerada, y al salir con el mástil del equipo elevado, impactó con la parte superior del marco de la puerta de la cámara de frio, generando la caída de una parte de este al piso. Por tal motivo, la puerta de acceso a la cámara refrigerada queda bloqueada hasta su reparación. _x000a_No se reportó daños personales."/>
        <s v="Aproximadamente a las 20:40 horas, un ayudante de despacho se encontraba empujando la mercadería para que esta pueda ser recogida por el montacarguista para luego ser cargada en la unidad de transporte. Sin embargo, debido a que la paleta ubicada en la parte delantera tenía un tamaño menor en comparación con las posteriores, no advirtió su presencia y continuó con la maniobra, lo que provocó la caída de la mercadería hacia la parte exterior del muelle._x000a_Afortunadamente no hubo daños materiales ni personales ya que el personal del patio de maniobras se encontraba apartado."/>
        <s v="Al promediar las 12:10, personal tercero se percata que un balón de gas (nuevo) montado en el equipo RUA01 presentaba una fuga, inmediatamente informa la jefe de turno quien solicita apoyo mediante la radio al centro de control._x000a_A los pocos minutos personal de seguridad se acercan para revisar el balón, donde comprueban que existe una ligera fuga, inmediatamente proceden a taparlo con jabón y aislar el balón._x000a_Luego de ello se procedió a informar al proveedor ZGAS para que retire el balón con fuga."/>
        <s v="Durante el arranque de producción de inicio de semana de la línea 2, el ayudante hornero Eloy Cutipa identifica un amago de incendio en un pedazo de masa (20 cm) de galletas que se desplaza por la malla del horno, Eloy  comunica al coordinador Loyber Hilachoque acerca del evento. Ambos trabajadores proceden a parar la faja para controlar el amago. Posterior a ello se apagan los equipos y componentes mecánicos hasta que se eliminen las brasas generadas por el amago. No se registraron daños materiales ni personales."/>
        <s v="Aproximadamente a las 11:30, un operador de montacarga eléctrico realizaba el proceso de almacenaje. Tenía una tarea de cajas de aceites que mandaba al séptimo nivel. Cuando se encontraba colocando la paleta sintió que se atoró, posiblemente por motivo de una caja sobresalida y al no poder seguir ingresando la paleta, optó por sacarla. Sin embargo, ya estaba la paleta sentada sobre el parante y al momento del retroceder alza nuevamente las uñas de la máquina y generó que la paleta se incline por un lado y caiga toda la mercadería._x000a_Afortunadamente no hubo daños personales, pero si materiales."/>
        <s v="Aproximadamente a las 10:58 horas en la enfardeladora de postres (Boato), durante el proceso de embolsado de gelatina, se presentó un amago de incendio en la lámina microperforada. _x000a_Afortunadamente solo hubo daños materiales mínimos ya que el personal reacción rápido para controlar dicho amago."/>
        <s v="Alrededor de las 11:15 horas del 28/02, el operador de ETV al realizar la maniobra para bajar un pallet del cuarto nivel, que tenía un insumo en bidones sin estar empacado de stretch film, pierde equilibrio y se caen 4 bidones del pallet afectando a otros materiales y al piso del almacén por el derrame ocasionado. No se reportó daños personales."/>
        <s v="Al promediar las 3:25 am, mientras se realizaba el proceso de recirculación del tanque 4 de Ácido Sulfónico Lineal (HLAS), se produjo la fisura de la sección lateral del manifold N° 2, que inició el derrame del mencionado producto químico. A las 5:00 am se recibió la llamada del agente de seguridad de garita reportando un derrame en la zona de despacho y se activó el plan de contingencias para la contención del derrame."/>
        <s v="Aproximadamente a las 8:00 am, el conductor de la empresa Corzev se acercó a su unidad y se percató que el lado lateral izquierdo de la cabina había sido impactado. Inmediatamente, procedió a comunicarse con el almacén para revisar lo sucedido._x000a_En la revisión de las cámaras se observó que la unidad con placa BBX945 de Transportes e Inversiones Pacífico, al momento de estacionarse, fue la causante del impacto."/>
        <s v="Aproximadamente a las 15:54 pm. el Operador de Montacarga de Combustión Juan Chiroque Coveñas; realizaba el proceso de trasladar 18 paletas de la zona de paletas limpias a la zona de empaque; el operador al ver que no tenía visibilidad optó por trasladarse en retroceso, sin embargo, cuando estuvo cerca a la puerta, quiso frenar, y en lugar de pisar el freno, presionó el acelerador, impactando la máquina con la puerta elevadiza automática."/>
        <s v="En fecha 22 de marzo, a horas 10:05 am, durante el desprecintado de la compuerta del contenedor de importación para descarguio, el estibador de la empresa tercera BMG corta el precinto naviero con las tenazas donde por la fuerza ejercida al momento del corte una parte del precinto superior sale disparada hacia el rostro del colaborador, el mismo llega a rozar la parte izquierda de la nariz causándole corte superficial. Se procedió a dar primeros auxilios donde se desinfecto la zona de la herida y se puso una banda protectora."/>
        <s v="El día 26 de marzo, a horas 04:10 am, el operador de ETV Ferrer Llacho se encontraba terminando una operación en el pasillo 10. Posterior a eso, se le asigna una operación en el pasillo 6, por lo cual se dirige por la parte posterior del almacén (pegado a la pared) a trasladarse desde el pasillo 10 al pasillo 6. El operador, sin carga, inicia el recorrido del elevador con el mástil hacia adelante; cuando en la columna entre el pasillo 8 y 9, golpea con la parte de la batería del elevador un gabinete contra incendio y lo daña. Procede a parar su operación y a reportar lo acontecido. No se generó ningún daño al personal. Se informa a seguridad para validar el mantenimiento correctivo del equipo de emergencia. La investigación se encuentra en curso."/>
        <s v="El día 03 de Abril a las 03:05 pm, el operador de Montacargas de Combustión Víctor Charca en el equipo MYA07 se encontraba cargando la unidad con paletas vacías, eleva la ruma de paletas y al momento de cuadrarla dentro del camión; la última paleta choca con la estructura de la unidad cayendo sobre el mástil del montacarga causando la rotura del faro delantero derecho del equipo, el operador para la maniobra, apaga el equipo y comunica el incidente. El operador no sufrió ningún daño. "/>
        <s v="Al promediar las 11:30 a.m. el operador de combustión Rodrigo Pezo, se encontraba realizando la labor de carga del contenedor a través de una rampa metálica de color azul, cuando terminó de realizar la carga del contenedor, quiso cerrar la llave de este, al no poder alcanzarlo, utilizó como soporte las uñas del montacargas, previamente haberlo apagado, este incidente de alto potencial no ocasionó daños personales en el operador. La investigación continúa en curso.            "/>
        <s v="Siendo las 21:32 horas durante el inicio de la descarga de sal industrial, se produjo el vuelco de la tolva de descarga del camión de la empresa Transler EIRL, que es subcontratada por el proveedor de sal industrial (Sociedad punta de lobos Perú SAC)._x000a_No se registraron personas afectadas_x000a_Se procede con la investigación del evento"/>
        <s v="Aproximadamente a las 20:45 cuando el trabajador Richard Rivera Vásquez transitaba por la batidora de masa 3, sintió tras él la caída de una herramienta (llave francesa) del personal tercero quienes estaban realizado trabajos de limpieza de filtros en altura, cabe mencionar que el área no se encontraba delimitada por la empresa Soluciones Rápidas CRC por lo que no se había restringido el tránsito en esa zona."/>
        <s v="Aproximadamente a las 16:24 hrs el trabajador Samuel Rojas Carlos se encontraba realizando la limpieza del equipo Mezclador #3 cuando al introducir la pala con la que remueve el producto este queda atrapado en  las aspas del equipo en mención, por lo que el operador suelta la pala de forma apresurada y procede a apagar el equipo, luego procede a comunicar el suceso al Ingeniero de Turno César Orellana."/>
        <s v="El sábado a las 19:05, en el almacén CDC zona de Cámara de Frio (Pasillo 15), se registró un incidente de alto potencial durante el almacenamiento de un pallet con mantas térmicas en el 4to nivel de la estantería rack. Durante la maniobra, la parte superior del pallet topa el aspersor accidentalmente, provocando su activación._x000a_Se emitió la alerta por medio del radio al equipo de seguridad industrial, a lo cual el inspector Jerson Romero Samaniego acudió al evento de forma inmediata. Este último realizó el cierre de válvulas de agua de la zona._x000a_Por otro lado, se comunicó al electricista de turno para la revisión de la zona por riesgos eléctricos. Así mismo, se realizó un hard stop operativo para sensibilizar el incidente al 100% del personal._x000a_El operario involucrado fue dirigido al Tópico para su evaluación médica post-incidente a lo cual medicina ocupacional nos indicó que guardara reposo hasta terminar su jordana, no presenta ningún daño físico._x000a_No se registran daños estructurales y se cuantificará los daños materiales ocasionados por el evento."/>
        <s v="Alrededor de las 01:30 p.m., el operador Anthony Yarleque se encontraba ejecutando la labor de almacenamiento de una paleta de devolución, utilizando un ETV. Durante la maniobra, una de las mangueras del equipo logístico presentó una falla repentina, lo que provocó la ruptura de esta y la consiguiente fuga de aceite hidráulico al piso._x000a_Tras el incidente, se activaron los protocolos correspondientes: se procedió de inmediato con la limpieza y contención del derrame, asegurando el área y evitando cualquier tipo de exposición o riesgo adicional.           _x000a_Este incidente no ocasionó daños personales en el operador. La investigación continúa en curso.            "/>
        <s v="El Martes 29/04/2025 a las 06:20 am, en el vestuario de Operadores de planta Galleteria ,se observa incidente de alto potencial  en el tablero eléctrico alimentación planta de 220 V trifásico , el cual genera la emisión de humo debido a un corto circuito en el cable de alimentación de extractores del vestuario. _x000a_El personal del área de mantenimiento se acercó a la zona y evidenció un fusible activado y unos cables quemados, posteriormente se comunicó a todo el personal del área de galletería para atender el incidente. _x000a_No se registraron daños personales.  "/>
        <s v="El viernes 02 de mayo a las 9:50 pm, durante el turno 3 se presentó un incidente en la zona de casilleros de la planta galletería, donde parte del cielo raso cayó._x000a_Se tomaron medidas inmediatas para asegurar el área, el acceso fue restringido desde ayer, además se comunicó a los trabajadores de turno acerca del incidente y la restricción de acceso, el día de hoy se realizaron labores de retiro del material caído y el resto de estructura sobrante."/>
        <s v="El jueves 08.05 alrededor de las 9am, en el almacén CDC zona Nave nueva (Pasillo 3), se registró un incidente de alto potencial durante el almacenamiento de un pallet con cajas de aceite en el 4to nivel del flowrack F1-01-02. Durante el almacenamiento, producto del movimiento, la cama superior del pallet se ladeó provocando la caída de 14 cajas (13 quedaron en el flowrack y 1 cayó al piso), generado derrame de líquido._x000a_Se procedió con el cercado de zona afectada para restringir el tránsito de equipos eléctricos. Se activó al equipo de Alteliza para el inicio de trabajos y al proveedor Flamil para el recupero de cajas en rack._x000a_El operador ETV no presenta ningún daño físico ni tampoco se registran daños estructurales. Producto del evento, 8 cajas fueron enviadas a la zona de PNC._x000a_Se realizó hardstop para comentar lo sucedido con el equipo y reforzar el enfoque en seguridad. Se procederá con la investigación correspondiente para determinar los detalles adicionales."/>
        <s v="Al promediar las 17:25 horas un colaborador que se encontraba cerca a la zona de formulación de hipoclorito de sodio al 8% reporta presencia de olor a cloro. Inmediatamente se procede con la activación del protocolo de emergencias y la evacuación del personal. Las lecturas arrojaron valores por debajo de 2.25 ppm con duración inferior a un minuto._x000a_No se registraron personas afectadas_x000a_Se procede con la investigación del evento"/>
        <s v="El día 14/05/2025 un colaborador de la empresa MANPOWER se encontraba realizando despacho de materia prima hacia el área de producción operando un transpalet eléctrico, el cual se encontraba retrocediendo hacia la puerta de ingreso de producción en ese instante se rompió el selector de marcha del equipo por lo que perdió el control e impactando con la puerta elevadiza. Su reacción en ese instante fue presionar el botón de emergencia para que el equipo se detuviera y no siga avanzando._x000a_Cabe resaltar, que el equipo contaba con su mantenimiento preventivo y su check list de pre-uso actualizado."/>
        <s v="El día 21/05, a las 17:45 p.m., se reportó un incidente de alto potencial en la zona de tanques de Soda Cáustica, ubicado en el predio Callao._x000a_El operador del área de Aguas Residuales, que está al costado de la zona de tanques, nos alerta sobre un derrame de Soda Cáustica en la zona de descarga del insumo. Al realizar la consulta al operador de tanques, nos comenta que la causa preliminar puede haberse originado debido a que el conductor ha regado con agua la zona para limpiar su manguera con la que descarga el insumo y no ha dejado en buenas condiciones el espacio. "/>
        <s v="El día 23 de mayo a las 07:14 a.m., se reportó un incidente con alto potencial de riesgo en el área de elaboración L1, en la planta de galletas. Durante la operación de elevación de una artesa (depósito de masa) hacia la tolva del laminador, el operador masero olvido asegurar correctamente el manubrio de la artesa antes de ejecutar la elevación._x000a_Como consecuencia de esta omisión, el manubrio cayó y quedó apoyado contra la puerta del equipo, generando un punto de palanca entre la artesa y dicha puerta. El operador, al no mantener ojo y mente en la actividad, no se dio cuenta de la condición anómala. Esto provocó la deformación de las uñas de sujeción del sistema elevador de artesas y el deterioro del mecanismo de elevación._x000a_Ante la situación, el equipo de mantenimiento y seguridad acudió de inmediato al área para acordonarla, asegurar la zona y proceder con el descenso controlado de la artesa que había quedado suspendida."/>
        <s v="Operador de manufactura abre el caño del bidón de aceite de mostaza al 10% para hacer el fraccionamiento en un jarrón. En ese momento, el operador deja el caño abierto y se dirige a realizar otra actividad, segundos después regresa y se percata de que se había producido el derrame de aprox. 8 litros de aceite de mostaza. Se retiran del lugar, dejando los ambientes ventilados e ingresa el inspector de seguridad para atender la emergencia."/>
        <s v="El día de hoy a las 10:45 horas, se reportó un incidente con daño material en la zona de picking del APT Chorrillos. El operador de transpaleta eléctrica mientras trasladaba una paleta con PT, subió la rampa, calculó mal y chocó con una baranda causando daño material._x000a_"/>
        <s v="El día de hoy a las 12:24 horas, se reportó un incidente con daño material en el patio de maniobra de Lurin 6. La unidad de transporte de residuos sólidos retrocedió y chocó con el soporte del extintor, causando su rotura. _x000a_"/>
        <s v="Aproximadamente a la 1:30 PM, un colaborador OMC se acerca a uno de los montacargas de combustión que se encontraba estacionado en el patio de maniobras y escucha que había una fuga de gas de la parte delantera del equipo. Procede a cerrar la válvula del balón para evitar el pase del gas y se comunica con el analista de turno. Se procede a llamar al equipo de SSOMA quienes brindaron soporte de inmediato. Junto con el personal Inhouse del proveedor se determinó que el origen de la fuga era una manguera rota al interior del montacargas. No se registraron daños personales."/>
        <s v="Aproximadamente a las 05:15 pm, se reportó un incidente de alto potencial en el patio de maniobras de CD Huachipa. El controlador de patio de turno, durante el proceso de dirigir a una unidad de transporte en la maniobra de retroceso (desde una distancia prudente y a un lado de la unidad), tropezó con el sardinel y cayó levemente al gras ubicado al costado de la pared del predio, esto generó que el conductor de la unidad no tenga una alerta oportuna del punto máximo al que debería retroceder e impactó ligeramente la pared._x000a_Ante el contacto de la unidad de transportes con la pared, el conductor detuvo la unidad. El incidente fue reportado de inmediato al jefe de turno."/>
        <s v="El día de hoy aproximadamente 03:30 pm, se reportó un incidente de alto potencial en el área de margarinas ubicada en planta Copsa.  Durante la recirculación de producto en la línea de margarinas de formato 45gr se produce una fuga de amoniaco líquido por el oring del cilindro del cristalizador de dicha línea._x000a_Al identificar la fuga, se evacuó al personal de planta,  se cerró la válvula de ingreso de amoniaco a dicho equipo por parte del líder de mantecas siguiendo el protocolo de emergencia vigente lográndose contener la fuga. A raíz de este evento, una colaboradora se sintió afectada por dicho gas derivándose al tópico para la atención pertinente._x000a_El incidente se encuentra en investigación."/>
        <s v="Durante el desmontaje de la compuerta del transportador de sulfato de sodio realizado por la empresa contratista INFINITO se produjo la caída del motor + transportador durante la maniobra. No se registraron daños personales._x000a_Se realizó el cercado y aseguramiento del área, verificando que no queden equipos suspendidos que puedan generar algún riesgo._x000a_El evento se encuentra en proceso de investigación"/>
        <s v="El día de hoy, aproximadamente a las 12:45 a. m., se reportó un incidente de alto potencial en la Paila 5, ubicada en la zona de Efluentes (exterior de la planta Jabonería). Se produjo una filtración de ácido sulfúrico hacia el drenaje de la planta, lo que generó una reacción con el agua presente, provocando la emisión de vapores que eventualmente ingresaron al interior de la planta._x000a_Al detectar la presencia de vapor, se procedió de inmediato a evacuar al personal de la planta Jabonería, siguiendo el protocolo de emergencia correspondiente, con el objetivo de contener y controlar la generación de vapores._x000a_Actualmente, el incidente se encuentra bajo investigación."/>
        <s v="El 08/06 aproximadamente a las 07:35 p.m. se reportó un incidente de alto potencial en el APT Fideería. El conductor de la empresa de transportes Pacífico subió a su vehículo estacionado e intentó encenderlo. En ese momento ocurrió un amago de incendio en la zona de baterías ubicada en el lado izquierdo del tracto._x000a_El conductor bajó de la unidad y usó un extintor disponible en las oficinas para apagar el fuego. El evento fue controlado de forma inmediata y reportado al equipo presente._x000a_No hubo personas afectadas y la unidad fue remolcada. La investigación del evento está en curso."/>
        <s v="Alrededor de las 12:29 el proveedor Peru BN trasladaban un andamio a la parte externa de la nave 2._x000a_Al momento de trasladarlo no se percataron del espejo panorámico chocando con este y rompiéndose en su totalidad y cayeron residuos del espejo al piso, no hubo lesiones personales_x000a_Se paro el trabajo inmediatamente y se cercó el lugar con conos para evitar el tránsito._x000a_Actualmente, el incidente se encuentra bajo investigación."/>
        <s v="El 13/06 aproximadamente a las 3 p.m. se reportó un incidente de alto potencial en la salida vehicular de Fideería. Una unidad perteneciente a la empresa JMA CARGO impactó con el vehículo de una colaboradora de Alicorp. El vehículo de JMA se encontraba en dirección a la salida vehicular de Fideeria con sus luces de giro en dirección a la Izquierda, en ese momento el vehículo menor se aproximaba para el punto de control de salida. _x000a_Cuando el vehículo se intenta estacionar en el punto de control de salida, la unidad de JMA dobla a la derecha (sentido contrario a lo indicado con las luces) y es donde por el radio de giro de la unidad termina impactando al vehículo menor generando que este sea arrastrado unos metros hacia al costado (Berma)._x000a_El incidente ocasionó solo daños materiales, el conductor de la unidad de JMA ha sido bloqueado para el ingreso al predio y la investigación del evento está en curso."/>
        <s v="A las 13:25 hrs se reporta fuga de agua en ablandador ubicado en el tercer piso de planta, por rotura de unión roscada en válvula. De inmediato se reporta a mantenimiento para el cambio de la válvula. Debido a esta fuga se originó un aniego en el techo de planta evidenciándose filtración en la zona de envasado lo que provocó el desprendimiento del techo de drywall.  No hubo personal afectado"/>
        <s v="Al promediar las 09:00 horas personal de producción detecta olor a cloro por la zona de tratamiento de efluentes no recuperables. Inmediatamente se procede con la activación del protocolo de emergencias y la evacuación del personal. Las lecturas arrojaron valores por debajo de 1.25 ppm._x000a_Producto del evento, una persona fue derivada al tópico para atención y posteriormente se reincorporó a sus actividades."/>
        <s v="El 26/06 aproximadamente a las 10:30 a.m. se reportó un incidente de alto potencial en la zona de descarga de ácido sulfónico del predio Callao_x000a_Al momento de ingresar a la zona para la descarga del material, la Unidad de Transporte impacta con posapié de ascenso a cabina la tranquera de acceso, la cual no se encontraba completamente abierta._x000a_Este evento fue alertado por el supervisor de seguridad patrimonial del predio, dando conocimiento a seguridad industrial y al responsable del área._x000a_Se hizo una prueba de dosaje etílico al chofer la cual salió negativo._x000a_El incidente ocasionó daños materiales leves."/>
        <s v="El día de hoy, aproximadamente a las 00:02 a.m., cuando operadora de manufactura se encontraba elaborando mayonesa, escucha un fuerte sonido, producto de la ruptura de una las ventanas de vidrio templado que se tiene en el área. Parte del vidrio templado cae sobre el piso de manufactura, sin afectación del personal._x000a_Acciones inmediatas:_x000a_La operadora, acciona la botonera de emergencia para comunicar el incidente y tomar las medidas pertinentes. El ingeniero de turno coordina con la líder y el inspector de seguridad, las medidas necesarias para asegurar el área y poder reiniciar activades._x000a_Situación actual:_x000a_El incidente se encuentra en proceso de investigación. "/>
        <s v="Al promediar las 05:20 horas, durante el proceso de arranque de producción de hipoclorito de sodio se inició la succión de efluentes de la poza hacía los tanques de neutralización correspondiente. Durante esta operación el operador percibe el gas Cloro por los tanques de efluentes no recuperables._x000a_Inmediatamente se procede con la activación del protocolo de emergencias y la evacuación del personal. Las lecturas arrojaron valores hasta 10ppm_x000a_No se registraron personas afectadas._x000a_Se procede con la investigación del evento"/>
        <s v="El día de hoy, alrededor de las 06:45 a.m., mientras los operarios del área de encajado realizaban sus actividades con normalidad, se escuchó un fuerte ruido . Al verificar el origen del sonido, el personal identificó la rotura de una ventana de vidrio templado._x000a_Acciones inmediatas:_x000a_•_x0009_Se detuvo la operación de forma inmediata._x000a_•_x0009_Se delimitó el área afectada para garantizar la seguridad del personal._x000a_•_x0009_Se retiraron los restos de vidrio para evitar riesgos de contaminación y accidentes._x000a_•_x0009_Los materiales del proceso de encajado fueron rotulados y retirados de la planta como medida preventiva._x000a_Situación actual:_x000a_El incidente se encuentra en proceso de investigación para determinar la causa raíz y establecer las acciones correctivas necesarias."/>
        <s v="Durante el proceso de descarga de trigo se alertó de un olor extraño en la zona de 5to piso al ingreso de zona de silos de concreto; se dio aviso al área de calidad para realizar las mediciones de fosfamina-PH3 con el equipo Dragër en toda la instalación del molino, obteniendo valores mayores a cero en 2 puntos críticos: sótanos de silos de concreto y 5to piso sobre los silos de concreto (manhole). Se realizaron diversas mediciones en planta, tolvas de descarga, hangares de almacenamiento (empresa tercera) y en las cámaras de la nave de importación y se determinó que la presencia de fosfamina estaba en el trigo a granel, el mismo que fue fumigado previo al envío de la nave._x000a_Acciones inmediatas:_x000a_•_x0009_Se bloquearon los accesos a las zonas críticas identificadas._x000a_•_x0009_Se paró la descarga de trigo y se envió al almacén tercero._x000a_•_x0009_Se realizaron mediciones periódicas de las concentraciones de fosfamina._x000a_•_x0009_Se realizó ventilación forzada con un extractor de aire en las áreas críticas identificadas (sótanos)._x000a_Situación actual:_x000a_Las áreas críticas se encuentran en medición periódica cada 2 horas de las concentraciones de fosfamina hasta asegurar una concentración de 0 ppm. Finalmente, se están realizando las investigaciones respectivas junto al equipo de importación de MMPP para reforzar el flujo de información y tomar medidas preventivas en el caso se requiera."/>
        <s v="El 04/07 aproximadamente a las 08:30 a.m. se reportó un incidente de alto potencial en el almacén IN01 en EEII Detergentes._x000a_Al momento de almacenar el insumo granel Oxiper SHC - Percarbonato de Sodio, en el 6to nivel de anaquelería acumulativa, se oye un ruido atípico y el pallet cae hasta el primer nivel._x000a_A nivel personal, el operador fue trasladado al tópico donde se confirmó su óptimo estado de salud; a nivel proceso, se bloqueó el acceso al pasillo afectado hasta el término de las labores de limpieza. _x000a_Este evento fue alertado por el equipo y, junto con el equipo de seguridad industrial, realizamos un Hard Stop en las operaciones. _x000a_El incidente ocasionó daños materiales (1Big Bag de mercadería no operativa)._x000a_La investigación del evento está en curso, los mantenemos al tanto de la misma."/>
        <s v="Alrededor de las 10:14 am la empresa de transporte TACSA, al momento de retroceder para salir a su ruta para Dex Cunza, no se percata y choca con uno de los parantes de acceso peatonal, generando el deterioro de este parante (roto) "/>
        <s v="El día viernes 11 de julio del 2025 a las 08:39 horas el personal de vigilancia Marco Antonio Torres Anagui de la empresa CASEVIP, proveedor de servicios de seguridad a RANSA  llama al chofer Fredyy Vasquez Lujan de la empresa TRANSCOM para que ingresara a  realizar la descarga  de productos al CD Alicorp Lambayeque, después de unos minutos se procede con el ingreso y antes de que ingrese en su totalidad el portón mecánico colisiona con la parte trasera izquierda de dicha unidad los daños son para ambas partes la unidad queda golpeada y con platinas rotas y el portón raspado doblado y descentrado.  "/>
        <s v="Alrededor de las 3:15 pm del 11/07 el operador de transpalet eléctrico procedió a aperturar la rampa N°6 para realizar un despacho. Presionó el botón para elevar la puerta y justo antes de que se aperture en su totalidad evidencia que el cable del riel izquierdo se rompe, en ese momento el operador presiona el botón de stop para parar la operación; al momento de presionarlo se desprendió un pasador del riel derecho de aproximadamente 4 m de altura que cae e impacta en la cabeza del operador que en ese momento tenía el casco de seguridad. El operador procede a reportar el incidente al supervisor y al monitor de turno._x000a__x000a_Consideraciones:_x000a_•_x0009_No se presentaron daños personales._x000a_•_x0009_El incidente se encuentra en investigación."/>
        <s v="El día sabado 12.07.2025 a las 13.09 horas el conductor Willy Espiritu Ascayo de la empresa TRANSPORTES RODRICK con el tracto AFG907 y la carreta D6A991 se encontraba realizando traslados de PT entre los centros Planta 1 Lurín -Intracloro. Al momento de llegar al último predio mencionado, al ingresar de retroceso (forma de ingreso regular) el conductor impactó el porton de ingresó con la parte derecha de la carreta. Se tuvo daños en el transporte y en el porton. Se procederá con la investigación al respecto."/>
        <s v="El sábado 12/07 aproximadamente a las 02:55 AM, se presenta un corto en la mordaza de la enfardadora 2003, generando que la lámina plástica de enfardado se empiece a quemar, en ese instante el operador del equipo activa la parada de emergencia y utiliza un extintor de PQS para apagar las llamas incipientes._x000a_Se comunica el hecho al área de mantenimiento para el desenergizado y bloqueo del equipo._x000a_El evento se encuentra en proceso de investigación."/>
        <s v="Alrededor de las 07 am del 15/07, personal del laboratorio de Microbiología que iniciaba sus labores se percata un olor a quemado en la sala de Lavado de Materiales, encontrando que uno de los autoclaves empleados para la esterilización de desechos tenía hollín por fuera. _x000a_Al abrir el equipo, se evidenció que el material al interior del equipo se encontraba chamuscado._x000a_El equipo en mención estuvo en funcionamiento a las 10:15 pm del 14/07, momento en que el personal del 2do turno lo deja en modo termostato, pero, por razones que se encuentran en investigación, posteriormente la temperatura aumentó sin control, ocasionando el incidente mencionado, aproximadamente entre la 01:00 am y las 03:00 am del 15/07._x000a_Consideraciones:_x000a_No se presentaron daños personales._x000a_El incidente se encuentra en investigación."/>
        <s v="El día miércoles 16 de julio de 2025, durante la operación de carguío de producto terminado en el segundo turno, el colaborador encargado de conducir el montacargas detectó que una de las llantas de la máquina se encontraba pinchada. Por tal motivo, se suspendió el uso del equipo a la espera de su reparación al día siguiente._x000a_El día 17 de julio, el colaborador del primer turno constató que la llanta se encontraba completamente desinflada, lo que impedía el uso del gato hidráulico para su remoción. Por esta razón, se utilizó otro montacargas para elevar la máquina y se colocaron tacos de madera con el fin de retirar la llanta y proceder con su reparación._x000a_Se está realizando la investigación para determinar las acciones correspondientes."/>
        <s v="El analista de turno se encontraba haciendo el inventario de balones de gas de la jaula cuando notó que de uno de ellos empezó a fugar gas. En ese momento pulsó la alarma contra incendios, y el equipo de inspectores de SSOMA llegó al lugar de inmediato. Se procedió con el aislamiento del balón, validaron que la fuga no continúe e identificaron que el acople que conecta el balón con la válvula de alivio se encontraba deteriorado. Debido a ello se realizó el vaciado del balón. El evento continúa en investigación. No se registraron daños personales. "/>
        <s v="Aproximadamente a las 07:40 p.m. del 1/09, durante el proceso de secado en la planta detergente Lurin, se produjo un desacople de los elementos de sujeción de las tuberías que transportan la pasta del detergente hacia el interior de la torre de secado, generando que esta salga expulsada antes de entrar a la torre de secado. El operador del área cierra la válvula para detener el derrame y da aviso a la sala de control para detener la operación. No se registraron daños personales."/>
        <s v="Aproximadamente a las 07:40 p.m. del 8/09, durante el proceso de instalación de stickers en la nave de CD Huachipa, a cargo de las contratistas WC y Segecon, no se percataron y dejaron un taco en la base del tijeral, el mismo que al descender presiono el taco y lo proyecto hacia la parte externa._x000a_Se detuvieron los trabajos, hasta que las contratistas envíen su plan de acción, así mismo, ambas contratistas deberán reevaluar la documentación presentada en campo. "/>
        <s v="El dia 12/09/2025 a las 23:00 hras aproximadamente, a través de las cámaras de video vigilancia se evidenció que, una vez concluida la carga de la unidad de transporte 4505-CLL y durante el proceso de encarpado, el conductor Moises Layme realiza una maniobra con un alto nivel de riesgo: _x000a_Ascendió por la parte posterior del furgón hasta llegar a la parte superior de la unidad sin contar con un sistema de protección contra caídas. En todo momento se observó que no portaba arnés de seguridad ni se encontraba conectado a una línea de vida, exponiéndose a un riesgo elevado de accidente._x000a__x000a_Esto representa un acto inseguro con alto potencial de caída a desnivel. Esta situación constituye una falta al cumplimiento de las medidas de seguridad establecidas para trabajos en altura, generando un riesgo significativo tanto para la integridad del conductor como para la operación misma."/>
        <s v="El 16 de septiembre, a las 08:00 horas, mientras un trabajador de empresa contratista operaba un equipo de manipulación de cargas (Tawi) para levantar un saco de azúcar, el equipo se desprendió de su sistema de anclaje y cayó de forma repentina."/>
        <s v="El día 22/09/2025 a las 11:22 horas aproximadamente, en el Centro de Distribución Arequipa se presentó un incidente de alto potencial. Durante el traslado en Montacarga de una paleta de harina destinada a despacho en el Anexo 4, el personal detectó que la carga se inclinaba hacia el lado izquierdo, por lo que procedió a detener la operación de manera inmediata._x000a_Al realizar la inspección correspondiente, se evidenció que una de las uñas del montacargas se había fracturado internamente, presentando signos de corrosión no visibles en la parte exterior. Como consecuencia directa, se produjo la caída de 17 sacos de harina al suelo._x000a_Es importante considerar que el operador no realizó una maniobra inadecuada ni se registró ningún tipo de impacto o colisión con la unidad. En este caso, se percibe que la falla estuvo asociada al desgaste interno de la uña, el cual no era perceptible a simple vista. Nos encontramos en proceso de investigación."/>
        <s v="Alrededor de las 07:50 am la empresa de transporte Balbín Pio, quien venia de Molino Callao para dejar productos terminados, al momento de retroceder para ingresar a la zona de espera, no se percata y choca con uno de los parantes de acceso peatonal._x000a_generando la rotura del mismo."/>
        <s v="Durante el proceso de extracción de mercadería para despacho a planta, se produce la caída de bobinas desde el quinto nivel sobre pallets con envases, quedándose 04 de ellas sobre un pallet en el cuarto nivel que luego fueron retiradas tomando las medidas respectivas de seguridad._x000a_Según protocolo, el operador fue atendido en tópico donde se corroboró que no tuvo ningún tipo de daño._x000a_La investigación se encuentra en curso."/>
        <s v="Alrededor de las 16:20 hrs, la empresa TRANSVIDA procedía a levantar una caja ecológica con el intercambiador, cargada de calaminas proveniente del retiro del techo parabólico de la nave ex Reciclaje PET. Al proceder a izar la carga, sufre una inclinación quedando en la posición mostrada en la imagen._x000a__x000a_Se procedió a detener los trabajos, activar plan de emergencia de proveedor y reposicionar la caja ecológica._x000a__x000a_No se registraron daños personales._x000a_"/>
        <s v="El Operador de combustión realizó el retiro de una paleta del bloque de harinas puesta en segundo nivel sin considerar que había una paleta más encima. Al cargar ambas paletas y moverlas generó inestabilidad y parte del producto de la segunda paleta cae contra el piso y el montacargas. Se validó que el personal no tiene ningún daño, sólo hay daño material. Junto con el equipo de HSE de Ransa y el Supervisor de turno Herver Palomino._x000a__x000a_Como acciones iniciales se tomaron acciones:_x000a_- Cerrar la zona_x000a_- Realizar el recojo y limpieza del producto y la zona_x000a_- Coordinar con proveedor de montacargas para revisión y retiro del montacargas_x000a_- Derivar al colaborador con el área de HSE y dar por finalizado su turno."/>
        <s v="Aproximadamente a las 19:20 h, se produjo una mezcla accidental entre el granel Desatorador de Baño (hipoclorito de sodio al 10.5%) y el granel Desmanchador de Ropa (peróxido de hidrógeno al 50%), generando una reacción química con liberación de oxígeno y formación abundante de espuma, la cual se desbordó del tanque de elaboración y se extendió hasta el patio de planta._x000a_El incidente no ocasionó daños personales y se encuentra actualmente en proceso de investigación para determinar las causas y acciones preventivas correspondientes"/>
        <s v="El operador del equipo Order Picker, mientras realizaba el traslado de mercadería por la rampa de acceso desde la Nave Antigua hacia la Nave Nueva, informó que la máquina perdió potencia y se apagó repentinamente. Ante esta situación, el operador procedió a activar el botón de emergencia, sin embargo, este no respondió. Como resultado, el equipo rodó cuesta abajo sin control, hasta colisionar con la baranda de seguridad._x000a__x000a_Acciones Posteriores:_x000a__x000a_Se verificó inmediatamente el estado de salud del operador, sin presentarse lesiones ni afectaciones a su integridad física. El incidente resultó únicamente en daños estructurales al equipo y a la infraestructura._x000a__x000a_El operario procedió llenar la hoja de testimonio y posterior a ello su traslado al tópico para evaluar su condición. Se han solicitado cámaras de seguridad de la zona para evidenciar el acto e investigación. Se realizó la charla de seguridad por el evento con los operarios."/>
        <s v="Se recibió el reporte de un colaborador que identificó restos de concreto en el piso de la zona de tránsito peatonal adyacente al silo de concreto. Tras la verificación en campo, se confirmó que el material provenía del borde superior del silo. No se registraron daños personales ni materiales. El incidente ha sido clasificado como de alto potencial y se encuentra en proceso de investigación."/>
        <s v="Durante la producción de hipoclorito de sodio (10.5%), el sistema SCADA no permitía realizar funciones de control con los equipos de plantas, deteniendo automáticamente todos los equipos. Al inactivarse los equipos, dentro de ellos la bomba del Scrubber (Soda caustica) y el sistema de extracción, se origino fuga de gas cloro que fue detectado por los sensores. _x000a__x000a_Como parte del protocolo, se activó el pulsador manual para la evacuación del personal hacia la zona segura._x000a__x000a_El personal de instrumentación intervino de forma oportuna, procediendo a activar manualmente el lavador de gases y el sistema de extracción para controlar la emisión de gas cloro._x000a__x000a_Se procedió con el protocolo de evaluación medica preventiva a todo el personal (74 personas entre propios y terceros) y se identificaron 19 personas son afectaciones leves que están en seguimiento médico."/>
        <s v="Aproximadamente a las 04:30 p.m. del 29/10, durante el proceso de batido de detergente, se produjo el rebalse de pasta neutralizada del tanque autolimpiante, generando el derrame de esta sobre la estructura y el piso. Una vez identificado el derrame, desde la Sala de Control se detuvo el proceso de batido. No se registraron daños personales ni materiales."/>
        <s v="El hornero de turno tarde reportó que se tenía presencia de humo en la salida del horno de la línea 2, la línea se encontraba minutos previos al arranque de un SKU, pero aún no se había ingresado masas al horno._x000a_Posterior a ello se le comunicó al área de seguridad con quién se acudió al punto y en ese proceso se activaron las alarmas sonoras, solicitando soporte de brigadistas para realizar la evaluación y brindar la atención del incidente._x000a_En el lugar se realizó el retiro de la galleta de la parte baja de la malla y se utilizó un extintor para detener las brasas de la galleta, con el soporte de los inspectores de seguridad y personal de elaboración, se controlaron las trazas de brasas y con ello de disipó el humo del ambiente."/>
        <s v="El día 30 de octubre aproximadamente mediodía se reportó un incidente de alto potencial en el área de margarinas ubicada en planta Copsa.  Durante la recirculación de producto en la línea de mantecas 1 se activa la válvula de alivio de la unidad de amoniaco 2 del cristalizador Kombinator 1 lo cual origina que por un momento se emane el gas al medio ambiente. _x000a_ _x000a_Al identificarse la activación de la válvula de alivio, se evacuó al personal de planta siguiendo el protocolo de emergencia vigente. _x000a_ _x000a_El incidente se encuentra en investigación."/>
        <s v="Aproximadamente a las 10:00 p.m. del 31/10, durante el cambio de balones de GLP de un montacargas de combustión, se produjo la fuga de gas por uno de los balones que abastece al equipo. Al detectar la fuga, el operador procede evacuar y comunicar del evento a personal Seguridad Industrial, los cuales controlan el incidente. _x000a_No se registraron daños personales ni materiales._x000a_El incidente se encuentra en proceso de investigación."/>
        <s v="En CD Huachipa, a la 1:50 am un operador de ETV estuvo realizando una maniobra de extracción del 7mo nivel, durante la actividad, no calculó bien y levantó el travesaño superior, generando un desprendimiento de este. En ese momento el OMSUP le dio soporte para sostener la base y liberar los pallets que se encontraban en ubicación. No hubo daño del personal, pero sí del rack. Se tiene bloqueada la zona para evitar el tránsito._x000a__x000a_Se le ha tomado el testimonio al colaborador y se procederá a realizar la investigación pertinente."/>
        <m/>
        <s v="Al finalizar una extracción en el pasillo 10 - 106 - 1 (nivel 1) el Operador de ETV al realizar un giro para continuar con su trayectoria, ocasionó que cayeran 3 baldes de la paleta por no tener un Stretch film correctamente ajustado. Se procedió a realizar el bloqueo del área y la limpieza correspondiente con el proveedor Cleaned. El operador no cuenta con daño personal y el producto fue llevado al área de PNC. _x000a__x000a__x000a__x000a_Se reforzó con el colaborador tener mayor cuidado al momento de maniobrar y validar la condición del producto. "/>
        <s v="Alrededor de las 9:30 hrs, el líder y el operador de la planta de Alfa Laval detectan un olor a quemado en el primer nivel de la planta._x000a_Revisando los equipos, observan gran cantidad de humo que se emana del aislamiento de la parte superior del tanque precapa T602 de la planta Alfa Laval 1._x000a_Realizando la comunicación respectiva a la jefatura y al inspector de seguridad, se decide detener el proceso y se atiende la emergencia activando todos los protocolos de seguridad establecidos, logrando controlar la humareda mediante adición de agua caliente._x000a_El evento queda en investigación."/>
        <s v="El colaborador había dejado su equipo estacionado en su puesto de trabajo y cuando retornó se dio cuenta que el balón de gas back up colocado en el montacargas tenía fuga y la válvula de alivio se había criogenizado. El balón se encontraba sellado al momento de la fuga. El colaborador avisó al inspector de SSOMA que se encontraba en la zona y se procedió a activar la brigada de la planta Molino Faucett. El personal fue evacuado y se controló el incidente. No hubo daños personales. El evento continúa en investigación."/>
        <s v="El colaborador se encontraba cargando un camión de traslado en el patio de maniobras del APT Fideería, cuando una unidad de cliente recoge de afrecho trató de girar dentro del mismo patio e impactó con la parte trasera del montacargas. El evento continúa en investigación"/>
        <s v="El hornero de turno tarde reportó que se tenía presencia de un amago de incendio en la zona superior del horno a la altura del extractor de aire N° 1 en la línea 2. De manera inmediata se apagó, se desenergizó y bloqueó el equipo; la línea contigua se detuvo debido a la presencia de humo y se activó la comunicación incluyendo a brigadistas dentro de planta. Posteriormente, se controló el amago utilizando el extintor del caso, se solicitó la presencia del equipo de mantenimiento para poder aperturar los equipos necesarios e identificar la cauda raíz del orígen del amago, en esta apertura se detectó trazas de lana de roca y presencia de remanente de grasas."/>
        <s v="En fecha 11 de octubre de 2025 a horas 18:40, el operador del montacarga TOWMOTOR GP255 realizaba traslado de racks móviles vacíos dentro de la zona de almacenaje como parte de la operación regular._x000a__x000a_Durante la actividad, el operador no se percata de la presencia de un pallet con detergente en polvo (peso aprox. 500 kg) ubicado en el tercer nivel del apila pallet, estructura metálica diseñada para almacenamiento de producto terminado._x000a__x000a_El apila pallet se encontraba parcialmente obstruido por la base de la estructura posterior, lo que ocasionó la detención inmediata de la operación, evitando una posible caída de carga o daño material. Ante la situación, se estabilizó la estructura y se procedió al retiro controlado del pallet sin incidentes ni daños personales o materiales._x000a__x000a_La investigación se encuentra en curso para identificar las causas raíz y establecer medidas preventivas orientadas a mejorar la visibilidad de carga y el control de condiciones en altura."/>
        <s v="Siendo aproximadamente las 11:00 hr. se percibe un olor a quemado en el sector del Envasado de Productos Terminados. Se procede a la inspección de las diferentes áreas de las líneas productivas, encontrándose que el mismo provenía del almacén de envases e insumos, donde se detecta que unos envases de cartón contenidas en una parihuela habían tenido un proceso de ignición pero que ya se encontraba sofocado. El evento se encuentra en proceso de investigación."/>
        <s v="Aproximadamente a las 7:00 p. m., se presentó un incidente de alto potencial. Durante el proceso de almacenaje de una paleta de aceite, en el quinto nivel del rack acumulativo, la paleta impactó la base del rack, ocasionando el desprendimiento de una de las tablas inferiores y generando la desestabilización y caída de la carga. Es importante destacar que el operador no sufrió lesiones."/>
        <s v="El día 17 de noviembre, aproximadamente a las 6:30 p.m., se recibió una llamada del Supervisor de G4S informando sobre una fuga de petróleo. Tras el reporte, se confirmó la presencia del derrame en la zona indicada._x000a_Placa del vehículo:  C9Q-812_x000a_Empresa: Transportes  FERMIN"/>
        <s v="Dutante la extracción de una paleta completa desde el cuarto nivel, el operador del montacargas eléctrico no insertó correctamente las horquillas, levantando primero la viga y provocando la caída de la paleta contigua hasta el primer nivel. El colaborador resultó ileso y sólo se registraron daños materiales."/>
        <s v="Durante el proceso de descarga de una UT, la manguera del mástil del montacargas se rompe y salpica hidrolina. El colaborador se encontraba utilizando sus lentes de seguridad._x000a_Según protocolo, el operador fue atendido en tópico donde se corroboró que no tuvo ningún tipo de daño._x000a_La investigación se encuentra en curso."/>
        <s v="El día 24 de noviembre aproximadamente a las 08:00 hrs, el abastecedor de turno se desplazaba con el equipo 960 (Apilador) hacia el Almacén de Insumos para realizar el traslado de materiales. Al aproximarse al punto de ingreso, observó que la puerta levadiza se encontraba completamente abierta, por lo que procedió a avanzar._x000a__x000a_Durante el acercamiento, la puerta inició un descenso inesperado, generando un leve impacto entre la parte superior del apilador y la base inferior de la puerta, ocasionando una deformación en el panel._x000a__x000a_Personal tercero (FLAMIL) acudió de inmediato para brindar soporte y se detuvieron las operaciones en la zona como medida preventiva. El evento se encuentra en investigación."/>
        <s v="El operador de Traspaleta – Senatino se encontraba realizando el acercamiento de pallets hacia la rampa para su despacho, el operador no se percata de la presencia de su compañero de Senati, quien se encontraba transitando por la zona peatonal, el operador invade la zona peatonal y empuja a su compañero con el equipo logístico._x000a_Se le brindó los primeros auxilios de forma inmediata al colaborador afectado y luego de una evaluación por central de emergencias, se determinó que no era necesario la llegada de la ambulancia."/>
        <s v="En fecha 26 de noviembre de 2025 a Hrs. 12:46 pm posterior al horario de almuerzo, en los predios de nuestro proveedor logístico LOGRA, el cual nos alquila la nave de almacenamiento G11; el colaborador externo de la empresa BM Group se dirige de una zona de hidratación general en LOGRA hacia el almacén G11 a continuar con sus labores, cuando intempestivamente un taxi de color plateado (gris) conducido por personal de la empresa ROMABERH – DEX, la cual trabaja como nuestro cliente en el mismo predio, se dirige hacia su persona casi a punto de impactar contra el (no se registraron daños personales), se desconocen los motivos por los cuales el personal de la DEX tomo ese actuar, así mismo cabe señalar que posterior a la revisión de cámaras se evidencia lo reportado por el colaborador y de igual manera se evidencia que el transporte tenía un espacio disponible para su tránsito."/>
        <s v="Aproximadamente a las 01:40 a.m. del 05/12, en la sala de bombas (primer nivel), durante la operación de la bomba de alta presión B, se produjo el desacople repentino de uno de los tapones de los cabezales de la bomba generando el derrame y salpicadura de pasta en la zona. Desde la Sala de Control se detectó el sonido anómalo y se detuvo el proceso. No se registraron daños personales._x000a_El incidente se encuentra en proceso de investigación."/>
        <s v="El sábado 6 de diciembre, aproximadamente a las 8:00 a.m., se detectó un fuerte olor a ácido en el cuarto de baterías, proveniente de siete baterías antiguas de los equipos ETV que se encontraban en mal estado. El olor generó malestar entre el personal de almacén y planta. El equipo de Seguridad intervino de inmediato y dispuso el aislamiento y retiro urgente de dichas baterías."/>
        <s v="Aproximadamente a la 1:00 p. m., el operador de almacén se disponía a bajar un pallet con bobinas de Chocobom desde el cuarto nivel de los racks utilizando el apilador. Al momento de retirar la carga, la parte posterior del pallet se desprendió y varias bobinas cayeron al piso. Se estima que cayeron entre 5 y 6 bobinas, de las cuales 4 resultaron dañadas en el cono, generando una merma aproximada de 55 kg. Las bobinas ubicadas en la tercera cama estaban en la parte posterior y no se habían movido, mientras que los saldos de la última cama permanecían visibles. El evento esta en investigación."/>
        <s v="La unidad de transporte de placa tracto: B6V972, se encontraba circulando dentro del patio de Fideería, Callao. El conductor intentó estacionarse y al realizar la maniobra impactó levemente contra el poste de la vía, solo hubieron daños materiales, no hubo ninguna lesión al conductor. La investigación del evento se encuentra en curso."/>
        <s v="El miércoles 16/12/2025 alrededor de las 12:00pm, personal tercero de la empresa S. G. Nilson, se encontraba realizando actividades de limpieza en la sala de bombas del Buhler N°2 en la cual estaba limpiando la guarda del motor, cuando parte del trapeador cuelga hacia el eje del motor en funcionamiento, generando el atrapamiento del trapeador._x000a_El evento se encuentra en investigación."/>
        <s v="Esencial a la estructura propia del artesa como tambien al enrejado de seguridad._x000a_Siendo las 09:10 horas aproximadamene, durante la maniobra de posicionamiento y elevación de la artesa de masa hacia el recolector mediante la plataforma hidráulica, se produjo una falla mecánica en el sistema de aseguramiento (pestillo/seguro) del manubrio de la artesa._x000a_Dicha falla ocasionó la apertura involuntaria del seguro, provocando la liberación intempestiva y caída del manubrio hacia la zona de operación. Si bien no hubo contacto con el personal, el evento generó una condición de riesgo crítico por caída de objeto contundente, con potencial de causar lesiones severas al colaborador que se encontraba en la línea de fuego."/>
        <s v="El 18 de diciembre del 2025, a las 08:15 a. m., la unidad de transporte del proveedor de maíz, Agronegocios Casagrande, durante la maniobra de retroceso para su posicionamiento junto a la tolva de recepción, impactó contra la base de la plataforma, ocasionando daños estructurales. Cabe indicar que este hecho ocurrió al no contar con un personal vigía (paletero) que guíe la maniobra, generando una condición insegura en el área. No se registraron lesiones al personal. El evento se encuentra en proceso de investigación."/>
        <s v="Siendo aproximadamente las 4:40 a. m., durante la incineración de la malla del horno de la línea 1, en la parte posterior del equipo se observó la presencia de abundante humo. El coordinador de elaboración informó de inmediato al ingeniero de turno, quien a su vez comunicó la situación al inspector de seguridad del predio. Al acudir al punto, y considerando la cantidad de humo acumulado en el área, se procedió a la apertura de las puertas de emergencia para facilitar su disipación. Durante esta acción, las brasas de carbón de galleta presentes en la zona comenzaron a arder, por lo que el equipo operativo de planta utilizó un extintor para sofocar el fuego. El evento fue controlado oportunamente, sin registrarse daños materiales ni lesiones al personal. El incidente se encuentra actualmente en investigación."/>
        <s v="Siendo aproximadamente las 12:30 horas, una aprendiz se encontraba realizando labores de limpieza en la mesa de trabajo, cuando de manera repentina, varias bandejas cayeron, una de ellas impactó en la mano izquierda de la aprendiz, golpeando el dorso de la mano y ocasionando un corte leve en el tercer dedo._x000a_Ante lo ocurrido, se procedió a trasladar a la aprendiz al tópico, con la finalidad de que reciba atención médica oportuna."/>
        <s v="El lunes 22/12/2025 alrededor de las 14:45pm, se desprendió un pedazo de Eternit del techado del área de paletizado en la zona del robot. Esto fue causado por el desprendimiento de una dilatación ubicada en el exterior del molino como consecuencia de los fuertes vientos. Cabe precisar que no hubo personal afectado durante este suceso._x000a_De inmediato cercamos el área y se activaron los protocolos de comunicación hacia el personal para evitar el tránsito hasta corregir la condición._x000a_El evento se encuentra en investigación."/>
        <s v="En momentos en que la unidad BKS-703 se encontraba realizando el izaje del contenedor de residuos no aprovechables (7m3) en el acopio de residuos de planta, el perno de la cadena del lado derecho se desprende dejando la carga ladeada sobre la base de la plataforma de la unidad. _x000a_Inmediatamente el conductor procedió a apagar el vehículo y a activar el plan de emergencia: aislamiento de la zona, solicitud de auxilio mecánico externo, entre otros. No se registraron daños personales._x000a_La investigación se encuentra en curso."/>
        <s v="El día sábado a las 17:00 horas el conductor de la empresa VIRGEN DE SILLOTA, el tracto M1U-857 / carreta V5U-985, se encontraba realizando traslados de PT de HHII por el anexo 6. En esa circunstancia, por dar pase a otra UT y retroceder a la vez esta impacta ligeramente con un sujetador de base moviéndola 20 cm de su sitio habitual. Se están realizando las investigaciones. No se tienen daños personales."/>
        <s v="El día 30 de diciembre aproximadamente a las 07:30 pm, se reportó un incidente de alto potencial en la sala de compresores de la planta de Margarinas donde se evidenció fuga de gas amoniaco por el sello mecánico del compresor GEA2._x000a_Se activó el sistema de comando de incidentes para atender la emergencia y se evacuó el personal que se encontraba por la zona, de manera preventiva._x000a_El incidente se encuentra en investigación."/>
        <s v="En CD Huachipa, alrededor de las 08:50 pm tuvimos un corte de energía eléctrica debido a un aparente corto circuito en la celda de media tensión de la subestación del predio. Se alerto de inmediato al equipo de seguridad y mantenimiento para que podamos hacer las revisiones preliminares y se ubicó humo dentro de la subestación. No fue posible usar el grupo electrógeno que se tiene en el predio ya que podría generar alguna complicación sin tener el diagnóstico por un especialista. Se asignó un proveedor especializado para atender el caso y para asignar un grupo electrógeno con el será posible operar mientras se da solución a la falla presentada. Se procederá a realizar la investigación pertinente."/>
        <s v="El 6 de enero, aproximadamente a las 10:00 a. m., el equipo del Molino Faucett se encontraba en la zona del robot de la línea de subproducto cuando se percibió un ruido proveniente del montacargas de combustión ubicado en el mismo sector. El Inspector de Seguridad se acercó al punto y verificó la presencia de una fuga en la válvula de alivio del balón de gas de respaldo (back up). Ante esta situación, se activó la brigada de respuesta y en conjunto con el equipo de inspectores de Seguridad se procedió al vaciado controlado del balón, el cual se encontraba sellado y sin uso al momento del evento. El incidente permanece en investigación, no hubo daños personales ni materiales."/>
        <s v="El día 08 de enero aproximadamente a las 02:30 pm, se reportó un incidente en el área de envasado de planta Margarinas y Mantecas, donde se percibió el olor característico de gas amoniaco. Se activó el sistema de comando de incidentes para atender la emergencia y se evacuó al personal que se encontraba por la zona, de manera preventiva. La fuga fue por la válvula de alivió del sistema de seguridad del cristalizador Kombinator 4. El incidente se encuentra en investigación."/>
        <s v="Durante el traslado de PNC de producción desde la balanza antigua hacia la z6ona de robots (Zonas pertenecientes a planta), el OMC no se percató de que el portón no se encontraba completamente cerrado, y termina impactándolo, ocasionando su desprendimiento. No se registraron daños personales y el portón actualmente ya se encuentra operativo. Se estará realizando la investigación correspondiente para determinar las causas del incidente."/>
        <s v="El día 16/01/2025, aproximadamente a las 15:00 horas, en el Centro de Distribución Arequipa, se presentó un incidente operacional. Durante el traslado de una paleta estándar vacía mediante montacargas, se desprendió uno de los listones de la paleta, el cual fue posteriormente pisado por el montacargas. De acuerdo con lo indicado por el operador, el montacargas únicamente pasó por encima del listón desprendido, sin que se haya registrado una maniobra inadecuada, impacto o colisión. Asimismo, no se reportaron daños personales ni afectaciones al montacargas. El evento no generó consecuencias adicionales. Nos encontramos en proceso de investigación."/>
        <s v="El día 16/01/2025, aproximadamente a las 15:50 horas, en el APT Molino Callao, se presentó un incidente operacional. Durante la carga de subproducto, mientras el OMC estaba retrocediendo extrayendo una paleta, colisiona con el muro de protección de la columna, lo cual genera daño ligero en el muro y el contrapeso del montacargas. No se reporta daño personal alguno. El incidente está en proceso de investigación."/>
        <s v="Aproximadamente a las 03:10 p.m. del 18/01, durante el proceso de recepción de sulfato de sodio, se produjo el derrame del insumo por la parte superior del silo. Una vez identificada la desviación se realizó la detención del proceso y se realiza el control del evento. No se registraron daños personales ni materiales. El incidente se encuentra en proceso de investigación"/>
        <s v="El día 21/01/2026, aproximadamente a las 03:25 horas, en el Centro de Distribución Latam 400, se presentó un incidente con daño material. Durante la extracción de una parihuela en el sexto nivel, el operario realiza un giro con la paleta aún en altura (maniobra prohibida), golpeando una tubería de la red contraincendio. El operario se percató del golpe e instantáneamente culminó la maniobra sin reportar daños personales, solo materiales. El evento no generó consecuencias adicionales. Nos encontramos en proceso de investigación."/>
        <s v="El día 21/01/2026, aproximadamente a las 12:15 p.m., en el patio de maniobras del CD2 Lurin ITDC, en las maniobras para el armado y paletizado del material, al momento de bajar los sacos de manera manual, golpean un armado que estaba encima de la UT que no estaba empacado y ocasiona la caída de 6 sacos. El evento no generó consecuencias adicionales, no hubo daños personales y ni de materiales.Nos encontramos en proceso de investigación."/>
        <s v="Aproximadamente a las 03:15 p.m. del 21/01, durante la elaboración de polvo pulidor, y posterior a una intervención realizada por el maquinista, la tapa del equipo quedó desajustada. Al reiniciarse la rotación de la mezcladora, la tapa se desprendió repentinamente, generando la dispersión del producto en el ambiente. El evento fue detectado de inmediato, procediéndose a la detención del equipo y a la evacuación del personal del área para controlar la situación. No se registraron daños personales ni materiales. El incidente se encuentra en proceso de investigación."/>
        <s v="El día 21/01/2025, aproximadamente a las 11:15 horas, en el Centro de Distribución Cusco, se presentó un incidente operacional. Durante el traslado de PT desde el CD al canal de recepción Dexsur, el operador de montacargas intentó realizar el traslado de 2 paletas apiladas del producto SALSA. ALPESA KETCHUP 10X1KG 1CJA. Como consecuencia de este acto se originó la deformación de los productos de la paleta inferior y la caída del producto de la paleta superior mientras se realizaba el traslado. El incidente se encuentra en investigación."/>
        <s v="Aproximadamente a las 05:00 horas del sábado 31 de enero, un operador sufrió un golpe en el codo derecho al impactar con la esquina de una bandeja metálica de la faja de salida de la envasadora de refrescos R1. El evento ocurrió cuando el operador intentaba recuperar los sobres de refresco que no habían sido encajados por su compañera, produciéndose el golpe durante dicha maniobra. Al terminar el turno, el colaborador no reportó el evento."/>
        <s v="Aproximadamente a las 17:40 horas, una aprendiz sufrió un corte en el antebrazo derecho mientras realizaba la alimentación de galletas en la Torre 2. La aprendiz se ubicó en la parte anterior de la zona de alimentación por considerarlo más cómodo para la actividad, momento en el cual tuvo contacto con una parte metálica con bordes filosos."/>
        <s v="Aproximadamente a las 08:00 h, durante la actividad de limpieza de filtros con aire comprimido en la azotea, una abrazadera se desprendió e impactó sobre el casco de un trabajador del servicio de limpieza que realizaba labores rutinarias en la zona"/>
        <s v="Siendo aproximadamente las 07:40 horas, se desprendió un protector de luminaria, el cual cayó en las inmediaciones de la zona de moldeado de la Línea 1, generando una condición insegura que pudo haber ocasionado una lesión al colaborador que se encontraba realizando actividades en dicha etapa del proceso."/>
        <s v="Siendo las 13:50 horas, el auxiliar de almacén sufrió un golpe en el dedo anular izquierdo al trasladar una bobina de 25 kg de una paleta a otra._x000a__x000a_El evento ocurrió cuando el operario se encontraba realizando el picking de laminas para despacho a producción y al trasladar una de las bobinas suelta demasiado fuerte ocasionando un pequeño rebote entre las bobinas, lo cual, atrapa y golpea el dedo anular izquierdo; por consiguiente, produciendo una contusión."/>
        <s v="El trabajador Operario de producción refiere que siendo las 02:06 horas, se encontraba dirigiéndose a tomar su refrigerio y transitaba por el sendero peatonal de planta (altura de Línea 1 y Línea 2 de envasado de galletas) cuando de pronto observo que su compañera estaba trasladando una bandeja con granel y decide moverse a un costado para ceder el paso, luego avanza y no se percata que delante suyo había una estructura metálica que pertenece a una faja, y golpea su muslo derecho contra la estructura."/>
        <s v="aproximadamente las 08:50 horas, una aprendiz acude a limpiar la faja de la línea 1 de envasado, esta estaba apagada, pero al lado había una faja en movimiento, ella se percata que esta faja estaba sucia y decide estirar la mano por encima de la cabeza para limpiarlo, en ello recibe un atrapamiento que provoca una herida en el dedo meñique de la mano derecha."/>
        <s v="Durante el traslado interno de productos no conformes (Galletas) realizados con un apilador eléctrico (1.5 TON), al momento de elevar el pallet con carga hacia la máquina de molienda este sufre un desbalance y vuelca lateralmente impactando contra el suelo"/>
        <s v="Alrededor de las 11:40 am., el maquinista de la planta galletera, luego de culminar el cambio de bobina en la maquina Bosh N2, se encontraba utilizando una escalera de 3 peldaños. Al retroceder, el Trabajador refiere haber pisado al vacio, lo que ocasiono su caída, golpeandose la espalda y el tobillo."/>
        <s v="El proveedor Autorel, que actualmente brinda servicios al área de Proyectos, ingresó al APT desde la zona de robots para hacer mediciones, cruzando la puerta que da acceso al patio de maniobras. En ese momento, el ETV que se encontraba en el exterior accionó el claxon con la intención de ingresar, sin embargo, el proveedor no percibió la señal auditiva y continuó su desplazamiento.El ETV se detuvo de manera inmediata cuando lo vio, sin embargo, se produjo un contacto leve con el proveedor a la altura del hombro con la parrilla"/>
        <s v="Siendo las 05:55 p.m. la trabajadora de manufactura de salsas 1 purga la línea de agua para el lavado de tolva; al momento de dejar la manguera de lavado en la tolva se da la vuelta y siente el agua caliente escurriéndose por su espalda, automáticamente sale del ambiente y llama a sus compañeros. Como primera medida se le aplica agua fría en la zona expuesta y se llama al equipo de tópico, brindándole los primeros auxilios"/>
        <s v="Siendo las 3:51 am suena la alarma de detección de GLP indicando alerta de fuga en el bunker de la línea 04 marcando 72%/LEL, Inmediatamente se procede a bajar la llave de alimentación de gas y mediate el sistema de ventilación de extracción para disipar el gas de la zona. Posterior a ello, ingreso el equipo de producción y mantenimiento para determinar las causas de la fuga. Encontrándose el perno de sujeción de una de las boquillas roto."/>
        <s v="Aproximadamente a las 07:40 horas, un personal tercero sufrió un corte en el dedo meñique de la mano izquierda mientras realizaba la limpieza del magazín de la máquina D1. La herida fue por contacto con una parte metálica filosa del magazín."/>
        <s v="Aproximadamente a las 13:00 horas del martes 10 de febrero, un operador tercero reportó dolor de fuerte intensidad en región lumbar. El operador a las 11:45 horas realizaba el traslado de una bandeja de galleta, momento en el cual, sintió un estirón en la zona lumbar. Con el transcurso de las horas, el dolor se intensificó, por el cual reportó lo sucedido."/>
        <s v="Alrededor de las 8:50 am el operario de almacén, al momento de almacenar una paleta de productos terminados, con stoca de una zona a otra zona, al empujar sintió un dolor en la espalda al lado izquierdo, la cual nos informó y se procedió a comunicar a nuestra jefatura y se procedió llamar al central de emergencia para su evaluación"/>
        <s v="Aproximadamente a las 10:40 horas, un personal aprendiz sufrió una leve excoriación en el borde del 5to dedo de su mano izquierda. La herida fue por roce con galleta mientras realizaba la actividad de alimentación."/>
        <s v="Durante el proceso de ordenamiento y revisión de mermas, al estar manipulando una caja de lejía, le salpica un remanente del producto en la pierna derecha."/>
        <s v=" Alrededor de la 1 AM, se activo alarma debido a que se  produjo una fuga de producto en el cuarto nivel de procesos en Tornillo de transporte de Sulfato de Sodio durante la transferencia  al edificio. Se procede a ventilar el área y realizar limpieza de la misma."/>
        <s v="Colaboradora que refiere se encontraba en línea 2 realizando alimentación de galletas y al trasladarse a buscar una bandeja se resbala por sus propios pies y se cae, se golpea el brazo izquierdo izquierdo y la región de cadera derecha."/>
        <s v="Cuando la colaboradora de la empresa Charlotte se desplazaba desde la cámara de frío hacia la cocina llevando una bandeja con frutas para picado se tropieza con una jaba que se encontraba en el camino sufre una caída que ocasionó un raspón en la rodilla. "/>
        <s v="El día 12/02/2026, aproximadamente a las 09:30 am., en el almacén CD1 Detergentes Lurin al momento de la maniobra de almacenamiento del producto terminado el operador de Ransa impactó con el larguero superior provocando asi el desplazamiento de 3 cajas al piso y 3 cajas que quedaron suspendidas en el rack."/>
        <s v="Al término del proceso de almacenamiento, el operador se percata que había líquido en el piso proviniendo del equipo ETV2245. Cuando se dirige a estacionar el equipo para poder reportar el hallazgo, al tener el piso mojado, las ruedas no respondieron adecuadamente al freno y el operador impacta con una guarda de rack."/>
        <s v="La trabajadora se encontraba alimentando galleta en granel en la mesa de acomodo de Línea 4 y refiere que con el roce de la galleta se produce una ampolla en pulpejo de quinto dedo de mano derecha, con el paso de las horas de manipulación de granel se rompe la ampolla y refiere leve dolor."/>
        <s v="El trabajador traslada un pallet con bandejas que contenían granel de galletas, bajó la rampa ubicada al ingreso de línea 4 envasado y al girar el pallet las bandejas se inclinan y salen de la base del pallet impactando contra un pallet de galleta para reproceso."/>
        <s v="Aproximadamente a las 10:00 horas, el operador de apilador electrico ETV estaba extrayendo una paleta desde posiciones altas de los racks en el almacén #5. Al momento de descender el mástil con la paleta suspendida choca con el timón de otro equipo(Order Picker) que había sido dejado en el pasillo."/>
        <s v="Durante el proceso de carga de subproductos, al subir la manta para entoldar la unidad ya estibada, el operador eleva demasiado el mástil lo cual ocasiona que el respaldo de carga tenga contacto con la viga protectora de la línea de vida, ocasionando se fracture la estructura metálica. Se informa al equipo de soporte y proveedor para las investigaciones del caso. El incidente no reviste ningún daño personal al operador de montacargas; el equipo se envía a estacionamiento de montacargas para su evaluación inmediata que está en proceso."/>
        <s v="Siendo las 10:40 p.m. el trabajador de envasado de salsas 1 se dirige al área de encajado para revisar la totalidad de producción del turno, cuando al caminar por el pasadizo de la zona de encajado, sufre una caída a causa de una bandeja sobresalida."/>
        <s v="Aproximadamente a las 00:05 horas, un operador sufrió un corte leve en el antebrazo derecho mientras realizaba la actividad de alimentación / acomodo de paquetes primarios en la línea 2. La herida fue por contacto con un perno metálico sobresalido de las guías del transportador de paquetes."/>
        <s v="Siendo las 10:30 p.m. el trabajador tercero de Prolabora usa la Stoka para retirar un tablero de cajas de vegetales que se encontraba dentro del elevador, al intentar mover el tablero resbala y cae al piso golpeando parte de su pie derecho con la Stoka."/>
        <s v="Durante ese intervalo, la bomba continuó operando, generando el bombeo de aire a través de las tuberías hacia el tanque de almacenamiento. Esta acción provocó la formación excesiva de espuma dentro del tanque, ocasionando el rebalse de espuma alrededor del mismo y sobre sus tapas."/>
        <s v="el día 17/02/2026 a las 10:21 a.m. aproximadamente. Durante el proceso de traslado de materiales con una transpaleta eléctrica, cuatro cilindros de ácido sulfónico cayeron, lo que ocasionó que uno de ellos se abriera y se produjera el derrame del insumo."/>
        <s v="Aproximadamente a las 03:15 horas del jueves 19 de febrero, un operador sufrió una lesión en el dedo medio de la mano derecha mientras realizaba la actividad de carga de galletas en el magazín previo al arranque de línea."/>
        <s v="El lunes 16/02/2026 alrededor de las 17:00 horas, el operario de producción se encontraba realizando el triturado de fideo corto, mientras el colaborador movía el tecle hacia uno de los lados para descargar la bolsa de big bag, el mando del tecle se resbala de su mano e ingresa a la tolva y causa el atoro del triturador."/>
        <s v="En el patio del almacén de Detergentes se registró una fuga de gas GLP proveniente de un balón instalado en el montacargas de combustión asignado al operador del área de Jabones. El evento fue atendido de manera inmediata por el área de Seguridad, logrando controlar la fuga mediante el aseguramiento de la válvula."/>
        <s v="Aproximadamente a las 08:58 hrs, la unidad de transporte con placa 4716-HRI, colisionó con la estructura superior de la caseta de vigilancia de Planta (Portería 1), impactando con el lateral derecho del camión en el techo de la misma."/>
        <s v="En CD Huachipa, alrededor de las 06:30 am se registró un incidente de alto potencial en el muelle de carga / descarga. El proveedor que realiza labores de estibado para la empresa de transporte Codiso, unidad con placa AWR751, transitó de manera temeraria por la instalación, generando un casi accidente con el operario que maniobraba una transpaleta eléctrica (ERE). El colaborador de Alicorp al visualizar al proveedor caminando apresuradamente, reaccionó de inmediato, logrando esquivarlo. El proveedor también se apartó del equipo en movimiento. "/>
        <s v="El trabajador Operario de Limpieza se encontraba realizando labores de trasvase de detergente líquido M&amp;M2000 desde el envase original (Bidón de 25 Kg) hacia su coche de limpieza, en ese momento le salpica el insumo químico en ambas vistas, inicialmente fue atendido por el Coordinador de Producción quien acompaña al trabajador hasta la estación de lavaojos."/>
        <s v="Siendo las 09:20 a.m. el conductor de la empresa TRANSFLOVAL detiene el camión que conducía, baja del vehículo e ingresa debajo del mismo según refiere que se trabo la caja de cambios del camión."/>
        <s v="El Aprendiz de Senati realizaba labores de alimentación de granel de galletas hacia los magazines de la envasadora C9, y al momento de subir la torre apilada de granel su tercer dedo entra en contacto con la varilla de acomodo causándole una herida superficial."/>
        <s v="Siendo aproximadamente las 17:30 la trabajadora maniefiesta que siente dolor muscular en el hombro izquierdo, esto debido al sobre esfuerzo y trabajo repetitivo propio del proceso de estuchado en el area de instantaneos."/>
        <s v="Aproximadamente a las 21:25 horas, un operador sufre un corte superficial en el quinto dedo de la mano derecha, mientras realiza la limpieza de la mariposa de la máquina encremadora A2 de L3 durante el cambio de producto. El contacto se produjo con un aspa de dicha mariposa."/>
        <s v="El operador se encontraba en la planta piloto realizando labores de limpieza en una zaranda vibratoria. Para retirar el agua acumulada, procedió a sopletear aire a una llanta de la zaranda utilizando directamente la manguera de aire, sin hacer uso de la pistola reguladora de presión. Durante esta actividad, la llanta se desprendió de manera repentina y una de sus partes impactó los dedos índice y medio de la mano izquierda del operador."/>
        <s v="Siendo las 01:50 p.m., el operador se encontraba en el segundo piso del Molino C, realizando su ronda correspondiente al cierre de turno. Durante dicha inspección, se percató de que la tapa de una tubería se encontraba fuera de su posición. Al proceder a colocarla nuevamente, la tubería se sale de su posición, generando un golpe en el brazo derecho del trabajador. "/>
        <s v="Aproximadamente a las 13:00 horas, el operador de envasado estaba cambiando de lámina, al momento de introducir su mano derecha para regular el sensor de la fotocélula roza con el borde de la estructura metálica de la envasadora el cual le generó un raspón en la parte superficial en dorso de la mano derecha. "/>
        <s v="En CD Huachipa, alrededor de las 05:00 pm se registró un incidente de alto potencial en al amacén con ubicación PA-06-076-5. El colaborador, quien realizaba labores de almacenamiento utilizando un apilador eléctrico (ETV), reportó de manera inmediata una molestia ocular tras colocar el pallet en su posición final, manifestando la posible presencia de un agente externo en el ojo."/>
        <s v="Durante labores de limpieza de la tolva en el área de Food Service, el operario, al manipular la aspiradora para realizar la actividad de limpieza respectiva, percibe el paso de corriente eléctrica, motivo por el cual detiene inmediatamente la operación."/>
        <s v="Siendo aproximadamente las 12:50 horas la colaboradora se encontraba acomodando galletas antes de ser empaquetadas por la pack C6, cuando de pronto se percata que el dedo indice de su mano derecha presenta un ligero corte. Al revisar el entorno se evidencia que una plancha de la faja presenta un pequeño borde filoso."/>
        <s v=" El día 24/02 a las 00:30, el operador de ETV se encontraba dirigiéndose para un proceso de reposición en el pasillo 18. En este pasillo, un personal de la empresa Cleaned se encontraba trapeando el piso y por omisión, no colocó la señalética correcta. Esto hizo que el ETV pierda adherencia con el piso y tenga un impacto con el protector de los racks. No hubo daños personales y se revisó el equipo en el instante. Actualmente nos encontramos en proceso de investigación."/>
        <s v="Aproximadamente a las 20:25 horas del viernes 27 de febrero, una operadora tercera sufrió un golpe en el quinto dedo de la mano izquierda mientras realizaba la actividad de alimentación de galleta. La lesión ocurrió por contacto con el magazín metálico de máquina envasadora D2."/>
        <s v="El colaborador se encontraba realizando labores de abastecimiento de insumos en el ingreso del almacén de materias primas, al momento de cruzar la cortina plástica de la entrada, la stocka impacta la parte baja_x000a_del chasis con una parte metálica que no se encontraba a nivel de piso, en ese momento el colaborar siente un tirón en la parte posterior de la espalda, comunicando de lo sucedido a la jefatura inmediata."/>
        <s v="colaboradora refiere que estaba alimentado galleta en la plataforma de línea 2 y bajo a dejar bandejas vacías, al momento de subir a la plataforma de 25 cm aprox, se resbala y golpea su tibia izquierda contra el filo de plataforma. Se trasporta al tópico y se realiza limpieza de parte afectada."/>
        <s v="El día 28/02/26, alrededor de las 9:00 p.m se registró un incidente en el área de Frascos durante el traslado de una paleta con baldes que contenían base vegetal para la preparación de salsas. La carga estaba siendo movilizada con una estoca manual por la rampa cuando, durante la maniobra de ascenso, la paleta perdió estabilidad, ocasionando la caída de varios baldes y el derrame del producto sobre el piso. "/>
        <s v="El trabajador Operario de producción se encontraba saliendo del vestuario de planta Galletera, y al momento de intentar abrir la puerta, sujeta con su mano izquierda uno de los extremos de la barra antipánico y empuja con fuerza causándole un corte en el tercer dedo de la mano izquierda."/>
        <s v="Durante la operación de secado de detergentes, se identificó una fuga leve de GLP aguas abajo del vaporizador (ubicado en el sector exterior de la planta). Al detectar la fuga y flama leve, el personal de mantenimiento que se encontraba en el área hace uso del extintor cercano."/>
        <s v="Durante el recorrido de uno de los operarios de planta percibió un olor a quemado en el sótano 2 de molino. Cuando se acerca, observa que en la guarda de la faja del molino martillo salía humo, inmediatamente da aviso al coordinador de molino quienes en conjunto utilizan uno de los extintores más cercanos y controlan el conato"/>
        <s v="Durante la producción de ácido clorhídrico (HCl), a las 15:03 h del día jueves 05/03, se produjo una combustión en el quemador de la torre de HCl, ubicado en el cuarto nivel. De manera inmediata se activó la parada de emergencia, deteniendo la producción y suspendiendo el ingreso de las materias primas (cloro e hidrógeno). Tras esta acción, la combustión se detuvo por completo"/>
        <s v="El 3 de marzo, en el área de Fabricación Acuosos, durante la elaboración del granel Desatorador de Cocina, se realizó el vaciado de solución amoniacal , lo que generó la emisión de vapores de amoniaco (NH₃). Debido a que el sistema de ventilación del área tiene la salida de aire conectada a las rejillas del área de Envasado de las zonas contiguas, los vapores se dispersaron hacia dichas áreas, provocando malestar en cuatro colaboradoras."/>
        <s v="Aproximadamente a las 11:30 horas, un colaborador que se encontraba en proceso de Inducción en Planta Galletera, presentó episodio de mareo mientras procedía a trasladarse a los SSHH, durante este traslado presentó inestabilidad, perdiendo el equilibrio y descendiendo al suelo, generándose contacto de rodilla izquierda con la estuctura del piso de un escalón."/>
        <s v="Siendo aproximadamente las 10:00 a.m., la colaboradora Erika Sequera, perteneciente al área de Lavavajillas, se encontraba realizando la actividad de encajado en el área de envasado Lavavajillas en pote. Durante este proceso la colaboradora coloca manualmente la caja en la máquina encintadora, en ese momento se percata que el guante es atrapado entre la caja y los rodillos guiadores, ocasionando ligero aplastamiento en el dedo anular de la mano derecha. "/>
        <s v="Siendo las 11:40 am, en el primer piso de planta de galletería el Coordinador Hermogenes Condori, reporta al área de mantenimiento (personal electricista) una parada del equipo del horno N°1, el coordinador apertura las compuertas de la chimenea en la salida del horno para disipar el humo y el olor a quemado en la sala. Alrededor de unos minutos se acerca el personal de mantenimiento para realizar la atención de la falla en ese momento el electrico activa los motores que le dan movimiento a la malla, llegando al punto de salida un tramo de galleta carbonizada, al inyectar el oxigeno del ambiente se genera un amago de incendio, el Coordinador retira al personal que estaba soportando en la salida del horno para hacer uso de extintor PQS mas cercano al punto."/>
        <s v="Siendo aproximadamente  las 04:08 p.m. un colaborador del área de Almacenes, se encontraba realizando el cambio de baterías. Durante este proceso, con la ayuda de un order picker, trasladaba la batería desde la sala de baterías al almacén 01, cuando la estación perdió el equilibrio y cayó lateralmente."/>
        <s v="El turno tarde en el puesto de mesa de Inspección en la línea 2; en la faja de salida de la envasadora primaria SIG5 se encontraban 2 operarias de producción realizando el acomodo de Galletas, en el momento del ordenamiento de galletas, la operaria sin percatarse sobrepasa el área de inspección e ingreso la mano a la altura de la zona de los puentes, para levantar unos paquetes de galletas que se encontraba generando trabamiento del flujo continuo, sufriendo una presión del antebrazo izquierdo entre la galleta en movimiento y puente metálico; en ese momento la operaria retira su mano de manera inmediata y procede a reportar el evento."/>
        <s v="Siendo aproximadamente las 01:00 horas, en la zona de aduana, un personal tercero (Prolabora), acude a retirar papel toalla para secarse las manos, y no se percata que habia un tornillo, este al tener contacto con su mano, le genera un pequeño corte."/>
        <s v="Durante el despacho de hipoclorito de sodio al 8% en el primer turno del día 09/03, al finalizar la carga, el operador panelista olvidó retirar la tubería de conexión hacia la cisterna. Posteriormente, el vehículo avanzó para realizar el cierre de la tapa, lo que ocasionó la ruptura de la tubería."/>
        <s v="El 10 de marzo, en la Casa de Fuerza, se registró un evento de descarga de amoniaco (NH₃) debido a la activación de la válvula de seguridad. Como consecuencia, el gas amoniaco fue liberado hacia áreas aledañas, lo que generó una alerta inmediata."/>
        <s v="A las 10:00 a. m. del miércoles 11 de marzo, durante el arranque de planta, se observó presencia de humo en el tercer lecho del convertidor de SO₂ a SO₃ de la planta de sulfonación 2. El humo provenía de un trapo que quedó en la zona luego de un trabajo de soldadura realizado en ese punto."/>
        <s v="Siendo aproximadamente las 03:00 horas, en la linea 2 una aprendiz que realizaba la alimentacion de galleta de casino menta, golpea su rodilla con un fierro que forma parte de la estructura de la nueva linea 2, el golpe fue leve pero genero un dolor que causo malestar en la persona involucrada."/>
        <s v="Durante la operación con un order picker, el colaborador se ubica al lado izquierdo del equipo, quedando fuera de la posición central establecida como segura. Al realizar la maniobra de giro para ingresar al pasillo 5, el trabajador intenta descender_x000a_colocando el pie izquierdo en el suelo. Sin embargo, manifiesta que “sin querer, con el brazo derecho presiona el acelerador”, lo que provoca que el equipo continue desplazándose en el sentido del giro. Como consecuencia, el pie izquierdo queda aprisionado entre la carcasa de la transpaleta y el suelo, generándose un atrapamiento en la zona del empeine."/>
        <s v="El día 12 de marzo durante los trabajos de instalación del segundo vaporizador para el abastecimiento de GLP a Planta Galletas, ejecutados por la empresa BEGAS INGENIEROS SAC (contratista de SOLGAS), se produjo un evento de ignición durante una maniobra de venteo de remanente de GLP en tuberías, lo que generó una irritación en la cara del operador que realizaba el venteo."/>
        <s v="A las 14:50, el operador de abastecimiento de botellas para esencia de vainilla (Instantáneos) sufrió un raspón superficial en el brazo izquierdo. El evento fue reportado al día siguiente por premura al cierre de turno. Según protocolo, el operador fue atendido en tópico, sin presentar restricciones ni descanso médico. Como acción inmediata, se limaron las asperezas de la superficie rugosa identificada. Sin mayores consecuencias."/>
        <s v="Durante la actividad de reposición de nitrógeno líquido (LN₂) al tanque pulmón, a una temperatura aproximada de -196 °C, realizada por el proveedor Linde, el operador encargado del abastecimiento detectó la presencia de una fisura en la superficie del tanque. A través de dicha fisura se evidenciaba una fuga de nitrógeno. Tras la identificación de la anomalía, se emitió la alerta."/>
        <s v="Aproximadamente a las 21:50 horas, una aprendiz sufrió una presión en el tercer dedo de la mano izquierda al intentar sentarse. Durante la maniobra, su dedo quedó atrapado momentáneamente entre la estructura metálica y el asiento, lo que generó presión sobre el dedo afectado."/>
        <s v="El colaborador se encontraba realizando verificación de los equipos de inyección de aire ubicados en la azotea. Al momento de bajar por la escalera para regresar a planta, pisa una zona en desnivel, generando una torcedura del tobillo derecho."/>
        <s v="Camión cisterna de soda caustica con placa AUQ-906 realiza maniobras en el espacio correspondiente para la descarga del químico a sus tanques de almacenamiento, al momento de realizar la maniobra el camion se posiciona cerca de las tuberías principales de petróleo, en ese momento la llanta delantera golpea la tubería de alimentación a las bombas de combustible de las acalderas ocasionando un desgarro de los hilos del acoplamiento universal y una fuga de petróleo en dicha tubería, esto ocasiona que la caldera pare su operación por baja presión."/>
        <s v="El día lunes a las 14.02 a las 23:50 pm, el conductor de la empresa TRANSPORTES NAJEDI, V6O811 se encontraba traslandandola producción de planta galletera hacia el CD Arequipa. Al momento de estacionarse, rozó su parachoques delantero con una ruma de pallets vacíos, lo que finalmente decantó en una rajadura del mismo. "/>
        <s v="Siendo aproximadamente las 04:00 horas, en la linea 4 un personal tercero que realizaba la alimentacion de galleta margarita, golpea su dedo de la mano con la estructura metalica del Magazzine, este golpe provoco un dolor intenso en el dedo pulgar derecho."/>
        <s v="El colaborador se encontraba realizando actividades de estiba en línea manual cuando su compañero usando una transpaleta eléctricamente asistida retira las paletas terminadas. Durante la actividad, se realiza una mala maniobra en el retiro de la paleta generando que esta se desplace en sentido opuesto e impacte en la parte inferior de la pierna del colaborador."/>
        <s v="Durante su primer día de labores y en proceso de aprendizaje, una colaboradora nueva presentó una molestia en los dedos índice de ambas manos mientras realizaba la función de alimentación de galletas en la línea de producción. El incidente ocurrió al momento de tomar y colocar las galletas en el punto correspondiente, generándose un roce repetitivo de los dedos con una varilla o estructura metálica del equipo, lo que ocasionó fricción directa en la zona de contacto."/>
        <s v="El colaborador se encontraba en la oficina del coordinador de envasado realizando vía SAP los requerimiento del dia para el almacén, culminada esta actividad refiere que se dirigía a su zona de trabajo ubicado en el 1er piso del edificio, es ahí donde al bajar el primer tramo de escaleras resbala en uno de los peldaños y evita caerse al sostenerse de la baranda, es ahí donde al apoyar el pie izquierdo siente un dolor fuerte y al querer continuar bajando las escaleras se intensifica mas el dolor. "/>
        <s v="Aproximadamente a las 03:30 h, un colaborador del área de mantenimiento realizaba la intervención de una bomba de soda cáustica debido a una falla. Durante la actividad, sufrió una salpicadura de producto que se filtró por la parte superior del calzado de seguridad, teniendo contacto con el dorso de su pie izquierdo."/>
        <s v="El colaborador refiere que se encontraba realizando labores de limpieza en la Línea 2 de la Planta Galletera, cuando de manera involuntaria se golpea la región lumbar (espalda baja) contra una estructura metálica / tablero del área."/>
        <s v="Aproximadamente a las 10:25 horas, una aprendiz reportó que la ampolla que presentaba en el dedo meñique de la mano izquierda se había reventado, ella llevaba puesto guantes. La aprendiz manifestó que desde hace 3 días venía presentando molestias debido al roce repetitivo con la superficie metálica mientras realizaba la actividad de alimentación de galleta."/>
        <s v="Aproximadamente a las 10:00 horas del miércoles 18 de marzo, una aprendiz reportó dolor en el pulgar y dorso de la mano izquierda. La colaboradora indicó que la molestia se presentó durante la ejecución de las actividades de alimentación de galletas en la línea 3."/>
        <s v="Siendo aproximadamente las 19:00 horas, en la linea 2 un colaborador presenta un dolor localizado en la region de la muñeca izquierda de intensidad leve, se evidencia hematoma en el area afectada, sin embargo el trabajador refiere no haber recibido ningun golpe al momento de sus operaciones."/>
        <s v="Siendo aproximadamente las 20:00 horas, en la linea de banado un colaborador presenta dolor en ambos miembros superiores, el cual limita a los movimientos de flexion, extension y elevacion, esto debido al levantamiento de bandejas y manipulacion de productos, propia de la operacion."/>
        <s v="Aproximadamente a las 14:25 hrs,el conductor Luciano Avila de la unidad de transporte con placa 2306-PCS, tras recibir su documentación, intentó retirarse sin esperar la colocación de precintos, desobedeciendo las instrucciones del personal. Durante la intervención para redirigir la unidad, el conductor realizó una maniobra inadecuada y colisionó contra la barrera de seguridad y el CAR, provocando el desplazamiento de la estructura, la cual protege infraestructura crítica del sistema contra incendios."/>
        <s v="El colaborador se encontraba realizando traslado de bobinas de aproximadamente 50-90 kgs, y siente un tirón en la espalda baja, siguió realizando la actividad y al mover la segunda bobina comenzó con dolor y contractura en región lumbar. El colaborador fue atendido en el tópico donde se le diagnostico Contractura Muscula."/>
        <s v="Durante la maniobra de descarga de PT en el patio de maniobras de CD2 se evidenció la caída de algunas cajas desde la parte superior de la carga, generando derrame de producto y salpicadura en el colaborador que realizaba la operación, a la altura de la cintura hacia abajo"/>
        <s v="Durante la operación de abastecimiento de insumos a Planta, en la maniobra de retroceso de un montacargas, se genera el impacto del equipo contra la infraestructura, ocasionando daños en la pared del área."/>
        <s v="El turno tarde en el puesto encajonado Línea 2 en la producción de Soda Día en la encintadora de la presentación Soda Dia x10 packs, se tuvo un atracón en la encintadora la cuál sedio unos centimetros, desplazando el caballete cercano_x000a_al puesto de encajado, colisionando la estructura metálica con la rodilla de la persona en el puesto."/>
        <s v="Aproximadamente a las 14:45 horas, un operador reportó una herida en el dedo anular de la mano izquierda mientras manipulaba cajas en la zona de encajado manual de Torre 4. Al momento del incidente, el colaborador no utilizaba sus guantes de protección."/>
        <s v="El conductor Francisco Pérez Quiroz (Lic. 7955369), de la unidad con placa 5350USD del proveedor de transporte COCAPATA, realizó una maniobra no autorizada dentro del patio, posicionándose por iniciativa propia en una rampa sin contar con la guía ni indicación del personal responsable, y sin verificar previamente las condiciones de seguridad como la altura de la infraestructura; esta acción insegura derivó en el impacto de la unidad contra la estructura del techo del estacionamiento, generando daños materiales y comprometiendo la seguridad del área."/>
        <s v="Aproximadamente a las 12:50 horas, un operador sufrió un corte superficial en el cuarto dedo de la mano derecha mientras realizaba la alimentación de galleta en la Torre 2."/>
        <s v="En fecha martes 17 de marzo de 2026, a horas 04:00 a.m., se registró lluvia intensa en la ciudad de Cochabamba, con una precipitación pluvial de 135 mm (135 L/m²), provocando inundaciones en diferentes sectores de la ciudad. Este evento también afectó a Planta Cochabamba, registrándose además de la lluvia un corte de energía eléctrica de origen externo, lo cual ocasionó la parada de los procesos de la operación."/>
        <s v=" Aproximadamente a las 14.22 p.m, el colaborador de Línea Vertical con 1 año 09 Meses laborando y 5 años de experiencia como técnico vertical; se encontraba realizando labores de limpieza (barrido) en la cubierta del almacén C, cuando  se bloqueó el sistema anticaída (ASAP) del trabajador. Al detenerse para desbloquear el sistema, permaneció próximo a la zona de trabajo de su compañero, produciéndose el impacto del extremo del mango de la escoba contra su ceja derecha."/>
        <s v="Aproximadamente a las 04:00 horas, la operaria de empacado (Manpower) estaba en el llenado de caja manual y al colocar las bolsas a la caja su mano roza con la caja, y se genera un pequeño golpe al borde las uñas."/>
        <s v="Aproximadamente a las 12:30 p. m., el operador de montacargas del almacén se encontraba realizando el despacho de paletas a planta cuando, durante una maniobra inadecuada, las uñas del equipo impactaron contra la esquina de la base del almacén, ocasionando daños en la infraestructura"/>
        <s v="Aproximadamente a las 04:30 pm, el técnico se encontraba retirando un rollo del caballete de transito, en el segundo nivel, en la maniobra observa que el rollo se balancea y coloca la mano derecha para sujetar el rollo, en ese instante su dedo meñique es presionado entre la estructura del caballete y el rollo."/>
        <s v="Siendo aproximadamente las 09:00 horas, en la linea 2 un colaborador se econtraba realizando cambio de formato de producto, y al momento de bajar, pisa una banca que sirve de soporte para subir la plataforma principal, pues este al no estar fija se ha movido con la fuerza de la presion del pie, esto provoca una caida a desnivel ocasionando un golpe en la pierna y brazo."/>
        <s v="El colaborador afectado se encontraba operando un transpaleta eléctrico cuando el equipo se detuvo repentinamente, provocando que su cuerpo se desplace hacia adelante, y se golpee el dedo meñique izquierdo contra el timón del equipo."/>
        <s v="El colaborador afectado se encontraba realizando labores de apilamiento de producto en paletas, ubicado entre dos de ellas. En ese momento, el operador del transpaleta introdujo las uñas del equipo en la paleta situada detrás del colaborador; estas se trabaron a mitad del ingreso, generando un desplazamiento inesperado que impactó su pie y le ocasionó molestias en la zona afectada."/>
        <s v="Siendo la 01:30 a.m. el Aprendiz de Senati se encontraba realizando labores de alimentación de granel Casino desde la mesa de acomodo de línea 2 hacia los magazines de la envasadora Torre L2B, y de pronto se percata que hay una aglomeración de granel entre las guías de acomodo y procede a realizar el desatoro de manera manual con su mano derecha, durante esta acción su tercer dedo fricciona contra un componente metálico (perno y tuerca) causándole una leve herida."/>
        <s v="En el CD Huachipa aproximadamente a las 8:15 am en la zona de estacionamiento previo al ingreso a balanza,  dos conductores de las unidades de la empresa de transporte MI BEATRIZ (C5T - 752) - (D4B - 785) tuvieron una pelea a golpes dentro del predio. La causa del inicio del enfrentamiento que declaran ambos conductores fue que uno de ellos inició con un insulto al otro."/>
        <s v="Aproximadamente a las 18:00 horas, el aprendiz CAPE se encontraba realizando labores de alimentación en la Línea 1. Durante el cambio de puesto, decidió asistir a una compañera para ayudarla a subir a la plataforma de trabajo. En ese momento, al apresurarse en jalar la plataforma, esta se desplazó de manera brusca, ocasionando un golpe entre la plataforma y la estructura fija."/>
        <s v="Alrededor de las 11:00 a. m. del 29/03, durante la operación de batido de detergente, se registró el rebalse de slurry desde el tanque autolimpiante, ocasionando derrame sobre la estructura y el piso. "/>
        <s v="El 26 de marzo, en la Planta Principal de Intradevco, el colaborador técnico mecánico de mantenimiento sufrió la exposición de polvo en el ojo izquierdo mientras realizaba desmontaje de maquinaria sin usar lentes de protección. No presentó síntomas inmediatos y continuó trabajando sin reportar el incidente."/>
      </sharedItems>
    </cacheField>
    <cacheField name="Daños reales o potenciales" numFmtId="0">
      <sharedItems containsBlank="1"/>
    </cacheField>
    <cacheField name="Fuente de peligro"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anella Arcela Ponte Carrasco" refreshedDate="46224.744157754627" createdVersion="8" refreshedVersion="8" minRefreshableVersion="3" recordCount="147" xr:uid="{A2E010BB-2958-4EB0-88C5-53ADDE89B75C}">
  <cacheSource type="worksheet">
    <worksheetSource name="LTI_5"/>
  </cacheSource>
  <cacheFields count="33">
    <cacheField name="N° de ROM" numFmtId="0">
      <sharedItems containsBlank="1"/>
    </cacheField>
    <cacheField name="SOCIEDAD2" numFmtId="0">
      <sharedItems containsBlank="1" count="7">
        <s v="ALICORP_SAA"/>
        <s v="INTRADEVCO_INDUSTRIAL_SA"/>
        <s v="ALICORP_BOLIVIA"/>
        <s v="MASTERBREAD"/>
        <s v="INDUSTRIAS DEL ESPINO_SA"/>
        <s v="JABONERÍA WILSON"/>
        <m u="1"/>
      </sharedItems>
    </cacheField>
    <cacheField name="VP" numFmtId="0">
      <sharedItems containsBlank="1"/>
    </cacheField>
    <cacheField name="DIRECCIÓN" numFmtId="0">
      <sharedItems containsBlank="1" count="5">
        <s v="MANUFACTURA"/>
        <s v="LOGÍSTICA"/>
        <s v="OTRAS DIRECCIONES"/>
        <s v=" MANUFACTURA"/>
        <m u="1"/>
      </sharedItems>
    </cacheField>
    <cacheField name="CATEGORÍA" numFmtId="0">
      <sharedItems containsBlank="1" count="20">
        <s v="FARINACEOS"/>
        <s v="PREDIOS INDUSTRIALES"/>
        <s v="SSOMA"/>
        <s v="HOME Y PERSONAL CARE"/>
        <s v="OLEOS"/>
        <s v="CONSUMO MASIVO"/>
        <s v="RELACIONES LABORALES"/>
        <s v="MOLINOS"/>
        <s v="LOGÍSTICA"/>
        <s v="ADMINISTRACION"/>
        <s v="INGENIERÍA"/>
        <s v="PLANEAMIENTO"/>
        <s v="ALICORP SOLUCIONES"/>
        <s v="TRANSPORTES"/>
        <s v="LIMPIEZA Y VIGILANCIA"/>
        <s v="I+D"/>
        <s v="OTRAS DIRECCIONES"/>
        <s v="INGENIERÍA Y MANTENIMIENTO"/>
        <s v="CALIDAD"/>
        <m u="1"/>
      </sharedItems>
    </cacheField>
    <cacheField name="PLANTA DE OCURRENCIA" numFmtId="0">
      <sharedItems containsBlank="1" count="43">
        <s v="Fideería Lima"/>
        <s v="CD1-2"/>
        <s v="SSOMA"/>
        <s v="GALLETERÍA E INSTANTANEOS"/>
        <s v="CHORRILLOS"/>
        <s v="COPSA"/>
        <s v="LURIN 2"/>
        <s v="LURÍN 4"/>
        <s v="CD HUACHIPA"/>
        <s v="MCA"/>
        <s v="Acopio"/>
        <s v="CD SUCRE"/>
        <s v="LURIN 1"/>
        <s v="Cajamarquilla"/>
        <s v="LURÍN 5"/>
        <s v="PANETONES"/>
        <s v="PLANEAMIENTO"/>
        <s v="ÑAÑA"/>
        <s v="EDIFICIO MIRAFLORES"/>
        <s v="MOLINO AREQUIPA"/>
        <s v="SIDSUR"/>
        <s v="Latam 600"/>
        <s v="Cochabamba"/>
        <s v="LURÍN 2"/>
        <s v="APT MCA"/>
        <s v="MOLINO FAUCETT"/>
        <s v="APT FARINACEOS"/>
        <s v="CDC"/>
        <s v="REFINERIA PALMAWASI"/>
        <s v="MARGARINAS &amp; MANTECAS"/>
        <s v="PREDIO CENTRAL"/>
        <s v="Calacalí"/>
        <s v="DETERGENTE CALLAO"/>
        <s v="CENTRO DE DISTRIBUCION HUACHIPA"/>
        <s v="LURIN CD1"/>
        <s v="Laboratorio I+D"/>
        <s v="MOLINO PAITA"/>
        <s v="MOLINO CALLAO"/>
        <s v="FIDERÍA "/>
        <s v="Lurín 3"/>
        <s v="Santa Cruz"/>
        <s v="Galletería" u="1"/>
        <m u="1"/>
      </sharedItems>
    </cacheField>
    <cacheField name="PLANTA SIGMA" numFmtId="0">
      <sharedItems containsBlank="1"/>
    </cacheField>
    <cacheField name="FECHA" numFmtId="0">
      <sharedItems containsSemiMixedTypes="0" containsNonDate="0" containsDate="1" containsString="0" minDate="2025-01-08T00:00:00" maxDate="2026-07-17T00:00:00" count="119">
        <d v="2025-01-08T00:00:00"/>
        <d v="2025-01-10T00:00:00"/>
        <d v="2025-01-11T00:00:00"/>
        <d v="2025-01-21T00:00:00"/>
        <d v="2025-01-25T00:00:00"/>
        <d v="2025-01-30T00:00:00"/>
        <d v="2025-02-01T00:00:00"/>
        <d v="2025-02-04T00:00:00"/>
        <d v="2025-02-06T00:00:00"/>
        <d v="2025-02-11T00:00:00"/>
        <d v="2025-02-13T00:00:00"/>
        <d v="2025-02-15T00:00:00"/>
        <d v="2025-02-20T00:00:00"/>
        <d v="2025-02-28T00:00:00"/>
        <d v="2025-03-05T00:00:00"/>
        <d v="2025-03-13T00:00:00"/>
        <d v="2025-03-20T00:00:00"/>
        <d v="2025-03-21T00:00:00"/>
        <d v="2025-03-27T00:00:00"/>
        <d v="2025-04-04T00:00:00"/>
        <d v="2025-04-07T00:00:00"/>
        <d v="2025-04-09T00:00:00"/>
        <d v="2025-04-17T00:00:00"/>
        <d v="2025-05-06T00:00:00"/>
        <d v="2025-05-07T00:00:00"/>
        <d v="2025-05-08T00:00:00"/>
        <d v="2025-05-09T00:00:00"/>
        <d v="2025-05-15T00:00:00"/>
        <d v="2025-05-17T00:00:00"/>
        <d v="2025-05-19T00:00:00"/>
        <d v="2025-05-27T00:00:00"/>
        <d v="2025-06-07T00:00:00"/>
        <d v="2025-06-09T00:00:00"/>
        <d v="2025-06-10T00:00:00"/>
        <d v="2025-06-16T00:00:00"/>
        <d v="2025-06-24T00:00:00"/>
        <d v="2025-06-28T00:00:00"/>
        <d v="2025-06-30T00:00:00"/>
        <d v="2025-07-05T00:00:00"/>
        <d v="2025-07-17T00:00:00"/>
        <d v="2025-07-21T00:00:00"/>
        <d v="2025-08-05T00:00:00"/>
        <d v="2025-08-09T00:00:00"/>
        <d v="2025-08-12T00:00:00"/>
        <d v="2025-08-27T00:00:00"/>
        <d v="2025-09-02T00:00:00"/>
        <d v="2025-09-22T00:00:00"/>
        <d v="2025-09-25T00:00:00"/>
        <d v="2025-09-30T00:00:00"/>
        <d v="2025-10-06T00:00:00"/>
        <d v="2025-10-10T00:00:00"/>
        <d v="2025-10-11T00:00:00"/>
        <d v="2025-10-13T00:00:00"/>
        <d v="2025-10-16T00:00:00"/>
        <d v="2025-10-20T00:00:00"/>
        <d v="2025-10-22T00:00:00"/>
        <d v="2025-10-27T00:00:00"/>
        <d v="2025-10-29T00:00:00"/>
        <d v="2025-10-31T00:00:00"/>
        <d v="2025-11-08T00:00:00"/>
        <d v="2025-11-18T00:00:00"/>
        <d v="2025-11-27T00:00:00"/>
        <d v="2025-12-02T00:00:00"/>
        <d v="2025-12-10T00:00:00"/>
        <d v="2025-12-11T00:00:00"/>
        <d v="2026-01-07T00:00:00"/>
        <d v="2026-01-16T00:00:00"/>
        <d v="2026-01-23T00:00:00"/>
        <d v="2026-01-26T00:00:00"/>
        <d v="2026-01-28T00:00:00"/>
        <d v="2026-02-02T00:00:00"/>
        <d v="2026-02-04T00:00:00"/>
        <d v="2026-02-07T00:00:00"/>
        <d v="2026-02-10T00:00:00"/>
        <d v="2026-02-16T00:00:00"/>
        <d v="2026-02-23T00:00:00"/>
        <d v="2026-02-27T00:00:00"/>
        <d v="2026-02-28T00:00:00"/>
        <d v="2026-03-05T00:00:00"/>
        <d v="2026-03-13T00:00:00"/>
        <d v="2026-03-15T00:00:00"/>
        <d v="2026-03-16T00:00:00"/>
        <d v="2026-03-23T00:00:00"/>
        <d v="2026-03-24T00:00:00"/>
        <d v="2026-04-03T00:00:00"/>
        <d v="2026-04-11T00:00:00"/>
        <d v="2026-04-14T00:00:00"/>
        <d v="2026-04-15T00:00:00"/>
        <d v="2026-04-16T00:00:00"/>
        <d v="2026-04-24T00:00:00"/>
        <d v="2026-04-26T00:00:00"/>
        <d v="2026-04-28T00:00:00"/>
        <d v="2026-04-29T00:00:00"/>
        <d v="2026-05-06T00:00:00"/>
        <d v="2026-05-08T00:00:00"/>
        <d v="2026-05-09T00:00:00"/>
        <d v="2026-05-12T00:00:00"/>
        <d v="2026-05-15T00:00:00"/>
        <d v="2026-05-18T00:00:00"/>
        <d v="2026-05-19T00:00:00"/>
        <d v="2026-05-20T00:00:00"/>
        <d v="2026-05-21T00:00:00"/>
        <d v="2026-05-22T00:00:00"/>
        <d v="2026-06-07T00:00:00"/>
        <d v="2026-06-12T00:00:00"/>
        <d v="2026-06-16T00:00:00"/>
        <d v="2026-06-18T00:00:00"/>
        <d v="2026-06-24T00:00:00"/>
        <d v="2026-06-19T00:00:00"/>
        <d v="2026-06-29T00:00:00"/>
        <d v="2026-06-26T00:00:00"/>
        <d v="2026-06-30T00:00:00"/>
        <d v="2026-07-03T00:00:00"/>
        <d v="2026-07-06T00:00:00"/>
        <d v="2026-07-07T00:00:00"/>
        <d v="2026-07-08T00:00:00"/>
        <d v="2026-07-15T00:00:00"/>
        <d v="2026-07-16T00:00:00"/>
        <d v="2026-07-10T00:00:00"/>
      </sharedItems>
      <fieldGroup par="32"/>
    </cacheField>
    <cacheField name="HORA DE OCURRENCIA" numFmtId="0">
      <sharedItems containsNonDate="0" containsDate="1" containsString="0" containsBlank="1" minDate="1899-12-30T01:30:00" maxDate="1899-12-30T22:50:00"/>
    </cacheField>
    <cacheField name="TURNO" numFmtId="0">
      <sharedItems containsBlank="1"/>
    </cacheField>
    <cacheField name="DIA DE SEMANA" numFmtId="0">
      <sharedItems/>
    </cacheField>
    <cacheField name="APELLIDOS DEL ACCIENTADO" numFmtId="0">
      <sharedItems containsBlank="1"/>
    </cacheField>
    <cacheField name="NOMBRE DEL ACCIDENTADO" numFmtId="0">
      <sharedItems containsBlank="1"/>
    </cacheField>
    <cacheField name="DNI" numFmtId="0">
      <sharedItems containsBlank="1" containsMixedTypes="1" containsNumber="1" containsInteger="1" minValue="2795389" maxValue="1726238338"/>
    </cacheField>
    <cacheField name="EDAD DEL ACCIDENTADO" numFmtId="0">
      <sharedItems containsString="0" containsBlank="1" containsNumber="1" containsInteger="1" minValue="19" maxValue="61"/>
    </cacheField>
    <cacheField name="TIEMPO EN LA EMPRESA (meses)" numFmtId="0">
      <sharedItems containsString="0" containsBlank="1" containsNumber="1" minValue="1" maxValue="456"/>
    </cacheField>
    <cacheField name="TIEMPO EN LA EMPRESA (años)" numFmtId="0">
      <sharedItems containsString="0" containsBlank="1" containsNumber="1" minValue="0" maxValue="38"/>
    </cacheField>
    <cacheField name="CANTIDAD DE HORAS TRABAJADAS EN EL TURNO" numFmtId="0">
      <sharedItems containsString="0" containsBlank="1" containsNumber="1" containsInteger="1" minValue="2" maxValue="6"/>
    </cacheField>
    <cacheField name="ÁREA DEL ACCIDENTADO" numFmtId="0">
      <sharedItems containsBlank="1" count="5">
        <m/>
        <s v="PRODUCCIÓN"/>
        <s v="MANTENIMIENTO"/>
        <s v="TERCERO"/>
        <s v="I+D"/>
      </sharedItems>
    </cacheField>
    <cacheField name="EMPRESA" numFmtId="0">
      <sharedItems containsBlank="1"/>
    </cacheField>
    <cacheField name="Tipo de Trabajador" numFmtId="0">
      <sharedItems/>
    </cacheField>
    <cacheField name="DESCRIPCIÓN" numFmtId="0">
      <sharedItems containsBlank="1" longText="1"/>
    </cacheField>
    <cacheField name="LESIÓN" numFmtId="0">
      <sharedItems containsBlank="1" count="86">
        <s v="Amputación"/>
        <s v="Herida en tobillo"/>
        <s v="Herida   "/>
        <s v="Esguince/Torcedura"/>
        <s v="Contusión/Trauma"/>
        <s v="Dermatitis/Irritación de la piel"/>
        <s v="Corte/Herida"/>
        <s v="Contusión "/>
        <s v="Herida múltiple"/>
        <s v="Quemadura"/>
        <s v="Fractura"/>
        <s v="Intoxicación"/>
        <s v="Cuerpo extraño en vista "/>
        <s v="Contusión"/>
        <s v="Atrapamiento"/>
        <s v="Trauma acústico"/>
        <s v="Traumatismo encefalocreneano"/>
        <s v="Amputación del 2° al 5° dedo mano izquierda"/>
        <s v="Quemadura de 2° grado"/>
        <s v="Cuerpo extraño en ojo"/>
        <s v="Trauma contuso rodilla izquierda  "/>
        <s v="Luxo fractura de dedo meñique mano izquierda"/>
        <s v="Traumatismo por aplastamiento en la pierna."/>
        <s v="Herida en mano"/>
        <s v="Contusión de rodilla"/>
        <s v="Atrapamiento  de dedo pie con stoca manual "/>
        <s v="Esguince y torcedura del tobillo izquierdo"/>
        <s v="Inflamación de tendón pulgar mano derecha"/>
        <s v="Contusión de mano"/>
        <s v="Contacto eléctrico indirecto"/>
        <s v="Contusión en brazo"/>
        <s v="Contusión en pie"/>
        <s v="Hiperemia de conjuntiva ocular"/>
        <m/>
        <s v="Contusión de pierna"/>
        <s v="Quemadura de 2do grado"/>
        <s v="Contusión dedo medio Mano derecha"/>
        <s v="Golpe mano"/>
        <s v="Golpeado contra"/>
        <s v="Contusión en la rodilla"/>
        <s v="Contusión de dedo"/>
        <s v="Exposición a Productos Químicos"/>
        <s v="Contusión de pie"/>
        <s v="Contusión en dedos "/>
        <s v="Golpe de dedo izquierdo"/>
        <s v="Fractura oblicua"/>
        <s v="Esguince en rodilla izquierda"/>
        <s v="Quemadura química"/>
        <s v="Esguince en tobillo"/>
        <s v="Esguince en pie izquierdo"/>
        <s v="Corte/Herida en ceja"/>
        <s v="Contusión en dedo"/>
        <s v="Corte/Herida en dedo"/>
        <s v="Contusión en la cabeza "/>
        <s v="Atrapamiento y contusión en dedo de la mano"/>
        <s v="Corte en el dedo pulgar de la mano izquierda"/>
        <s v="Contusión en codo izquierdo"/>
        <s v="Contusión en la cabeza"/>
        <s v="Irritación ocular"/>
        <s v="Quemadura de segundo grado en pierna izquierda"/>
        <s v="Golpe de mano"/>
        <s v="Golpe lateral contra superficie"/>
        <s v="Fractura Tibia - pie derecho"/>
        <s v="Torcedura de pie"/>
        <s v="Herida en dedo"/>
        <s v="Amputación parcial dedo"/>
        <s v="Herida en cabeza"/>
        <s v="Esguinde de mano"/>
        <s v="Cuerpo extraño en vista"/>
        <s v="_x000a_Golpe de mano contra"/>
        <s v="Golpe en cabeza y rodilla por caída en senda"/>
        <s v="Herida cortante en antebrazo derecho"/>
        <s v="atrapamiento dedos mano derecha"/>
        <s v="Contusión en espalda por caída al mismo nivel"/>
        <s v="Corte dedo medio "/>
        <s v="Contusión en el lado derecho del tórax"/>
        <s v="Contusión en la mano derecha por golpe"/>
        <s v="Esguince de tobillo"/>
        <s v="Distensión (estiramiento) del quinto dedo de la mano derecha"/>
        <s v="Irritación ocular / ardor ocular."/>
        <s v=" corte/laceración "/>
        <s v="Contusión / aplastamiento del primer dedo de la mano derecha."/>
        <s v="Corte (laceración) en dedo de la mano."/>
        <s v="Esguince de tobillo derecho."/>
        <s v="Contusión en la espalda."/>
        <s v="Contusión en pierna derecha"/>
      </sharedItems>
    </cacheField>
    <cacheField name="DÍAS REGISTRABLES" numFmtId="0">
      <sharedItems containsSemiMixedTypes="0" containsString="0" containsNumber="1" containsInteger="1" minValue="1" maxValue="1140"/>
    </cacheField>
    <cacheField name="FUENTE DE PELIGRO" numFmtId="0">
      <sharedItems containsBlank="1" count="92">
        <s v="Máquina en movimiento"/>
        <s v="Equipo logístico "/>
        <s v="Herramienta"/>
        <s v="Equipo extintor"/>
        <s v="Piso resbaloso"/>
        <s v="Escalera de acceso"/>
        <s v="Contacto con producto químico"/>
        <s v="Paleta "/>
        <s v="Máquina codificadora"/>
        <s v="Transportador en movimiento"/>
        <s v="Borde filoso"/>
        <s v="Jaula metálica"/>
        <s v="Domo de envase"/>
        <s v="Tapa de banco de cilindro"/>
        <s v="Camión"/>
        <s v="Esclusa"/>
        <s v="Golpe con puerta "/>
        <s v="Carga manual"/>
        <s v="Partículas metálicas"/>
        <s v="Eje portabobina "/>
        <s v="Tubería presurizada"/>
        <s v="Escalera (zona de juegos)"/>
        <s v="Carrusel de envasado"/>
        <s v="Artesa de mezcladora"/>
        <m/>
        <s v="Alambre metálico"/>
        <s v="Buzón abierto "/>
        <s v="Mezcladora"/>
        <s v="Equipo en movimiento"/>
        <s v="Grasa caliente"/>
        <s v="Partícula en ambiente"/>
        <s v="Proyección de partícula"/>
        <s v="Tope de camión"/>
        <s v="Cutter"/>
        <s v="Selector de botonera"/>
        <s v="Pallet con carga"/>
        <s v="Orificio en el piso"/>
        <s v="Sacos de harina"/>
        <s v="Perno metálico"/>
        <s v="Cordón eléctrico"/>
        <s v="Envase con aerosol"/>
        <s v="Transpaleta manual"/>
        <s v="Escalera"/>
        <s v="Amoniaco"/>
        <s v="Máquina cocedora"/>
        <s v="Maquina cosedora"/>
        <s v="Caja reculadora de sombrilla"/>
        <s v="Escalera "/>
        <s v="coche"/>
        <s v="Sustancia quimica"/>
        <s v="Piso mojado"/>
        <s v="Rueda de zaranda"/>
        <s v="MAGAZIN D2"/>
        <s v="REPOSAPIES GIRATORIO DE LA SILLA"/>
        <s v="Desnivel en piso"/>
        <s v="Escalero de acceso"/>
        <s v="Mango extensor de escoba"/>
        <s v="Rollo de molino"/>
        <s v="Cuchilla"/>
        <s v="Puerta de ingreso elevable"/>
        <s v="Bobina de laminado de aproximadamente 70 kg"/>
        <s v="Cuchillo de cocina"/>
        <s v="Estructura metálica del coche de abastecimiento"/>
        <s v="Estructura metálica del brazo vibratorio"/>
        <s v="Ventilador en funcionamiento con acumulación de polvillo"/>
        <s v="Energía no controlada (aire y vapor)"/>
        <s v=" Superficie lisa de la línea 2"/>
        <s v="Escalera fija con abertura en la protección lateral "/>
        <s v="Rejilla de inspección "/>
        <s v="Máquina empacadora"/>
        <s v="Tecle de izaje"/>
        <s v="Bandeja galleta"/>
        <s v=" Puerta y pared del área de vestuario."/>
        <s v="Sendero peatonal con desnivel."/>
        <s v="Puerta de emergencia con barra antipánico."/>
        <s v="Rumas de paletas vacías y mango del equipo de traslado."/>
        <s v="Faja transportadora, saco de producto y baranda guía."/>
        <s v="Cuchillo (hoja filosa)."/>
        <s v="Escaleras (gradas) y pasamanos."/>
        <s v="Coches de abastecimiento."/>
        <s v="Acera con desnivel"/>
        <s v="Asa de bandeja de galletas."/>
        <s v="Residuos sólidos peligrosos contaminados "/>
        <s v="Sustancia química de desinsectación "/>
        <s v="Varilla caída desde segundo nivel."/>
        <s v=" Puerta corrediza manual "/>
        <s v="Ventilador con guarda/rejilla deformada"/>
        <s v="Plataforma de trabajo (borde de la plataforma)"/>
        <s v="Riel desprendido de la estructura"/>
        <s v="Balde con contenido almacenado en altura"/>
        <s v="Puerta" u="1"/>
        <s v="Escalera de horno" u="1"/>
      </sharedItems>
    </cacheField>
    <cacheField name="CAUSA BASICA (SEGÚN SCAT)" numFmtId="0">
      <sharedItems containsBlank="1"/>
    </cacheField>
    <cacheField name="CAUSA PRINCIPAL " numFmtId="0">
      <sharedItems containsBlank="1" count="36">
        <s v="Mal juicio / Exceso de confianza"/>
        <s v="Uso inadecuado de herramienta/equipo"/>
        <s v="Transito por zona no autorizada"/>
        <s v="Piso resbaloso"/>
        <s v="Acceso inadecuado"/>
        <s v="Restringir ingreso a zona de trabajo "/>
        <s v="Máquina en movimiento "/>
        <s v="Almacenamiento incorecto"/>
        <s v="Falta de drenaje"/>
        <s v="Falta de mantenimiento o desgaste"/>
        <s v="Proceso"/>
        <s v="Selección incorrecta"/>
        <s v="Hacer caso omiso "/>
        <s v="Pallet en mal estado "/>
        <s v="Energía acumulada"/>
        <s v="Fuga fosfina"/>
        <s v="Diseño inadecuado"/>
        <s v="Evaluación inadecuada del riesgo"/>
        <s v="Motivación inadecuada / Intento inapropiado de ahorrar tiempo y esfuerzo"/>
        <m/>
        <s v="Vidrio de puerta"/>
        <s v="Ingeniería inadecuada"/>
        <s v="Motivación inadecuada /Falta de concentración y ojos no en la tarea"/>
        <s v="Mala técnica de ejecución"/>
        <s v="Falta de estándar"/>
        <s v="Falta de entrenamiento "/>
        <s v="Intento incorrecto de ahorrar tiempo o esfuerzo"/>
        <s v="Limpieza o recubrimiento de superficie inadecuado"/>
        <s v="Estándares, especificaciones y/o criterios de diseño inadecuados "/>
        <s v="Comunicación inadecuada de estándares para entrenamiento"/>
        <s v="Falta de entrenamiento"/>
        <s v="Contusión en la pierna" u="1"/>
        <s v="Quemadura de 2° grado" u="1"/>
        <s v="Contusión dedo medio, mano derecha" u="1"/>
        <s v="Golpe en la mano" u="1"/>
        <s v="Sobrecraga laboral" u="1"/>
      </sharedItems>
    </cacheField>
    <cacheField name="CAUSA INMEDIATA" numFmtId="0">
      <sharedItems containsBlank="1"/>
    </cacheField>
    <cacheField name="TRIMESTRE" numFmtId="0">
      <sharedItems/>
    </cacheField>
    <cacheField name="DIAS SEGUROS" numFmtId="1">
      <sharedItems containsNonDate="0" containsString="0" containsBlank="1"/>
    </cacheField>
    <cacheField name="Meses (FECHA)" numFmtId="0" databaseField="0">
      <fieldGroup base="7">
        <rangePr groupBy="months" startDate="2025-01-08T00:00:00" endDate="2026-07-17T00:00:00"/>
        <groupItems count="14">
          <s v="&lt;08/01/2025"/>
          <s v="Ene"/>
          <s v="Feb"/>
          <s v="Mar"/>
          <s v="Abr"/>
          <s v="May"/>
          <s v="Jun"/>
          <s v="Jul"/>
          <s v="Ago"/>
          <s v="Set"/>
          <s v="Oct"/>
          <s v="Nov"/>
          <s v="Dic"/>
          <s v="&gt;17/07/2026"/>
        </groupItems>
      </fieldGroup>
    </cacheField>
    <cacheField name="Trimestres (FECHA)" numFmtId="0" databaseField="0">
      <fieldGroup base="7">
        <rangePr groupBy="quarters" startDate="2025-01-08T00:00:00" endDate="2026-07-17T00:00:00"/>
        <groupItems count="6">
          <s v="&lt;08/01/2025"/>
          <s v="Trim.1"/>
          <s v="Trim.2"/>
          <s v="Trim.3"/>
          <s v="Trim.4"/>
          <s v="&gt;17/07/2026"/>
        </groupItems>
      </fieldGroup>
    </cacheField>
    <cacheField name="Años (FECHA)" numFmtId="0" databaseField="0">
      <fieldGroup base="7">
        <rangePr groupBy="years" startDate="2025-01-08T00:00:00" endDate="2026-07-17T00:00:00"/>
        <groupItems count="4">
          <s v="&lt;08/01/2025"/>
          <s v="2025"/>
          <s v="2026"/>
          <s v="&gt;17/07/2026"/>
        </groupItems>
      </fieldGroup>
    </cacheField>
  </cacheFields>
  <extLst>
    <ext xmlns:x14="http://schemas.microsoft.com/office/spreadsheetml/2009/9/main" uri="{725AE2AE-9491-48be-B2B4-4EB974FC3084}">
      <x14:pivotCacheDefinition pivotCacheId="5773790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hian Javier Reyes Aliaga" refreshedDate="46237.496437499998" createdVersion="8" refreshedVersion="8" minRefreshableVersion="3" recordCount="153" xr:uid="{EFAE99B1-2B26-4589-8EF5-6CC5DBBDD7F4}">
  <cacheSource type="worksheet">
    <worksheetSource ref="B2:AE1048576" sheet="2° Accidentes"/>
  </cacheSource>
  <cacheFields count="30">
    <cacheField name="N° de ROM" numFmtId="0">
      <sharedItems containsBlank="1"/>
    </cacheField>
    <cacheField name="SOCIEDAD2" numFmtId="0">
      <sharedItems containsBlank="1"/>
    </cacheField>
    <cacheField name="VP" numFmtId="0">
      <sharedItems containsBlank="1"/>
    </cacheField>
    <cacheField name="DIRECCIÓN" numFmtId="0">
      <sharedItems containsBlank="1"/>
    </cacheField>
    <cacheField name="CATEGORÍA" numFmtId="0">
      <sharedItems containsBlank="1"/>
    </cacheField>
    <cacheField name="PLANTA DE OCURRENCIA" numFmtId="0">
      <sharedItems containsBlank="1" count="43">
        <s v="Fideería Lima"/>
        <s v="CD1-2"/>
        <s v="SSOMA"/>
        <s v="GALLETERÍA E INSTANTANEOS"/>
        <s v="CHORRILLOS"/>
        <s v="COPSA"/>
        <s v="LURIN 2"/>
        <s v="LURÍN 4"/>
        <s v="CD HUACHIPA"/>
        <s v="MCA"/>
        <s v="Acopio"/>
        <s v="CD SUCRE"/>
        <s v="LURIN 1"/>
        <s v="Cajamarquilla"/>
        <s v="LURÍN 5"/>
        <s v="PANETONES"/>
        <s v="PLANEAMIENTO"/>
        <s v="ÑAÑA"/>
        <s v="EDIFICIO MIRAFLORES"/>
        <s v="MOLINO AREQUIPA"/>
        <s v="SIDSUR"/>
        <s v="Latam 600"/>
        <s v="Cochabamba"/>
        <s v="LURÍN 2"/>
        <s v="APT MCA"/>
        <s v="MOLINO FAUCETT"/>
        <s v="APT FARINACEOS"/>
        <s v="CDC"/>
        <s v="REFINERIA PALMAWASI"/>
        <s v="MARGARINAS &amp; MANTECAS"/>
        <s v="GLOBAL"/>
        <s v="PREDIO CENTRAL"/>
        <s v="Calacalí"/>
        <s v="DETERGENTE CALLAO"/>
        <s v="CENTRO DE DISTRIBUCION HUACHIPA"/>
        <s v="LURIN CD1"/>
        <s v="Laboratorio I+D"/>
        <s v="MOLINO PAITA"/>
        <s v="MOLINO CALLAO"/>
        <s v="FIDERÍA "/>
        <s v="Lurín 3"/>
        <s v="Santa Cruz"/>
        <m/>
      </sharedItems>
    </cacheField>
    <cacheField name="PLANTA SIGMA" numFmtId="0">
      <sharedItems containsBlank="1"/>
    </cacheField>
    <cacheField name="FECHA" numFmtId="0">
      <sharedItems containsNonDate="0" containsDate="1" containsString="0" containsBlank="1" minDate="2025-01-08T00:00:00" maxDate="2026-07-23T00:00:00" count="123">
        <d v="2025-01-08T00:00:00"/>
        <d v="2025-01-10T00:00:00"/>
        <d v="2025-01-11T00:00:00"/>
        <d v="2025-01-21T00:00:00"/>
        <d v="2025-01-25T00:00:00"/>
        <d v="2025-01-30T00:00:00"/>
        <d v="2025-02-01T00:00:00"/>
        <d v="2025-02-04T00:00:00"/>
        <d v="2025-02-06T00:00:00"/>
        <d v="2025-02-11T00:00:00"/>
        <d v="2025-02-13T00:00:00"/>
        <d v="2025-02-15T00:00:00"/>
        <d v="2025-02-20T00:00:00"/>
        <d v="2025-02-28T00:00:00"/>
        <d v="2025-03-05T00:00:00"/>
        <d v="2025-03-13T00:00:00"/>
        <d v="2025-03-20T00:00:00"/>
        <d v="2025-03-21T00:00:00"/>
        <d v="2025-03-27T00:00:00"/>
        <d v="2025-04-04T00:00:00"/>
        <d v="2025-04-07T00:00:00"/>
        <d v="2025-04-09T00:00:00"/>
        <d v="2025-04-17T00:00:00"/>
        <d v="2025-05-06T00:00:00"/>
        <d v="2025-05-07T00:00:00"/>
        <d v="2025-05-08T00:00:00"/>
        <d v="2025-05-09T00:00:00"/>
        <d v="2025-05-15T00:00:00"/>
        <d v="2025-05-17T00:00:00"/>
        <d v="2025-05-19T00:00:00"/>
        <d v="2025-05-27T00:00:00"/>
        <d v="2025-06-07T00:00:00"/>
        <d v="2025-06-09T00:00:00"/>
        <d v="2025-06-10T00:00:00"/>
        <d v="2025-06-16T00:00:00"/>
        <d v="2025-06-24T00:00:00"/>
        <d v="2025-06-28T00:00:00"/>
        <d v="2025-06-30T00:00:00"/>
        <d v="2025-07-05T00:00:00"/>
        <d v="2025-07-17T00:00:00"/>
        <d v="2025-07-21T00:00:00"/>
        <d v="2025-08-05T00:00:00"/>
        <d v="2025-08-09T00:00:00"/>
        <d v="2025-08-12T00:00:00"/>
        <d v="2025-08-27T00:00:00"/>
        <d v="2025-09-02T00:00:00"/>
        <d v="2025-09-22T00:00:00"/>
        <d v="2025-09-25T00:00:00"/>
        <d v="2025-09-30T00:00:00"/>
        <d v="2025-10-06T00:00:00"/>
        <d v="2025-10-10T00:00:00"/>
        <d v="2025-10-11T00:00:00"/>
        <d v="2025-10-13T00:00:00"/>
        <d v="2025-10-16T00:00:00"/>
        <d v="2025-10-20T00:00:00"/>
        <d v="2025-10-22T00:00:00"/>
        <d v="2025-10-27T00:00:00"/>
        <d v="2025-10-29T00:00:00"/>
        <d v="2025-10-31T00:00:00"/>
        <d v="2025-11-08T00:00:00"/>
        <d v="2025-11-18T00:00:00"/>
        <d v="2025-11-27T00:00:00"/>
        <d v="2025-12-02T00:00:00"/>
        <d v="2025-12-10T00:00:00"/>
        <d v="2025-12-11T00:00:00"/>
        <d v="2026-01-07T00:00:00"/>
        <d v="2026-01-16T00:00:00"/>
        <d v="2026-01-23T00:00:00"/>
        <d v="2026-01-26T00:00:00"/>
        <d v="2026-01-28T00:00:00"/>
        <d v="2026-02-02T00:00:00"/>
        <d v="2026-02-04T00:00:00"/>
        <d v="2026-02-07T00:00:00"/>
        <d v="2026-02-10T00:00:00"/>
        <d v="2026-02-16T00:00:00"/>
        <d v="2026-02-23T00:00:00"/>
        <d v="2026-02-27T00:00:00"/>
        <d v="2026-02-28T00:00:00"/>
        <d v="2026-03-05T00:00:00"/>
        <d v="2026-03-13T00:00:00"/>
        <d v="2026-03-15T00:00:00"/>
        <d v="2026-03-16T00:00:00"/>
        <d v="2026-03-23T00:00:00"/>
        <d v="2026-03-24T00:00:00"/>
        <d v="2026-04-03T00:00:00"/>
        <d v="2026-04-11T00:00:00"/>
        <d v="2026-04-14T00:00:00"/>
        <d v="2026-04-15T00:00:00"/>
        <d v="2026-04-16T00:00:00"/>
        <d v="2026-04-24T00:00:00"/>
        <d v="2026-04-26T00:00:00"/>
        <d v="2026-04-28T00:00:00"/>
        <d v="2026-04-29T00:00:00"/>
        <d v="2026-05-06T00:00:00"/>
        <d v="2026-05-08T00:00:00"/>
        <d v="2026-05-09T00:00:00"/>
        <d v="2026-05-12T00:00:00"/>
        <d v="2026-05-15T00:00:00"/>
        <d v="2026-05-18T00:00:00"/>
        <d v="2026-05-19T00:00:00"/>
        <d v="2026-05-20T00:00:00"/>
        <d v="2026-05-21T00:00:00"/>
        <d v="2026-05-22T00:00:00"/>
        <d v="2026-06-07T00:00:00"/>
        <d v="2026-06-12T00:00:00"/>
        <d v="2026-06-16T00:00:00"/>
        <d v="2026-06-18T00:00:00"/>
        <d v="2026-06-24T00:00:00"/>
        <d v="2026-06-19T00:00:00"/>
        <d v="2026-06-29T00:00:00"/>
        <d v="2026-06-26T00:00:00"/>
        <d v="2026-06-30T00:00:00"/>
        <d v="2026-07-03T00:00:00"/>
        <d v="2026-07-06T00:00:00"/>
        <d v="2026-07-07T00:00:00"/>
        <d v="2026-07-08T00:00:00"/>
        <d v="2026-07-15T00:00:00"/>
        <d v="2026-07-16T00:00:00"/>
        <d v="2026-07-10T00:00:00"/>
        <d v="2026-07-20T00:00:00"/>
        <d v="2026-07-21T00:00:00"/>
        <d v="2026-07-22T00:00:00"/>
        <m/>
      </sharedItems>
    </cacheField>
    <cacheField name="HORA DE OCURRENCIA" numFmtId="0">
      <sharedItems containsNonDate="0" containsDate="1" containsString="0" containsBlank="1" minDate="1899-12-30T01:30:00" maxDate="1899-12-30T22:50:00"/>
    </cacheField>
    <cacheField name="TURNO" numFmtId="0">
      <sharedItems containsBlank="1"/>
    </cacheField>
    <cacheField name="DIA DE SEMANA" numFmtId="0">
      <sharedItems containsBlank="1"/>
    </cacheField>
    <cacheField name="APELLIDOS DEL ACCIENTADO" numFmtId="0">
      <sharedItems containsBlank="1"/>
    </cacheField>
    <cacheField name="NOMBRE DEL ACCIDENTADO" numFmtId="0">
      <sharedItems containsBlank="1"/>
    </cacheField>
    <cacheField name="DNI" numFmtId="0">
      <sharedItems containsBlank="1" containsMixedTypes="1" containsNumber="1" containsInteger="1" minValue="2795389" maxValue="1726238338"/>
    </cacheField>
    <cacheField name="EDAD DEL ACCIDENTADO" numFmtId="0">
      <sharedItems containsString="0" containsBlank="1" containsNumber="1" containsInteger="1" minValue="19" maxValue="61"/>
    </cacheField>
    <cacheField name="TIEMPO EN LA EMPRESA (meses)" numFmtId="0">
      <sharedItems containsString="0" containsBlank="1" containsNumber="1" minValue="1" maxValue="456"/>
    </cacheField>
    <cacheField name="TIEMPO EN LA EMPRESA (años)" numFmtId="0">
      <sharedItems containsString="0" containsBlank="1" containsNumber="1" minValue="0" maxValue="38"/>
    </cacheField>
    <cacheField name="CANTIDAD DE HORAS TRABAJADAS EN EL TURNO" numFmtId="0">
      <sharedItems containsString="0" containsBlank="1" containsNumber="1" containsInteger="1" minValue="2" maxValue="6"/>
    </cacheField>
    <cacheField name="ÁREA DEL ACCIDENTADO" numFmtId="0">
      <sharedItems containsBlank="1"/>
    </cacheField>
    <cacheField name="EMPRESA" numFmtId="0">
      <sharedItems containsBlank="1"/>
    </cacheField>
    <cacheField name="Tipo de Trabajador" numFmtId="0">
      <sharedItems containsBlank="1"/>
    </cacheField>
    <cacheField name="DESCRIPCIÓN" numFmtId="0">
      <sharedItems containsBlank="1" longText="1"/>
    </cacheField>
    <cacheField name="LESIÓN" numFmtId="0">
      <sharedItems containsBlank="1"/>
    </cacheField>
    <cacheField name="DÍAS REGISTRABLES" numFmtId="0">
      <sharedItems containsString="0" containsBlank="1" containsNumber="1" containsInteger="1" minValue="1" maxValue="1140"/>
    </cacheField>
    <cacheField name="FUENTE DE PELIGRO" numFmtId="0">
      <sharedItems containsBlank="1"/>
    </cacheField>
    <cacheField name="CAUSA BASICA (SEGÚN SCAT)" numFmtId="0">
      <sharedItems containsBlank="1"/>
    </cacheField>
    <cacheField name="CAUSA PRINCIPAL " numFmtId="0">
      <sharedItems containsBlank="1"/>
    </cacheField>
    <cacheField name="CAUSA INMEDIATA" numFmtId="0">
      <sharedItems containsBlank="1"/>
    </cacheField>
    <cacheField name="TRIMESTRE" numFmtId="0">
      <sharedItems containsBlank="1"/>
    </cacheField>
    <cacheField name="DIAS SEGUROS" numFmtId="0">
      <sharedItems containsNonDate="0" containsString="0" containsBlank="1"/>
    </cacheField>
  </cacheFields>
  <extLst>
    <ext xmlns:x14="http://schemas.microsoft.com/office/spreadsheetml/2009/9/main" uri="{725AE2AE-9491-48be-B2B4-4EB974FC3084}">
      <x14:pivotCacheDefinition pivotCacheId="18437227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x v="0"/>
    <x v="0"/>
    <x v="0"/>
    <x v="0"/>
    <x v="0"/>
    <s v="Daño a las instalaciones"/>
    <s v="Equipo logístico"/>
  </r>
  <r>
    <x v="1"/>
    <x v="1"/>
    <x v="0"/>
    <x v="1"/>
    <x v="1"/>
    <s v="Daño a las instalaciones"/>
    <s v="Equipo logístico"/>
  </r>
  <r>
    <x v="2"/>
    <x v="2"/>
    <x v="0"/>
    <x v="2"/>
    <x v="2"/>
    <s v="Lesiones o fatalidad"/>
    <s v="Equipo de molinería"/>
  </r>
  <r>
    <x v="3"/>
    <x v="3"/>
    <x v="1"/>
    <x v="3"/>
    <x v="3"/>
    <s v="Intoxicación"/>
    <s v="Sustancia química "/>
  </r>
  <r>
    <x v="4"/>
    <x v="4"/>
    <x v="0"/>
    <x v="4"/>
    <x v="4"/>
    <s v="Lesiones  "/>
    <s v="Tubería de servicios"/>
  </r>
  <r>
    <x v="5"/>
    <x v="5"/>
    <x v="0"/>
    <x v="5"/>
    <x v="5"/>
    <s v="Incendio"/>
    <s v="Fuego"/>
  </r>
  <r>
    <x v="6"/>
    <x v="6"/>
    <x v="0"/>
    <x v="0"/>
    <x v="6"/>
    <s v="Daño de malla de protección"/>
    <s v="Equipo logístico"/>
  </r>
  <r>
    <x v="7"/>
    <x v="7"/>
    <x v="0"/>
    <x v="0"/>
    <x v="7"/>
    <s v="Daño de marco de puerta"/>
    <s v="Equipo logístico"/>
  </r>
  <r>
    <x v="8"/>
    <x v="8"/>
    <x v="0"/>
    <x v="6"/>
    <x v="8"/>
    <s v="Potencial daño material o personal"/>
    <s v="Equipo logístico"/>
  </r>
  <r>
    <x v="9"/>
    <x v="9"/>
    <x v="2"/>
    <x v="7"/>
    <x v="9"/>
    <s v="Explosión de balón de gas"/>
    <s v="Balon de GLP"/>
  </r>
  <r>
    <x v="10"/>
    <x v="10"/>
    <x v="0"/>
    <x v="7"/>
    <x v="10"/>
    <s v="Potencial incendio "/>
    <s v="Fuego"/>
  </r>
  <r>
    <x v="4"/>
    <x v="11"/>
    <x v="0"/>
    <x v="0"/>
    <x v="11"/>
    <s v="Daño paleta de aceite"/>
    <s v="Equipo logístico"/>
  </r>
  <r>
    <x v="11"/>
    <x v="11"/>
    <x v="0"/>
    <x v="7"/>
    <x v="12"/>
    <s v="Potencial incendio "/>
    <s v="Fuego"/>
  </r>
  <r>
    <x v="12"/>
    <x v="12"/>
    <x v="0"/>
    <x v="0"/>
    <x v="13"/>
    <s v="Daño paleta de insumo líquido"/>
    <s v="Equipo logístico"/>
  </r>
  <r>
    <x v="3"/>
    <x v="13"/>
    <x v="1"/>
    <x v="7"/>
    <x v="14"/>
    <s v="Intoxicación"/>
    <s v="Sustancia química "/>
  </r>
  <r>
    <x v="7"/>
    <x v="14"/>
    <x v="0"/>
    <x v="0"/>
    <x v="15"/>
    <s v="Daño al camión"/>
    <s v="Equipo logístico"/>
  </r>
  <r>
    <x v="13"/>
    <x v="15"/>
    <x v="3"/>
    <x v="0"/>
    <x v="16"/>
    <s v="Daño a las instalaciones"/>
    <s v="Equipo logístico"/>
  </r>
  <r>
    <x v="14"/>
    <x v="16"/>
    <x v="0"/>
    <x v="7"/>
    <x v="17"/>
    <s v="Lesiones"/>
    <s v="Precinto de camión"/>
  </r>
  <r>
    <x v="15"/>
    <x v="17"/>
    <x v="0"/>
    <x v="0"/>
    <x v="18"/>
    <s v="Daño a las instalaciones"/>
    <s v="Equipo logístico"/>
  </r>
  <r>
    <x v="15"/>
    <x v="18"/>
    <x v="0"/>
    <x v="0"/>
    <x v="19"/>
    <s v="Daño a equipo logístico"/>
    <s v="Equipo logístico"/>
  </r>
  <r>
    <x v="16"/>
    <x v="19"/>
    <x v="0"/>
    <x v="6"/>
    <x v="20"/>
    <s v="Lesiones "/>
    <s v="Equipo logístico"/>
  </r>
  <r>
    <x v="17"/>
    <x v="20"/>
    <x v="1"/>
    <x v="7"/>
    <x v="21"/>
    <s v="Lesiones o fatalidad"/>
    <s v="Vehículo de carga"/>
  </r>
  <r>
    <x v="11"/>
    <x v="21"/>
    <x v="0"/>
    <x v="7"/>
    <x v="22"/>
    <s v="Lesiones "/>
    <s v="Equipo manufacura"/>
  </r>
  <r>
    <x v="11"/>
    <x v="22"/>
    <x v="0"/>
    <x v="7"/>
    <x v="23"/>
    <s v="Lesiones "/>
    <s v="Equipo manufacura"/>
  </r>
  <r>
    <x v="18"/>
    <x v="23"/>
    <x v="0"/>
    <x v="0"/>
    <x v="24"/>
    <s v="Daño a producto terminado"/>
    <s v="Equipo logístico"/>
  </r>
  <r>
    <x v="19"/>
    <x v="24"/>
    <x v="0"/>
    <x v="6"/>
    <x v="25"/>
    <s v="Daño a las instalaciones"/>
    <s v="Equipo logístico"/>
  </r>
  <r>
    <x v="20"/>
    <x v="24"/>
    <x v="0"/>
    <x v="7"/>
    <x v="26"/>
    <s v="Potencial incendio "/>
    <s v="Instalaciones eléctricas"/>
  </r>
  <r>
    <x v="20"/>
    <x v="25"/>
    <x v="0"/>
    <x v="7"/>
    <x v="27"/>
    <s v="Potencial daño material o personal"/>
    <s v="Techo de instalación"/>
  </r>
  <r>
    <x v="9"/>
    <x v="26"/>
    <x v="0"/>
    <x v="8"/>
    <x v="28"/>
    <s v="Potencial daño material o personal"/>
    <s v="Mercadería almacenada"/>
  </r>
  <r>
    <x v="17"/>
    <x v="26"/>
    <x v="1"/>
    <x v="9"/>
    <x v="29"/>
    <s v="Intoxicación"/>
    <s v="Sustancia química "/>
  </r>
  <r>
    <x v="21"/>
    <x v="27"/>
    <x v="3"/>
    <x v="0"/>
    <x v="30"/>
    <s v="Daño a las instalaciones"/>
    <s v="Equipo logístico"/>
  </r>
  <r>
    <x v="22"/>
    <x v="28"/>
    <x v="0"/>
    <x v="10"/>
    <x v="31"/>
    <s v="Potencial daño al medio ambiente y personales"/>
    <s v="Sustancia química "/>
  </r>
  <r>
    <x v="11"/>
    <x v="29"/>
    <x v="0"/>
    <x v="7"/>
    <x v="32"/>
    <s v="Potencial daño material o personal"/>
    <s v="Parte de equipo"/>
  </r>
  <r>
    <x v="23"/>
    <x v="30"/>
    <x v="0"/>
    <x v="6"/>
    <x v="33"/>
    <s v="Potencial daño material o personal"/>
    <s v="Sustancia química "/>
  </r>
  <r>
    <x v="24"/>
    <x v="30"/>
    <x v="1"/>
    <x v="0"/>
    <x v="34"/>
    <s v="Daño a las instalaciones"/>
    <s v="Equipo logístico"/>
  </r>
  <r>
    <x v="25"/>
    <x v="30"/>
    <x v="1"/>
    <x v="0"/>
    <x v="35"/>
    <s v="Daño a las instalaciones"/>
    <s v="Vehículo de carga"/>
  </r>
  <r>
    <x v="8"/>
    <x v="31"/>
    <x v="0"/>
    <x v="7"/>
    <x v="36"/>
    <s v="Explosión de balón de gas"/>
    <s v="Balon de GLP"/>
  </r>
  <r>
    <x v="4"/>
    <x v="32"/>
    <x v="0"/>
    <x v="7"/>
    <x v="37"/>
    <s v="Potencial daño material o personal"/>
    <s v="Vehículo de carga"/>
  </r>
  <r>
    <x v="26"/>
    <x v="33"/>
    <x v="0"/>
    <x v="7"/>
    <x v="38"/>
    <s v="Intoxicación"/>
    <s v="Sustancia química"/>
  </r>
  <r>
    <x v="27"/>
    <x v="34"/>
    <x v="0"/>
    <x v="7"/>
    <x v="39"/>
    <s v="Potencial daño material o personal"/>
    <s v="Equipo de manufactura"/>
  </r>
  <r>
    <x v="28"/>
    <x v="34"/>
    <x v="0"/>
    <x v="7"/>
    <x v="40"/>
    <s v="Intoxicación"/>
    <s v="Sustancia química"/>
  </r>
  <r>
    <x v="8"/>
    <x v="35"/>
    <x v="0"/>
    <x v="7"/>
    <x v="41"/>
    <s v="Potencial incendio "/>
    <s v="Vehículo de carga"/>
  </r>
  <r>
    <x v="29"/>
    <x v="36"/>
    <x v="4"/>
    <x v="0"/>
    <x v="42"/>
    <s v="Daño a las instalaciones"/>
    <s v="Andamio"/>
  </r>
  <r>
    <x v="22"/>
    <x v="36"/>
    <x v="0"/>
    <x v="11"/>
    <x v="43"/>
    <s v="Potencial daño material o personal"/>
    <s v="Vehículo de carga"/>
  </r>
  <r>
    <x v="23"/>
    <x v="37"/>
    <x v="0"/>
    <x v="0"/>
    <x v="44"/>
    <s v="Daño a las instalaciones"/>
    <s v="Equipo de manufactura"/>
  </r>
  <r>
    <x v="17"/>
    <x v="38"/>
    <x v="1"/>
    <x v="7"/>
    <x v="45"/>
    <s v="Potencial daño material o personal"/>
    <s v="Sustancia química"/>
  </r>
  <r>
    <x v="22"/>
    <x v="39"/>
    <x v="0"/>
    <x v="7"/>
    <x v="46"/>
    <s v="Daño a las instalaciones"/>
    <s v="Vehículo de carga"/>
  </r>
  <r>
    <x v="30"/>
    <x v="40"/>
    <x v="0"/>
    <x v="7"/>
    <x v="47"/>
    <s v="Potencial daño material o personal"/>
    <s v="Ventana de vidrio"/>
  </r>
  <r>
    <x v="31"/>
    <x v="40"/>
    <x v="1"/>
    <x v="7"/>
    <x v="48"/>
    <s v="Intoxicación"/>
    <s v="Sustancia química "/>
  </r>
  <r>
    <x v="32"/>
    <x v="41"/>
    <x v="0"/>
    <x v="7"/>
    <x v="49"/>
    <s v="Potencial daño material o personal"/>
    <s v="Ventana de vidrio"/>
  </r>
  <r>
    <x v="13"/>
    <x v="41"/>
    <x v="3"/>
    <x v="7"/>
    <x v="50"/>
    <s v="Intoxicación"/>
    <s v="Sustancia química "/>
  </r>
  <r>
    <x v="22"/>
    <x v="42"/>
    <x v="0"/>
    <x v="7"/>
    <x v="51"/>
    <s v="Potencial daño material o personal"/>
    <s v="Mercadería almacenada"/>
  </r>
  <r>
    <x v="29"/>
    <x v="43"/>
    <x v="4"/>
    <x v="7"/>
    <x v="52"/>
    <s v="Daño a las instalaciones"/>
    <s v="Vehículo de carga"/>
  </r>
  <r>
    <x v="33"/>
    <x v="43"/>
    <x v="0"/>
    <x v="7"/>
    <x v="53"/>
    <s v="Daño a las instalaciones"/>
    <s v="Vehículo de carga"/>
  </r>
  <r>
    <x v="34"/>
    <x v="43"/>
    <x v="1"/>
    <x v="7"/>
    <x v="54"/>
    <s v="Potencial daño material o personal"/>
    <s v="Puerta enrollable"/>
  </r>
  <r>
    <x v="31"/>
    <x v="44"/>
    <x v="1"/>
    <x v="7"/>
    <x v="55"/>
    <s v="Daño a las instalaciones"/>
    <s v="Vehículo de carga"/>
  </r>
  <r>
    <x v="27"/>
    <x v="44"/>
    <x v="0"/>
    <x v="7"/>
    <x v="56"/>
    <s v="Potencial incendio "/>
    <s v="Equipo de envasado"/>
  </r>
  <r>
    <x v="35"/>
    <x v="45"/>
    <x v="0"/>
    <x v="7"/>
    <x v="57"/>
    <s v="Potencial incendio "/>
    <s v="Equipo de laboratorio"/>
  </r>
  <r>
    <x v="36"/>
    <x v="46"/>
    <x v="0"/>
    <x v="7"/>
    <x v="58"/>
    <s v="Potencial daño material o personal"/>
    <s v="Equipo logístico"/>
  </r>
  <r>
    <x v="8"/>
    <x v="47"/>
    <x v="0"/>
    <x v="7"/>
    <x v="59"/>
    <s v="Explosión de balón de gas"/>
    <s v="Balon de GLP"/>
  </r>
  <r>
    <x v="37"/>
    <x v="48"/>
    <x v="1"/>
    <x v="7"/>
    <x v="60"/>
    <s v="Lesiones"/>
    <s v="Insumos en polvo"/>
  </r>
  <r>
    <x v="4"/>
    <x v="49"/>
    <x v="2"/>
    <x v="7"/>
    <x v="61"/>
    <s v="Lesiones"/>
    <s v="Taco de vehículo"/>
  </r>
  <r>
    <x v="38"/>
    <x v="50"/>
    <x v="2"/>
    <x v="7"/>
    <x v="62"/>
    <s v="Lesiones o fatalidad"/>
    <s v="Acto inseguro"/>
  </r>
  <r>
    <x v="11"/>
    <x v="51"/>
    <x v="0"/>
    <x v="7"/>
    <x v="63"/>
    <s v="Potencial daño material o personal"/>
    <s v="Equipo de manufactura"/>
  </r>
  <r>
    <x v="15"/>
    <x v="52"/>
    <x v="0"/>
    <x v="0"/>
    <x v="64"/>
    <s v="Daño a las instalaciones"/>
    <s v="Equipo logístico"/>
  </r>
  <r>
    <x v="29"/>
    <x v="53"/>
    <x v="4"/>
    <x v="7"/>
    <x v="65"/>
    <s v="Potencial daño material o personal"/>
    <s v="Vehículo de carga"/>
  </r>
  <r>
    <x v="37"/>
    <x v="54"/>
    <x v="1"/>
    <x v="7"/>
    <x v="66"/>
    <s v="Potencial daño material o personal"/>
    <s v="Mercadería almacenada"/>
  </r>
  <r>
    <x v="31"/>
    <x v="55"/>
    <x v="2"/>
    <x v="7"/>
    <x v="67"/>
    <s v="Potencial daño material o personal"/>
    <s v="Vehículo de carga"/>
  </r>
  <r>
    <x v="39"/>
    <x v="56"/>
    <x v="5"/>
    <x v="7"/>
    <x v="68"/>
    <s v="Lesiones incapacitantes"/>
    <s v="Equipo logístico"/>
  </r>
  <r>
    <x v="24"/>
    <x v="56"/>
    <x v="1"/>
    <x v="7"/>
    <x v="69"/>
    <s v="Derrame"/>
    <s v="Mezcla accidental de químicos"/>
  </r>
  <r>
    <x v="9"/>
    <x v="57"/>
    <x v="5"/>
    <x v="7"/>
    <x v="70"/>
    <s v="Lesiones o fatalidad"/>
    <s v="Equipo logístico"/>
  </r>
  <r>
    <x v="20"/>
    <x v="58"/>
    <x v="0"/>
    <x v="7"/>
    <x v="71"/>
    <s v="Lesiones incapacitantes"/>
    <s v="Silo de concreto"/>
  </r>
  <r>
    <x v="17"/>
    <x v="59"/>
    <x v="1"/>
    <x v="7"/>
    <x v="72"/>
    <s v="Intoxicación"/>
    <s v="Cloro"/>
  </r>
  <r>
    <x v="40"/>
    <x v="60"/>
    <x v="1"/>
    <x v="12"/>
    <x v="73"/>
    <s v="Derrame"/>
    <s v="Pasta neutralizada"/>
  </r>
  <r>
    <x v="20"/>
    <x v="61"/>
    <x v="0"/>
    <x v="7"/>
    <x v="74"/>
    <s v="Potecial incendio"/>
    <s v="Horno de galletas"/>
  </r>
  <r>
    <x v="26"/>
    <x v="61"/>
    <x v="0"/>
    <x v="7"/>
    <x v="75"/>
    <s v="Intoxicación"/>
    <s v="Equipo de cristalización"/>
  </r>
  <r>
    <x v="27"/>
    <x v="62"/>
    <x v="0"/>
    <x v="7"/>
    <x v="76"/>
    <s v="Explosión de balón de gas"/>
    <s v="Balon de GLP"/>
  </r>
  <r>
    <x v="4"/>
    <x v="63"/>
    <x v="0"/>
    <x v="7"/>
    <x v="77"/>
    <s v="Lesiones o fatalidad"/>
    <s v="Equipo logístico"/>
  </r>
  <r>
    <x v="22"/>
    <x v="64"/>
    <x v="6"/>
    <x v="7"/>
    <x v="78"/>
    <s v="Atropello"/>
    <s v="Auto de transporte"/>
  </r>
  <r>
    <x v="4"/>
    <x v="65"/>
    <x v="0"/>
    <x v="7"/>
    <x v="79"/>
    <s v="Lesiones o fatalidad"/>
    <s v="Equipo logístico"/>
  </r>
  <r>
    <x v="41"/>
    <x v="65"/>
    <x v="0"/>
    <x v="7"/>
    <x v="80"/>
    <s v="Incendio"/>
    <s v="Aislamiento"/>
  </r>
  <r>
    <x v="42"/>
    <x v="66"/>
    <x v="0"/>
    <x v="7"/>
    <x v="81"/>
    <s v="Explosión de balón de gas"/>
    <s v="Balon de GLP"/>
  </r>
  <r>
    <x v="8"/>
    <x v="66"/>
    <x v="0"/>
    <x v="7"/>
    <x v="82"/>
    <s v="Lesiones o fatalidad"/>
    <s v="Equipo logístico"/>
  </r>
  <r>
    <x v="20"/>
    <x v="66"/>
    <x v="0"/>
    <x v="7"/>
    <x v="83"/>
    <s v="Incendio"/>
    <s v="Material combustible sólido "/>
  </r>
  <r>
    <x v="38"/>
    <x v="67"/>
    <x v="0"/>
    <x v="7"/>
    <x v="84"/>
    <s v="Lesiones o fatalidad"/>
    <s v="Equipo logístico"/>
  </r>
  <r>
    <x v="43"/>
    <x v="68"/>
    <x v="0"/>
    <x v="7"/>
    <x v="85"/>
    <s v="Incendio"/>
    <s v="Material combustible sólido "/>
  </r>
  <r>
    <x v="9"/>
    <x v="69"/>
    <x v="0"/>
    <x v="7"/>
    <x v="86"/>
    <s v="Lesiones o fatalidad"/>
    <s v="Equipo logístico"/>
  </r>
  <r>
    <x v="22"/>
    <x v="70"/>
    <x v="7"/>
    <x v="13"/>
    <x v="87"/>
    <s v="Derrame de petroleo"/>
    <s v="Vehículo de carga"/>
  </r>
  <r>
    <x v="4"/>
    <x v="71"/>
    <x v="0"/>
    <x v="7"/>
    <x v="88"/>
    <s v="Lesiones o fatalidad"/>
    <s v="Equipo logístico"/>
  </r>
  <r>
    <x v="44"/>
    <x v="72"/>
    <x v="1"/>
    <x v="13"/>
    <x v="89"/>
    <s v="Fuga de hidrolina"/>
    <s v="Equipo logístico"/>
  </r>
  <r>
    <x v="11"/>
    <x v="73"/>
    <x v="0"/>
    <x v="0"/>
    <x v="90"/>
    <s v="Daño a puerta elevadiza"/>
    <s v="Equipo logístico"/>
  </r>
  <r>
    <x v="7"/>
    <x v="74"/>
    <x v="0"/>
    <x v="7"/>
    <x v="91"/>
    <s v="Lesiones o fatalidad"/>
    <s v="Equipo logístico"/>
  </r>
  <r>
    <x v="38"/>
    <x v="75"/>
    <x v="8"/>
    <x v="7"/>
    <x v="92"/>
    <s v="Atropello"/>
    <s v="Auto de transporte"/>
  </r>
  <r>
    <x v="40"/>
    <x v="76"/>
    <x v="1"/>
    <x v="7"/>
    <x v="93"/>
    <m/>
    <m/>
  </r>
  <r>
    <x v="9"/>
    <x v="77"/>
    <x v="9"/>
    <x v="7"/>
    <x v="94"/>
    <m/>
    <m/>
  </r>
  <r>
    <x v="11"/>
    <x v="78"/>
    <x v="0"/>
    <x v="0"/>
    <x v="95"/>
    <m/>
    <m/>
  </r>
  <r>
    <x v="8"/>
    <x v="79"/>
    <x v="10"/>
    <x v="0"/>
    <x v="96"/>
    <m/>
    <m/>
  </r>
  <r>
    <x v="45"/>
    <x v="80"/>
    <x v="11"/>
    <x v="6"/>
    <x v="97"/>
    <m/>
    <m/>
  </r>
  <r>
    <x v="11"/>
    <x v="81"/>
    <x v="0"/>
    <x v="7"/>
    <x v="98"/>
    <m/>
    <m/>
  </r>
  <r>
    <x v="46"/>
    <x v="82"/>
    <x v="12"/>
    <x v="0"/>
    <x v="99"/>
    <m/>
    <m/>
  </r>
  <r>
    <x v="11"/>
    <x v="83"/>
    <x v="0"/>
    <x v="6"/>
    <x v="100"/>
    <m/>
    <m/>
  </r>
  <r>
    <x v="11"/>
    <x v="84"/>
    <x v="0"/>
    <x v="6"/>
    <x v="101"/>
    <m/>
    <m/>
  </r>
  <r>
    <x v="13"/>
    <x v="85"/>
    <x v="0"/>
    <x v="6"/>
    <x v="102"/>
    <m/>
    <m/>
  </r>
  <r>
    <x v="31"/>
    <x v="86"/>
    <x v="13"/>
    <x v="6"/>
    <x v="103"/>
    <m/>
    <m/>
  </r>
  <r>
    <x v="15"/>
    <x v="86"/>
    <x v="14"/>
    <x v="6"/>
    <x v="104"/>
    <m/>
    <m/>
  </r>
  <r>
    <x v="47"/>
    <x v="87"/>
    <x v="9"/>
    <x v="7"/>
    <x v="105"/>
    <m/>
    <m/>
  </r>
  <r>
    <x v="4"/>
    <x v="88"/>
    <x v="15"/>
    <x v="7"/>
    <x v="106"/>
    <m/>
    <m/>
  </r>
  <r>
    <x v="48"/>
    <x v="89"/>
    <x v="15"/>
    <x v="7"/>
    <x v="107"/>
    <m/>
    <m/>
  </r>
  <r>
    <x v="47"/>
    <x v="90"/>
    <x v="9"/>
    <x v="7"/>
    <x v="108"/>
    <m/>
    <m/>
  </r>
  <r>
    <x v="49"/>
    <x v="90"/>
    <x v="15"/>
    <x v="7"/>
    <x v="109"/>
    <m/>
    <m/>
  </r>
  <r>
    <x v="15"/>
    <x v="91"/>
    <x v="15"/>
    <x v="7"/>
    <x v="110"/>
    <m/>
    <m/>
  </r>
  <r>
    <x v="49"/>
    <x v="91"/>
    <x v="15"/>
    <x v="7"/>
    <x v="111"/>
    <m/>
    <m/>
  </r>
  <r>
    <x v="27"/>
    <x v="92"/>
    <x v="9"/>
    <x v="7"/>
    <x v="112"/>
    <m/>
    <m/>
  </r>
  <r>
    <x v="50"/>
    <x v="93"/>
    <x v="16"/>
    <x v="7"/>
    <x v="113"/>
    <m/>
    <m/>
  </r>
  <r>
    <x v="51"/>
    <x v="93"/>
    <x v="17"/>
    <x v="7"/>
    <x v="114"/>
    <m/>
    <m/>
  </r>
  <r>
    <x v="52"/>
    <x v="93"/>
    <x v="1"/>
    <x v="7"/>
    <x v="115"/>
    <m/>
    <m/>
  </r>
  <r>
    <x v="53"/>
    <x v="93"/>
    <x v="15"/>
    <x v="7"/>
    <x v="116"/>
    <m/>
    <m/>
  </r>
  <r>
    <x v="45"/>
    <x v="94"/>
    <x v="15"/>
    <x v="7"/>
    <x v="117"/>
    <m/>
    <m/>
  </r>
  <r>
    <x v="45"/>
    <x v="95"/>
    <x v="15"/>
    <x v="6"/>
    <x v="118"/>
    <m/>
    <m/>
  </r>
  <r>
    <x v="54"/>
    <x v="96"/>
    <x v="15"/>
    <x v="7"/>
    <x v="119"/>
    <m/>
    <m/>
  </r>
  <r>
    <x v="45"/>
    <x v="97"/>
    <x v="15"/>
    <x v="6"/>
    <x v="120"/>
    <m/>
    <m/>
  </r>
  <r>
    <x v="21"/>
    <x v="97"/>
    <x v="3"/>
    <x v="6"/>
    <x v="121"/>
    <m/>
    <m/>
  </r>
  <r>
    <x v="11"/>
    <x v="98"/>
    <x v="0"/>
    <x v="6"/>
    <x v="122"/>
    <m/>
    <m/>
  </r>
  <r>
    <x v="45"/>
    <x v="98"/>
    <x v="15"/>
    <x v="6"/>
    <x v="123"/>
    <m/>
    <m/>
  </r>
  <r>
    <x v="45"/>
    <x v="99"/>
    <x v="15"/>
    <x v="7"/>
    <x v="124"/>
    <m/>
    <m/>
  </r>
  <r>
    <x v="20"/>
    <x v="100"/>
    <x v="18"/>
    <x v="6"/>
    <x v="125"/>
    <m/>
    <m/>
  </r>
  <r>
    <x v="55"/>
    <x v="101"/>
    <x v="15"/>
    <x v="7"/>
    <x v="126"/>
    <m/>
    <m/>
  </r>
  <r>
    <x v="23"/>
    <x v="102"/>
    <x v="15"/>
    <x v="6"/>
    <x v="127"/>
    <m/>
    <m/>
  </r>
  <r>
    <x v="56"/>
    <x v="103"/>
    <x v="1"/>
    <x v="7"/>
    <x v="128"/>
    <m/>
    <m/>
  </r>
  <r>
    <x v="45"/>
    <x v="103"/>
    <x v="15"/>
    <x v="6"/>
    <x v="129"/>
    <m/>
    <m/>
  </r>
  <r>
    <x v="45"/>
    <x v="94"/>
    <x v="15"/>
    <x v="7"/>
    <x v="130"/>
    <m/>
    <m/>
  </r>
  <r>
    <x v="57"/>
    <x v="103"/>
    <x v="4"/>
    <x v="6"/>
    <x v="131"/>
    <m/>
    <m/>
  </r>
  <r>
    <x v="45"/>
    <x v="104"/>
    <x v="15"/>
    <x v="6"/>
    <x v="132"/>
    <m/>
    <m/>
  </r>
  <r>
    <x v="52"/>
    <x v="103"/>
    <x v="1"/>
    <x v="6"/>
    <x v="133"/>
    <m/>
    <m/>
  </r>
  <r>
    <x v="52"/>
    <x v="104"/>
    <x v="1"/>
    <x v="6"/>
    <x v="134"/>
    <m/>
    <m/>
  </r>
  <r>
    <x v="45"/>
    <x v="104"/>
    <x v="15"/>
    <x v="6"/>
    <x v="135"/>
    <m/>
    <m/>
  </r>
  <r>
    <x v="45"/>
    <x v="105"/>
    <x v="15"/>
    <x v="6"/>
    <x v="136"/>
    <m/>
    <m/>
  </r>
  <r>
    <x v="58"/>
    <x v="106"/>
    <x v="1"/>
    <x v="7"/>
    <x v="137"/>
    <m/>
    <m/>
  </r>
  <r>
    <x v="52"/>
    <x v="105"/>
    <x v="1"/>
    <x v="6"/>
    <x v="138"/>
    <m/>
    <m/>
  </r>
  <r>
    <x v="11"/>
    <x v="107"/>
    <x v="0"/>
    <x v="6"/>
    <x v="139"/>
    <m/>
    <m/>
  </r>
  <r>
    <x v="11"/>
    <x v="107"/>
    <x v="0"/>
    <x v="6"/>
    <x v="140"/>
    <m/>
    <m/>
  </r>
  <r>
    <x v="59"/>
    <x v="105"/>
    <x v="1"/>
    <x v="6"/>
    <x v="141"/>
    <m/>
    <m/>
  </r>
  <r>
    <x v="60"/>
    <x v="107"/>
    <x v="0"/>
    <x v="6"/>
    <x v="142"/>
    <m/>
    <m/>
  </r>
  <r>
    <x v="30"/>
    <x v="107"/>
    <x v="15"/>
    <x v="6"/>
    <x v="143"/>
    <m/>
    <m/>
  </r>
  <r>
    <x v="45"/>
    <x v="108"/>
    <x v="15"/>
    <x v="6"/>
    <x v="144"/>
    <m/>
    <m/>
  </r>
  <r>
    <x v="61"/>
    <x v="109"/>
    <x v="15"/>
    <x v="6"/>
    <x v="145"/>
    <m/>
    <m/>
  </r>
  <r>
    <x v="62"/>
    <x v="108"/>
    <x v="1"/>
    <x v="14"/>
    <x v="146"/>
    <m/>
    <m/>
  </r>
  <r>
    <x v="63"/>
    <x v="110"/>
    <x v="1"/>
    <x v="14"/>
    <x v="147"/>
    <m/>
    <m/>
  </r>
  <r>
    <x v="45"/>
    <x v="111"/>
    <x v="15"/>
    <x v="6"/>
    <x v="148"/>
    <m/>
    <m/>
  </r>
  <r>
    <x v="45"/>
    <x v="109"/>
    <x v="15"/>
    <x v="6"/>
    <x v="149"/>
    <m/>
    <m/>
  </r>
  <r>
    <x v="64"/>
    <x v="111"/>
    <x v="15"/>
    <x v="7"/>
    <x v="150"/>
    <m/>
    <m/>
  </r>
  <r>
    <x v="36"/>
    <x v="112"/>
    <x v="19"/>
    <x v="6"/>
    <x v="151"/>
    <m/>
    <m/>
  </r>
  <r>
    <x v="4"/>
    <x v="113"/>
    <x v="15"/>
    <x v="7"/>
    <x v="152"/>
    <m/>
    <m/>
  </r>
  <r>
    <x v="11"/>
    <x v="113"/>
    <x v="0"/>
    <x v="6"/>
    <x v="153"/>
    <m/>
    <m/>
  </r>
  <r>
    <x v="11"/>
    <x v="113"/>
    <x v="0"/>
    <x v="6"/>
    <x v="154"/>
    <m/>
    <m/>
  </r>
  <r>
    <x v="11"/>
    <x v="113"/>
    <x v="15"/>
    <x v="6"/>
    <x v="155"/>
    <m/>
    <m/>
  </r>
  <r>
    <x v="22"/>
    <x v="112"/>
    <x v="15"/>
    <x v="6"/>
    <x v="156"/>
    <m/>
    <m/>
  </r>
  <r>
    <x v="65"/>
    <x v="114"/>
    <x v="15"/>
    <x v="6"/>
    <x v="157"/>
    <m/>
    <m/>
  </r>
  <r>
    <x v="66"/>
    <x v="114"/>
    <x v="3"/>
    <x v="6"/>
    <x v="158"/>
    <m/>
    <m/>
  </r>
  <r>
    <x v="43"/>
    <x v="115"/>
    <x v="0"/>
    <x v="6"/>
    <x v="159"/>
    <m/>
    <m/>
  </r>
  <r>
    <x v="66"/>
    <x v="115"/>
    <x v="3"/>
    <x v="6"/>
    <x v="160"/>
    <m/>
    <m/>
  </r>
  <r>
    <x v="4"/>
    <x v="115"/>
    <x v="15"/>
    <x v="7"/>
    <x v="161"/>
    <m/>
    <m/>
  </r>
  <r>
    <x v="2"/>
    <x v="115"/>
    <x v="0"/>
    <x v="6"/>
    <x v="162"/>
    <m/>
    <m/>
  </r>
  <r>
    <x v="45"/>
    <x v="116"/>
    <x v="15"/>
    <x v="6"/>
    <x v="163"/>
    <m/>
    <m/>
  </r>
  <r>
    <x v="50"/>
    <x v="115"/>
    <x v="0"/>
    <x v="7"/>
    <x v="164"/>
    <m/>
    <m/>
  </r>
  <r>
    <x v="45"/>
    <x v="111"/>
    <x v="15"/>
    <x v="6"/>
    <x v="165"/>
    <m/>
    <m/>
  </r>
  <r>
    <x v="20"/>
    <x v="117"/>
    <x v="0"/>
    <x v="6"/>
    <x v="166"/>
    <m/>
    <m/>
  </r>
  <r>
    <x v="45"/>
    <x v="118"/>
    <x v="15"/>
    <x v="6"/>
    <x v="167"/>
    <m/>
    <m/>
  </r>
  <r>
    <x v="67"/>
    <x v="118"/>
    <x v="15"/>
    <x v="6"/>
    <x v="168"/>
    <m/>
    <m/>
  </r>
  <r>
    <x v="11"/>
    <x v="119"/>
    <x v="15"/>
    <x v="6"/>
    <x v="169"/>
    <m/>
    <m/>
  </r>
  <r>
    <x v="68"/>
    <x v="120"/>
    <x v="15"/>
    <x v="7"/>
    <x v="170"/>
    <m/>
    <m/>
  </r>
  <r>
    <x v="13"/>
    <x v="119"/>
    <x v="15"/>
    <x v="7"/>
    <x v="171"/>
    <m/>
    <m/>
  </r>
  <r>
    <x v="17"/>
    <x v="119"/>
    <x v="1"/>
    <x v="6"/>
    <x v="172"/>
    <m/>
    <m/>
  </r>
  <r>
    <x v="63"/>
    <x v="121"/>
    <x v="1"/>
    <x v="7"/>
    <x v="173"/>
    <m/>
    <m/>
  </r>
  <r>
    <x v="11"/>
    <x v="122"/>
    <x v="15"/>
    <x v="6"/>
    <x v="174"/>
    <m/>
    <m/>
  </r>
  <r>
    <x v="40"/>
    <x v="122"/>
    <x v="1"/>
    <x v="6"/>
    <x v="175"/>
    <m/>
    <m/>
  </r>
  <r>
    <x v="20"/>
    <x v="123"/>
    <x v="0"/>
    <x v="7"/>
    <x v="176"/>
    <m/>
    <m/>
  </r>
  <r>
    <x v="63"/>
    <x v="124"/>
    <x v="1"/>
    <x v="6"/>
    <x v="177"/>
    <m/>
    <m/>
  </r>
  <r>
    <x v="20"/>
    <x v="125"/>
    <x v="0"/>
    <x v="6"/>
    <x v="178"/>
    <m/>
    <m/>
  </r>
  <r>
    <x v="11"/>
    <x v="125"/>
    <x v="15"/>
    <x v="6"/>
    <x v="179"/>
    <m/>
    <m/>
  </r>
  <r>
    <x v="17"/>
    <x v="124"/>
    <x v="1"/>
    <x v="6"/>
    <x v="180"/>
    <m/>
    <m/>
  </r>
  <r>
    <x v="69"/>
    <x v="125"/>
    <x v="3"/>
    <x v="7"/>
    <x v="181"/>
    <m/>
    <m/>
  </r>
  <r>
    <x v="3"/>
    <x v="126"/>
    <x v="1"/>
    <x v="6"/>
    <x v="182"/>
    <m/>
    <m/>
  </r>
  <r>
    <x v="11"/>
    <x v="127"/>
    <x v="15"/>
    <x v="6"/>
    <x v="183"/>
    <m/>
    <m/>
  </r>
  <r>
    <x v="50"/>
    <x v="128"/>
    <x v="0"/>
    <x v="6"/>
    <x v="184"/>
    <m/>
    <m/>
  </r>
  <r>
    <x v="11"/>
    <x v="127"/>
    <x v="15"/>
    <x v="6"/>
    <x v="185"/>
    <m/>
    <m/>
  </r>
  <r>
    <x v="11"/>
    <x v="126"/>
    <x v="15"/>
    <x v="6"/>
    <x v="186"/>
    <m/>
    <m/>
  </r>
  <r>
    <x v="67"/>
    <x v="129"/>
    <x v="15"/>
    <x v="6"/>
    <x v="187"/>
    <m/>
    <m/>
  </r>
  <r>
    <x v="11"/>
    <x v="130"/>
    <x v="15"/>
    <x v="6"/>
    <x v="188"/>
    <m/>
    <m/>
  </r>
  <r>
    <x v="70"/>
    <x v="131"/>
    <x v="15"/>
    <x v="6"/>
    <x v="189"/>
    <m/>
    <m/>
  </r>
  <r>
    <x v="67"/>
    <x v="130"/>
    <x v="15"/>
    <x v="6"/>
    <x v="190"/>
    <m/>
    <m/>
  </r>
  <r>
    <x v="15"/>
    <x v="130"/>
    <x v="19"/>
    <x v="6"/>
    <x v="191"/>
    <m/>
    <m/>
  </r>
  <r>
    <x v="70"/>
    <x v="131"/>
    <x v="15"/>
    <x v="6"/>
    <x v="189"/>
    <m/>
    <m/>
  </r>
  <r>
    <x v="11"/>
    <x v="131"/>
    <x v="15"/>
    <x v="6"/>
    <x v="192"/>
    <m/>
    <m/>
  </r>
  <r>
    <x v="68"/>
    <x v="131"/>
    <x v="15"/>
    <x v="6"/>
    <x v="193"/>
    <m/>
    <m/>
  </r>
  <r>
    <x v="11"/>
    <x v="132"/>
    <x v="15"/>
    <x v="6"/>
    <x v="194"/>
    <m/>
    <m/>
  </r>
  <r>
    <x v="43"/>
    <x v="133"/>
    <x v="15"/>
    <x v="6"/>
    <x v="195"/>
    <m/>
    <m/>
  </r>
  <r>
    <x v="40"/>
    <x v="129"/>
    <x v="1"/>
    <x v="6"/>
    <x v="196"/>
    <m/>
    <m/>
  </r>
  <r>
    <x v="11"/>
    <x v="134"/>
    <x v="15"/>
    <x v="6"/>
    <x v="197"/>
    <m/>
    <m/>
  </r>
  <r>
    <x v="11"/>
    <x v="134"/>
    <x v="15"/>
    <x v="6"/>
    <x v="198"/>
    <m/>
    <m/>
  </r>
  <r>
    <x v="11"/>
    <x v="134"/>
    <x v="15"/>
    <x v="6"/>
    <x v="199"/>
    <m/>
    <m/>
  </r>
  <r>
    <x v="11"/>
    <x v="134"/>
    <x v="15"/>
    <x v="6"/>
    <x v="200"/>
    <m/>
    <m/>
  </r>
  <r>
    <x v="11"/>
    <x v="134"/>
    <x v="15"/>
    <x v="6"/>
    <x v="201"/>
    <m/>
    <m/>
  </r>
  <r>
    <x v="71"/>
    <x v="132"/>
    <x v="1"/>
    <x v="6"/>
    <x v="202"/>
    <m/>
    <m/>
  </r>
  <r>
    <x v="30"/>
    <x v="135"/>
    <x v="15"/>
    <x v="6"/>
    <x v="203"/>
    <m/>
    <m/>
  </r>
  <r>
    <x v="72"/>
    <x v="136"/>
    <x v="15"/>
    <x v="7"/>
    <x v="204"/>
    <m/>
    <m/>
  </r>
  <r>
    <x v="72"/>
    <x v="137"/>
    <x v="15"/>
    <x v="7"/>
    <x v="205"/>
    <m/>
    <m/>
  </r>
  <r>
    <x v="20"/>
    <x v="136"/>
    <x v="15"/>
    <x v="6"/>
    <x v="206"/>
    <m/>
    <m/>
  </r>
  <r>
    <x v="11"/>
    <x v="137"/>
    <x v="15"/>
    <x v="6"/>
    <x v="207"/>
    <m/>
    <m/>
  </r>
  <r>
    <x v="71"/>
    <x v="135"/>
    <x v="15"/>
    <x v="6"/>
    <x v="208"/>
    <m/>
    <m/>
  </r>
  <r>
    <x v="11"/>
    <x v="136"/>
    <x v="15"/>
    <x v="6"/>
    <x v="209"/>
    <m/>
    <m/>
  </r>
  <r>
    <x v="36"/>
    <x v="132"/>
    <x v="19"/>
    <x v="6"/>
    <x v="210"/>
    <m/>
    <m/>
  </r>
  <r>
    <x v="73"/>
    <x v="138"/>
    <x v="15"/>
    <x v="6"/>
    <x v="211"/>
    <m/>
    <m/>
  </r>
  <r>
    <x v="21"/>
    <x v="136"/>
    <x v="3"/>
    <x v="6"/>
    <x v="212"/>
    <m/>
    <m/>
  </r>
  <r>
    <x v="64"/>
    <x v="139"/>
    <x v="15"/>
    <x v="7"/>
    <x v="213"/>
    <m/>
    <m/>
  </r>
  <r>
    <x v="2"/>
    <x v="140"/>
    <x v="15"/>
    <x v="6"/>
    <x v="214"/>
    <m/>
    <m/>
  </r>
  <r>
    <x v="11"/>
    <x v="139"/>
    <x v="15"/>
    <x v="6"/>
    <x v="215"/>
    <m/>
    <m/>
  </r>
  <r>
    <x v="74"/>
    <x v="141"/>
    <x v="1"/>
    <x v="6"/>
    <x v="216"/>
    <m/>
    <m/>
  </r>
  <r>
    <x v="74"/>
    <x v="142"/>
    <x v="1"/>
    <x v="6"/>
    <x v="217"/>
    <m/>
    <m/>
  </r>
  <r>
    <x v="11"/>
    <x v="143"/>
    <x v="15"/>
    <x v="6"/>
    <x v="218"/>
    <m/>
    <m/>
  </r>
  <r>
    <x v="4"/>
    <x v="142"/>
    <x v="15"/>
    <x v="7"/>
    <x v="219"/>
    <m/>
    <m/>
  </r>
  <r>
    <x v="11"/>
    <x v="144"/>
    <x v="15"/>
    <x v="6"/>
    <x v="220"/>
    <m/>
    <m/>
  </r>
  <r>
    <x v="40"/>
    <x v="143"/>
    <x v="1"/>
    <x v="7"/>
    <x v="221"/>
    <m/>
    <m/>
  </r>
  <r>
    <x v="63"/>
    <x v="141"/>
    <x v="1"/>
    <x v="6"/>
    <x v="222"/>
    <m/>
    <m/>
  </r>
  <r>
    <x v="74"/>
    <x v="142"/>
    <x v="1"/>
    <x v="6"/>
    <x v="217"/>
    <m/>
    <m/>
  </r>
  <r>
    <x v="11"/>
    <x v="143"/>
    <x v="15"/>
    <x v="6"/>
    <x v="218"/>
    <m/>
    <m/>
  </r>
  <r>
    <x v="74"/>
    <x v="143"/>
    <x v="1"/>
    <x v="6"/>
    <x v="221"/>
    <m/>
    <m/>
  </r>
  <r>
    <x v="74"/>
    <x v="141"/>
    <x v="1"/>
    <x v="6"/>
    <x v="216"/>
    <m/>
    <m/>
  </r>
  <r>
    <x v="63"/>
    <x v="144"/>
    <x v="1"/>
    <x v="6"/>
    <x v="222"/>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
  <r>
    <m/>
    <x v="0"/>
    <s v="SUPPLY CHAIN"/>
    <x v="0"/>
    <x v="0"/>
    <x v="0"/>
    <s v="FIDERÍA "/>
    <x v="0"/>
    <m/>
    <s v="DÍA"/>
    <s v="miércoles"/>
    <m/>
    <m/>
    <m/>
    <m/>
    <m/>
    <m/>
    <m/>
    <x v="0"/>
    <s v="DHYNESAL  S.R.L"/>
    <s v="Contratista"/>
    <s v="El contratista de la empresa DHYNESAL se encontraba en el cuarto piso del sistema de molienda Bühler 1 planta de Fideeria Lima a la espera que técnico mecánico termine la actividad de desatoro de la tolva M621 de la L26. En ese momento la colaboradora al intentar verificar la caída de producto introduciendo su mano a un espacio confinado señalizado y sufriendo  un corte severo con la válvula de rotativa de corte (esclusa) en el tercer dedo de la mano izquierda con lesión de uña. "/>
    <x v="0"/>
    <n v="49"/>
    <x v="0"/>
    <m/>
    <x v="0"/>
    <s v="ACTO INSEGURO"/>
    <s v="T1"/>
    <m/>
  </r>
  <r>
    <m/>
    <x v="1"/>
    <s v="SUPPLY CHAIN"/>
    <x v="1"/>
    <x v="1"/>
    <x v="1"/>
    <s v="DISTRIBUCIÓN INTRADEVCO"/>
    <x v="1"/>
    <m/>
    <s v="DÍA"/>
    <s v="viernes"/>
    <m/>
    <m/>
    <m/>
    <m/>
    <m/>
    <m/>
    <m/>
    <x v="0"/>
    <s v="RANSA COMERCIAL SA"/>
    <s v="Contratista"/>
    <s v="Durante la acción de retroceso, el trabajador se dirige a una zona cercana a las líneas peatonales del patio para dejar el equipo y alcanzar al líder para preguntarle sobre sus tareas programadas para la tarde. Es en estas circunstancias, que cuando el trabajador se aproxima con el equipo al área de descarga para estacionarse, decide bajar ligeramente su pie sin detener el equipo, impactando luego contra la barrera metálica de la manguera de aire de los silos, lo que genera que su pie derecho quede atrapado entre la plataforma del equipo y la barrera metálica."/>
    <x v="1"/>
    <n v="291"/>
    <x v="1"/>
    <m/>
    <x v="1"/>
    <s v="ACTO INSEGURO"/>
    <s v="T1"/>
    <m/>
  </r>
  <r>
    <m/>
    <x v="1"/>
    <s v="SUPPLY CHAIN"/>
    <x v="1"/>
    <x v="1"/>
    <x v="1"/>
    <s v="DISTRIBUCIÓN INTRADEVCO"/>
    <x v="2"/>
    <m/>
    <s v="DÍA"/>
    <s v="sábado"/>
    <m/>
    <m/>
    <m/>
    <m/>
    <m/>
    <m/>
    <m/>
    <x v="0"/>
    <s v="ALTELIZA SAC"/>
    <s v="Tercero - Limpieza"/>
    <s v="La operaria se encontraba realizando la actividad de secado de piso haciendo uso de una escoba y trapo. Al ejercer el movimiento, el palo de la escoba se quiebra en 02 partes y una de las puntas se incrusta en su dedo pulgar, involucrando la uña del mismo. Se notifica de inmediato al personal de ITDC en zona de monitores CD2 quien la acompaña hacia el tópico para su atención y también comunica al personal de seguridad industrial y analista Alicorp. El personal fue derivado a la clínica activando su SCTR. La investigación continúa en curso."/>
    <x v="2"/>
    <n v="9"/>
    <x v="2"/>
    <m/>
    <x v="1"/>
    <s v="ACTO INSEGURO"/>
    <s v="T1"/>
    <m/>
  </r>
  <r>
    <m/>
    <x v="0"/>
    <s v="SUPPLY CHAIN"/>
    <x v="2"/>
    <x v="2"/>
    <x v="2"/>
    <s v="OTRAS DIRECCIONES"/>
    <x v="3"/>
    <m/>
    <s v="TARDE"/>
    <s v="martes"/>
    <m/>
    <m/>
    <m/>
    <m/>
    <m/>
    <m/>
    <m/>
    <x v="0"/>
    <s v="ALICORP S.A.A"/>
    <s v="PROPIO"/>
    <s v="Trabajador refiere el dia de hoy a las 15:40 que iba caminando con 1 extintor y al estar caminando en el piso habia un hueco y el pies se le quedo atrapado y se cae golpeandose la rodilla derecha causando dolor de moderada intensidad y le leve  aceracion ,motivo por el cual acude para atencion medica"/>
    <x v="3"/>
    <n v="14"/>
    <x v="3"/>
    <m/>
    <x v="2"/>
    <s v="ACTO INSEGURO"/>
    <s v="T1"/>
    <m/>
  </r>
  <r>
    <m/>
    <x v="0"/>
    <s v="SUPPLY CHAIN"/>
    <x v="0"/>
    <x v="0"/>
    <x v="3"/>
    <s v="GALLETERÍA E INSTANTANEOS"/>
    <x v="4"/>
    <m/>
    <s v="TARDE"/>
    <s v="sábado"/>
    <m/>
    <m/>
    <m/>
    <m/>
    <m/>
    <m/>
    <m/>
    <x v="0"/>
    <s v="ALICORP S.A.A"/>
    <s v="PROPIO"/>
    <s v="Paciente masculino de 50 años de edad quien refiere el dia de hoy a las 22:20 estar entrando al_x000a_vestuario de galletera y el piso estaba mojado y se rebalo perdiendo el equilibrio cayo_x000a_colocando la mano derecha como soporte ,lesionandose la mano ,refiere dolor de_x000a_moderada intensidad al realizar flexion y extension se evidencia signos de inflamacion,_x000a_motivo por el cual se recibe llamada del ing isaac perez para atencion medica .antecedentes de_x000a_importancia :dm2"/>
    <x v="3"/>
    <n v="59"/>
    <x v="4"/>
    <m/>
    <x v="3"/>
    <s v="CONDICIÓN INSEGURA"/>
    <s v="T1"/>
    <m/>
  </r>
  <r>
    <m/>
    <x v="1"/>
    <s v="SUPPLY CHAIN"/>
    <x v="0"/>
    <x v="3"/>
    <x v="4"/>
    <s v="CHORRILLOS"/>
    <x v="5"/>
    <m/>
    <s v="DÍA"/>
    <s v="jueves"/>
    <m/>
    <m/>
    <m/>
    <m/>
    <m/>
    <m/>
    <m/>
    <x v="0"/>
    <s v="INTRADEVCO"/>
    <s v="PROPIO"/>
    <s v="El sr. Mascco culminó la limpieza y lavado del tanque correspondiente y decide bajar de la plataforma para poder cerrar la manguera de agua, sin embargo, se encontraba otra manguera en el segundo peldaño de la escalera de la plataforma, la cual no estaba siendo usada y no cumplía con ninguna función. Al descender, por esquivar la manguera, el colaborador no pisa bien el primer peldaño y resbala hacia atrás, golpeándose la parte posterior de la cabeza con el vértice de la plataforma."/>
    <x v="4"/>
    <n v="37"/>
    <x v="5"/>
    <m/>
    <x v="4"/>
    <s v="CONDICIÓN INSEGURA"/>
    <s v="T1"/>
    <m/>
  </r>
  <r>
    <m/>
    <x v="0"/>
    <s v="SUPPLY CHAIN"/>
    <x v="0"/>
    <x v="4"/>
    <x v="5"/>
    <s v="REFINERÍA"/>
    <x v="6"/>
    <m/>
    <s v="DÍA"/>
    <s v="sábado"/>
    <m/>
    <m/>
    <m/>
    <m/>
    <m/>
    <m/>
    <m/>
    <x v="0"/>
    <s v="SSAYS SAC"/>
    <s v="Contratista"/>
    <s v="El colaborador de la empresa tercera que brinda el servicio de limpieza en planta refinería se encontraba utilizando guantes de protección de jebe y se dispone a realizar una limpieza de estos en un cilindro con agua y detergente, en donde poco después empieza a sentir que el agua ingresa dentro del guante por la parte superior y le provoca una irritación en el brazo derecho. Ante esto aún después de 2 horas comunica a su empresa quienes coordinan una atención en clínica y donde le diagnostican una quemadura en dicha zona."/>
    <x v="5"/>
    <n v="17"/>
    <x v="6"/>
    <m/>
    <x v="5"/>
    <s v="ACTO INSEGURO"/>
    <s v="T1"/>
    <m/>
  </r>
  <r>
    <m/>
    <x v="1"/>
    <s v="SUPPLY CHAIN"/>
    <x v="0"/>
    <x v="3"/>
    <x v="6"/>
    <s v="LURIN 2"/>
    <x v="7"/>
    <m/>
    <s v="DÍA"/>
    <s v="martes"/>
    <m/>
    <m/>
    <m/>
    <m/>
    <m/>
    <m/>
    <m/>
    <x v="0"/>
    <s v="OUTSOURCING"/>
    <s v="Service"/>
    <s v="La colaboradora Cauper Tello Leny procedía a recoger una etiqueta, por lo cual tránsito de forma rápida, lo que acasionó que  se tropezará en la base de una paleta de ruma de cajas, por lo que la colaboradora perdió el equilibrio ocasionando que caiga poniendo todo su peso en su brazo derecho."/>
    <x v="4"/>
    <n v="69"/>
    <x v="7"/>
    <m/>
    <x v="2"/>
    <s v="ACTO INSEGURO"/>
    <s v="T1"/>
    <m/>
  </r>
  <r>
    <m/>
    <x v="1"/>
    <s v="SUPPLY CHAIN"/>
    <x v="0"/>
    <x v="3"/>
    <x v="7"/>
    <s v="LURÍN 4"/>
    <x v="8"/>
    <m/>
    <s v="TARDE"/>
    <s v="jueves"/>
    <m/>
    <m/>
    <m/>
    <m/>
    <m/>
    <m/>
    <m/>
    <x v="0"/>
    <s v="Consulting Advisers"/>
    <s v="Service"/>
    <s v="Colaboradora se encontraba verificando y pasando las cajas para que su compañero realice la actividad de apilado en la línea 3. Debido a la variación una de las cajas choca con la codificadora generando que ésta se mueva y al intentar detenerla golpea con su mano derecha. Refiere que su reacción inmediata fue detener el equipo sin medir las consecuencias"/>
    <x v="4"/>
    <n v="4"/>
    <x v="8"/>
    <m/>
    <x v="0"/>
    <s v="ACTO INSEGURO"/>
    <s v="T1"/>
    <m/>
  </r>
  <r>
    <m/>
    <x v="0"/>
    <s v="SUPPLY CHAIN"/>
    <x v="0"/>
    <x v="4"/>
    <x v="5"/>
    <s v="SALSAS"/>
    <x v="8"/>
    <m/>
    <s v="DÍA"/>
    <s v="jueves"/>
    <m/>
    <m/>
    <m/>
    <m/>
    <m/>
    <m/>
    <m/>
    <x v="0"/>
    <s v="SERVICIOS GENERALES _x000a_NILSON"/>
    <s v="Contratista"/>
    <s v="El colaborador de la empresa tercera que brinda el servicio de encajado manual en planta Salsas 1 se encontraba separando cajas de faja transportadora cuando de repente la manga larga del polo de mano izquierda se engancha en el traslape del transportador de banda y el transportador de polines provocando el atrapamiento de mano. En ese instante, se detuvo la línea para atender a la colaboradora derivándola al tópico para su revisión."/>
    <x v="4"/>
    <n v="40"/>
    <x v="9"/>
    <m/>
    <x v="6"/>
    <s v="CONDICIÓN INSEGURA"/>
    <s v="T1"/>
    <m/>
  </r>
  <r>
    <m/>
    <x v="0"/>
    <s v="SUPPLY CHAIN"/>
    <x v="1"/>
    <x v="5"/>
    <x v="8"/>
    <s v="CD HUACHIPA"/>
    <x v="9"/>
    <m/>
    <s v="TARDE"/>
    <s v="martes"/>
    <m/>
    <m/>
    <m/>
    <m/>
    <m/>
    <m/>
    <m/>
    <x v="0"/>
    <s v="ALICORP S.A.A"/>
    <s v="PROPIO"/>
    <s v="Durante la búsqueda de documentos en el archivador, el colaborador Sergio Velazco intentó retirar una caja con documentos de un anaquel, se sujeta del borde de éste con su mano izquierda para tomar impulso y con la otra mano jalar la caja, en ese momento realizó fuerza para el impulso generando el corte en los dedos."/>
    <x v="6"/>
    <n v="41"/>
    <x v="10"/>
    <m/>
    <x v="7"/>
    <s v="CONDICIÓN INSEGURA"/>
    <s v="T1"/>
    <m/>
  </r>
  <r>
    <m/>
    <x v="0"/>
    <s v="ADMINISTRACIÓN"/>
    <x v="2"/>
    <x v="6"/>
    <x v="5"/>
    <s v="OTRAS DIRECCIONES"/>
    <x v="10"/>
    <m/>
    <s v="DÍA"/>
    <s v="jueves"/>
    <m/>
    <m/>
    <m/>
    <m/>
    <m/>
    <m/>
    <m/>
    <x v="0"/>
    <s v="Charlotte"/>
    <s v="Contratista"/>
    <s v="El accidente ocurrió aproximadamente a las 16:10 p.m., cuando la colaboradora del concesionario, transitaba por el área de lavado de vajillas. Durante su recorrido, resbaló y cayó, impactando su codo derecho, espalda y cabeza. Fue trasladada de inmediato al tópico para recibir atención médica inicial y, tras la evaluación, derivada a la Clínica Providencia acompañada por la supervisora de calidad de su empleador. En la clínica, se activó su SCTR y el médico tratante le otorgó descanso médico por tres días."/>
    <x v="7"/>
    <n v="6"/>
    <x v="4"/>
    <m/>
    <x v="8"/>
    <s v="CONDICIÓN INSEGURA"/>
    <s v="T1"/>
    <m/>
  </r>
  <r>
    <m/>
    <x v="0"/>
    <s v="SUPPLY CHAIN"/>
    <x v="0"/>
    <x v="7"/>
    <x v="9"/>
    <s v="MCA"/>
    <x v="11"/>
    <m/>
    <s v="DÍA"/>
    <s v="sábado"/>
    <m/>
    <m/>
    <m/>
    <m/>
    <m/>
    <m/>
    <m/>
    <x v="0"/>
    <s v="ALICORP S.A.A"/>
    <s v="PROPIO"/>
    <s v="Durante el turno mañana, aproximadamente a las 08:00am, el operador luego de guardar su casco en los colgadores del área, al momento de bajar su mano, golpea su codo con la oreja de la puerta del área, la cual sirve para colocar un candado. El operador minimiza el evento al no sentir dolor y aproximadamente a las 09:00am, se percata que su codo estaba hinchado, de inmediato procede a reportar al monitor de turno, activándose los protocolos correspondientes, luego es trasladado a la clínica San Gabriel."/>
    <x v="4"/>
    <n v="7"/>
    <x v="10"/>
    <m/>
    <x v="0"/>
    <s v="ACTO INSEGURO"/>
    <s v="T1"/>
    <m/>
  </r>
  <r>
    <m/>
    <x v="0"/>
    <s v="SUPPLY CHAIN"/>
    <x v="2"/>
    <x v="2"/>
    <x v="10"/>
    <s v="Acopio"/>
    <x v="12"/>
    <m/>
    <s v="DÍA"/>
    <s v="jueves"/>
    <m/>
    <m/>
    <m/>
    <m/>
    <m/>
    <m/>
    <m/>
    <x v="0"/>
    <s v="Transvida"/>
    <s v="Contratista"/>
    <s v="Trabajador contratista se encontraba trasladando una jaula móvil de recepción de residuos sobre una pendiente empujándolo en posición de espalda, en cierto momento intenta detener la jaula y esta cede, por lo que, la base de esta golpea el tobillo de su pie izquierdo ocasionándole una herida en dicha zona."/>
    <x v="8"/>
    <n v="31"/>
    <x v="11"/>
    <m/>
    <x v="0"/>
    <s v="ACTO INSEGURO"/>
    <s v="T1"/>
    <m/>
  </r>
  <r>
    <m/>
    <x v="1"/>
    <s v="SUPPLY CHAIN"/>
    <x v="0"/>
    <x v="3"/>
    <x v="6"/>
    <s v="LURIN 2"/>
    <x v="13"/>
    <m/>
    <s v="DÍA"/>
    <s v="viernes"/>
    <m/>
    <m/>
    <m/>
    <m/>
    <m/>
    <m/>
    <m/>
    <x v="0"/>
    <s v="INTRADEVCO"/>
    <s v="PROPIO"/>
    <s v="El viernes 28/02 aproximadamente a la 1:50 pm, se generó la explosión de un envase de Aerosol, lo que generó el desprendimiento del fondo del envase, que termina impactando en el rostro de la colaboradora._x000a_En el tópico, se brindaron los primeros auxilios y se trasladó a la Clínica San Pablo para recibir atención médica."/>
    <x v="4"/>
    <n v="17"/>
    <x v="12"/>
    <m/>
    <x v="9"/>
    <s v="CONDICIÓN INSEGURA"/>
    <s v="T1"/>
    <m/>
  </r>
  <r>
    <m/>
    <x v="0"/>
    <s v="SUPPLY CHAIN"/>
    <x v="0"/>
    <x v="7"/>
    <x v="9"/>
    <s v="MCA"/>
    <x v="13"/>
    <m/>
    <s v="TARDE"/>
    <s v="viernes"/>
    <m/>
    <m/>
    <m/>
    <m/>
    <m/>
    <m/>
    <m/>
    <x v="0"/>
    <s v="ALICORP S.A.A"/>
    <s v="PROPIO"/>
    <s v="El 28 de febrero, aproximadamente a las 16:10 horas, el operador 1 de Molino, Eduardo Ciudad, sufrió un golpe en la pantorrilla de la pierna derecha ocasionado por la caída de la tapa superior del banco de cilindros C2 mientras realizaba la actividad de regulación del equipo en el banco de cilindros C3. _x000a_El colaborador notificó de inmediato lo sucedido, activando el protocolo correspondiente. Posteriormente, fue trasladado a la clínica San Gabriel para su atención donde le otorgan descanso médico hasta el 02/03."/>
    <x v="4"/>
    <n v="2"/>
    <x v="13"/>
    <m/>
    <x v="9"/>
    <s v="CONDICIÓN INSEGURA"/>
    <s v="T1"/>
    <m/>
  </r>
  <r>
    <m/>
    <x v="1"/>
    <s v="SUPPLY CHAIN"/>
    <x v="0"/>
    <x v="3"/>
    <x v="4"/>
    <s v="CHORRILLOS"/>
    <x v="14"/>
    <m/>
    <s v="DÍA"/>
    <s v="miércoles"/>
    <m/>
    <m/>
    <m/>
    <m/>
    <m/>
    <m/>
    <m/>
    <x v="0"/>
    <s v="Consulting Advisers"/>
    <s v="Service"/>
    <s v="Aprox. a las 10:15 am, el colaborador Bruno Portilla (Prolabora) se encontraba en el área de Sanitarios, en la Línea Z8 realizando la limpieza del área y de la máquina luego de finalizar con el envasado de producto desatorador de cocina._x000a_En el transcurso de la actividad, el colaborador realizó el trasvase de un balde lleno de residuos de lavado (agua + producto), hacia otro recipiente. Al verter el líquido, este se escurre entre el espacio de separación de la manga de PVC y el guante de nitrilo. El colaborador reportó el hecho luego de 5 minutos, momento en que empezó a sentir ardor en la mano derecha. El colaborador comunica lo sucedido al maquinista, y este le indica que se realice el lavado de la parte afectada con agua. Luego, el colaborador acude al tópico, donde lo atendieron y posteriormente es evacuado a la Clínica San Pablo. **La formulación del producto incluye soda caustica y solución amoniacal."/>
    <x v="9"/>
    <n v="45"/>
    <x v="6"/>
    <m/>
    <x v="1"/>
    <s v="ACTO INSEGURO"/>
    <s v="T1"/>
    <m/>
  </r>
  <r>
    <m/>
    <x v="2"/>
    <s v="SUPPLY CHAIN"/>
    <x v="1"/>
    <x v="8"/>
    <x v="11"/>
    <s v="CD/APT Bolivia"/>
    <x v="15"/>
    <m/>
    <s v="DÍA"/>
    <s v="jueves"/>
    <m/>
    <m/>
    <m/>
    <m/>
    <m/>
    <m/>
    <m/>
    <x v="0"/>
    <s v="Tertiary Services Bolivia S.R.L."/>
    <s v="Contratista"/>
    <s v="En fecha 13 de marzo, a horas 10:11 am, durante la operación de descarguío de producto terminado en el almacén B, el personal de estibaje Omar Cardozo y Erick Pinto (Personal tercero eventual), se encontraban descargando cajas de aceite de un camión sencillo proveniente de Cochabamba. Ambos estibadores se encontraban realizando el apilado de un pallet de aceite, el trabajador Omar Cardozo en el intento de terminar de completar las últimas cajas de aceite en el pallet desde la plataforma del camión, apoya su pie sobre la pisadera del camión (1.30 mts altura), resbalando y cayendo a nivel del suelo apoyando el brazo izquierdo, ocasionando una fractura del radio."/>
    <x v="10"/>
    <n v="30"/>
    <x v="14"/>
    <m/>
    <x v="9"/>
    <s v="CONDICIÓN INSEGURA"/>
    <s v="T1"/>
    <m/>
  </r>
  <r>
    <m/>
    <x v="1"/>
    <s v="SUPPLY CHAIN"/>
    <x v="0"/>
    <x v="3"/>
    <x v="7"/>
    <s v="LURÍN 4"/>
    <x v="16"/>
    <m/>
    <s v="DÍA"/>
    <s v="jueves"/>
    <m/>
    <m/>
    <m/>
    <m/>
    <m/>
    <m/>
    <m/>
    <x v="0"/>
    <s v="Consulting Advisers"/>
    <s v="Service"/>
    <s v="La colaboradora Celia Carrasco Flores (Consulting) realizaba la actividad de recepción de bolsas de producto de la envasadora de pulidor, en un momento aprecia que uno de los envases se encontraba en una posición incorrecta, por lo que decide acomodarlo introduciendo su mano izquierda por la parte superior de la mordaza, en ese momento el equipo se acciona generándole un aplastamiento en la mano."/>
    <x v="10"/>
    <n v="32"/>
    <x v="0"/>
    <m/>
    <x v="6"/>
    <s v="CONDICIÓN INSEGURA"/>
    <s v="T1"/>
    <m/>
  </r>
  <r>
    <m/>
    <x v="1"/>
    <s v="SUPPLY CHAIN"/>
    <x v="0"/>
    <x v="3"/>
    <x v="12"/>
    <s v="LURIN 1"/>
    <x v="16"/>
    <m/>
    <s v="TARDE"/>
    <s v="jueves"/>
    <m/>
    <m/>
    <m/>
    <m/>
    <m/>
    <m/>
    <m/>
    <x v="0"/>
    <s v="INTRADEVCO"/>
    <s v="PROPIO"/>
    <s v="Durante el proceso de recirculación de salmuera, se produjo la liberación de gas cloro a través de la tubería de venteo del lavador de gases que se encontraba apagado. Producto de esto, se activaron los detectores de gases de las instalaciones e inició la evacuación de las personas del predio. Se reportaron 3 personas de otras áreas afectadas por exposición."/>
    <x v="11"/>
    <n v="10"/>
    <x v="6"/>
    <m/>
    <x v="10"/>
    <s v="CONDICIÓN INSEGURA"/>
    <s v="T1"/>
    <m/>
  </r>
  <r>
    <m/>
    <x v="1"/>
    <s v="SUPPLY CHAIN"/>
    <x v="0"/>
    <x v="3"/>
    <x v="12"/>
    <s v="LURIN 1"/>
    <x v="16"/>
    <m/>
    <s v="TARDE"/>
    <s v="jueves"/>
    <m/>
    <m/>
    <m/>
    <m/>
    <m/>
    <m/>
    <m/>
    <x v="0"/>
    <s v="INTRADEVCO"/>
    <s v="PROPIO"/>
    <s v="Durante el proceso de recirculación de salmuera, se produjo la liberación de gas cloro a través de la tubería de venteo del lavador de gases que se encontraba apagado. Producto de esto, se activaron los detectores de gases de las instalaciones e inició la evacuación de las personas del predio. Se reportaron 3 personas de otras áreas afectadas por exposición."/>
    <x v="11"/>
    <n v="5"/>
    <x v="6"/>
    <m/>
    <x v="10"/>
    <s v="CONDICIÓN INSEGURA"/>
    <s v="T1"/>
    <m/>
  </r>
  <r>
    <m/>
    <x v="3"/>
    <s v="SUPPLY CHAIN"/>
    <x v="0"/>
    <x v="0"/>
    <x v="13"/>
    <s v="GLOBAL PLANTA"/>
    <x v="17"/>
    <m/>
    <s v="DÍA"/>
    <s v="viernes"/>
    <m/>
    <m/>
    <m/>
    <m/>
    <m/>
    <m/>
    <m/>
    <x v="0"/>
    <s v="Masterbread"/>
    <s v="PROPIO"/>
    <s v="El trabajador afectado se encontraba realizando labores de limpieza en la línea de producción de harina de arroz. Como parte de la actividad de limpieza, el trabajador procede al desmontaje de la tubería de la salida de la esclusa de transporte neumático con el equipo apagado, según las indicaciones de su operador líder.  Una vez finalizado el desmontaje, el trabajador introduce aire comprimido en la esclusa apagada, momento en el cual el operador líder procede a encender el equipo sin verificar previamente que el trabajador haya culminado con la actividad de limpieza, originando una lesión en la mano al activarse la esclusa.  El trabajador comunica lo sucedido de inmediato y es llevado al tópico donde se le brinda los primeros auxilios y posteriormente es trasladado al centro de salud para su atención inmediata."/>
    <x v="0"/>
    <n v="67"/>
    <x v="15"/>
    <m/>
    <x v="6"/>
    <s v="ACTO INSEGURO"/>
    <s v="T1"/>
    <m/>
  </r>
  <r>
    <m/>
    <x v="1"/>
    <s v="SUPPLY CHAIN"/>
    <x v="0"/>
    <x v="3"/>
    <x v="14"/>
    <s v="LURÍN 5"/>
    <x v="18"/>
    <m/>
    <s v="DÍA"/>
    <s v="jueves"/>
    <m/>
    <m/>
    <m/>
    <m/>
    <m/>
    <m/>
    <m/>
    <x v="0"/>
    <s v="Consulting Advisers"/>
    <s v="Service"/>
    <s v="La colaboradora Skandra Cardenas (Consulting) se encontraba realizando la actividad de desarmado de cajas en el área de etiquetado (línea N°2). Durante la actividad, observó que habían cajas que estaban en un extremo de la paleta, por lo que decide subirse a ella para alcanzarlas, en ese momento su pie derecho ingresa por el orificio de la paleta, generándole una contusión en el tobillo."/>
    <x v="4"/>
    <n v="13"/>
    <x v="7"/>
    <m/>
    <x v="4"/>
    <s v="CONDICIÓN INSEGURA"/>
    <s v="T1"/>
    <m/>
  </r>
  <r>
    <m/>
    <x v="1"/>
    <s v="SUPPLY CHAIN"/>
    <x v="0"/>
    <x v="3"/>
    <x v="4"/>
    <s v="CHORRILLOS"/>
    <x v="19"/>
    <m/>
    <s v="DÍA"/>
    <s v="viernes"/>
    <m/>
    <m/>
    <m/>
    <m/>
    <m/>
    <m/>
    <m/>
    <x v="0"/>
    <s v="INTRADEVCO"/>
    <s v="PROPIO"/>
    <s v="04/04/2025, Aprox. a las 14:15 horas, el colaborador se encontraba en el área de Sanitarios, en la Volpack 260 realizando la regulación de las cuchillas del equipo de corte de envases._x000a_Durante la regulación de las tijeras de la máquina, el trabajador rozó accidentalmente la cuchilla de la máquina con su dedo índice de la mano derecha, sufriendo un corte superficial con levantamiento de piel. (El colaborador no estaba usando guantes de seguridad)._x000a_El trabajador fue derivado al tópico, y posteriormente fue derivado a la clínica San Pablo para su atención."/>
    <x v="6"/>
    <n v="7"/>
    <x v="10"/>
    <m/>
    <x v="0"/>
    <s v="ACTO INSEGURO"/>
    <s v="T2"/>
    <m/>
  </r>
  <r>
    <m/>
    <x v="1"/>
    <s v="SUPPLY CHAIN"/>
    <x v="2"/>
    <x v="9"/>
    <x v="4"/>
    <s v="CHORRILLOS"/>
    <x v="20"/>
    <m/>
    <s v="DÍA"/>
    <s v="lunes"/>
    <m/>
    <m/>
    <m/>
    <m/>
    <m/>
    <m/>
    <m/>
    <x v="0"/>
    <s v="ALTELIZA SAC"/>
    <s v="Tercero - Limpieza"/>
    <s v="Durante las labores de un colaborador de Alteliza, el trabajador accidentado se encontraba limpiando la puerta de ingreso del vestuario del área de ofertado. Durante la actividad, el trabajador tenia colocada la mano izquierda en el marco de la puerta, en ese momento otro trabajador (que se encontraba dentro del vestuario) cierra la puerta golpeando su mano izquierda entre la puerta y el marco._x000a_El colaborador dio aviso de lo ocurrido horas después del evento y fue atendido en el tópico, catalogándose como accidente no incapacitante._x000a_El trabajador fue derivado a una clínica al día siguiente, por decisión de su empresa."/>
    <x v="7"/>
    <n v="87"/>
    <x v="16"/>
    <m/>
    <x v="0"/>
    <s v="ACTO INSEGURO"/>
    <s v="T2"/>
    <m/>
  </r>
  <r>
    <m/>
    <x v="1"/>
    <s v="SUPPLY CHAIN"/>
    <x v="0"/>
    <x v="3"/>
    <x v="4"/>
    <s v="CHORRILLOS"/>
    <x v="21"/>
    <m/>
    <s v="DÍA"/>
    <s v="miércoles"/>
    <m/>
    <m/>
    <m/>
    <m/>
    <m/>
    <m/>
    <m/>
    <x v="0"/>
    <s v="INTRADEVCO"/>
    <s v="PROPIO"/>
    <s v="Siendo las 08:05 am aprox. del 09/04, en el área de envasado de Sanitarios, se produjo la falla (desacople del racor y campana) de una manguera de conexión, ocasionando la salpicadura del producto que se estaba transportando en ese momento (desatorador de cocina), ello ocasionó la afectación a 7 colaboradores._x000a_Los trabajadores fueron atendidos en el tópico, de los cuales 6 presentaron lesiones leves, 1 colaborador fue evacuado a la clínica San Pablo para recibir atención especializada. Inmediatamente se detuvieron las operaciones del área. _x000a_Un trabajador sufrió una lesión en el 5to dedo del pie durante las operaciones de limpieza, debido a que su calzado de seguridad se encontraba en mal estado. No reportó el hecho hasta el siguiente día."/>
    <x v="5"/>
    <n v="30"/>
    <x v="6"/>
    <m/>
    <x v="11"/>
    <s v="CONDICIÓN INSEGURA"/>
    <s v="T2"/>
    <m/>
  </r>
  <r>
    <m/>
    <x v="1"/>
    <s v="SUPPLY CHAIN"/>
    <x v="0"/>
    <x v="3"/>
    <x v="4"/>
    <s v="CHORRILLOS"/>
    <x v="21"/>
    <m/>
    <s v="DÍA"/>
    <s v="miércoles"/>
    <m/>
    <m/>
    <m/>
    <m/>
    <m/>
    <m/>
    <m/>
    <x v="0"/>
    <s v="INTRADEVCO"/>
    <s v="PROPIO"/>
    <s v="Siendo las 08:05 am aprox. del 09/04, en el área de envasado de Sanitarios, se produjo la falla (desacople del racor y campana) de una manguera de conexión, ocasionando la salpicadura del producto que se estaba transportando en ese momento (desatorador de cocina), ello ocasionó la afectación a 7 colaboradores._x000a_Los trabajadores fueron atendidos en el tópico, de los cuales 6 presentaron lesiones leves, 1 colaborador fue evacuado a la clínica San Pablo para recibir atención especializada. Inmediatamente se detuvieron las operaciones del área. _x000a_Un trabajador sufrió una lesión en el 5to dedo del pie durante las operaciones de limpieza, debido a que su calzado de seguridad se encontraba en mal estado. No reportó el hecho hasta el siguiente día."/>
    <x v="5"/>
    <n v="16"/>
    <x v="6"/>
    <m/>
    <x v="11"/>
    <s v="CONDICIÓN INSEGURA"/>
    <s v="T2"/>
    <m/>
  </r>
  <r>
    <m/>
    <x v="1"/>
    <s v="SUPPLY CHAIN"/>
    <x v="0"/>
    <x v="3"/>
    <x v="6"/>
    <s v="LURIN 2"/>
    <x v="22"/>
    <m/>
    <s v="TARDE"/>
    <s v="jueves"/>
    <m/>
    <m/>
    <m/>
    <m/>
    <m/>
    <m/>
    <m/>
    <x v="0"/>
    <s v="Consulting Advisers"/>
    <s v="Service"/>
    <s v="Alrededor de las 19:45 horas, el colaborador de la empresa Consulting, se disponía a abastecer materia prima hacia el dosificador de la línea Sika 2 en la planta de soplado. Para ello levanta un saco de 25 Kg para llenar el cilindro dosificador, lo coloca sobre el borde del cilindro de forma vertical e intenta levantarlo con ambas manos para vaciar el contenido, en ese instante el saco resbala y cae, el colaborador intenta sostenerlo con la mano izquierda pero su mano es golpeada por el saco y el borde del cilindro ocasionando que su muñeca se doble."/>
    <x v="3"/>
    <n v="13"/>
    <x v="17"/>
    <m/>
    <x v="0"/>
    <s v="ACTO INSEGURO"/>
    <s v="T2"/>
    <m/>
  </r>
  <r>
    <m/>
    <x v="0"/>
    <s v="SUPPLY CHAIN"/>
    <x v="0"/>
    <x v="7"/>
    <x v="9"/>
    <s v="MCA"/>
    <x v="23"/>
    <m/>
    <s v="DÍA"/>
    <s v="martes"/>
    <m/>
    <m/>
    <m/>
    <m/>
    <m/>
    <m/>
    <m/>
    <x v="0"/>
    <s v="ALICORP S.A.A"/>
    <s v="PROPIO"/>
    <s v="El 06/05 aproximadamente a las 05:45 am, el Técnico de Laboratorio se encontraba en el 8vo piso del laboratorio de reología preparando sus materiales para el análisis de acidez en harinas. Durante esta tarea, el trabajador intentó colocar la bombilla (pre-pipeta) en la pipeta de 1mL para extraer la fenolftaleína (indicador de color). Al momento de colocarlo ejerce una fuerza de tal manera que quiebra la pipeta a la mitad y por inercia, la parte superior rota de la pipeta sigue su curso y corta el dedo medio de la mano derecha del colaborador. El trabajador fue trasladado a la Clínica San Gabriel donde fue atendido y se le diagnosticó herida de dedo en la mano derecha, no otorgándole descanso médico. Al día siguiente el trabajador se dirige a su seguro donde lo atienden y le otorgan 3 días de descanso médico en total."/>
    <x v="6"/>
    <n v="12"/>
    <x v="10"/>
    <m/>
    <x v="1"/>
    <s v="ACTO INSEGURO"/>
    <s v="T2"/>
    <m/>
  </r>
  <r>
    <m/>
    <x v="0"/>
    <s v="SUPPLY CHAIN"/>
    <x v="2"/>
    <x v="10"/>
    <x v="15"/>
    <s v="PANETONES"/>
    <x v="24"/>
    <m/>
    <s v="DÍA"/>
    <s v="miércoles"/>
    <m/>
    <m/>
    <m/>
    <m/>
    <m/>
    <m/>
    <m/>
    <x v="0"/>
    <s v="SC INGENIERIA Y CONSTRUCCION SAC"/>
    <s v="Contratista"/>
    <s v="En fecha 07 de mayo aproximadamente a las 11:40 a.m., un trabajador de la empresa contratista SC Ingeniería y Construcción, con el puesto de operario, sufrió un accidente mientras realizaba el alineamiento de la estructura aérea de los soportes de enfriamiento de panetones, utilizando un manlift en el área de envasado._x000a_Durante la actividad de limpieza mecánica, restos de polvo metálico quedaron en su careta de protección; al levantarse la careta facial, una esquirla metálica le cae en el ojo izquierdo. El trabajador fue trasladado inmediatamente al tópico para atención inicial y, posteriormente, derivado a la clínica Internacional, donde se le diagnosticó la presencia de un cuerpo extraño en el ojo."/>
    <x v="12"/>
    <n v="1"/>
    <x v="18"/>
    <m/>
    <x v="0"/>
    <s v="ACTO INSEGURO"/>
    <s v="T2"/>
    <m/>
  </r>
  <r>
    <m/>
    <x v="0"/>
    <s v="SUPPLY CHAIN"/>
    <x v="1"/>
    <x v="11"/>
    <x v="16"/>
    <s v="INSUMOS"/>
    <x v="25"/>
    <m/>
    <s v="DÍA"/>
    <s v="jueves"/>
    <m/>
    <m/>
    <m/>
    <m/>
    <m/>
    <m/>
    <m/>
    <x v="0"/>
    <s v="AGROINDUSTRIA SAN ANTONIO  S.R.L"/>
    <s v="Contratista"/>
    <s v="09:37am Se realiza el 1er pesaje y se percata que el motor no arrancaba.​_x000a_09:44am El conductor decide levantar la cabina, posarse debajo e intervenir.​_x000a_09:53am El Balancero observa que la unidad sigue estacionada, sale de la oficina, detecta el acto subestándar y decide abordar al conductor indicando que no debe realizar ninguna intervención.​_x000a_09:58am El Balancero vuelve a salir de la oficina  y nuevamente detecta que el conductor está manipulando el purgador de combustible, lo aborda nuevamente indicando que no debe intervenir. En ese instante se percata que la mano derecha del conductor tenía una lesión por quemadura. ​_x000a_10:10am El equipo de Vigilancia llega a la zona de la incidencia y deciden llamar a la Ambulancia + SSOMA.​_x000a_10:34am El conductor fue trasladado inmediatamente al tópico para atención inicial y, posteriormente, derivado a la clínica San Gabriel, donde se le diagnosticó quemaduras en muñeca y mano derecha de 1er y 2do grado. (DM 03 días)"/>
    <x v="9"/>
    <n v="17"/>
    <x v="14"/>
    <m/>
    <x v="12"/>
    <s v="ACTO INSEGURO"/>
    <s v="T2"/>
    <m/>
  </r>
  <r>
    <m/>
    <x v="3"/>
    <s v="SUPPLY CHAIN"/>
    <x v="0"/>
    <x v="0"/>
    <x v="17"/>
    <s v="GLOBAL PLANTA"/>
    <x v="25"/>
    <m/>
    <s v="TARDE"/>
    <s v="jueves"/>
    <m/>
    <m/>
    <m/>
    <m/>
    <m/>
    <m/>
    <m/>
    <x v="0"/>
    <s v="Masterbread"/>
    <s v="PROPIO"/>
    <s v="El operador de envasado estaba realizando la limpieza del eje portabobina en la envasadora 14 y al momento de desactivar el freno neumático el eje del portabobina no salía con facilidad de su posición, por lo cual activa y desactiva nuevamente el freno. El operador intenta retirar el freno manualmente y en ese momento  el eje sale de su posición cayendo e impactando sobre el empeine del pie izquierdo del operador. "/>
    <x v="13"/>
    <n v="4"/>
    <x v="19"/>
    <m/>
    <x v="0"/>
    <s v="ACTO INSEGURO"/>
    <s v="T2"/>
    <m/>
  </r>
  <r>
    <m/>
    <x v="1"/>
    <s v="SUPPLY CHAIN"/>
    <x v="0"/>
    <x v="3"/>
    <x v="7"/>
    <s v="LURÍN 4"/>
    <x v="26"/>
    <m/>
    <s v="DÍA"/>
    <s v="viernes"/>
    <m/>
    <m/>
    <m/>
    <m/>
    <m/>
    <m/>
    <m/>
    <x v="0"/>
    <s v="INTRADEVCO"/>
    <s v="PROPIO"/>
    <s v="Aproximadamente a las 10:45 am un operario del área de envasado se encontraba laborando en la maquina Intrapack #18. Detiene el equipo para hacer regulaciones del mismo, antes de reiniciar operaciones se percata de que una bolsita iba a ingresar de forma incorrecta a la mordaza de sellado, en ese momento introduce la mano izquierda para guiar la bolsa de forma correcta y con la mano derecha activa la secuencia de arranque. No retira la mano izquierda, la cual es jalada por la bolsa y atrapada por la mordaza de sellado. _x000a_ _x000a_El trabajador fue trasladado al tópico para ser atendido, y posteriormente evacuado a la clínica San Pablo para recibir atención especializada."/>
    <x v="6"/>
    <n v="54"/>
    <x v="0"/>
    <m/>
    <x v="6"/>
    <s v="ACTO INSEGURO"/>
    <s v="T2"/>
    <m/>
  </r>
  <r>
    <m/>
    <x v="0"/>
    <s v="SUPPLY CHAIN"/>
    <x v="1"/>
    <x v="5"/>
    <x v="8"/>
    <s v="CD HUACHIPA"/>
    <x v="27"/>
    <m/>
    <s v="DÍA"/>
    <s v="jueves"/>
    <m/>
    <m/>
    <m/>
    <m/>
    <m/>
    <m/>
    <m/>
    <x v="0"/>
    <s v="ALICORP S.A.A"/>
    <s v="PROPIO"/>
    <s v="El operador de Order Picker se encontraba realizando una tarea de picking, decide manipular un pallet sin protección de manos y  en ese instante su dedo entra en contacto con un clavo que sobresalía del pallet, generando una  lesión punzocortante en el el dedo medio de la mano derecha._x000a_Se le brindó primeros auxilios en el CD en coordinación con la central de emergencias."/>
    <x v="6"/>
    <n v="1"/>
    <x v="10"/>
    <m/>
    <x v="13"/>
    <s v="CONDICIÓN INSEGURA"/>
    <s v="T2"/>
    <m/>
  </r>
  <r>
    <m/>
    <x v="0"/>
    <s v="SUPPLY CHAIN"/>
    <x v="0"/>
    <x v="4"/>
    <x v="5"/>
    <s v="SALSAS"/>
    <x v="28"/>
    <m/>
    <s v="TARDE"/>
    <s v="sábado"/>
    <m/>
    <m/>
    <m/>
    <m/>
    <m/>
    <m/>
    <m/>
    <x v="0"/>
    <s v="ALICORP S.A.A"/>
    <s v="PROPIO"/>
    <s v="Durante el 1er turno se  reportan problemas de flujo con la línea de producción. A la 1:00 p.m.  el equipo de mantenimiento  interviene la línea a fin de identificar el problema ._x000a_A las 3:10 p.m. el mecánico de turno retira el clamp de la tubería provocando la liberación presurizada de producto caliente (Smoky Heat), el cual alcanzó a cinco colaboradores: Tres técnicos de mantenimiento y dos operarios de producción (empresa Prolabora)._x000a_Se derivo al centro médico a 02 colaboradores (1 Tec. Mantto y 01 OP)"/>
    <x v="9"/>
    <n v="16"/>
    <x v="20"/>
    <m/>
    <x v="14"/>
    <s v="CONDICIÓN INSEGURA"/>
    <s v="T2"/>
    <m/>
  </r>
  <r>
    <m/>
    <x v="0"/>
    <s v="SUPPLY CHAIN"/>
    <x v="0"/>
    <x v="4"/>
    <x v="5"/>
    <s v="SALSAS"/>
    <x v="28"/>
    <m/>
    <s v="TARDE"/>
    <s v="sábado"/>
    <m/>
    <m/>
    <m/>
    <m/>
    <m/>
    <m/>
    <m/>
    <x v="0"/>
    <s v="PROLABORA"/>
    <s v="Service"/>
    <s v="Durante el 1er turno se  reportan problemas de flujo con la línea de producción. A la 1:00 p.m.  el equipo de mantenimiento  interviene la línea a fin de identificar el problema ._x000a_A las 3:10 p.m. el mecánico de turno retira el clamp de la tubería provocando la liberación presurizada de producto caliente (Smoky Heat), el cual alcanzó a cinco colaboradores: Tres técnicos de mantenimiento y dos operarios de producción (empresa Prolabora)._x000a_Se derivo al centro médico a 02 colaboradores (1 Tec. Mantto y 01 OP)"/>
    <x v="9"/>
    <n v="2"/>
    <x v="20"/>
    <m/>
    <x v="14"/>
    <s v="CONDICIÓN INSEGURA"/>
    <s v="T2"/>
    <m/>
  </r>
  <r>
    <m/>
    <x v="0"/>
    <s v="ADMINISTRACIÓN"/>
    <x v="2"/>
    <x v="9"/>
    <x v="18"/>
    <s v="EDIFICIO MIRAFLORES"/>
    <x v="29"/>
    <m/>
    <s v="DÍA"/>
    <s v="lunes"/>
    <m/>
    <m/>
    <m/>
    <m/>
    <m/>
    <m/>
    <m/>
    <x v="0"/>
    <s v="ALICORP S.A.A"/>
    <s v="PROPIO"/>
    <s v="En circunstancias que colaboradora se encontraba en la sala de juegos del Piso 10, al levantarse del mueble y bajar el primer peldaño, sufre una caída, generando una torcedura en el tobillo del pie derecho."/>
    <x v="3"/>
    <n v="42"/>
    <x v="21"/>
    <m/>
    <x v="0"/>
    <s v="ACTO INSEGURO"/>
    <s v="T2"/>
    <m/>
  </r>
  <r>
    <m/>
    <x v="0"/>
    <s v="SUPPLY CHAIN"/>
    <x v="0"/>
    <x v="7"/>
    <x v="19"/>
    <s v="AREQUIPA"/>
    <x v="29"/>
    <m/>
    <s v="DÍA"/>
    <s v="lunes"/>
    <m/>
    <m/>
    <m/>
    <m/>
    <m/>
    <m/>
    <m/>
    <x v="0"/>
    <s v="ALICORP S.A.A"/>
    <s v="PROPIO"/>
    <s v="El lunes 19 de mayo de 2025, el trabajador manifestó que se encontraba realizando labores de limpieza en la zona ubicada debajo del carrusel, sin portar casco de seguridad. Durante dicha actividad, al levantar la cabeza, se golpeó con una superficie metálica, lo que le ocasionó una lesión en la cabeza._x000a__x000a_Ante el accidente, el trabajador informó de inmediato a su coordinador, quien activó el protocolo correspondiente, contactando a la central de emergencias. Posteriormente, el trabajador fue trasladado al centro médico para su atención."/>
    <x v="13"/>
    <n v="1"/>
    <x v="22"/>
    <m/>
    <x v="4"/>
    <s v="ACTO INSEGURO"/>
    <s v="T2"/>
    <m/>
  </r>
  <r>
    <m/>
    <x v="0"/>
    <s v="SUPPLY CHAIN"/>
    <x v="1"/>
    <x v="12"/>
    <x v="9"/>
    <s v="APT MCA"/>
    <x v="30"/>
    <m/>
    <s v="DÍA"/>
    <s v="martes"/>
    <m/>
    <m/>
    <m/>
    <m/>
    <m/>
    <m/>
    <m/>
    <x v="0"/>
    <s v="ALTELIZA SAC"/>
    <s v="Tercero - Limpieza"/>
    <s v="Aproximadamente a las 14:50h, el operario de Alteliza,  estaba realizando la limpieza de las paletas usando los EPP respectivos, en un instante decide  deslizar la paleta que se encontraba en la parte superior(5ta posición), esta cae en el piso y le rebota en el pie izquierdo._x000a__x000a_Se llamo a la ambulancia donde fue evaluado por el personal médico de cardio móvil, posteriormente fue dirigido a la clínica San Gabriel acompañado por el Supervisor de SSOMA de Alteliza  y JT de turno."/>
    <x v="13"/>
    <n v="8"/>
    <x v="7"/>
    <m/>
    <x v="0"/>
    <s v="ACTO INSEGURO"/>
    <s v="T2"/>
    <m/>
  </r>
  <r>
    <m/>
    <x v="1"/>
    <s v="SUPPLY CHAIN"/>
    <x v="0"/>
    <x v="3"/>
    <x v="6"/>
    <s v="LURIN 2"/>
    <x v="30"/>
    <m/>
    <s v="DÍA"/>
    <s v="martes"/>
    <m/>
    <m/>
    <m/>
    <m/>
    <m/>
    <m/>
    <m/>
    <x v="0"/>
    <s v="OUTSOURCING"/>
    <s v="Service"/>
    <s v="Alrededor de la 1:00 pm, la colaboradora retornaba a su puesto de trabajo luego del refrigerio e inició la colocación de sus EPPs. Al notar que requería renovar sus guantes, se acercó al escritorio de la supervisora del área y durante su retorno por la escalera de la línea de envasado, perdió el equilibrio y cayó desde el cuarto escalón._x000a__x000a_De acuerdo con su declaración, la colaboradora se desplazaba sin sujetarse del pasamanos y llevaba el mandil no sujeto."/>
    <x v="13"/>
    <n v="20"/>
    <x v="5"/>
    <m/>
    <x v="0"/>
    <s v="ACTO INSEGURO"/>
    <s v="T2"/>
    <m/>
  </r>
  <r>
    <m/>
    <x v="0"/>
    <s v="SUPPLY CHAIN"/>
    <x v="0"/>
    <x v="7"/>
    <x v="9"/>
    <s v="MCA"/>
    <x v="31"/>
    <m/>
    <s v="NOCHE"/>
    <s v="sábado"/>
    <m/>
    <m/>
    <m/>
    <m/>
    <m/>
    <m/>
    <m/>
    <x v="0"/>
    <s v="ALICORP S.A.A"/>
    <s v="PROPIO"/>
    <s v=" Siendo las 5:00 a.m. el operador 1 de molino procede a realizar limpieza de área en el primer piso de Molino, el trabajador percibe el olor del gas fosfamina proveniente de una ruma fumigada.​_x000a_Procede avisar al monitor de producción quien activa el protocolo de emergencia. La ambulancia Cardiomóvil se acerca al lugar para su evaluación y luego de ello se decide llevarlo a la clínica San Gabriel, donde queda internado para el monitoreo respectivo.​_x000a_Actualmente el colaborador continúa internado."/>
    <x v="11"/>
    <n v="13"/>
    <x v="6"/>
    <m/>
    <x v="15"/>
    <s v="CONDICIÓN INSEGURA"/>
    <s v="T2"/>
    <m/>
  </r>
  <r>
    <m/>
    <x v="0"/>
    <s v="SUPPLY CHAIN"/>
    <x v="0"/>
    <x v="7"/>
    <x v="20"/>
    <s v="AREQUIPA"/>
    <x v="32"/>
    <m/>
    <s v="NOCHE"/>
    <s v="lunes"/>
    <m/>
    <m/>
    <m/>
    <m/>
    <m/>
    <m/>
    <m/>
    <x v="0"/>
    <s v="ALICORP S.A.A"/>
    <s v="PROPIO"/>
    <s v="El trabajador procedió a colocar la artesa en la mezcladora 1. Posteriormente, bajó la guarda y accionó el movimiento de las hélices desde el tablero de control. Al acercarse a la máquina, cuando la hélice comenzó a bajar hacia la artesa, el trabajador acercó la mano al eje de la hélice y sufrió un atrapamiento entre la base de la hélice y la superficie de la guarda. Al percibir el atrapamiento, el trabajador solicitó ayuda a sus dos compañeros que se encontraban cerca. Estos procedieron a presionar la parada de emergencia y, posteriormente, el botón de elevación, lo que permitió liberar la mano del trabajador."/>
    <x v="13"/>
    <n v="13"/>
    <x v="23"/>
    <m/>
    <x v="0"/>
    <s v="ACTO INSEGURO"/>
    <s v="T2"/>
    <m/>
  </r>
  <r>
    <m/>
    <x v="0"/>
    <s v="SUPPLY CHAIN"/>
    <x v="1"/>
    <x v="5"/>
    <x v="21"/>
    <s v="Latam 600"/>
    <x v="33"/>
    <m/>
    <s v="DÍA"/>
    <s v="martes"/>
    <m/>
    <m/>
    <m/>
    <m/>
    <m/>
    <m/>
    <m/>
    <x v="0"/>
    <s v="ALICORP S.A.A"/>
    <s v="PROPIO"/>
    <s v="Minutos antes de culminar y relevar el turno, todo el personal realiza el ordenamiento   de almacén para el inicio de operaciones de la siguiente jornada._x000a_ El colaborador involucrado, se encontraba realizando la limpieza de sus pasillos (23 - 24), bajó del equipo para ordenar la ubicación y tomó la decisión de manipular el order picker fuera del mismo, operación no regular. Debido al uso incorrecto del equipo , no mide el espacio y rango de movimiento, sufrió el atrapamiento de su pie derecho contra el rack en la curva del pasillo._x000a_Inmediatamente se activó el personal de brigadas para poder auxiliar e inmovilizar al colaborador hasta la llegada de la ambulancia._x000a_El trabajador fue derivado a la clínica San Gabriel de surco, donde fue atendido. "/>
    <x v="14"/>
    <n v="40"/>
    <x v="1"/>
    <m/>
    <x v="0"/>
    <s v="ACTO INSEGURO"/>
    <s v="T2"/>
    <m/>
  </r>
  <r>
    <m/>
    <x v="0"/>
    <s v="SUPPLY CHAIN"/>
    <x v="1"/>
    <x v="13"/>
    <x v="5"/>
    <s v="Transportes"/>
    <x v="34"/>
    <m/>
    <s v="DÍA"/>
    <s v="lunes"/>
    <m/>
    <m/>
    <m/>
    <m/>
    <m/>
    <m/>
    <m/>
    <x v="0"/>
    <s v="Transportes Lindsay"/>
    <s v="Tercero - Transportes"/>
    <s v="El 16/06 aproximadamente a las 12:30 pm se reportó accidente incapacitante en la zona de carga de cisternas de COPSA, donde el conductor Raymundo Ticlavilca Huere de la empresa de transportes Lindsay con 65 años de edad, se tropieza con una de las bases de fierro de los topes de estacionamiento. Al caer, coloca las manos; sin embargo, con la caída el casco golpea el piso y a su vez golpea la frente del conductor._x000a_El conductor fue auxiliado rápidamente por su compañero de trabajo y personal Alicorp, atendido en el tópico y luego derivado a la clínica donde le dieron 2 días de descanso médico. Se procede con la investigación del evento."/>
    <x v="13"/>
    <n v="1"/>
    <x v="24"/>
    <m/>
    <x v="0"/>
    <s v="ACTO INSEGURO"/>
    <s v="T2"/>
    <m/>
  </r>
  <r>
    <m/>
    <x v="1"/>
    <s v="SUPPLY CHAIN"/>
    <x v="0"/>
    <x v="3"/>
    <x v="14"/>
    <s v="LURÍN 5"/>
    <x v="35"/>
    <m/>
    <s v="TARDE"/>
    <s v="martes"/>
    <m/>
    <m/>
    <m/>
    <m/>
    <m/>
    <m/>
    <m/>
    <x v="0"/>
    <s v="INTRADEVCO"/>
    <s v="PROPIO"/>
    <s v="A las 4:00 p.m., el maquinista de producción del área de litografía estaba tomando una muestra de lámina de hojalata para verificar los parámetros de color. Al momento de reponer la lámina en el transportador auxiliar, la colocó de tal forma que un extremo chocó contra parte del sistema de transporte, provocando un rebote que impactó directamente en su rostro, causándole un corte a la altura de la nariz._x000a_Inmediatamente, recibió atención en el tópico de planta Lurín 5 y, posteriormente, fue trasladado a la clínica San Pablo para atención médica. Se le otorga 5 días de descanso médico, posteriormente se le amplia a 4 días mas. "/>
    <x v="6"/>
    <n v="10"/>
    <x v="10"/>
    <m/>
    <x v="16"/>
    <s v="CONDICIÓN INSEGURA"/>
    <s v="T2"/>
    <m/>
  </r>
  <r>
    <m/>
    <x v="0"/>
    <s v="SUPPLY CHAIN"/>
    <x v="0"/>
    <x v="4"/>
    <x v="5"/>
    <s v="REFINERÍA"/>
    <x v="36"/>
    <m/>
    <s v="DÍA"/>
    <s v="sábado"/>
    <m/>
    <m/>
    <m/>
    <m/>
    <m/>
    <m/>
    <m/>
    <x v="0"/>
    <s v="SSAYS SAC"/>
    <s v="Contratista"/>
    <s v="El día 28/06, aproximadamente a las 12:00 p.m., personal de la empresa SSAYS se encontraba realizando labores de limpieza de canaletas en la zona de los DEOS. Durante el proceso de recolección manual de residuos sólidos acumulados en las canaletas, una operadora de limpieza sufrió una lesión en el dedo anular de la mano izquierda._x000a_La trabajadora estaba utilizando equipo de protección personal para la tarea, incluyendo guantes de nitrilo y guantes anticorte. Sin embargo, al manipular los residuos con un recogedor y sus manos, sintió una punzada en el dedo. Al inspeccionar la lesión, se identificó que un alambre metálico se le había incrustado a través de los guantes."/>
    <x v="6"/>
    <n v="6"/>
    <x v="25"/>
    <m/>
    <x v="17"/>
    <s v="CONDICIÓN INSEGURA"/>
    <s v="T2"/>
    <m/>
  </r>
  <r>
    <m/>
    <x v="0"/>
    <s v="SUPPLY CHAIN"/>
    <x v="0"/>
    <x v="0"/>
    <x v="15"/>
    <s v="PANETONES"/>
    <x v="37"/>
    <m/>
    <s v="DÍA"/>
    <s v="lunes"/>
    <m/>
    <m/>
    <m/>
    <m/>
    <m/>
    <m/>
    <m/>
    <x v="0"/>
    <s v="ALICORP S.A.A"/>
    <s v="PROPIO"/>
    <s v="El colaborador Kenneth Leon, se dirigía a los vestuarios del CDC asignado al personal de Panetones; en esas circunstancias, bajando las escaleras se resbala debido al piso mojado y para no caer se sujeta de la baranda; la cual también se encontraba mojada y es en ese instante que sufre la torcedura de la muñeca._x000a_Inmediatamente se traslada al tópico para los primeros auxilios."/>
    <x v="3"/>
    <n v="15"/>
    <x v="5"/>
    <m/>
    <x v="18"/>
    <s v="ACTO INSEGURO"/>
    <s v="T2"/>
    <m/>
  </r>
  <r>
    <m/>
    <x v="2"/>
    <s v="SUPPLY CHAIN"/>
    <x v="1"/>
    <x v="8"/>
    <x v="22"/>
    <s v="CD/APT Bolivia"/>
    <x v="38"/>
    <m/>
    <s v="DÍA"/>
    <s v="sábado"/>
    <m/>
    <m/>
    <m/>
    <m/>
    <m/>
    <m/>
    <m/>
    <x v="0"/>
    <s v="ALICORP_BOLIVIA"/>
    <s v="PROPIO"/>
    <s v="El sábado 5 de julio alrededor de las 14:45, durante la operación de traslado de producto desde envasado hacia el Almacén de Producto Terminado, un colaborador que conducía un tractor con chata por la avenida 2 detuvo su marcha para dar paso a una cisterna de aceite crudo de soya que ingresaba a planta para el correspondiente descarguío._x000a_En ese momento, la llanta trasera interna del carro cisterna reventó generando una explosión causando una onda expansiva acompañada de una nube de polvo y partículas, alcanzando al rostro del colaborador y provocando un dolor y zumbido en el oído del trabajador (montacarguista). El colaborador se encontraba utilizando adecuadamente sus elementos de protección personal: casco, lentes de seguridad y protección auditiva._x000a__x000a_Se activaron los protocolos de atención y se derivó al colaborador a emergencia del Policlínico Cordes Quillacollo para una atención médica, concluyendo con el diagnóstico de trauma acústico._x000a_El evento se encuentra actualmente en proceso de investigación y análisis para la implementación de las medidas correctivas correspondientes."/>
    <x v="15"/>
    <n v="3"/>
    <x v="14"/>
    <m/>
    <x v="9"/>
    <s v="CONDICIÓN INSEGURA"/>
    <s v="T3"/>
    <m/>
  </r>
  <r>
    <m/>
    <x v="1"/>
    <s v="SUPPLY CHAIN"/>
    <x v="0"/>
    <x v="3"/>
    <x v="4"/>
    <s v="CHORRILLOS"/>
    <x v="39"/>
    <m/>
    <s v="DÍA"/>
    <s v="jueves"/>
    <m/>
    <m/>
    <m/>
    <m/>
    <m/>
    <m/>
    <m/>
    <x v="0"/>
    <s v="INTRADEVCO"/>
    <s v="PROPIO"/>
    <s v="El jueves 17/07 aproximadamente a las 08:30 h dos colaboradores del área de producción decidieron trasladar un tecle móvil en desuso hacia la planta de plásticos, esto a pedido de un compañero del área. Al ver que el equipo era más alto que el pasadizo por donde iban a trasladarlo deciden inclinarlo, ello originó que un componente metálico del equipo se desprenda y caiga sobre la cabeza de un colaborador._x000a__x000a_El colaborador afectado fue trasladado al tópico y posteriormente a la Clínica San Pablo para recibir atención especializada."/>
    <x v="16"/>
    <n v="7"/>
    <x v="2"/>
    <m/>
    <x v="17"/>
    <s v="ACTO INSEGURO"/>
    <s v="T3"/>
    <m/>
  </r>
  <r>
    <m/>
    <x v="1"/>
    <s v="ADMINISTRACIÓN"/>
    <x v="2"/>
    <x v="9"/>
    <x v="23"/>
    <s v="LURÍN 2"/>
    <x v="40"/>
    <m/>
    <s v="DÍA"/>
    <s v="lunes"/>
    <m/>
    <m/>
    <m/>
    <m/>
    <m/>
    <m/>
    <m/>
    <x v="0"/>
    <s v="ALTELIZA SAC"/>
    <s v="Tercero - Limpieza"/>
    <s v="Aproximadamente a las 07:40, un colaborador de la empresa Alteliza se encontraba realizando la limpieza del pasadizo, producto de la rotura de una tubería de la planta de tratamiento de agua. Mientras realizaba la labor de limpieza y secado de la zona, al momento de retroceder se resbala y su pierna ingresa en el buzón ya que por el nivel de agua no se visualizaba la ubicación. Inmediatamente se retira de la zona hacia tópico, para posteriormente ser derivado a la clínica para recibir atención especializada."/>
    <x v="13"/>
    <n v="3"/>
    <x v="26"/>
    <m/>
    <x v="19"/>
    <s v="CONDICIÓN INSEGURA"/>
    <s v="T3"/>
    <m/>
  </r>
  <r>
    <m/>
    <x v="0"/>
    <s v="SUPPLY CHAIN"/>
    <x v="1"/>
    <x v="12"/>
    <x v="24"/>
    <s v="MCA"/>
    <x v="41"/>
    <m/>
    <s v="DÍA"/>
    <s v="martes"/>
    <m/>
    <m/>
    <m/>
    <m/>
    <m/>
    <m/>
    <m/>
    <x v="0"/>
    <s v="LÍNEA VERTICAL"/>
    <s v="Contratista"/>
    <s v="Aproximadamente a las 12.15 p.m, el colaborador de Línea Vertical con 7 meses 18 días laborando y 9 años de_x000a_experiencia como técnico vertical; habiendo terminado sus labores en el APT (limpieza de techos), se dirige a los_x000a_vestuarios. Luego se retira tocando la puerta con la mano derecha sobre el vidrio, ocasionando que se rompa y_x000a_produciendo cortes en la mano derecha. Se llamo a la ambulancia donde fue evaluado por el personal médico de cardio móvil, posteriormente fue dirigido a la clínica Auna Bellavista acompañado por el Supervisor de Soma de Línea Vertical y JT de turno."/>
    <x v="6"/>
    <n v="18"/>
    <x v="10"/>
    <m/>
    <x v="20"/>
    <s v="CONDICIÓN INSEGURA"/>
    <s v="T3"/>
    <m/>
  </r>
  <r>
    <m/>
    <x v="0"/>
    <s v="SUPPLY CHAIN"/>
    <x v="2"/>
    <x v="2"/>
    <x v="10"/>
    <s v="Acopio"/>
    <x v="42"/>
    <m/>
    <s v="DÍA"/>
    <s v="sábado"/>
    <m/>
    <m/>
    <m/>
    <m/>
    <m/>
    <m/>
    <m/>
    <x v="0"/>
    <s v="BIOTEK GROUP"/>
    <s v="Contratista"/>
    <s v="Un colaborador de la empresa Biotek Group S.A.C., se desplazaba por el ingreso al almacén de productos no conformes y al mismo tiempo revisando su celular para realizar las coordinaciones administrativas de venta de residuos y cuando estaba por cruzar la puerta del portón se tropezó con el marco, que tuvo como consecuencia la pérdida del equilibrio provocando una caída al mismo nivel. De manera inmediata, se notificó al personal SSOMA de turno para atender la emergencia y fue asistido por la ambulancia, siendo trasladado al tópico."/>
    <x v="10"/>
    <n v="47"/>
    <x v="5"/>
    <m/>
    <x v="0"/>
    <s v="ACTO INSEGURO"/>
    <s v="T3"/>
    <m/>
  </r>
  <r>
    <m/>
    <x v="0"/>
    <s v="SUPPLY CHAIN"/>
    <x v="0"/>
    <x v="7"/>
    <x v="20"/>
    <s v="AREQUIPA"/>
    <x v="43"/>
    <m/>
    <s v="DÍA"/>
    <s v="martes"/>
    <m/>
    <m/>
    <m/>
    <m/>
    <m/>
    <m/>
    <m/>
    <x v="0"/>
    <s v="ALICORP S.A.A"/>
    <s v="PROPIO"/>
    <s v="El mecánico de mantenimiento se dirigió al área de elaboración para atender un reporte de trabamiento en el sistema de apertura de la puerta de la mezcladora N°3._x000b_En una primera revisión superficial logró ponerla en funcionamiento sin necesidad de realizar una intervención mayor; sin embargo, minutos después se reportó nuevamente el mismo problema._x000a_Al inspeccionar nuevamente el sistema, el mecánico identificó una falla en el reductor del accionamiento de la puerta, por lo que, en coordinación con personal de producción, se decidió desacoplar la parte mecánica de transmisión e intentar realizar el destrabe de forma manual. Para ello, el trabajador utilizó una llave stilson, con la finalidad de ejercer fuerza sobre el eje del sistema y lograr la apertura de la tolva, a fin de retirar la masa que había quedado retenida en su interior._x000a__x000a_Durante la maniobra, al aplicar fuerza con la llave stilson sobre el eje, la energía mecánica residual se liberó, lo que generó un golpe con una parte metálica en el tercer dedo de la mano del trabajador."/>
    <x v="6"/>
    <n v="2"/>
    <x v="27"/>
    <m/>
    <x v="17"/>
    <s v="ACTO INSEGURO"/>
    <s v="T3"/>
    <m/>
  </r>
  <r>
    <m/>
    <x v="1"/>
    <s v="SUPPLY CHAIN"/>
    <x v="0"/>
    <x v="3"/>
    <x v="7"/>
    <s v="LURÍN 4"/>
    <x v="44"/>
    <m/>
    <s v="DÍA"/>
    <s v="miércoles"/>
    <m/>
    <m/>
    <m/>
    <m/>
    <m/>
    <m/>
    <m/>
    <x v="0"/>
    <s v="INTRADEVCO"/>
    <s v="PROPIO"/>
    <s v="Aproximadamente a las 14:00 h un colaborador del área de producción se dirigió al 4to piso (zona de escapes) para iniciar labores de limpieza de fin de producción. Como parte del inicio de la actividad procedió con la apertura de la compuerta de un hidrociclón: Retira el 1er seguro y lo deja en el piso, luego retira el 2do seguro y es colocado en la misma ubicación, al momento de reincorporarse, la compuerta se abre generándole un golpe en el rostro (parte izquierda). En el momento del accidente el colaborador se encontraba con los equipos de protección personal colocados (botas, traje de protección, guantes, lentes de seguridad)._x000a_El trabajador afectado fue trasladado al tópico y posteriormente a la Clínica San Pablo para recibir atención especializada."/>
    <x v="16"/>
    <n v="7"/>
    <x v="16"/>
    <m/>
    <x v="18"/>
    <s v="ACTO INSEGURO"/>
    <s v="T3"/>
    <m/>
  </r>
  <r>
    <m/>
    <x v="0"/>
    <s v="SUPPLY CHAIN"/>
    <x v="0"/>
    <x v="7"/>
    <x v="25"/>
    <s v="MOLINO FAUCETT"/>
    <x v="45"/>
    <m/>
    <s v="DÍA"/>
    <s v="martes"/>
    <m/>
    <m/>
    <m/>
    <m/>
    <m/>
    <m/>
    <m/>
    <x v="0"/>
    <s v="SMAL"/>
    <s v="Contratista"/>
    <s v="Aproximadamente a las 10:40am el trabajador de la empresa SMAL se encontraba prestando servicio de mantenimiento correctivo en el banco de cilindros D1.​_x000a_Se desplaza por el pasadizo colindante del banco de cilindros doble T1/T2 (el cual producto de un atoro en el T1 estaba siendo inspeccionado por los coordinadores de mantenimiento y producción), es en ese momento donde sufre un atrapamiento de su mano izquierda en el T2."/>
    <x v="17"/>
    <n v="1140"/>
    <x v="28"/>
    <m/>
    <x v="17"/>
    <s v="ACTO INSEGURO"/>
    <s v="T3"/>
    <m/>
  </r>
  <r>
    <m/>
    <x v="0"/>
    <s v="SUPPLY CHAIN"/>
    <x v="0"/>
    <x v="4"/>
    <x v="5"/>
    <s v="REFINERÍA"/>
    <x v="46"/>
    <m/>
    <s v="DÍA"/>
    <s v="lunes"/>
    <m/>
    <m/>
    <m/>
    <m/>
    <m/>
    <m/>
    <m/>
    <x v="0"/>
    <s v="SSAYS SAC"/>
    <s v="Contratista"/>
    <s v="A las 11:00 a.m., una colaboradora de la empresa SSAYS se encontraba realizando labores de limpieza en la línea de ingreso de aceite desodorizado al intercambiador 881A, utilizando un escobillón. Durante la actividad, se produjo la apertura accidental de la válvula de acceso al sistema de lavado químico del intercambiador de calor.​_x000a__x000a_Dicha tubería contenía grasa desodorizada a una temperatura entre 100 °C y 110 °C. El punto de contacto no contaba con un cierre físico que impidiera el acceso o la manipulación accidental."/>
    <x v="18"/>
    <n v="3"/>
    <x v="29"/>
    <m/>
    <x v="17"/>
    <s v="CONDICIÓN INSEGURA"/>
    <s v="T3"/>
    <m/>
  </r>
  <r>
    <m/>
    <x v="0"/>
    <s v="SUPPLY CHAIN"/>
    <x v="1"/>
    <x v="1"/>
    <x v="26"/>
    <s v="APT FARINACEOS"/>
    <x v="47"/>
    <m/>
    <s v="DÍA"/>
    <s v="jueves"/>
    <m/>
    <m/>
    <m/>
    <m/>
    <m/>
    <m/>
    <m/>
    <x v="0"/>
    <s v="ALICORP S.A.A"/>
    <s v="PROPIO"/>
    <s v="El colaborador se encontraba en su equipo logístico (ETV) cruzando el patio de maniobras de Galletas hacia Fideería, cuando sintió que un objeto extraño ingresó a su ojo derecho. Se dirigió al tópico y debido a que la molestia persistía fue derivado a la clínica."/>
    <x v="19"/>
    <n v="2"/>
    <x v="30"/>
    <m/>
    <x v="17"/>
    <s v="ACTO INSEGURO"/>
    <s v="T3"/>
    <m/>
  </r>
  <r>
    <m/>
    <x v="1"/>
    <s v="SUPPLY CHAIN"/>
    <x v="2"/>
    <x v="10"/>
    <x v="6"/>
    <s v="LURIN 2"/>
    <x v="48"/>
    <m/>
    <s v="DÍA"/>
    <s v="martes"/>
    <m/>
    <m/>
    <m/>
    <m/>
    <m/>
    <m/>
    <m/>
    <x v="0"/>
    <s v="Consulting Advisers"/>
    <s v="Service"/>
    <s v="El 27-Set. previa planificación con el coordinador de planta y sin personal de producción en el área, se ejecutaron los trabajos de abertura de pared de drywall para puerta de acceso en limpiatodo.​_x000a__x000a_El 30-Set. personal de CJ CONTRATISTA retorna al lugar a culminar el resane de perfil de la puerta, con ATS y sin coordinar la actividad, procede a realizar picado del suelo llegando a proyectar una partícula en el ojo izquierdo de colaborador de la empresa CONSULTING de producción."/>
    <x v="19"/>
    <n v="12"/>
    <x v="31"/>
    <m/>
    <x v="17"/>
    <s v="CONDICIÓN INSEGURA"/>
    <s v="T3"/>
    <m/>
  </r>
  <r>
    <m/>
    <x v="2"/>
    <s v="SUPPLY CHAIN"/>
    <x v="0"/>
    <x v="4"/>
    <x v="22"/>
    <s v="CD/APT Bolivia"/>
    <x v="49"/>
    <m/>
    <s v="DÍA"/>
    <s v="lunes"/>
    <m/>
    <m/>
    <m/>
    <m/>
    <m/>
    <m/>
    <m/>
    <x v="0"/>
    <s v="ALICORP_BOLIVIA"/>
    <s v="PROPIO"/>
    <s v="El día lunes 06 de octubre de 2025 a horas 23:10 pm, en línea de envasado de aceite (FINOPET), se produjo filtración de un bidón de aceite (por defecto de fábrica) generando un derrame en el suelo y por tanto una superficie resbalosa, al intentar retirar el bidón, el colaborador sufrió un resbalón que ocasionó una caída, golpeándose la rodilla izquierda contra el suelo, inmediatamente se llevó al colaborador al centro de salud, donde le dieron calmantes, posteriormente el colaborador se retiró a su domicilio, la investigación del accidente se encuentra en curso."/>
    <x v="20"/>
    <n v="6"/>
    <x v="24"/>
    <m/>
    <x v="19"/>
    <m/>
    <s v="T4"/>
    <m/>
  </r>
  <r>
    <m/>
    <x v="1"/>
    <s v="ADMINISTRACIÓN"/>
    <x v="2"/>
    <x v="9"/>
    <x v="6"/>
    <m/>
    <x v="50"/>
    <m/>
    <m/>
    <s v="viernes"/>
    <m/>
    <m/>
    <m/>
    <m/>
    <m/>
    <m/>
    <m/>
    <x v="0"/>
    <s v="ALTELIZA SAC"/>
    <s v="Tercero"/>
    <s v="El día viernes 10 de octubre a las 8:30 am aproximadamente, el Personal Operario de Limpieza se encontraba realizando labores de recolección de residuos en la zona peatonal de la Planta Principal del Patio de Maniobra (Lote 1)._x000a_Mientras recogía basura con una bolsa negra, la trabajadora adoptó una posición que limitó su campo visual, provocando que se tropezara con un tope de llantas de protección. Tras la caída, el peso de su cuerpo recayó sobre su mano derecha, afectando específicamente su dedo índice._x000a_De forma inmediata, la trabajadora fue trasladada al tópico para una evaluación inicial. Se activó el Seguro Complementario de Trabajo de Riesgo (SCTR) para su traslado a la Clínica San Pablo, donde se le diagnosticó una fractura del dedo índice derecho. "/>
    <x v="21"/>
    <n v="17"/>
    <x v="32"/>
    <m/>
    <x v="0"/>
    <s v="ACTO INSEGURO"/>
    <s v="T4"/>
    <m/>
  </r>
  <r>
    <m/>
    <x v="0"/>
    <s v="SUPPLY CHAIN"/>
    <x v="1"/>
    <x v="1"/>
    <x v="27"/>
    <m/>
    <x v="51"/>
    <m/>
    <m/>
    <s v="sábado"/>
    <m/>
    <m/>
    <m/>
    <m/>
    <m/>
    <m/>
    <m/>
    <x v="0"/>
    <s v="ALICORP S.A.A"/>
    <s v="PROPIO"/>
    <s v="07:43pm : Durante el desarrollo del turno 2, el ayudante Alexis se encontraba estacionado con el equipo logístico ERD al costado de una columna, en el pasillo 29.  En ese momento, el ayudante Marco, se acercó caminando, colocándose entre el equipo ERD y apoyándose en el rack para conversar con Alexis.  Al terminar de conversar y continuar sus operaciones, Alexis retrocedió ligeramente el equipo ERD para alinearse en la dirección de salida, en ese instante impacta el equipo ERD contra la pierna de Marco, quien aún se encontraba en la misma posición (entre el equipo ERD y el rack). ​​_x000a_​​El trabajador fue evaluado en el tópico y derivado a la clínica donde le diagnosticó Traumatismo por aplastamiento en la pierna."/>
    <x v="22"/>
    <n v="34"/>
    <x v="1"/>
    <m/>
    <x v="0"/>
    <s v="ACTO INSEGURO"/>
    <s v="T4"/>
    <m/>
  </r>
  <r>
    <m/>
    <x v="0"/>
    <s v="SUPPLY CHAIN"/>
    <x v="0"/>
    <x v="0"/>
    <x v="3"/>
    <m/>
    <x v="52"/>
    <m/>
    <m/>
    <s v="lunes"/>
    <m/>
    <m/>
    <m/>
    <m/>
    <m/>
    <m/>
    <m/>
    <x v="0"/>
    <s v="PROLABORA"/>
    <s v="Tercero"/>
    <s v="El día 13 de octubre, el colaborador de la empresa Prolabora, ingresa a su turno de las 3:00 pm para realizar labores de abastecimiento de azúcar refinada. Tanto el  colaborador accidentado  y su compañero estaban bromeando; en ese contexto le solicita el cutter a su compañero, quién tenía el cutter retráctil sujetada en la mano con el filo expuesto y hace la entrega;  al tomar  el cutter se produce  el corte de su mano derecha.​_x000a_Testimonio 13/10: El colaborador indicó que se realizó en casa, sin embargo a su supervisor si lo reporta el mismo día antes del ingreso a tópico. ​_x000a_Colaborador en tópico reporta que se lo realiza en casa y se deriva a Essalud. "/>
    <x v="23"/>
    <n v="7"/>
    <x v="33"/>
    <m/>
    <x v="0"/>
    <s v="ACTO INSEGURO"/>
    <s v="T4"/>
    <m/>
  </r>
  <r>
    <m/>
    <x v="0"/>
    <s v="SUPPLY CHAIN"/>
    <x v="0"/>
    <x v="7"/>
    <x v="20"/>
    <m/>
    <x v="53"/>
    <m/>
    <m/>
    <s v="jueves"/>
    <m/>
    <m/>
    <m/>
    <m/>
    <m/>
    <m/>
    <m/>
    <x v="0"/>
    <s v="ALICORP S.A.A"/>
    <s v="PROPIO"/>
    <s v="El trabajador se encontraba realizando sus labores en la faja 208, correspondiente a la salida SIG 06._x000a__x000b_Aproximadamente a las 21:30 horas, observó que la máquina SIG 05 presentó una falla. Pensando que dicha falla podría generar congestión en la faja, el trabajador decidió acercarse apresuradamente para presionar la botonera de emergencia y detener la línea._x000b_Durante esta acción, al extender el brazo para alcanzar la botonera, impactó su rodilla contra un selector que sobresalía en la parte frontal del equipo."/>
    <x v="24"/>
    <n v="2"/>
    <x v="34"/>
    <m/>
    <x v="18"/>
    <s v="ACTO INSEGURO"/>
    <s v="T4"/>
    <m/>
  </r>
  <r>
    <m/>
    <x v="0"/>
    <s v="SUPPLY CHAIN"/>
    <x v="0"/>
    <x v="0"/>
    <x v="3"/>
    <m/>
    <x v="54"/>
    <m/>
    <m/>
    <s v="lunes"/>
    <m/>
    <m/>
    <m/>
    <m/>
    <m/>
    <m/>
    <m/>
    <x v="0"/>
    <s v="ALICORP S.A.A"/>
    <s v="PROPIO"/>
    <s v="A las 19:00 horas, en el área de preparación de coberturas, dos operadores realizaban la maniobra de subir un pallet de 820 kg con recorte de cobertura. Durante la maniobra, el operador que jalaba el pallet observó que no podía completar el ascenso, por lo que mencionó a su compañero que iba a bajar a nivel del piso el pallet. En ese momento el operador de la parte posterior tenia su pie izquierdo colocado entre las horquillas del pallet y fue presionado con el pallet con carga. "/>
    <x v="25"/>
    <n v="43"/>
    <x v="35"/>
    <m/>
    <x v="17"/>
    <s v="CONDICIÓN INSEGURA"/>
    <s v="T4"/>
    <m/>
  </r>
  <r>
    <m/>
    <x v="0"/>
    <s v="SUPPLY CHAIN"/>
    <x v="1"/>
    <x v="1"/>
    <x v="9"/>
    <m/>
    <x v="55"/>
    <m/>
    <m/>
    <s v="miércoles"/>
    <m/>
    <m/>
    <m/>
    <m/>
    <m/>
    <m/>
    <m/>
    <x v="0"/>
    <s v="ALICORP S.A.A"/>
    <s v="PROPIO"/>
    <s v="Siendo las 15:15 h, el colaborador del área de Balanzas descendió de su vehículo en el estacionamiento de la planta MCA. Al hacerlo, pisó un hueco en el piso, ocasionándose una torsión en el tobillo izquierdo._x000a__x000a_En ese momento no reportó el hecho ni manifestó dolor inmediato, continuando sus labores con normalidad. Posteriormente, a las 17:33 h, comunicó al analista que su tobillo se había inflamado._x000a__x000a_El colaborador fue derivado a la clínica, donde se diagnosticó esguince y torcedura del tobillo izquierdo, otorgándose 02 días DM y 07 días de alta con restricciones"/>
    <x v="26"/>
    <n v="1"/>
    <x v="36"/>
    <m/>
    <x v="17"/>
    <s v="CONDICIÓN INSEGURA"/>
    <s v="T4"/>
    <m/>
  </r>
  <r>
    <m/>
    <x v="0"/>
    <s v="SUPPLY CHAIN"/>
    <x v="1"/>
    <x v="5"/>
    <x v="20"/>
    <m/>
    <x v="56"/>
    <m/>
    <m/>
    <s v="lunes"/>
    <m/>
    <m/>
    <m/>
    <m/>
    <m/>
    <m/>
    <m/>
    <x v="0"/>
    <s v="IOLSA"/>
    <s v="Tercero"/>
    <s v="Siendo las 22:45 h, el colaborador de la empresa IOLSA realizaba labores de estiba de sacos de harina.  Durante la manipulación de un saco de harina de la cama 7, se desliza un saco de la cama 8 y golpeó el dedo pulgar de su mano derecha. El trabajador no reportó el hecho y continuó con sus labores. "/>
    <x v="27"/>
    <n v="1"/>
    <x v="37"/>
    <m/>
    <x v="17"/>
    <s v="CONDICIÓN INSEGURA"/>
    <s v="T4"/>
    <m/>
  </r>
  <r>
    <m/>
    <x v="0"/>
    <s v="SUPPLY CHAIN"/>
    <x v="0"/>
    <x v="7"/>
    <x v="20"/>
    <m/>
    <x v="57"/>
    <m/>
    <m/>
    <s v="miércoles"/>
    <m/>
    <m/>
    <m/>
    <m/>
    <m/>
    <m/>
    <m/>
    <x v="0"/>
    <s v="ALICORP S.A.A"/>
    <s v="PROPIO"/>
    <s v="El 29 de octubre alrededor de las 10:00 a.m., el electricista retornaba tras haber realizado un bloqueo eléctrico en el centro de distribución Arequipa (CDA)_x000a__x000a_Durante su desplazamiento, el trabajador caminaba próximo a una pared donde se encontraba un elemento metálico sobresaliente (perno), del cual no se percató, golpeándose contra este. "/>
    <x v="28"/>
    <n v="3"/>
    <x v="38"/>
    <m/>
    <x v="17"/>
    <s v="CONDICIÓN INSEGURA"/>
    <s v="T4"/>
    <m/>
  </r>
  <r>
    <m/>
    <x v="0"/>
    <s v="SUPPLY CHAIN"/>
    <x v="0"/>
    <x v="0"/>
    <x v="3"/>
    <m/>
    <x v="58"/>
    <m/>
    <m/>
    <s v="viernes"/>
    <m/>
    <m/>
    <m/>
    <m/>
    <m/>
    <m/>
    <m/>
    <x v="0"/>
    <s v="ALICORP S.A.A"/>
    <s v="PROPIO"/>
    <s v="El ingeniero Edert Velarde, al tener conocimiento del evento, derivó al trabajador al tópico para recibir la atención necesaria. El diagnóstico inicial fue: lesión por corriente eléctrica e indica derivación a Clínica San Gabriel._x000a__x000a_Se traslada al accidentado en la ambulancia y en la clínica es atendido por el médico de turno. En la clínica ingresa a shock trauma para monitoreo y se le indica hospitalización por lo menos dos días. Se comunica a las áreas pertinentes: Bienestar, RRLL, Salud Ocupacional y Seguridad._x000a__x000a_El diagnóstico fue exposición a líneas de transmisión eléctrica en área industrial y de la construcción."/>
    <x v="29"/>
    <n v="5"/>
    <x v="39"/>
    <m/>
    <x v="21"/>
    <s v="CONDICIÓN INSEGURA"/>
    <s v="T4"/>
    <m/>
  </r>
  <r>
    <m/>
    <x v="1"/>
    <s v="SUPPLY CHAIN"/>
    <x v="0"/>
    <x v="3"/>
    <x v="6"/>
    <m/>
    <x v="59"/>
    <m/>
    <m/>
    <s v="sábado"/>
    <m/>
    <m/>
    <m/>
    <m/>
    <m/>
    <m/>
    <m/>
    <x v="0"/>
    <s v="OUTSOURCING"/>
    <s v="Tercero"/>
    <s v="La colaboradora se encontraba realizando el tapado de actuadoras a las latas en una línea manual, cuando de pronto sintió un golpe en el brazo izquierdo proveniente del domo de una lata que salió expulsado de la llenadora de gas, la proyección de la lata fue originado por la sobrepresión de un una doble inyección de gas, de inmediato, los compañeros notificaron a la encargada, para que avisara a Seguridad Industrial, y se traslade al tópico para que se le brinden los primeros auxilios correspondientes._x000a__x000a_La colaboradora es atendida en el tópico y es derivada a la clínica activándose el SCTR."/>
    <x v="30"/>
    <n v="14"/>
    <x v="40"/>
    <m/>
    <x v="21"/>
    <s v="CONDICIÓN INSEGURA"/>
    <s v="T4"/>
    <m/>
  </r>
  <r>
    <m/>
    <x v="1"/>
    <s v="SUPPLY CHAIN"/>
    <x v="2"/>
    <x v="10"/>
    <x v="6"/>
    <m/>
    <x v="60"/>
    <m/>
    <m/>
    <s v="martes"/>
    <m/>
    <m/>
    <m/>
    <m/>
    <m/>
    <m/>
    <m/>
    <x v="0"/>
    <s v="OUTSOURCING"/>
    <s v="Tercero"/>
    <s v="En circunstancias que colaboradores de la empresa CJ movilizaban una transpaleta manual con 25 bolsas de cemento (aprox. 1Tn), al estar pasando por la zona acondicionada para el pesado de PT de aerosoles, personal de CONSUTING se cruza sobre el camino de este, generando que en la pendiente colaborador de CJ pierda el control de la transpaleta ocasionando que choque con un pallets vacío y este a su vez golpee el tobillo del pie izquierdo del colaborador de CONSULTING que se encontraba parado en dicha zona. "/>
    <x v="31"/>
    <n v="4"/>
    <x v="41"/>
    <m/>
    <x v="17"/>
    <s v="CONDICIÓN INSEGURA"/>
    <s v="T4"/>
    <m/>
  </r>
  <r>
    <m/>
    <x v="3"/>
    <s v="SUPPLY CHAIN"/>
    <x v="0"/>
    <x v="0"/>
    <x v="17"/>
    <m/>
    <x v="61"/>
    <m/>
    <m/>
    <s v="jueves"/>
    <m/>
    <m/>
    <m/>
    <m/>
    <m/>
    <m/>
    <m/>
    <x v="0"/>
    <s v="LIMPIEK"/>
    <s v="Tercero - Limpieza"/>
    <s v="Siendo las 20:50 h, operaria de limpieza de la empresa Limpie se encontraba en el área de Extruido – Indirecto 1, realizando la limpieza del techo del primer nivel utilizando una solución de detergente industrial Skill Cleaner 3009 diluido en agua. Mientras frotaba la superficie, una salpicadura de la mezcla cayó sobre la frente y descendió hacia el ojo izquierdo. La trabajadora portaba lentes de seguridad para proyección de partículas, los cuales no brindan protección contra salpicaduras químicas. Se deriva a centro de salud para su atención."/>
    <x v="32"/>
    <n v="4"/>
    <x v="6"/>
    <m/>
    <x v="17"/>
    <s v="CONDICIÓN INSEGURA"/>
    <s v="T4"/>
    <m/>
  </r>
  <r>
    <m/>
    <x v="0"/>
    <s v="SUPPLY CHAIN"/>
    <x v="0"/>
    <x v="0"/>
    <x v="3"/>
    <m/>
    <x v="62"/>
    <m/>
    <m/>
    <s v="martes"/>
    <m/>
    <m/>
    <m/>
    <m/>
    <m/>
    <m/>
    <m/>
    <x v="0"/>
    <s v="ALICORP S.A.A"/>
    <s v="PROPIO"/>
    <s v="Aproximadamente a las 08:45 horas, durante las actividades de cambio de formato en la Línea 2, una aprendiz sufrió el aplastamiento de su dedo medio de la mano derecha con los dados de teflón de la mesa de acomodo. El accidente ocurrió cuando un compañero, ubicado en el lado opuesto, empujó los dados y varillas mientras ella reposaba su mano en la zona._x000a_De inmediato, la colaboradora fue trasladada al tópico y posterior a Clínica. El diagnóstico fue una  fractura en el dedo medio de mano derecha"/>
    <x v="33"/>
    <n v="17"/>
    <x v="24"/>
    <m/>
    <x v="19"/>
    <m/>
    <s v="T4"/>
    <m/>
  </r>
  <r>
    <m/>
    <x v="1"/>
    <s v="SUPPLY CHAIN"/>
    <x v="0"/>
    <x v="3"/>
    <x v="6"/>
    <m/>
    <x v="63"/>
    <m/>
    <m/>
    <s v="miércoles"/>
    <m/>
    <m/>
    <m/>
    <m/>
    <m/>
    <m/>
    <m/>
    <x v="0"/>
    <s v="OUTSOURCING"/>
    <s v="Tercero"/>
    <s v="Los colaboradores del área se encontraban realizando labores de recuperación de frascos producto de una prueba de desarrollo con un mal sellado de las tapas; el colaborador en cuclillas recogía las tapas observadas del suelo, uno de sus compañeros levanta una caja con frascos sin tapas, que se encontraban sobre un pallet, y esta cede de su base lo cual provoca la caía de los frascos al suelo generando salpicadura del producto al colaborador alcanzando la parte lateral del cuerpo no cubierta por el mandil, mojandole le polo y transfiriendose a la piel. Se brindan los primeros auxilios con ducha prolongada, posterior a ello es evaluado en topico y trasladado a la clínica donde se le otorga tratamiento y descanso por 5 días."/>
    <x v="33"/>
    <n v="6"/>
    <x v="24"/>
    <m/>
    <x v="19"/>
    <m/>
    <s v="T4"/>
    <m/>
  </r>
  <r>
    <m/>
    <x v="1"/>
    <s v="SUPPLY CHAIN"/>
    <x v="0"/>
    <x v="3"/>
    <x v="12"/>
    <m/>
    <x v="64"/>
    <m/>
    <m/>
    <s v="jueves"/>
    <m/>
    <m/>
    <m/>
    <m/>
    <m/>
    <m/>
    <m/>
    <x v="0"/>
    <m/>
    <s v="PROPIO"/>
    <s v="Los colaboradores del área se encontraban realizando labores de recuperación de frascos producto de una prueba de desarrollo con un mal sellado de las tapas; el colaborador en cuclillas recogía las tapas observadas del suelo, uno de sus compañeros levanta una caja con frascos sin tapas, que se encontraban sobre un pallet, y esta cede de su base lo cual provoca la caía de los frascos al suelo generando salpicadura del producto al colaborador alcanzando la parte lateral del cuerpo no cubierta por el mandil, mojandole le polo y transfiriendose a la piel. Se brindan los primeros auxilios con ducha prolongada, posterior a ello es evaluado en topico y trasladado a la clínica donde se le otorga tratamiento y descanso por 5 días."/>
    <x v="33"/>
    <n v="4"/>
    <x v="24"/>
    <m/>
    <x v="19"/>
    <m/>
    <s v="T4"/>
    <m/>
  </r>
  <r>
    <m/>
    <x v="4"/>
    <s v="SUPPLY CHAIN"/>
    <x v="0"/>
    <x v="4"/>
    <x v="28"/>
    <s v="REFINERIA PALMAWASI"/>
    <x v="65"/>
    <d v="1899-12-30T11:20:00"/>
    <s v="Turno 1"/>
    <s v="miércoles"/>
    <s v="CHUQUIYURI CRISOSTOMO"/>
    <s v=" SILVANA LUZ"/>
    <n v="73304218"/>
    <n v="30"/>
    <n v="84"/>
    <n v="7"/>
    <m/>
    <x v="1"/>
    <s v="INDUSTRIAS DEL ESPINO_SA"/>
    <s v="PROPIO"/>
    <s v="La operaria se encontraba saliendo de la cabina de Grasas Especiales, iniciaba descenso por escaleras, portaba en la mano derecha su laptop y celular y procedió a bajar las escaleras con dirección al 1er nivel, sosteniéndose con su única mano libre, resbala en escalón y cae golpeándose muslo derecho, generándole una contusión. Da aviso inmediato a Prevencionista de turno, se activa el traslado a Posta para la evaluación. No hubo indicación por parte del equipo de Salud Ocupacional para atención adicional ni otra indicación. Sin embargo, a solicitud de afectada se dio tratamiento con médico externo."/>
    <x v="34"/>
    <n v="16"/>
    <x v="42"/>
    <s v="Motivación incorrecta / Intento incorrecto de ahorrar tiempo o esfuerzo"/>
    <x v="18"/>
    <m/>
    <s v="T1"/>
    <m/>
  </r>
  <r>
    <s v="PCO26786"/>
    <x v="0"/>
    <s v="SUPPLY CHAIN"/>
    <x v="0"/>
    <x v="4"/>
    <x v="29"/>
    <s v="MARGARINAS &amp; MANTECAS"/>
    <x v="66"/>
    <d v="1899-12-30T13:30:00"/>
    <s v="Turno 1"/>
    <s v="viernes"/>
    <s v="Chumbe Silva"/>
    <s v="Jonathan "/>
    <n v="45038698"/>
    <n v="38"/>
    <n v="4"/>
    <n v="0"/>
    <m/>
    <x v="2"/>
    <s v="ALICORP_SAA"/>
    <s v="PROPIO"/>
    <s v="El colaborador, junto con su compañero, se encontraba realizando el trabajo de drenado de aceite del enfriador del compresor de NH3. Uno de los colaboradores sostenía la manguera dentro del bidón con agua y el otro colaborador aperturaba la válvula. Culminan el drenado en el lado de aceite y luego, durante el drenado en el lado de NH3, la manguera sale del bidón y genera una salpicadura de NH3 a los colaboradores, alcanzando en la parte del tronco al colaborador que regulaba la válvula y en la zona del abdomen al colaborador que sostenía la manguera, mojándoles el polo y transfiriéndose el NH3 a la piel. "/>
    <x v="35"/>
    <n v="32"/>
    <x v="43"/>
    <s v="Estándares de Trabajo Inadecuados/ Desarrollo inadecuado de estándares"/>
    <x v="17"/>
    <m/>
    <s v="T1"/>
    <m/>
  </r>
  <r>
    <s v="MCA26860"/>
    <x v="3"/>
    <s v="SUPPLY CHAIN"/>
    <x v="0"/>
    <x v="0"/>
    <x v="17"/>
    <s v="ÑAÑA"/>
    <x v="67"/>
    <d v="1899-12-30T03:30:00"/>
    <s v="Turno 1"/>
    <s v="viernes"/>
    <s v="Yamunaque"/>
    <s v="Manuel "/>
    <n v="75539617"/>
    <n v="28"/>
    <n v="24"/>
    <n v="2"/>
    <m/>
    <x v="1"/>
    <s v="LIMPIE"/>
    <s v="Tercero - Limpieza"/>
    <s v="Siendo aproximadamente las 03:30 a. m., una operaria de la empresa Limpie se encontraba realizando labores de limpieza en el área de empacado. Posteriormente, se dirigió hacia el área de laboratorio, para lo cual debía abrir una puerta de acceso. Al momento de ingresar, la puerta se cerró de manera brusca debido a una diferencia de presión entre ambos ambientes. En un intento por evitar el golpe de la puerta, la trabajadora colocó su mano derecha en el marco, produciéndose una contusión en el dedo medio. Luego del evento, la trabajadora fue trasladada a una clínica, donde fue diagnosticada con contusión del dedo medio."/>
    <x v="36"/>
    <n v="24"/>
    <x v="44"/>
    <s v="Ingeniería Inadecuada / Estándares, especificaciones y /o criterios de diseño_x000a_inadecuados"/>
    <x v="22"/>
    <m/>
    <s v="T1"/>
    <m/>
  </r>
  <r>
    <s v="GÑA26851"/>
    <x v="0"/>
    <s v="SUPPLY CHAIN"/>
    <x v="0"/>
    <x v="7"/>
    <x v="9"/>
    <s v="MCA"/>
    <x v="68"/>
    <d v="1899-12-30T12:40:00"/>
    <s v="Turno 1"/>
    <s v="lunes"/>
    <s v="ROMERO CHOCA"/>
    <s v="MARISOL YANETH"/>
    <n v="47380476"/>
    <n v="38"/>
    <n v="12"/>
    <n v="1"/>
    <m/>
    <x v="1"/>
    <s v="ALICORP_SAA"/>
    <s v="PROPIO"/>
    <s v="Durante el turno de embolsado de salvado de 20 kg, aproximadamente a las 12:40 a.m., un trabajador se encontraba realizando labores de cosido de sacos en el área de Salvado._x000a_Al momento de sacudir y doblar el saco para colocarlo en la cosedora, uno de los extremos del saco se rompió inesperadamente, provocando que el trabajador pierda estabilidad en el movimiento y que su mano impacte contra una parte de la máquina cosedora, generándose un golpe en la mano izquierda._x000a_De inmediato se procedió a activar el protocolo de atención con la central de emergencia, solicitando la presencia de la ambulancia para evaluar al colaborador._x000a_El evento está en proceso de investigación para determinar las causas y tomar las acciones correctivas."/>
    <x v="37"/>
    <n v="7"/>
    <x v="45"/>
    <s v="Compras Inadecuadas / Especificaciones inadecuadas en las requisiciones"/>
    <x v="16"/>
    <m/>
    <s v="T1"/>
    <m/>
  </r>
  <r>
    <s v="ALI27101"/>
    <x v="0"/>
    <s v="SUPPLY CHAIN"/>
    <x v="2"/>
    <x v="14"/>
    <x v="30"/>
    <s v="OTROS"/>
    <x v="69"/>
    <d v="1899-12-30T02:35:00"/>
    <s v="Turno 1"/>
    <s v="miércoles"/>
    <s v="LEGUA BARRIOS "/>
    <s v="MARITZA JANETH"/>
    <n v="40458995"/>
    <n v="47"/>
    <n v="72"/>
    <n v="6"/>
    <m/>
    <x v="1"/>
    <s v="CLEANED"/>
    <s v="Tercero - Limpieza"/>
    <s v="Aproximadamente a las 11:45 am, una colaboradora de la empresa Alteliza se encontraba realizando la limpieza de la base de las sombrillas, al momento de levantarse se golpea la cabeza con la cobertura rectangular del cable de acero de las sombrillas. Inmediatamente se retira de la zona hacia tópico, para posteriormente ser derivado a la clínica para recibir atención especializada._x000a_El evento se encuentra en investigación."/>
    <x v="38"/>
    <n v="8"/>
    <x v="46"/>
    <s v="Ingeniería Inadecuada / Estándares, especificaciones y /o criterios de diseño_x000a_inadecuados"/>
    <x v="23"/>
    <m/>
    <s v="T1"/>
    <m/>
  </r>
  <r>
    <s v="GÑA26880"/>
    <x v="3"/>
    <s v="SUPPLY CHAIN"/>
    <x v="0"/>
    <x v="0"/>
    <x v="17"/>
    <s v="ÑAÑA"/>
    <x v="70"/>
    <d v="1899-12-30T08:40:00"/>
    <s v="Turno 2"/>
    <s v="lunes"/>
    <s v="Rutti Condor "/>
    <s v="Nilton"/>
    <s v="42130387"/>
    <n v="41"/>
    <n v="108"/>
    <n v="9"/>
    <m/>
    <x v="1"/>
    <s v="Masterbread"/>
    <s v="PROPIO"/>
    <s v="Siendo las 08:40 horas, el operario se dirigió a realizar el retiro de la compuerta del tambor rociador utilizando una escalera tipo avión. Dicha escalera cuenta con un diseño especial de uso exclusivo para el horno secador, debido a que presenta un último peldaño tipo voladizo que solo es estable cuando se ancla a dicha estructura._x000a_El trabajador trasladó la escalera a una zona distinta al horno, debido a la falta de disponibilidad de otras escaleras. Durante el ascenso, al pisar el último peldaño, la escalera perdió estabilidad y se volcó, ocasionando la caída del trabajador, quien presentó contusión en la rodilla."/>
    <x v="39"/>
    <n v="1"/>
    <x v="47"/>
    <s v="Herramientas y Equipo Inadecuados /Evaluación inadecuada de necesidades y riesgos"/>
    <x v="16"/>
    <m/>
    <s v="T1"/>
    <m/>
  </r>
  <r>
    <s v="ILU26888"/>
    <x v="1"/>
    <s v="SUPPLY CHAIN"/>
    <x v="0"/>
    <x v="3"/>
    <x v="7"/>
    <s v="LURÍN 4"/>
    <x v="71"/>
    <d v="1899-12-30T01:30:00"/>
    <s v="Turno 1"/>
    <s v="miércoles"/>
    <s v="MAYURI BOTERIN "/>
    <s v="JORGE ERNESTO"/>
    <s v="45072642"/>
    <n v="42"/>
    <n v="156"/>
    <n v="13"/>
    <m/>
    <x v="1"/>
    <s v="INTRADEVCO_INDUSTRIAL_SA"/>
    <s v="PROPIO"/>
    <s v="Aproximadamente a las 01:30 horas, un colaborador del área de manufactura – zona de coches se encontraba realizando la actividad de traslado de coches vacíos. Durante esta labor, al juntar los coches vacíos para su traslado, el colaborador atrapó el dedo pulgar derecho entre estructuras del coche, ocasionándole un golpe. "/>
    <x v="40"/>
    <n v="6"/>
    <x v="48"/>
    <s v="Liderazgo o Supervisión Inadecuados/  Dar política, procedimiento, prácticas o pautas_x000a_inadecuadas"/>
    <x v="23"/>
    <m/>
    <s v="T1"/>
    <m/>
  </r>
  <r>
    <s v="SID26927"/>
    <x v="0"/>
    <s v="SUPPLY CHAIN"/>
    <x v="0"/>
    <x v="7"/>
    <x v="20"/>
    <s v="SIDSUR"/>
    <x v="72"/>
    <d v="1899-12-30T11:40:00"/>
    <s v="Turno 1"/>
    <s v="sábado"/>
    <s v="JARA QUISPE "/>
    <s v="ELVIS "/>
    <s v="29710743"/>
    <n v="49"/>
    <n v="276"/>
    <n v="23"/>
    <m/>
    <x v="1"/>
    <s v="ALICORP_SAA"/>
    <s v="PROPIO"/>
    <s v="Alrededor de las 11:40 a.m., durante el cambio de bobina en la máquina BOSCH N.° 2, el maquinista utilizó una escalera portátil de tres peldaños colocada en posición lateral para acceder al portabobina. Al finalizar la tarea, inició el descenso realizando el movimiento como si la escalera estuviera en posición frontal, produciéndose una pisada en vacío, pérdida de equilibrio y caída, golpeándose los gluteos . "/>
    <x v="13"/>
    <n v="64"/>
    <x v="42"/>
    <s v="Falta de Habilidad_x000a_/ Instrucción inicial inadecuada"/>
    <x v="16"/>
    <m/>
    <s v="T1"/>
    <m/>
  </r>
  <r>
    <s v="ILU27126"/>
    <x v="1"/>
    <s v="SUPPLY CHAIN"/>
    <x v="2"/>
    <x v="3"/>
    <x v="7"/>
    <s v="OTROS"/>
    <x v="73"/>
    <d v="1899-12-30T09:00:00"/>
    <s v="Turno 1"/>
    <s v="martes"/>
    <s v="ACOSTA PEREZ "/>
    <s v="MILAGROS MALBELIS"/>
    <n v="7262551"/>
    <n v="47"/>
    <n v="36"/>
    <n v="3"/>
    <m/>
    <x v="3"/>
    <s v="CLEANED"/>
    <s v="Tercero - Limpieza"/>
    <s v="El día 10/02 una colaboradora de la empresa CLEANED se encontraba realizando labores de limpieza en los servicios higiénicos cuando aplicó detergente y lejía sobre superficies donde previamente se había utilizado un producto desincrustante (quita sarro). La interacción de estos productos habría generado vapores irritantes, ocasionando una exposición por inhalación. Posteriormente, la colaboradora presentó síntomas compatibles con irritación respiratoria, manifestando mareos al finalizar la jornada, situación que fue comunicada a su supervisión. No obstante, continuó desarrollando sus actividades en los días siguientes.​_x000a__x000a_El 25/02/2026, ante la persistencia del malestar, la colaboradora acudió al tópico de planta detergente, donde refirió síntomas asociados al episodio de exposición química previo. Debido a su condición de salud se gestionó su traslado a un centro médico para evaluación especializada conforme a los protocolos establecidos."/>
    <x v="41"/>
    <n v="6"/>
    <x v="49"/>
    <s v="Falta de Conocimientos_x000a_/ Falta de experiencia"/>
    <x v="23"/>
    <m/>
    <s v="T1"/>
    <m/>
  </r>
  <r>
    <s v="PCO27017"/>
    <x v="0"/>
    <s v="SUPPLY CHAIN"/>
    <x v="0"/>
    <x v="4"/>
    <x v="5"/>
    <s v="SALSAS"/>
    <x v="74"/>
    <d v="1899-12-30T22:30:00"/>
    <s v="Turno 2"/>
    <s v="lunes"/>
    <s v="rojas"/>
    <s v="Orlando"/>
    <s v="25690145"/>
    <n v="56"/>
    <n v="276"/>
    <n v="23"/>
    <m/>
    <x v="3"/>
    <s v="PROLABORA"/>
    <s v="Service"/>
    <s v="El colaborador de la empresa Prolabora se encontraba trasladando insumos desde el elevador de carga hacia la cámara de frío, utilizando una stoka._x000a_Durante la ejecución de la tarea, intentó retirar con la stoka un palet que contenía cajas de vegetales, el cual se encontraba sobreapilada y en condición inestable. Al aplicar fuerza adicional para retirar los insumos, perdió estabilidad y resbaló, golpeándose el pie derecho con la stoka."/>
    <x v="42"/>
    <n v="7"/>
    <x v="50"/>
    <s v="Estándares de Trabajo Inadecuados/ Desarrollo inadecuado de estándares "/>
    <x v="23"/>
    <m/>
    <s v="T1"/>
    <m/>
  </r>
  <r>
    <s v="GÑA27110"/>
    <x v="3"/>
    <s v="SUPPLY CHAIN"/>
    <x v="0"/>
    <x v="0"/>
    <x v="17"/>
    <s v="ÑAÑA"/>
    <x v="75"/>
    <d v="1899-12-30T16:40:00"/>
    <s v="Turno 2"/>
    <s v="lunes"/>
    <s v=" Lancha Chota"/>
    <s v="Max"/>
    <s v="47232429"/>
    <n v="34"/>
    <n v="120"/>
    <n v="10"/>
    <m/>
    <x v="1"/>
    <s v="Masterbread"/>
    <s v="PROPIO"/>
    <s v="Siendo las 4:40pm ,operario realizaba limpieza de zaranda utilizando una manguera conectada a la línea principal de aire comprimido del proceso productivo, la cual operaba a aproximadamente 6 bar (≈87 psi)._x000a_La limpieza se realizaba sin el uso de pistola reguladora de presión y mientras direccionaba el aire hacia una llanta plástica del equipo, el componente se fragmentó debido a la sobrepresión aplicada. _x000a_Un fragmento impactó en su mano, generando contusión en los dedos índice y medio y un corte superficial."/>
    <x v="43"/>
    <n v="5"/>
    <x v="51"/>
    <s v="Motivación Incorrecta / Frustración excesiva"/>
    <x v="24"/>
    <m/>
    <s v="T1"/>
    <m/>
  </r>
  <r>
    <s v="PGL27014"/>
    <x v="0"/>
    <s v="SUPPLY CHAIN"/>
    <x v="0"/>
    <x v="0"/>
    <x v="3"/>
    <s v="GALLETERÍA E INSTANTANEOS"/>
    <x v="76"/>
    <d v="1899-12-30T20:25:00"/>
    <s v="Turno 2"/>
    <s v="viernes"/>
    <s v="RAMOS PEREZ"/>
    <s v="SHARON"/>
    <n v="72559393"/>
    <n v="21"/>
    <n v="24"/>
    <n v="2"/>
    <m/>
    <x v="3"/>
    <s v="PROLABORA"/>
    <s v="Service"/>
    <s v="Aproximadamente a las 20:25 horas del viernes 27 de febrero, una operadora tercera sufrió un golpe en el quinto dedo de la mano izquierda durante el traslado de la fila de galletas hacia la bandeja por contacto con el magazín metálico de máquina envasadora D2 de Línea 4"/>
    <x v="44"/>
    <n v="2"/>
    <x v="52"/>
    <s v="Ingeniería Inadecuada /  Control inadecuado de la construcción"/>
    <x v="23"/>
    <m/>
    <s v="T1"/>
    <m/>
  </r>
  <r>
    <s v="ILU27116"/>
    <x v="1"/>
    <s v="SUPPLY CHAIN"/>
    <x v="0"/>
    <x v="3"/>
    <x v="23"/>
    <s v="LURÍN 2"/>
    <x v="77"/>
    <d v="1899-12-30T08:30:00"/>
    <s v="Turno 1"/>
    <s v="sábado"/>
    <s v="PEÑALOZA VARGAS"/>
    <s v="MAYRA"/>
    <n v="74806353"/>
    <n v="27"/>
    <n v="1"/>
    <n v="0"/>
    <m/>
    <x v="3"/>
    <s v="OUTSOURCING"/>
    <s v="Service"/>
    <s v="La colaboradora se encontraba en capacitación para el puesto de control documentario, estaba observando el llenado de algunos registros y decide trasladar una silla hacia el punto de entrenamiento para sentarse; levanta la silla de manera horizontal y en el traslado se le resbala de la mano derecha, ella intenta sujetarla en el aire y en ese momento su dedo anular se engancha en el reposapiés provocándole un dolor intenso.​_x000a__x000a_​_x000a__x000a_Nota: No reporta el evento inmediatamente, sin embargo, al pasar 5 min sufre una descompensación ajena al evento"/>
    <x v="45"/>
    <n v="32"/>
    <x v="53"/>
    <s v="Falta de Habilidad /  Instrucción inicial inadecuada"/>
    <x v="23"/>
    <m/>
    <s v="T1"/>
    <m/>
  </r>
  <r>
    <s v="PGL27052"/>
    <x v="0"/>
    <s v="SUPPLY CHAIN"/>
    <x v="0"/>
    <x v="0"/>
    <x v="3"/>
    <s v="GALLETERÍA E INSTANTANEOS"/>
    <x v="78"/>
    <d v="1899-12-30T20:00:00"/>
    <s v="Turno 2"/>
    <s v="jueves"/>
    <s v="SANTAMARIA FOLCH"/>
    <s v="BRYAN CALEB"/>
    <s v="74395221"/>
    <n v="28"/>
    <n v="12"/>
    <n v="1"/>
    <m/>
    <x v="1"/>
    <s v="ALICORP_SAA"/>
    <s v="PROPIO"/>
    <s v="Aproximadamente a las 20:00 horas, un operador transitaba por el sendero peatonal del estacionamiento cuando tropezó con un desnivel entre las juntas de concreto. El operador indica que, para evitar caer al suelo, se apoyó con su pierna izquierda, lo que le ocasionó malestar en la rodilla izquierda al caminar."/>
    <x v="46"/>
    <n v="18"/>
    <x v="54"/>
    <s v="Ingeniería Inadecuada / Estándares, especificaciones y /o criterios de diseño_x000a_inadecuados"/>
    <x v="16"/>
    <m/>
    <s v="T1"/>
    <m/>
  </r>
  <r>
    <s v="ILU27317"/>
    <x v="1"/>
    <s v="SUPPLY CHAIN"/>
    <x v="0"/>
    <x v="3"/>
    <x v="7"/>
    <s v="LURÍN 4"/>
    <x v="79"/>
    <d v="1899-12-30T15:30:00"/>
    <s v="Turno 2"/>
    <s v="viernes"/>
    <s v="ROCA VALVERDE"/>
    <s v="MIGUEL "/>
    <s v="06884720"/>
    <n v="61"/>
    <n v="312"/>
    <n v="26"/>
    <m/>
    <x v="2"/>
    <s v="INTRADEVCO_INDUSTRIAL_SA"/>
    <s v="PROPIO"/>
    <s v="Aproximadamente a las 03:30 h del viernes 13, un colaborador del área de mantenimiento realizaba la intervención de una bomba de soda cáustica debido a una falla (trabamiento del impulsor). La actividad consistía en desmontar la bomba para identificar el problema y realizar la corrección. Antes de iniciar la intervención se elaboró un ATS y permiso de trabajo en frio (sustancias químicas), sin embargo en el permiso no se consideró el uso de botas adecuada para la ejecución de la actividad (calzado resistente a químicos). Durante las pruebas de la bomba post intervención, el colaborador afectado sufrió un contacto de soda que se filtró por la parte superior del calzado de seguridad (botín) teniendo contacto con el dorso de su pie izquierdo. El colaborador no evaluó la severidad del hecho, y no reporto en el momento lo ocurrido. El trabajador acude a laborar de manera normal al día siguiente (viernes 2do turno) sin comentar lo ocurrido. El día sábado a las 11:40am da aviso a su jefatura de lo ocurrido y de la atencion de salud que había recibido."/>
    <x v="47"/>
    <n v="16"/>
    <x v="49"/>
    <s v="Estándares de Trabajo Inadecuados / Desarrollo inadecuado de estándares"/>
    <x v="17"/>
    <m/>
    <s v="T1"/>
    <m/>
  </r>
  <r>
    <s v="PFL27197"/>
    <x v="0"/>
    <s v="SUPPLY CHAIN"/>
    <x v="0"/>
    <x v="0"/>
    <x v="0"/>
    <s v="FIDERÍA "/>
    <x v="80"/>
    <d v="1899-12-30T09:29:00"/>
    <s v="Turno 1"/>
    <s v="domingo"/>
    <s v="Arellano Velarde"/>
    <s v="Hebert"/>
    <s v="41478657"/>
    <n v="43"/>
    <n v="144"/>
    <n v="12"/>
    <n v="2"/>
    <x v="2"/>
    <s v="ALICORP_SAA"/>
    <s v="PROPIO"/>
    <s v="El colaborador se encontraba realizando verificación de los equipos de inyección de aire ubicados en la azotea a solicitud de producción_x000a_(Piso 3 – Zona de Rotostares) . Al momento de bajar por la escalera para regresar a planta, pisa una zona en desnivel, generando una torcedura del tobillo derecho. El colaborador acude al tópico para atención. Al día siguiente acude al tópico para su revisión. Posterior a ello se realiza la derivación a clínica siendo el diagnostico esguince de tobillo derecho."/>
    <x v="48"/>
    <n v="53"/>
    <x v="54"/>
    <s v="Ingeniería Inadecuada /  Estándares, especificaciones y /o criterios de diseño_x000a_inadecuados"/>
    <x v="16"/>
    <m/>
    <s v="T1"/>
    <m/>
  </r>
  <r>
    <s v="MFA27240"/>
    <x v="0"/>
    <s v="SUPPLY CHAIN"/>
    <x v="0"/>
    <x v="7"/>
    <x v="25"/>
    <s v="MOLINO FAUCETT"/>
    <x v="81"/>
    <d v="1899-12-30T09:05:00"/>
    <s v="Turno 1"/>
    <s v="lunes"/>
    <s v="Lopez Maldonado"/>
    <s v="Jorge Antonio"/>
    <n v="25732404"/>
    <n v="59"/>
    <n v="276"/>
    <n v="23"/>
    <m/>
    <x v="1"/>
    <s v="ALICORP_SAA"/>
    <s v="PROPIO"/>
    <s v="Siendo las 09:05 am aproximadamente, el trabajador se encontraba bajando desde la oficina del Coordinador de Envasado cuando, al descender por las escaleras internas del edificio de Envasado, resbaló en el tercer peldaño (entre el piso 1 y piso 2) y sufrió una torcedura en el pie izquierdo."/>
    <x v="49"/>
    <n v="58"/>
    <x v="55"/>
    <s v="Ingeniería Inadecuada /  Estándares, especificaciones y /o criterios de diseño_x000a_inadecuados"/>
    <x v="22"/>
    <m/>
    <s v="T1"/>
    <m/>
  </r>
  <r>
    <s v="DIS27200"/>
    <x v="0"/>
    <s v="SUPPLY CHAIN"/>
    <x v="1"/>
    <x v="12"/>
    <x v="9"/>
    <s v="APT MCA"/>
    <x v="82"/>
    <d v="1899-12-30T14:22:00"/>
    <s v="Turno 2"/>
    <s v="lunes"/>
    <s v="MONZON MANUYAMA"/>
    <s v="SANDER YAMIR"/>
    <n v="74785444"/>
    <n v="22"/>
    <n v="252"/>
    <n v="21"/>
    <m/>
    <x v="3"/>
    <s v="LÍNEA VERTICAL"/>
    <s v="Tercero"/>
    <s v="Aproximadamente a las 14.22 p.m, el colaborador de Línea Vertical con 1 año 09 Meses laborando y 5 años de experiencia como técnico_x000a_vertical; se encontraba realizando labores de limpieza (barrido) en la cubierta del almacén C, cuando se bloqueó el sistema anticaída (ASAP)_x000a_del trabajador. Al detenerse para desbloquear el sistema, permaneció próximo a la zona de trabajo de su compañero, produciéndose el_x000a_impacto del extremo del mango de la escoba contra su ceja derecha. Fue evaluado por el personal médico de cardio móvil, posteriormente_x000a_fue dirigido a la clínica Providencia acompañado por el Supervisor de Soma de Línea Vertical y JT de turno."/>
    <x v="50"/>
    <n v="7"/>
    <x v="56"/>
    <s v="Tensión Mental o Psicológica / Instrucciones exigencias confusas"/>
    <x v="17"/>
    <m/>
    <s v="T1"/>
    <m/>
  </r>
  <r>
    <s v="MCA27284"/>
    <x v="0"/>
    <s v="SUPPLY CHAIN"/>
    <x v="0"/>
    <x v="7"/>
    <x v="9"/>
    <s v="MCA"/>
    <x v="83"/>
    <d v="1899-12-30T16:30:00"/>
    <s v="Turno 2"/>
    <s v="martes"/>
    <s v="Sacha Quispe"/>
    <s v="Anderson"/>
    <s v="46957304"/>
    <n v="33"/>
    <n v="72"/>
    <n v="6"/>
    <m/>
    <x v="2"/>
    <s v="ALICORP_SAA"/>
    <s v="PROPIO"/>
    <s v="Aproximadamente a las 16:30 horas, el técnico se encontraba realizando el retiro de un rollo del caballete de tránsito, específicamente en el segundo nivel de la estructura. Durante la maniobra, observa que el rollo presenta un movimiento oscilante, por lo que procede a colocar la mano derecha con la intención de estabilizarlo. En ese instante, su dedo meñique queda atrapado y es presionado entre la estructura del caballete y el rollo, generándose la lesión. El trabajador comunica de inmediato lo sucedido a su jefatura, activándose el protocolo de atención de emergencias. Posteriormente, tras la evaluación realizada por el personal de Cardio Móvil, se determina su traslado a la Clínica San Gabriel para una atención especializada."/>
    <x v="51"/>
    <n v="47"/>
    <x v="57"/>
    <s v="Motivación Incorrecta / El desempeño correcto es castigado"/>
    <x v="16"/>
    <m/>
    <s v="T1"/>
    <m/>
  </r>
  <r>
    <m/>
    <x v="5"/>
    <s v="SUPPLY CHAIN"/>
    <x v="0"/>
    <x v="3"/>
    <x v="31"/>
    <s v="Calacalí"/>
    <x v="83"/>
    <d v="1899-12-30T10:00:00"/>
    <s v="Turno 1"/>
    <s v="martes"/>
    <s v="Laso Collaguazo"/>
    <s v="Luis Geovanny"/>
    <n v="1722542642"/>
    <m/>
    <n v="108"/>
    <n v="9"/>
    <m/>
    <x v="2"/>
    <s v="JABONERÍA WILSON"/>
    <s v="PROPIO"/>
    <s v="El señor pertenece a la nómina de Jabonería Wilson y se desenvuelve en las actividades de trabajador de planta en la producción de polvo detergente. El mismo se encuentra cursando un carrera superior en la rama de electricidad y solicita una pasantía en el área de mantenimiento._x000a_• Talento Humano aprueba la pasantía considerando toda la parte legal correspondiente, para lo cual el señor Luis Laso decide aprovechar sus vacaciones para realizar estas actividades._x000a_• El días martes 24-03-2026 al momento de romper una amarra que sostenía unos cables eléctricos de un equipo que se encontraba en el área de mantenimiento, el señor se corta el 2do y 3er dedo (superficial) de la mano izquierda con un estilete."/>
    <x v="52"/>
    <n v="2"/>
    <x v="58"/>
    <s v="Falta de Habilidad / Instrucción inicial inadecuada"/>
    <x v="25"/>
    <m/>
    <s v="T1"/>
    <m/>
  </r>
  <r>
    <s v="ILU27286"/>
    <x v="1"/>
    <s v="SUPPLY CHAIN"/>
    <x v="0"/>
    <x v="3"/>
    <x v="23"/>
    <s v="LURÍN 2"/>
    <x v="84"/>
    <d v="1899-12-30T13:45:00"/>
    <s v="Turno 1"/>
    <s v="viernes"/>
    <s v="GANOZA QUISPE"/>
    <s v="JORGE LUIS "/>
    <s v="45347066"/>
    <n v="37"/>
    <n v="120"/>
    <n v="10"/>
    <n v="6"/>
    <x v="1"/>
    <s v="INTRADEVCO_INDUSTRIAL_SA"/>
    <s v="PROPIO"/>
    <s v="Aproximadamente a la 1:45 pm el colaborador detecta que una de las boquillas de la maquina estaba obtruida y decide revisar y limpiar la tuberia de producto que ingresa a dicha boquilla; cierra la válvula de producto y retira el codo de ingreso de material y se dispone a limpiar; en ese momento la manguera que sujetaba la válvula se desprende de la tuberia y el producto que se encontraba en ella salpica al colaborador en la parte derecha del pecho y cuello._x000a_El colaborador se dirige a la ducha y posteriormente al tópico donde se revisa y deriva a la clinica donde le dieron 2 dias de descanso medico _x000a_"/>
    <x v="41"/>
    <n v="1"/>
    <x v="49"/>
    <s v="Ingeniería Inadecuada "/>
    <x v="16"/>
    <m/>
    <s v="T2"/>
    <m/>
  </r>
  <r>
    <s v="PGL27349"/>
    <x v="0"/>
    <s v="SUPPLY CHAIN"/>
    <x v="0"/>
    <x v="0"/>
    <x v="3"/>
    <s v="GALLETERÍA E INSTANTANEOS"/>
    <x v="85"/>
    <d v="1899-12-30T18:45:00"/>
    <s v="Turno 2"/>
    <s v="sábado"/>
    <s v="SAMAN CUENCA"/>
    <s v="RAUL"/>
    <s v="15397601"/>
    <n v="59"/>
    <n v="228"/>
    <n v="19"/>
    <m/>
    <x v="1"/>
    <s v="ALICORP_SAA"/>
    <s v="PROPIO"/>
    <s v="Siendo las 18:45 horas, un colaborador  regresaba al área de instantáneos luego de sus refrigerio, en eso él ve que la puerta de ingreso estaba elevada y decide pasar, sin embargo esta desciende de manera inesperada golpeando la cabeza del colaborador."/>
    <x v="53"/>
    <n v="11"/>
    <x v="59"/>
    <s v="Ingeniería Inadecuada "/>
    <x v="16"/>
    <m/>
    <s v="T2"/>
    <m/>
  </r>
  <r>
    <s v="DET27377"/>
    <x v="0"/>
    <s v="SUPPLY CHAIN"/>
    <x v="0"/>
    <x v="3"/>
    <x v="32"/>
    <s v="DETERGENTE CALLAO"/>
    <x v="86"/>
    <d v="1899-12-30T10:00:00"/>
    <s v="Turno 1"/>
    <s v="martes"/>
    <s v=" Artola"/>
    <s v="Alfredo"/>
    <s v="25708949"/>
    <n v="55"/>
    <n v="228"/>
    <n v="19"/>
    <m/>
    <x v="1"/>
    <s v="ALICORP_SAA"/>
    <s v="PROPIO"/>
    <s v="Durante un cambio de bobina de laminado Bolivar de aprox. 70 kilos en la maquina 1008. El operador de envasadora Masipack se dispone a bajar una bobina de la paleta para colocarlo en el coche elevador de bobinas y posteriormente colocarla en la envasadora.​_x000a__x000a_Para realizar la actividad de forma correcta: ​_x000a_- Se debe primero elevar la bobina usando el tecle con volteador. ​_x000a_- Estando suspendida, se activa el volteador para que este de forma horizontal el eje de la bobina. ​_x000a_- Se coloca en el coche elevador para ser trasladado a la parte posterior de la envasadora.​_x000a__x000a_El trabajador obvio el paso 1 y 2, queriendo voltear la bobina con sus manos y pasarlo al coche elevador. Durante esa maniobra, debido al peso de la bobina, se genera un deslizamiento perdiendo el control de la misma y atrapando su dedo contra otra bobina.​"/>
    <x v="54"/>
    <n v="28"/>
    <x v="60"/>
    <s v="Motivación Incorrecta"/>
    <x v="26"/>
    <m/>
    <s v="T2"/>
    <m/>
  </r>
  <r>
    <s v="ALI27418"/>
    <x v="0"/>
    <s v="ADMINISTRACIÓN"/>
    <x v="2"/>
    <x v="6"/>
    <x v="33"/>
    <s v="CENTRO DE DISTRIBUCION HUACHIPA"/>
    <x v="87"/>
    <d v="1899-12-30T08:30:00"/>
    <s v="Turno 1"/>
    <s v="miércoles"/>
    <s v="GALVEZ FREYRE "/>
    <s v="DYLAN PASCUAL"/>
    <n v="76602201"/>
    <m/>
    <n v="288"/>
    <n v="24"/>
    <m/>
    <x v="3"/>
    <s v="HASP SERVICE"/>
    <s v="Tercero-servicios de alimentación"/>
    <s v="Aprox. a las 08:30 a.m., durante las labores de habilitado en el área de cocina fría, colaborador sufre un corte en el dedo pulgar de la mano izquierda con el cuchillo mientras cortaba la lechuga."/>
    <x v="55"/>
    <n v="5"/>
    <x v="61"/>
    <s v="Falta de Habilidad / Procedimiento inadecuado"/>
    <x v="23"/>
    <m/>
    <s v="T2"/>
    <m/>
  </r>
  <r>
    <s v="ILU27379"/>
    <x v="1"/>
    <s v="SUPPLY CHAIN"/>
    <x v="0"/>
    <x v="3"/>
    <x v="7"/>
    <s v="LURÍN 4"/>
    <x v="87"/>
    <d v="1899-12-30T08:20:00"/>
    <s v="Turno 1"/>
    <s v="miércoles"/>
    <s v="MANIHUARI ANDRADE"/>
    <s v="VICTOR"/>
    <n v="43753618"/>
    <n v="42"/>
    <n v="84"/>
    <n v="7"/>
    <m/>
    <x v="3"/>
    <s v="Consulting Advisers"/>
    <s v="Service"/>
    <s v="Aproximadamente a las 8:20 am, el colaborador afectado se encontraba realizando la actividad de abastecimiento de producto en coches hacia la tolva de una de las envasadoras de detergente. Durante el abastecimiento, observó que la lona se encontraba mal posicionada en la tolva, por lo que se agachó para acomodarla. Una vez realizada la acción, el colaborador retiró los brazos de manera rápida, sin advertir la proximidad de la estructura del coche, impactando su codo izquierdo contra una parte de dicha estructura, lo que le ocasionó una contusión en la zona afectada.​_x000a__x000a_Continuó con sus labores; sin embargo, al cabo de unos minutos notó una ligera incomodidad y una protuberancia en la zona, por lo que dio aviso  inmediato. "/>
    <x v="56"/>
    <n v="8"/>
    <x v="62"/>
    <s v="Ingeniería Inadecuada "/>
    <x v="16"/>
    <m/>
    <s v="T2"/>
    <m/>
  </r>
  <r>
    <s v="PGL27404"/>
    <x v="0"/>
    <s v="SUPPLY CHAIN"/>
    <x v="0"/>
    <x v="0"/>
    <x v="3"/>
    <s v="GALLETERÍA E INSTANTANEOS"/>
    <x v="88"/>
    <d v="1899-12-30T05:20:00"/>
    <s v="Turno 3"/>
    <s v="jueves"/>
    <s v="Zaravia Taboada"/>
    <s v="José Antonio"/>
    <n v="21873119"/>
    <m/>
    <n v="276"/>
    <n v="23"/>
    <m/>
    <x v="1"/>
    <s v="ALICORP_SAA"/>
    <s v="PROPIO"/>
    <s v="Siendo las 05:20 a. m., el operador de mesa de acomodo de la Línea 2 se dispone a pasar por debajo de la estructura del brazo vibratorio, momento en el cual impacta su cabeza contra una esquina metálica de la estructura. Como consecuencia del golpe, el trabajador presenta una contusión."/>
    <x v="57"/>
    <n v="9"/>
    <x v="63"/>
    <s v="Ingeniería Inadecuada "/>
    <x v="16"/>
    <m/>
    <s v="T2"/>
    <m/>
  </r>
  <r>
    <s v="PGL27446"/>
    <x v="0"/>
    <s v="SUPPLY CHAIN"/>
    <x v="0"/>
    <x v="0"/>
    <x v="3"/>
    <s v="GALLETERÍA E INSTANTANEOS"/>
    <x v="89"/>
    <d v="1899-12-30T15:45:00"/>
    <s v="Turno 2"/>
    <s v="viernes"/>
    <s v="PEÑALOZA POMAZONCCO "/>
    <s v="CINTHIA DAYSI"/>
    <s v="42533647"/>
    <n v="41"/>
    <n v="36"/>
    <n v="3"/>
    <m/>
    <x v="1"/>
    <s v="ALICORP_SAA"/>
    <s v="PROPIO"/>
    <s v="A las 15:45 se envasaban los refrescos; un operador manipuló la escalera de avión y accidentalmente en el tránsito golpeó el ventilador de la zona que se encontraba encendido. _x000a_Este ventilador tenía polvillo acumulado y al ser golpeado, el polvillo se liberó y fue arrastrado por el aire llegando de esta manera a los ojos de la afectada generando irritación "/>
    <x v="58"/>
    <n v="7"/>
    <x v="64"/>
    <s v="Liderazgo y/o Supervisión Inadecuados"/>
    <x v="17"/>
    <m/>
    <s v="T2"/>
    <m/>
  </r>
  <r>
    <m/>
    <x v="2"/>
    <s v="SUPPLY CHAIN"/>
    <x v="0"/>
    <x v="4"/>
    <x v="22"/>
    <s v="COCHABAMBA"/>
    <x v="90"/>
    <d v="1899-12-30T18:00:00"/>
    <s v="Turno 2"/>
    <s v="domingo"/>
    <s v="Hurtado Pinto"/>
    <s v="Juan Silvio "/>
    <n v="7563069"/>
    <n v="37"/>
    <n v="48"/>
    <n v="4"/>
    <m/>
    <x v="3"/>
    <s v="Transporte Gregorio Condori TGC​"/>
    <s v="Tercero"/>
    <s v="En fecha 26/04/2026, a horas 18:00 durante el proceso de descarga de sebo, materia prima utilizada para la producción de manteca en Planta Cbba, se produjo un accidente incapacitante con 2 días DM._x000a_- Previo a la descarga, el producto permaneció detenido para la realización de análisis de impurezas al cisterna, situación que ocasionó el congelamiento del sebo en la línea de descarga. En este contexto, el conductor del cisterna realizó, sin autorización, el calentamiento con vapor de la válvula de descarga y conexión hacia la línea de sebo; mientras paralelamente el Asistente de Refinería ejecutaba trabajos con aire para destrancar la tubería hacia el tanque de recepción de crudo._x000a_- Durante la actividad, la presencia de energía remanente (aire no purgado) provocó el retorno de aire hacia el cisterna, ocasionando el desacople de la manguera de descarga. Como consecuencia, la manguera golpeó el brazo del conductor y ocasionó que la línea de vapor genere una quemadura de 2° grado en la pierna izquierda."/>
    <x v="59"/>
    <n v="2"/>
    <x v="65"/>
    <s v="Liderazgo y/o Supervisión Inadecuados / Falta de cumplimiento de procedimientos y control de energías peligrosas"/>
    <x v="24"/>
    <m/>
    <s v="T2"/>
    <m/>
  </r>
  <r>
    <s v="PGL27468"/>
    <x v="0"/>
    <s v="SUPPLY CHAIN"/>
    <x v="0"/>
    <x v="0"/>
    <x v="3"/>
    <s v="GALLETERÍA E INSTANTANEOS"/>
    <x v="90"/>
    <d v="1899-12-30T21:20:00"/>
    <s v="Turno 2"/>
    <s v="domingo"/>
    <s v="SILVA SEVERINO"/>
    <s v=" JHON ALEXANDER​"/>
    <n v="44637562"/>
    <n v="38"/>
    <n v="3"/>
    <n v="0"/>
    <m/>
    <x v="1"/>
    <s v="ALICORP_SAA"/>
    <s v="PROPIO"/>
    <s v="Aproximadamente a las 21:20 horas un operario sufre un resbalón en una superficie lisa de línea 2, mientras trasladaba una bandeja con galleta granel para apilarlo en el pallet. El operador colocó su mano izquierda en el piso para no caer por completo. "/>
    <x v="60"/>
    <n v="5"/>
    <x v="66"/>
    <s v="Mantenimiento inadecuado"/>
    <x v="27"/>
    <m/>
    <s v="T2"/>
    <m/>
  </r>
  <r>
    <s v="GÑA27513"/>
    <x v="3"/>
    <s v="SUPPLY CHAIN"/>
    <x v="0"/>
    <x v="0"/>
    <x v="17"/>
    <s v="ÑAÑA"/>
    <x v="91"/>
    <d v="1899-12-30T18:45:00"/>
    <s v="Turno 2"/>
    <s v="martes"/>
    <s v="Mendoza"/>
    <s v="Isuiza Elda "/>
    <n v="48068127"/>
    <n v="32"/>
    <n v="96"/>
    <n v="8"/>
    <m/>
    <x v="3"/>
    <s v="LIMPIE"/>
    <s v="Tercero - Limpieza"/>
    <s v="Siendo aproximadamente las 18:45 horas, una operaria de limpieza se encontraba culminando labores de limpieza en la plataforma del 3er nivel de Envasado. Al momento de​ descender al 2do nivel por una escalera fija portando un balde con trapeador en la mano derecha y apoyándose en la baranda con la mano izquierda, usando guantes de jebe que limitaban el agarre firme.​ Al pisar el segundo escalón, su pie derecho tropieza y pierde el equilibrio y producto de una abertura pronunciada entre la baranda y el rodapié, la trabajadora cae lateralmente desde una altura aproximada de 2.5 m, impactando sobre la plataforma del 2do nivel.​"/>
    <x v="61"/>
    <n v="3"/>
    <x v="67"/>
    <s v="Ingeniería inadecuada"/>
    <x v="28"/>
    <m/>
    <s v="T2"/>
    <m/>
  </r>
  <r>
    <m/>
    <x v="2"/>
    <s v="SUPPLY CHAIN"/>
    <x v="0"/>
    <x v="4"/>
    <x v="22"/>
    <s v="COCHABAMBA"/>
    <x v="92"/>
    <d v="1899-12-30T07:30:00"/>
    <s v="Turno 1"/>
    <s v="miércoles"/>
    <s v="Calderon"/>
    <s v="Hugo "/>
    <n v="4433718"/>
    <n v="57"/>
    <n v="456"/>
    <n v="38"/>
    <m/>
    <x v="1"/>
    <s v="ALICORP_BOLIVIA"/>
    <s v="PROPIO"/>
    <s v="En fecha miércoles 29 de abril de 2026, aproximadamente a horas 07:30 am, durante la actividad de limpieza de prensa en el área de blanqueo de Sebo, el operador realizaba el traslado de un pallet con una carga parcial de bolsa de un peso aprox. 350 [kg] destinada a la recepción de tierra filtrada de la prensa._x000a__x000a_Durante el ingreso, el operador pisó una rejilla de inspección lo que ocasionó su desequilibrio. Como consecuencia, el transpallet se desplazó hacia el pie de apoyo, generando una atrición entre el transpallet y la base del motor del tanque de blanqueo en la pantorrilla derecha. "/>
    <x v="62"/>
    <n v="32"/>
    <x v="68"/>
    <s v="Estándares de trabajo inadecuados"/>
    <x v="29"/>
    <m/>
    <s v="T2"/>
    <m/>
  </r>
  <r>
    <s v="ILU27889"/>
    <x v="1"/>
    <s v="ADMINISTRACIÓN"/>
    <x v="2"/>
    <x v="14"/>
    <x v="34"/>
    <s v="OTROS"/>
    <x v="93"/>
    <d v="1899-12-30T22:50:00"/>
    <s v="Turno 2"/>
    <s v="miércoles"/>
    <s v="GUILLEN OREJUELA "/>
    <s v=" RAUL GERARDO"/>
    <n v="2795389"/>
    <n v="59"/>
    <n v="72"/>
    <n v="6"/>
    <m/>
    <x v="3"/>
    <s v="CLEANED"/>
    <s v="Tercero - Limpieza"/>
    <s v="El día 06/05/2026 a horas 10:50 pm aproximadamente, el trabajador tercero de Clenead, se encontraba retornando de su refrigerio y al bajar las escaleras, en uno de los peldaños no pisa firmemente a lo cual sufre una dobladura de tobillo, al no sentir dolor inmediato, siguió con sus labores y pasado unos 30 minutos empezó a sentir molestia y dolor, a lo cual se comunicaron con su supervisor y fue atendido en el tópico._x000a_Medico ocupacional de ITDV, en la revisión, indica que guarde reposo ante la contusión hasta finalizar el turno, no se deriva a clínica._x000a_Posterior a ello colaborador al retirarse fuera del predio (hora de salida) es contactado por su área de Medicina ocupacional a lo cual sí es derivado a clínica y se le brinda 6 días de DM. _x000a_"/>
    <x v="63"/>
    <n v="8"/>
    <x v="55"/>
    <s v="Motivación Incorrecta"/>
    <x v="22"/>
    <m/>
    <s v="T2"/>
    <m/>
  </r>
  <r>
    <m/>
    <x v="5"/>
    <s v="SUPPLY CHAIN"/>
    <x v="2"/>
    <x v="15"/>
    <x v="35"/>
    <s v="OTROS"/>
    <x v="94"/>
    <d v="1899-12-30T16:30:00"/>
    <s v="Turno 1"/>
    <s v="viernes"/>
    <s v="Montaluisa Naranjo"/>
    <s v="Bryan Fabricio"/>
    <n v="1726238338"/>
    <m/>
    <n v="39.96"/>
    <n v="3.33"/>
    <m/>
    <x v="4"/>
    <s v="JABONERÍA WILSON"/>
    <s v="PROPIO"/>
    <s v="El día viernes 8-05-2026 16H30 el colaborador se encontraba en el área del laboratorio de calidad realizando el análisis de densidad en muestras de jabón líquido con viscosidad alta,  colocado todo su EPP´s, realizo 3 análisis de densidad, al realizar el cuarto análisis, coge con la mano izquierda el picnómetro de vidrio y con la mano derecha vierte  la muestra; debido a la viscosidad de la misma existió dificultad en el llenado, por lo que procede a golpear el picnómetro sobre la toalla y el papel que estaba asentada sobre la mesa de trabajo, en ese momento el picnómetro se rompe y le corta el dedo medio de su mano izquierda, recibe primeros auxilios en el dispensario médico y es derivado a una unidad de salud privada, es valorado por el especialista, le suturan 4 puntos y le dan 2 días de reposo (8/05/2026 hasta 9/05/2026) para su recuperación. El colaborador reingreso a sus actividad laborales el 11/05/2026 sin restricción médicas_x000a_"/>
    <x v="64"/>
    <n v="1"/>
    <x v="10"/>
    <s v="Estándares de Trabajo Inadecuados / Desarrollo inadecuado de estándares"/>
    <x v="28"/>
    <m/>
    <s v="T2"/>
    <m/>
  </r>
  <r>
    <s v="ILU27141"/>
    <x v="1"/>
    <s v="SUPPLY CHAIN"/>
    <x v="3"/>
    <x v="3"/>
    <x v="7"/>
    <s v="LURÍN 4"/>
    <x v="95"/>
    <d v="1899-12-30T16:05:00"/>
    <s v="Turno 1"/>
    <s v="sábado"/>
    <s v="SALAZAR RAMOS "/>
    <s v="ALVARO CESAR"/>
    <n v="10088069"/>
    <n v="50"/>
    <n v="120"/>
    <n v="10"/>
    <m/>
    <x v="1"/>
    <s v="INTRADEVCO INDUSTRIAL S.A."/>
    <s v="PROPIO"/>
    <s v="Aproximadamente cerca de las 16:05 horas, el trabajador accidentado se dispuso a realizar la limpieza de las fajas de tracción de la envasadora #36. El trabajador se dispone a realizar la limpieza con un trapo y alcohol. Esta actividad la ejecuta con la fajas del equipo en funcionamiento, las cuales giran en sentido antihorario y están cercanas al tubo formador del equipo.​_x000a_Al colocar el trapo sobre la parte superior de la faja, el trapo queda atrapado entre la faja y el tubo formador arrastrando su mano izquierda, generándole  un aplastamiento en el dedo medio izquierdo."/>
    <x v="65"/>
    <n v="75"/>
    <x v="69"/>
    <s v="Estándares de Trabajo Inadecuados / Desarrollo inadecuado de estándares"/>
    <x v="28"/>
    <m/>
    <s v="T2"/>
    <m/>
  </r>
  <r>
    <s v="ILU27554"/>
    <x v="1"/>
    <s v="SUPPLY CHAIN"/>
    <x v="3"/>
    <x v="3"/>
    <x v="7"/>
    <s v="LURÍN 4"/>
    <x v="95"/>
    <d v="1899-12-30T06:10:00"/>
    <s v="Turno 2"/>
    <s v="sábado"/>
    <s v="RAMOS CASTAÑEDA"/>
    <s v="MANUEL NATIVIDAD"/>
    <n v="47583326"/>
    <m/>
    <n v="60"/>
    <n v="5"/>
    <m/>
    <x v="3"/>
    <s v="CONSULTING"/>
    <s v="Service"/>
    <s v="El sábado 09/05 aproximadamente a las 06:10 am, el trabajador accidentado (Consulting Advisers) se encontraba manipulando el tecle eléctrico del silo diario de carbonato, ello para facilitar el espacio y dejar libre para la actividad que se realizaba en la base del mismo (colocación de pernos). Al realizar la manipulación del mismo (elevación de la cadena), no se percata que el gancho del tecle queda enganchado en un ángulo de la estructura del silo, el colaborador siguió oprimiendo el botón de ascenso, lo que originó que la cadena acumule presión. Esta cadena sube de manera súbita generando un movimiento en forma de péndulo impactando en el dedo medio de la mano derecha del colaborador."/>
    <x v="64"/>
    <n v="10"/>
    <x v="70"/>
    <s v="Liderazgo y/o Supervisión Inadecuados"/>
    <x v="30"/>
    <m/>
    <s v="T2"/>
    <m/>
  </r>
  <r>
    <s v="PGL27563"/>
    <x v="0"/>
    <s v="SUPPLY CHAIN"/>
    <x v="3"/>
    <x v="0"/>
    <x v="3"/>
    <s v="GALLETERÍA E INSTANTANEOS"/>
    <x v="96"/>
    <d v="1899-12-30T10:15:00"/>
    <s v="Turno 1"/>
    <s v="martes"/>
    <s v=" Gavilán Barrutia"/>
    <s v="Xiomara Sofía"/>
    <s v="60827934"/>
    <n v="19"/>
    <n v="1"/>
    <n v="0"/>
    <m/>
    <x v="1"/>
    <s v="ALICORP S.A.A."/>
    <s v="PROPIO"/>
    <s v="El día 12-may a las 10:15 am durante el abastecimiento de paquetes a la envasadora C10 de L3, un paquete se atoró en el transportador y en el intento de desatorar el paquete, la trabajadora sufrió un corte en el segundo dedo de la mano derecha."/>
    <x v="64"/>
    <n v="6"/>
    <x v="9"/>
    <s v="Ingeniería Inadecuada "/>
    <x v="16"/>
    <m/>
    <s v="T2"/>
    <m/>
  </r>
  <r>
    <s v="ILU27590"/>
    <x v="1"/>
    <s v="SUPPLY CHAIN"/>
    <x v="3"/>
    <x v="3"/>
    <x v="23"/>
    <s v="LURÍN 2"/>
    <x v="97"/>
    <d v="1899-12-30T17:20:00"/>
    <s v="Turno 1"/>
    <s v="viernes"/>
    <s v="SILVA CARDENAS"/>
    <s v="GERARDO"/>
    <n v="71761446"/>
    <m/>
    <n v="48"/>
    <n v="4"/>
    <m/>
    <x v="3"/>
    <s v="OUTSOURCING"/>
    <s v="Service"/>
    <s v="El colaborador se encontraba en Soplado realizando el abastecimiento manual de frascos vacíos desde una bandeja hacia la faja transportadora de la máquina Sika N.° 4. Durante la ejecución de esta actividad, generando movimientos verticales, impactó la parte superior de su cabeza contra un soporte metálico tipo perno perteneciente al pulsador instalado en la estructura de la faja transportadora."/>
    <x v="66"/>
    <n v="7"/>
    <x v="9"/>
    <s v="Estándares de Trabajo Inadecuados / Desarrollo inadecuado de estándares"/>
    <x v="28"/>
    <m/>
    <s v="T2"/>
    <m/>
  </r>
  <r>
    <s v="PGL27591"/>
    <x v="0"/>
    <s v="SUPPLY CHAIN"/>
    <x v="3"/>
    <x v="0"/>
    <x v="3"/>
    <s v="GALLETERÍA E INSTANTANEOS"/>
    <x v="98"/>
    <d v="1899-12-30T18:35:00"/>
    <s v="Turno 2"/>
    <s v="lunes"/>
    <s v=" AYMA MELQUIADES"/>
    <s v="ZANABRIA"/>
    <s v="25832977"/>
    <n v="50"/>
    <n v="288"/>
    <n v="24"/>
    <m/>
    <x v="1"/>
    <s v="ALICORP S.A.A."/>
    <s v="PROPIO"/>
    <s v="Aproximadamente a las 18:35 horas del lunes 18 de mayo, un operador sufrió una herida en la ceja derecha con el borde de una bandeja de plástico. El contacto ocurrió cuando el operador intentó mover 3 bandejas vacías._x000a_"/>
    <x v="66"/>
    <n v="1"/>
    <x v="71"/>
    <s v="Estándares de Trabajo Inadecuados / Desarrollo inadecuado de estándares"/>
    <x v="28"/>
    <m/>
    <s v="T2"/>
    <m/>
  </r>
  <r>
    <s v="ILU27615"/>
    <x v="1"/>
    <s v="SUPPLY CHAIN"/>
    <x v="3"/>
    <x v="3"/>
    <x v="23"/>
    <s v="LURÍN 2"/>
    <x v="99"/>
    <d v="1899-12-30T16:45:00"/>
    <s v="Turno 1"/>
    <s v="martes"/>
    <s v="GARCIA HERNANDEZ "/>
    <s v="ANTONY YERSON"/>
    <s v="46295022"/>
    <n v="35"/>
    <n v="60"/>
    <n v="5"/>
    <m/>
    <x v="2"/>
    <s v="INTRADEVCO INDUSTRIAL S.A."/>
    <s v="PROPIO"/>
    <s v="El trabajador de mantenimiento se encontraba realizando labores de limpieza en un torno utilizando una línea de aire comprimido para el sopleteado de virutas y residuos metálicos._x000a_Al finalizar la actividad y mientras se disponía a colgar la manguera de aire, observó que una viruta metálica se había enredado en el espiral de la línea de aire. Al intentar retirarla manualmente, jala la viruta con al mano derecha ,produciéndose en ese momento un corte en el dedo medio. El trabajador sintió ardor inmediatamente e informó el incidente a su supervisor. Posteriormente fue trasladado al tópico y, debido a la profundidad de la lesión, fue derivado a una clínica para la atención médica correspondiente, donde se determinó la necesidad de sutura._x000a_"/>
    <x v="64"/>
    <n v="7"/>
    <x v="10"/>
    <s v="Herramientas o equipos inadecuados"/>
    <x v="17"/>
    <m/>
    <s v="T2"/>
    <m/>
  </r>
  <r>
    <s v="PCO27813"/>
    <x v="0"/>
    <s v="ADMINISTRACIÓN"/>
    <x v="2"/>
    <x v="14"/>
    <x v="30"/>
    <s v="OTROS"/>
    <x v="100"/>
    <d v="1899-12-30T12:30:00"/>
    <s v="Turno 1"/>
    <s v="miércoles"/>
    <s v="TENAZOA TORRES"/>
    <s v=" LERY GRETEL"/>
    <n v="47590860"/>
    <m/>
    <n v="72"/>
    <n v="6"/>
    <m/>
    <x v="3"/>
    <s v="CLEANED SERVICES"/>
    <s v="Tercero - Limpieza"/>
    <s v="En circunstancias que Supervisora de Cleaned sale de la oficina de calidad de Oleos, al bajar peldaño de la vereda se tropieza, llegando a doblar el tobillo del pie derecho. "/>
    <x v="48"/>
    <n v="24"/>
    <x v="54"/>
    <s v="Motivación Incorrecta"/>
    <x v="22"/>
    <m/>
    <s v="T2"/>
    <m/>
  </r>
  <r>
    <s v="SID27830 "/>
    <x v="0"/>
    <s v="SUPPLY CHAIN"/>
    <x v="3"/>
    <x v="7"/>
    <x v="20"/>
    <s v="SIDSUR"/>
    <x v="101"/>
    <d v="1899-12-30T13:15:00"/>
    <s v="Turno 1"/>
    <s v="jueves"/>
    <s v="ARANZABAL ROMAN"/>
    <s v="WYATT HERBERT"/>
    <n v="72093521"/>
    <n v="26"/>
    <n v="2"/>
    <n v="0"/>
    <m/>
    <x v="1"/>
    <s v="ALICORP S.A.A."/>
    <s v="PROPIO"/>
    <s v="Alrededor de las 13:15 horas, el operario se encontraba en la mesa de inspección de la Línea 2 durante aproximadamente los primeros 15 minutos de su jornada. Posteriormente fue derivado a la Línea 1._x000a_Durante el transito hacia la zona de magazines, el trabajador refiere haber pisado sunchos plásticos que se encontraban en el piso produciéndose un resbalón y posterior caída sobre su propio peso, apoyando la mano derecha contra el piso._x000a_El trabajador continuó realizando actividades de alimentación al magazine por algunos minutos, al percibir incremento del dolor en la mano reportó lo ocurrido a su coordinador, quien procedió con la activación del protocolo de atención correspondiente."/>
    <x v="67"/>
    <n v="10"/>
    <x v="4"/>
    <s v="Mantenimiento inadecuado"/>
    <x v="27"/>
    <m/>
    <s v="T2"/>
    <m/>
  </r>
  <r>
    <s v="ILU27627"/>
    <x v="1"/>
    <s v="SUPPLY CHAIN"/>
    <x v="3"/>
    <x v="3"/>
    <x v="7"/>
    <s v="LURÍN 4"/>
    <x v="101"/>
    <d v="1899-12-30T05:40:00"/>
    <s v="Turno 2"/>
    <s v="jueves"/>
    <s v="Espinoza Tapia"/>
    <s v="Ricardo"/>
    <n v="61876430"/>
    <m/>
    <n v="24"/>
    <n v="2"/>
    <m/>
    <x v="3"/>
    <s v="CONSULTING"/>
    <s v="Service"/>
    <s v="Un colaborador de Consulting Advisers se encontraba en la zona de coches, efectuando el traslado y acomodo de coches con detergente hacia la balanza N° 2, con el fin de facilitar la descarga del producto. Durante la ejecución de dicha actividad, otro colaborador de Consulting Advisers movilizó un coche con producto (278 kg) sin percatarse de la ubicación de su compañero, ocasionando el impacto del coche contra el hombro y pie izquierdo. Posterior al evento el colaborador manifestó dolor en el hombro y pie._x000a_El evento fue comunicado de manera inmediata a la supervisión del área. El colaborador fue atendido en tópico, siendo evaluado inicialmente como accidente no incapacitante (con reubicación). En las posteriores reevaluaciones, se determinó la necesidad de trasladarlo a la clínica San Pablo para recibir atención especializada_x000a_"/>
    <x v="42"/>
    <n v="3"/>
    <x v="48"/>
    <s v="Ingeniería Inadecuada "/>
    <x v="16"/>
    <s v="Diseño inadecuado"/>
    <s v="T2"/>
    <m/>
  </r>
  <r>
    <s v="ILU27801"/>
    <x v="1"/>
    <s v="SUPPLY CHAIN"/>
    <x v="3"/>
    <x v="3"/>
    <x v="7"/>
    <s v="LURÍN 4"/>
    <x v="102"/>
    <d v="1899-12-30T05:00:00"/>
    <s v="Turno 2"/>
    <s v="viernes"/>
    <s v="PALACIOS CARHUA"/>
    <s v=" ENRIQUE"/>
    <n v="41703214"/>
    <m/>
    <n v="12"/>
    <n v="1"/>
    <m/>
    <x v="3"/>
    <s v="CONSULTING"/>
    <s v="Service"/>
    <s v="Un colaborador de la empresa Consulting Advisers se encontraba realizando labores de fraccionamiento y abastecimiento de LESS (Lauril Éter Sulfato de Sodio 70%), durante la actividad el colaborador debido a la incomodidad se retira los lentes antiparra y se frota el ojo derecho con los guantes contaminados, generándole irritación y enrojecimiento.​_x000a__x000a_El evento fue comunicado al día siguiente de lo ocurrido donde fue atendido en tópico, siendo evaluado inicialmente como accidente no incapacitante. En las posteriores reevaluaciones, se determinó la necesidad de trasladarlo a la clínica San Pablo para recibir atención especializada."/>
    <x v="68"/>
    <n v="5"/>
    <x v="49"/>
    <s v="Falta de Habilidad / Instrucción inicial inadecuada"/>
    <x v="25"/>
    <m/>
    <s v="T2"/>
    <m/>
  </r>
  <r>
    <s v="ALI27891"/>
    <x v="0"/>
    <s v="ADMINISTRACIÓN"/>
    <x v="2"/>
    <x v="16"/>
    <x v="3"/>
    <s v="OTRAS DIRECCIONES"/>
    <x v="103"/>
    <m/>
    <m/>
    <s v="domingo"/>
    <s v=" MILAGROS DEL VALLE"/>
    <s v="VILLAROEL"/>
    <n v="7504140"/>
    <m/>
    <m/>
    <m/>
    <m/>
    <x v="0"/>
    <s v="CLEANED"/>
    <s v="Tercero - Limpieza"/>
    <s v="En circunstancias que colaboradora procede a salir del área de vestuario con una bolsa de residuos por la puerta intermedia, al jalar de la manija para abrir se golpea el dorso de la mano derecha contra la pared."/>
    <x v="69"/>
    <n v="2"/>
    <x v="72"/>
    <m/>
    <x v="19"/>
    <m/>
    <s v="T2"/>
    <m/>
  </r>
  <r>
    <s v="PGL27850"/>
    <x v="0"/>
    <s v="SUPPLY CHAIN"/>
    <x v="3"/>
    <x v="0"/>
    <x v="3"/>
    <s v="GALLETERÍA E INSTANTANEOS"/>
    <x v="104"/>
    <m/>
    <m/>
    <s v="viernes"/>
    <s v="NAVARRO VILLODAS"/>
    <s v="YULIANA HEIDI"/>
    <n v="42119014"/>
    <m/>
    <m/>
    <m/>
    <m/>
    <x v="0"/>
    <s v="ALICORP S.A.A"/>
    <s v="PROPIO"/>
    <s v="El día 12/06/2026, aproximadamente a las 06:50 am, la colaboradora que se desempeña como operaria de producción se encontraba caminando por el sendero peatonal (frente a patio de maniobras de MFA) en dirección a la planta de G&amp;I, cuando se detiene a amarrarse los pasadores apoyando un pie en el muro y al reincorporarse pierde el equilibrio al pisar un desnivel, cayéndose y golpeándose la cabeza y la rodilla."/>
    <x v="70"/>
    <n v="19"/>
    <x v="73"/>
    <m/>
    <x v="19"/>
    <m/>
    <s v="T2"/>
    <m/>
  </r>
  <r>
    <s v="MPA28023"/>
    <x v="0"/>
    <s v="SUPPLY CHAIN"/>
    <x v="3"/>
    <x v="7"/>
    <x v="36"/>
    <s v="MOLINO PAITA"/>
    <x v="105"/>
    <m/>
    <m/>
    <s v="martes"/>
    <s v="TORRES MORAN "/>
    <s v="ANDRY"/>
    <n v="44942491"/>
    <m/>
    <m/>
    <m/>
    <m/>
    <x v="0"/>
    <s v="ALICORP S.A.A"/>
    <s v="PROPIO"/>
    <s v="Un colaborador del área de embolsado se encontraba movilizando envases de harina mediante un carrito desde el primer hacia el segundo nivel de empaque. Al llegar a la puerta de salida del primer piso, la cual tiene un diseño de puerta de emergencia, es golpeado contra la barra antipánico de la puerta, la cual tenía una superficie filosa causándole un corte en el antebrazo derecho. Se le brinda los primeros auxilios y es evacuado a clínica para sutura"/>
    <x v="71"/>
    <n v="8"/>
    <x v="74"/>
    <m/>
    <x v="19"/>
    <m/>
    <s v="T2"/>
    <m/>
  </r>
  <r>
    <s v="ILU27959"/>
    <x v="0"/>
    <s v="SUPPLY CHAIN"/>
    <x v="1"/>
    <x v="3"/>
    <x v="7"/>
    <s v="LURÍN 4"/>
    <x v="106"/>
    <m/>
    <m/>
    <s v="jueves"/>
    <s v="PALOMARE SECLEN "/>
    <s v="CESAR SMITH"/>
    <n v="75700587"/>
    <m/>
    <m/>
    <m/>
    <m/>
    <x v="0"/>
    <s v="RANSA"/>
    <s v="Service"/>
    <s v="Siendo aprox. 04:50 am durante la actividad de traslado de paletas vacías desde el almacén CD1 a la jaula de paletas (patio CD2), el colaborador de Ransa ingresó en retroceso conforme al procedimiento establecido y procedió a acomodar las rumas de paletas vacías.​_x000a_Sin embargo, al maniobrar con la mano derecha apoyándose del mango, en el impacto con otra ruma de paletas, este le ocasionó el atrapamiento de los dedos de la mano derecha."/>
    <x v="72"/>
    <n v="18"/>
    <x v="75"/>
    <m/>
    <x v="19"/>
    <m/>
    <s v="T2"/>
    <m/>
  </r>
  <r>
    <s v="MCA27983"/>
    <x v="0"/>
    <s v="SUPPLY CHAIN"/>
    <x v="3"/>
    <x v="7"/>
    <x v="37"/>
    <s v="MOLINO CALLAO"/>
    <x v="107"/>
    <m/>
    <m/>
    <s v="miércoles"/>
    <s v="DIAZ MOYA "/>
    <s v="MARCO ANTONIO"/>
    <n v="25786973"/>
    <m/>
    <m/>
    <m/>
    <m/>
    <x v="0"/>
    <s v="ALICORP S.A.A"/>
    <s v="PROPIO"/>
    <s v="Aproximadamente a las 08:40 hrs, en el área de embolsado, el colaborador se encontraba laborando en la Línea 1 y, al detectar un saco con error de costura, intenta retirar el saco de la faja transportadora._x000a_En la maniobra, el colaborador golpea el saco contra la baranda guía, haciendo que pierda la estabilidad y resbalando hacia atrás, provocando que caiga de espaldas._x000a_El colaborador es auxiliado por los compañeros y se informa inmediatamente al supervisor, se llama a la ambulancia y se revisa al colaborador, quien es llevado a tópico para su atención_x000a__x000a_ "/>
    <x v="73"/>
    <n v="13"/>
    <x v="76"/>
    <m/>
    <x v="19"/>
    <m/>
    <s v="T2"/>
    <m/>
  </r>
  <r>
    <s v=" ALI28020"/>
    <x v="0"/>
    <s v="OTRAS VICEPRESIDENCIAS"/>
    <x v="2"/>
    <x v="16"/>
    <x v="38"/>
    <s v="OTRAS DIRECCIONES"/>
    <x v="107"/>
    <m/>
    <m/>
    <s v="miércoles"/>
    <s v="ALDIVIA VILLAGARAY"/>
    <s v="FRANCISCO ITALO "/>
    <n v="72915677"/>
    <m/>
    <m/>
    <m/>
    <m/>
    <x v="0"/>
    <s v="BOCACION S.A.C"/>
    <s v="Tercero-servicios de alimentación"/>
    <s v="En circunstancias que el colaborador procedía a realizar la actividad de habilitado de zapallo, coge el cuchillo por el mango con la mano derecha y con la mano izquierda abraza la parte filosa, a fin de generar presión sobre la verdura (zapallo), lo que ocasiona que se corte el dedo medio de la mano izquierda, a la altura de la última falange. "/>
    <x v="74"/>
    <n v="4"/>
    <x v="77"/>
    <m/>
    <x v="19"/>
    <m/>
    <s v="T2"/>
    <m/>
  </r>
  <r>
    <m/>
    <x v="5"/>
    <s v="SUPPLY CHAIN"/>
    <x v="3"/>
    <x v="3"/>
    <x v="31"/>
    <s v="Calacalí"/>
    <x v="108"/>
    <m/>
    <m/>
    <s v="viernes"/>
    <s v="Burgos"/>
    <s v="Gabriel "/>
    <m/>
    <m/>
    <m/>
    <m/>
    <m/>
    <x v="0"/>
    <s v="ALICORP S.A.A"/>
    <s v="PROPIO"/>
    <s v="El colaborador se encontraba realizando limpieza de su zona de trabajo, transporte neumático, el día 19/06/2026 en el turno de la noche.​En sus funciones está la limpieza de las gradas.​ A la 1h50 el colaborador está realizando un barrido de la zona de las escaleras pierde la estabilidad al bajar de grada y se golpea el lado derecho de las costillas contra el pasamano.​ El incidente es notificado al supervisor de turno, pero no se retira de sus actividades ya que el colaborador menciona que no tiene dolor, al finalizar el turno comenta que se va a realizar el chequeo de la zona afectada con un doctor particular y se retira.​_x000a_"/>
    <x v="75"/>
    <n v="2"/>
    <x v="78"/>
    <m/>
    <x v="19"/>
    <m/>
    <s v="T2"/>
    <m/>
  </r>
  <r>
    <s v="ILU27997"/>
    <x v="0"/>
    <s v="SUPPLY CHAIN"/>
    <x v="3"/>
    <x v="3"/>
    <x v="7"/>
    <s v="LURÍN 4"/>
    <x v="109"/>
    <m/>
    <m/>
    <s v="lunes"/>
    <s v="MARQUINA SILVA"/>
    <s v="RENZO MARTIN"/>
    <n v="70556153"/>
    <m/>
    <m/>
    <m/>
    <m/>
    <x v="0"/>
    <m/>
    <s v="Service"/>
    <s v="Un colaborador de la empresa Consulting Advisers se encontraba realizando labores de abastecimiento de coches, durante la actividad el colaborador decidió trasladar dos coches de manera simultánea sujetando un coche con cada mano, al momento de posicionarlos y acomodarlos sufrió un golpe en la mano derecha. Luego de unos minutos al evidenciar incomodidad da aviso a su supervisor y es derivado al tópico de planta._x000a_El evento fue determinado inicialmente como accidente no incapacitante sin embargo en su reevaluación del día siguiente se determinó derivarlo a la clínica para atención especializada."/>
    <x v="76"/>
    <n v="2"/>
    <x v="79"/>
    <m/>
    <x v="19"/>
    <m/>
    <s v="T2"/>
    <m/>
  </r>
  <r>
    <m/>
    <x v="1"/>
    <s v="OTRAS VICEPRESIDENCIAS"/>
    <x v="2"/>
    <x v="2"/>
    <x v="39"/>
    <s v="OTRAS DIRECCIONES"/>
    <x v="110"/>
    <d v="1899-12-30T13:50:00"/>
    <s v="Turno 1"/>
    <s v="viernes"/>
    <m/>
    <m/>
    <m/>
    <m/>
    <m/>
    <m/>
    <m/>
    <x v="0"/>
    <m/>
    <s v="Tercero"/>
    <m/>
    <x v="33"/>
    <n v="3"/>
    <x v="24"/>
    <m/>
    <x v="19"/>
    <m/>
    <s v="T2"/>
    <m/>
  </r>
  <r>
    <s v="STC28004"/>
    <x v="2"/>
    <s v="ADMINISTRACIÓN"/>
    <x v="2"/>
    <x v="16"/>
    <x v="40"/>
    <s v="OTROS"/>
    <x v="111"/>
    <d v="1899-12-30T07:30:00"/>
    <s v="Turno 1"/>
    <s v="martes"/>
    <s v="Barrancos"/>
    <s v="Sioni "/>
    <m/>
    <m/>
    <n v="23"/>
    <m/>
    <m/>
    <x v="0"/>
    <m/>
    <s v="Tercero"/>
    <s v="El día 30/06/2026 a horas 8:30 am aproximadamente, la recepcionista de oficina central Sioni Barrancos perteneciente a la empresa contratista TSB, se encontraba yendo al área de archivo y al dirigirse hacia el parqueo con ambas manos ocupadas con 2 tasas al bajar el desnivel de la acera pisó en falso sufriendo una caída, lo que ocasiono un pequeño corte cerca a la rodilla y torcedura del tobillo izquierdo._x000a_De manera inmediata recibió auxilio con el botiquín de la empresa realizando su curación de la rodilla y posteriormente se dirigió a su centro de salud de su seguro para evaluación de la inflamación de su tobillo._x000a_Diagnostico medico: esguince grado 2 en tobillo izquierdo "/>
    <x v="77"/>
    <n v="7"/>
    <x v="80"/>
    <m/>
    <x v="19"/>
    <m/>
    <s v="T2"/>
    <m/>
  </r>
  <r>
    <m/>
    <x v="0"/>
    <s v="SUPPLY CHAIN"/>
    <x v="0"/>
    <x v="0"/>
    <x v="3"/>
    <s v="GALLETERÍA E INSTANTANEOS"/>
    <x v="112"/>
    <d v="1899-12-30T05:40:00"/>
    <s v="Turno 1"/>
    <s v="viernes"/>
    <s v="FLORES AGUILA "/>
    <s v="SILVIA KARINA"/>
    <m/>
    <m/>
    <m/>
    <m/>
    <m/>
    <x v="0"/>
    <s v="ALICORP S.A.A."/>
    <s v="PROPIO"/>
    <s v="Aproximadamente a las 05:40 a. m., la operadora de producción asignada a la Línea 2 sufrió un incidente al atraparse el quinto dedo de la mano derecha con el asa de una bandeja de galletas, produciéndose un estiramiento del dedo afectado. Tras el evento, fue trasladada al tópico para la atención inicial y posteriormente derivada a una clínica para una evaluación médica más especializada. El diagnostico final esta en trascurso. "/>
    <x v="78"/>
    <n v="18"/>
    <x v="81"/>
    <m/>
    <x v="19"/>
    <m/>
    <s v="T3"/>
    <m/>
  </r>
  <r>
    <m/>
    <x v="1"/>
    <m/>
    <x v="2"/>
    <x v="2"/>
    <x v="39"/>
    <s v="OTRAS DIRECCIONES"/>
    <x v="113"/>
    <d v="1899-12-30T03:00:00"/>
    <s v="Turno 1"/>
    <s v="lunes"/>
    <s v="CAMPOS CABRERA "/>
    <s v="KEVIN FERNANDO"/>
    <m/>
    <m/>
    <m/>
    <m/>
    <m/>
    <x v="0"/>
    <s v="PRAXIS ECOLOGY"/>
    <s v="Tercero"/>
    <s v="Durante las actividades de recojo de residuos sólidos peligrosos, un operario de la empresa contratista Praxis manifestó una sensación de ardor en los ojos mientras realizaba el carguío de sacos contaminados. Ante esta situación, se retiró temporalmente algunos elementos de protección personal (respirador, guantes y lentes) para limpiarse el sudor y posteriormente retomó la ejecución de la actividad."/>
    <x v="79"/>
    <n v="2"/>
    <x v="82"/>
    <m/>
    <x v="19"/>
    <m/>
    <s v="T3"/>
    <m/>
  </r>
  <r>
    <m/>
    <x v="1"/>
    <m/>
    <x v="2"/>
    <x v="9"/>
    <x v="23"/>
    <s v="OTRAS DIRECCIONES"/>
    <x v="114"/>
    <d v="1899-12-30T03:00:00"/>
    <s v="Turno 1"/>
    <s v="martes"/>
    <s v="AGURTO CABRERA "/>
    <s v="ROSA"/>
    <m/>
    <m/>
    <m/>
    <m/>
    <m/>
    <x v="0"/>
    <s v="CLEANED"/>
    <s v="Tercero - Limpieza"/>
    <s v="El personal de Cleaned a su encargada de la presencia de sintomatología relacionada a intoxicación (Dolor de cabeza, náuseas, mareos, urticaria, etc). Pasado unos minutos, más colaboradores de la concesionaria empiezan a presentar los mismos síntomas, por lo que también son derivados."/>
    <x v="11"/>
    <n v="5"/>
    <x v="83"/>
    <m/>
    <x v="19"/>
    <m/>
    <s v="T3"/>
    <m/>
  </r>
  <r>
    <m/>
    <x v="0"/>
    <m/>
    <x v="2"/>
    <x v="17"/>
    <x v="38"/>
    <s v="FIDERÍA "/>
    <x v="115"/>
    <d v="1899-12-30T14:40:00"/>
    <s v="Turno 2"/>
    <s v="miércoles"/>
    <s v="IBARRA MELENDEZ "/>
    <s v="LUIS ERNESTO"/>
    <m/>
    <m/>
    <m/>
    <m/>
    <m/>
    <x v="0"/>
    <s v="ALICORP S.A.A."/>
    <s v="PROPIO"/>
    <s v="El 08/07 a las 2:40 p. m., durante labores de limpieza en la Prensa L22, un técnico mecánico de mantenimiento sufrió una herida en la región frontal izquierda tras el impacto de una varilla que cayó desde un segundo nivel."/>
    <x v="80"/>
    <n v="8"/>
    <x v="84"/>
    <m/>
    <x v="19"/>
    <m/>
    <s v="T3"/>
    <m/>
  </r>
  <r>
    <m/>
    <x v="1"/>
    <m/>
    <x v="2"/>
    <x v="18"/>
    <x v="23"/>
    <s v="LURÍN 2"/>
    <x v="115"/>
    <d v="1899-12-30T03:00:00"/>
    <s v="Turno 1"/>
    <s v="miércoles"/>
    <s v="SEGOVIA GUTIERREZ "/>
    <s v="EDWIN SMITH"/>
    <m/>
    <m/>
    <m/>
    <m/>
    <m/>
    <x v="0"/>
    <s v="INTRADEVCO INDUSTRIAL S.A."/>
    <s v="PROPIO"/>
    <s v="El personal de Calidad informa a su encargada de la presencia de sintomatología relacionada a intoxicación (Dolor de cabeza, náuseas, mareos, urticaria, etc). Pasado unos minutos, más colaboradores de la concesionaria empiezan a presentar los mismos síntomas, por lo que también son derivados._x000a_"/>
    <x v="11"/>
    <n v="9"/>
    <x v="83"/>
    <m/>
    <x v="19"/>
    <m/>
    <s v="T3"/>
    <m/>
  </r>
  <r>
    <m/>
    <x v="1"/>
    <m/>
    <x v="2"/>
    <x v="18"/>
    <x v="23"/>
    <s v="LURÍN 2"/>
    <x v="115"/>
    <d v="1899-12-30T03:00:00"/>
    <s v="Turno 1"/>
    <s v="miércoles"/>
    <s v="SIFUENTES SOSA "/>
    <s v="MELISA ANDREA"/>
    <m/>
    <m/>
    <m/>
    <m/>
    <m/>
    <x v="0"/>
    <s v="INTRADEVCO INDUSTRIAL S.A."/>
    <s v="PROPIO"/>
    <s v="El personal de Calidad informa a su encargada de la presencia de sintomatología relacionada a intoxicación (Dolor de cabeza, náuseas, mareos, urticaria, etc). Pasado unos minutos, más colaboradores de la concesionaria empiezan a presentar los mismos síntomas, por lo que también son derivados._x000a_"/>
    <x v="11"/>
    <n v="12"/>
    <x v="83"/>
    <m/>
    <x v="19"/>
    <m/>
    <s v="T3"/>
    <m/>
  </r>
  <r>
    <m/>
    <x v="1"/>
    <m/>
    <x v="2"/>
    <x v="6"/>
    <x v="23"/>
    <s v="OTRAS DIRECCIONES"/>
    <x v="115"/>
    <d v="1899-12-30T02:45:00"/>
    <s v="Turno 1"/>
    <s v="miércoles"/>
    <s v=" LOCK CAMINO "/>
    <s v="JAIME EDUARDO"/>
    <m/>
    <m/>
    <m/>
    <m/>
    <m/>
    <x v="0"/>
    <s v="AMERICA CAUTERING"/>
    <s v="Tercero-servicios de alimentación"/>
    <s v="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x v="11"/>
    <n v="2"/>
    <x v="83"/>
    <m/>
    <x v="19"/>
    <m/>
    <s v="T3"/>
    <m/>
  </r>
  <r>
    <m/>
    <x v="1"/>
    <m/>
    <x v="2"/>
    <x v="6"/>
    <x v="23"/>
    <s v="OTRAS DIRECCIONES"/>
    <x v="115"/>
    <d v="1899-12-30T02:45:00"/>
    <s v="Turno 1"/>
    <s v="miércoles"/>
    <s v="FERNANDEZ QUISPE "/>
    <s v="JOSSELIN JUDITH"/>
    <m/>
    <m/>
    <m/>
    <m/>
    <m/>
    <x v="0"/>
    <s v="AMERICA CAUTERING"/>
    <s v="Tercero-servicios de alimentación"/>
    <s v="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x v="11"/>
    <n v="2"/>
    <x v="83"/>
    <m/>
    <x v="19"/>
    <m/>
    <s v="T3"/>
    <m/>
  </r>
  <r>
    <m/>
    <x v="1"/>
    <m/>
    <x v="2"/>
    <x v="6"/>
    <x v="23"/>
    <s v="OTRAS DIRECCIONES"/>
    <x v="115"/>
    <d v="1899-12-30T02:45:00"/>
    <s v="Turno 1"/>
    <s v="miércoles"/>
    <s v="MALPARTIDA TORRES"/>
    <s v=" ANGEL"/>
    <m/>
    <m/>
    <m/>
    <m/>
    <m/>
    <x v="0"/>
    <s v="AMERICA CAUTERING"/>
    <s v="Tercero-servicios de alimentación"/>
    <s v="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x v="11"/>
    <n v="2"/>
    <x v="83"/>
    <m/>
    <x v="19"/>
    <m/>
    <s v="T3"/>
    <m/>
  </r>
  <r>
    <m/>
    <x v="1"/>
    <m/>
    <x v="2"/>
    <x v="6"/>
    <x v="23"/>
    <s v="OTRAS DIRECCIONES"/>
    <x v="115"/>
    <d v="1899-12-30T02:45:00"/>
    <s v="Turno 1"/>
    <s v="miércoles"/>
    <s v="NASHNATE UNICAHUARI "/>
    <s v="HERMES"/>
    <m/>
    <m/>
    <m/>
    <m/>
    <m/>
    <x v="0"/>
    <s v="AMERICA CAUTERING"/>
    <s v="Tercero-servicios de alimentación"/>
    <s v="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x v="11"/>
    <n v="4"/>
    <x v="83"/>
    <m/>
    <x v="19"/>
    <m/>
    <s v="T3"/>
    <m/>
  </r>
  <r>
    <m/>
    <x v="1"/>
    <m/>
    <x v="2"/>
    <x v="6"/>
    <x v="23"/>
    <s v="OTRAS DIRECCIONES"/>
    <x v="115"/>
    <d v="1899-12-30T02:45:00"/>
    <s v="Turno 1"/>
    <s v="miércoles"/>
    <s v="VILCAS GAMBOA "/>
    <s v="GERALDINE SONIA"/>
    <m/>
    <m/>
    <m/>
    <m/>
    <m/>
    <x v="0"/>
    <s v="AMERICA CAUTERING"/>
    <s v="Tercero-servicios de alimentación"/>
    <s v="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x v="11"/>
    <n v="2"/>
    <x v="83"/>
    <m/>
    <x v="19"/>
    <m/>
    <s v="T3"/>
    <m/>
  </r>
  <r>
    <m/>
    <x v="1"/>
    <m/>
    <x v="2"/>
    <x v="6"/>
    <x v="23"/>
    <s v="OTRAS DIRECCIONES"/>
    <x v="115"/>
    <d v="1899-12-30T02:45:00"/>
    <s v="Turno 1"/>
    <s v="miércoles"/>
    <s v="YOVERA FLORES "/>
    <s v="GEYDE YSABED"/>
    <m/>
    <m/>
    <m/>
    <m/>
    <m/>
    <x v="0"/>
    <s v="AMERICA CAUTERING"/>
    <s v="Tercero-servicios de alimentación"/>
    <s v="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x v="11"/>
    <n v="2"/>
    <x v="83"/>
    <m/>
    <x v="19"/>
    <m/>
    <s v="T3"/>
    <m/>
  </r>
  <r>
    <m/>
    <x v="1"/>
    <m/>
    <x v="2"/>
    <x v="6"/>
    <x v="23"/>
    <s v="OTRAS DIRECCIONES"/>
    <x v="115"/>
    <d v="1899-12-30T02:45:00"/>
    <s v="Turno 1"/>
    <s v="miércoles"/>
    <s v="BRACHO GRATEROL"/>
    <s v=" AERLIN"/>
    <m/>
    <m/>
    <m/>
    <m/>
    <m/>
    <x v="0"/>
    <s v="AMRICA CAUTERING"/>
    <s v="Tercero-servicios de alimentación"/>
    <s v="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x v="11"/>
    <n v="4"/>
    <x v="83"/>
    <m/>
    <x v="19"/>
    <m/>
    <s v="T3"/>
    <m/>
  </r>
  <r>
    <m/>
    <x v="1"/>
    <m/>
    <x v="2"/>
    <x v="9"/>
    <x v="23"/>
    <s v="OTRAS DIRECCIONES"/>
    <x v="115"/>
    <d v="1899-12-30T02:45:00"/>
    <s v="Turno 1"/>
    <s v="miércoles"/>
    <s v="GONZALES MOQUILLAZA"/>
    <s v=" ROSA ANGELICA"/>
    <m/>
    <m/>
    <m/>
    <m/>
    <m/>
    <x v="0"/>
    <s v="CLEANED"/>
    <s v="Tercero - Limpieza"/>
    <s v="El colaborador de la empresa Cleaned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x v="11"/>
    <n v="8"/>
    <x v="83"/>
    <m/>
    <x v="19"/>
    <m/>
    <s v="T3"/>
    <m/>
  </r>
  <r>
    <m/>
    <x v="1"/>
    <m/>
    <x v="2"/>
    <x v="9"/>
    <x v="23"/>
    <s v="OTRAS DIRECCIONES"/>
    <x v="115"/>
    <d v="1899-12-30T02:45:00"/>
    <s v="Turno 1"/>
    <s v="miércoles"/>
    <s v="ROBLES GARCIA "/>
    <s v="YAHAIRA LISSET"/>
    <m/>
    <m/>
    <m/>
    <m/>
    <m/>
    <x v="0"/>
    <s v="CLEANED"/>
    <s v="Tercero - Limpieza"/>
    <s v="El colaborador de la empresa Cleaned informa a su encargada de la presencia de sintomatología relacionada a intoxicación (Dolor de cabeza, náuseas, mareos, urticaria, etc). Pasado unos minutos, más colaboradores de la concesionaria empiezan a presentar los mismos síntomas, por lo que también son derivados. "/>
    <x v="11"/>
    <n v="6"/>
    <x v="83"/>
    <m/>
    <x v="19"/>
    <m/>
    <s v="T3"/>
    <m/>
  </r>
  <r>
    <m/>
    <x v="0"/>
    <s v="SUPPLY CHAIN"/>
    <x v="0"/>
    <x v="7"/>
    <x v="20"/>
    <s v="SIDSUR"/>
    <x v="116"/>
    <d v="1899-12-30T10:20:00"/>
    <s v="Turno 1"/>
    <s v="miércoles"/>
    <s v="SILLOCA SILLOCA "/>
    <s v="VITALIANO WENCESLAO"/>
    <m/>
    <m/>
    <m/>
    <m/>
    <m/>
    <x v="0"/>
    <s v="ALICORP S.A.A."/>
    <s v="PROPIO"/>
    <s v="Siendo aproximadamente las 10:20 a.m., el trabajador se encontraba realizando la apertura manual de la puerta corrediza de recepción de materiales para el área de materias primas de Galletería, sujetando la manija con la mano izquierda y apoyando la mano derecha sobre la pared. Durante la maniobra, al ejercer fuerza sobre la manija porque presentaba dureza en el recorrido, ocasionó el atrapamiento del primer dedo de la mano derecha entre la manija de la puerta y la pared. De forma inmediata, el trabajador fue trasladado al tópico de la empresa, donde recibió atención médica preliminar y posteriormente se deriva a la Clinica San Juan de Dios."/>
    <x v="81"/>
    <n v="6"/>
    <x v="85"/>
    <m/>
    <x v="19"/>
    <m/>
    <s v="T3"/>
    <m/>
  </r>
  <r>
    <m/>
    <x v="1"/>
    <s v="SUPPLY CHAIN"/>
    <x v="0"/>
    <x v="3"/>
    <x v="23"/>
    <s v="LURÍN 2"/>
    <x v="116"/>
    <d v="1899-12-30T02:45:00"/>
    <s v="Turno 1"/>
    <s v="miércoles"/>
    <s v="OCHOA ROCA "/>
    <s v="JUAN CARLOS"/>
    <m/>
    <m/>
    <m/>
    <m/>
    <m/>
    <x v="0"/>
    <s v="INTRADEVCO INDUSTRIAL S.A."/>
    <s v="PROPIO"/>
    <s v="El colaborador se encontraba realizando labores en el área de Envasado cuando intentó orientar un ventilador para dirigir el flujo de aire hacia su posición de trabajo. Durante esta acción, tomó el ventilador con ambas manos desde la guarda tipo rejilla y no se percató de que esta presentaba una deformación, ocasionando que uno de sus dedos rozara con las aletas del ventilador, produciéndose un corte._x000a_El colaborador fue trasladado al tópico para su atención médica. Actualmente, se viene realizando la investigación del evento para determinar las causas y establecer las acciones correspondientes"/>
    <x v="82"/>
    <n v="2"/>
    <x v="86"/>
    <m/>
    <x v="19"/>
    <m/>
    <s v="T3"/>
    <m/>
  </r>
  <r>
    <m/>
    <x v="1"/>
    <s v="SUPPLY CHAIN"/>
    <x v="0"/>
    <x v="3"/>
    <x v="7"/>
    <s v="OTRAS DIRECCIONES"/>
    <x v="116"/>
    <m/>
    <m/>
    <s v="miércoles"/>
    <s v="RIOS RIOJA "/>
    <s v="ROCIO CAMILA"/>
    <m/>
    <m/>
    <m/>
    <m/>
    <m/>
    <x v="0"/>
    <s v="CONSULTING"/>
    <s v="Service"/>
    <s v="Un colaboradora de la empresa Consulting Advisers se encontraba realizando labores de tapado manual de potes, durante la actividad la colaboradora se encontraba de pie sobre una plataforma de trabajo. Al realizar un movimiento durante la ejecución de la tarea, apoyó el pie fuera del borde de la plataforma, perdiendo la estabilidad. Como consecuencia, sufrió la torcedura del tobillo derecho. Tras el evento, se la derivo al tópico de planta donde se le aplico la medicina correspondiente. Al finalizar el turno el dolor se intensificó y fue derivada a la clínica para atención especializada.  _x000a_"/>
    <x v="83"/>
    <n v="6"/>
    <x v="87"/>
    <m/>
    <x v="19"/>
    <m/>
    <s v="T3"/>
    <m/>
  </r>
  <r>
    <m/>
    <x v="0"/>
    <s v="SUPPLY CHAIN"/>
    <x v="0"/>
    <x v="0"/>
    <x v="3"/>
    <s v="OTRAS DIRECCIONES"/>
    <x v="117"/>
    <d v="1899-12-30T18:00:00"/>
    <s v="Turno 2"/>
    <s v="jueves"/>
    <s v="GUERRA TORO "/>
    <s v="TEODORO JOSÉ"/>
    <m/>
    <m/>
    <m/>
    <m/>
    <m/>
    <x v="0"/>
    <s v="PROLABORA SOLUTIONS"/>
    <s v="Service"/>
    <s v="Aproximadamente a las 18:00 horas, durante el abastecimiento de paletas de manteca, el operador del apilador impactó la estructura del equipo TAWI. Como consecuencia del impacto, uno de los rieles de la estructura se desprendió y cayó sobre la espalda de un operador tercero, quien se encontraba realizando la actividad de abastecimiento de manteca en ese momento."/>
    <x v="84"/>
    <n v="2"/>
    <x v="88"/>
    <m/>
    <x v="19"/>
    <m/>
    <s v="T3"/>
    <m/>
  </r>
  <r>
    <m/>
    <x v="0"/>
    <s v="SUPPLY CHAIN"/>
    <x v="0"/>
    <x v="0"/>
    <x v="15"/>
    <s v="PANETONES"/>
    <x v="118"/>
    <m/>
    <m/>
    <s v="viernes"/>
    <s v="CASTILLO MOLINA "/>
    <s v="JUAN CARLOS"/>
    <m/>
    <m/>
    <m/>
    <m/>
    <m/>
    <x v="0"/>
    <s v="ALICORP S.A.A."/>
    <s v="PROPIO"/>
    <s v="Trabajador quien refiere que mientras se encontraba realizando manipulacion de un balde con contenido de dos bolsas de yemas, con un peso aproximado de 2 kg cada una, el cual se encontraba ubicado sobre un estante a una altura aproximada entre 1.20 y 1.50 metros. refiere que, al momento de intentar abrir la tapa del balde, observa que este presentaba humedad externa por condensación, provocando que se resbalara de sus manos. como consecuencia, el balde cae y roza directamente la cara anterolateral de la pierna derecha, posterior refiere no presentar dolor importante ni limitación funcional. sin embargo, si hay dolor a la digitopresión sobre la zona de impacto y aumento de volumen."/>
    <x v="85"/>
    <n v="3"/>
    <x v="89"/>
    <m/>
    <x v="19"/>
    <m/>
    <s v="T3"/>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
  <r>
    <m/>
    <s v="ALICORP_SAA"/>
    <s v="SUPPLY CHAIN"/>
    <s v="MANUFACTURA"/>
    <s v="FARINACEOS"/>
    <x v="0"/>
    <s v="FIDERÍA "/>
    <x v="0"/>
    <m/>
    <s v="DÍA"/>
    <s v="miércoles"/>
    <m/>
    <m/>
    <m/>
    <m/>
    <m/>
    <m/>
    <m/>
    <m/>
    <s v="DHYNESAL  S.R.L"/>
    <s v="Contratista"/>
    <s v="El contratista de la empresa DHYNESAL se encontraba en el cuarto piso del sistema de molienda Bühler 1 planta de Fideeria Lima a la espera que técnico mecánico termine la actividad de desatoro de la tolva M621 de la L26. En ese momento la colaboradora al intentar verificar la caída de producto introduciendo su mano a un espacio confinado señalizado y sufriendo  un corte severo con la válvula de rotativa de corte (esclusa) en el tercer dedo de la mano izquierda con lesión de uña. "/>
    <s v="Amputación"/>
    <n v="49"/>
    <s v="Máquina en movimiento"/>
    <m/>
    <s v="Mal juicio / Exceso de confianza"/>
    <s v="ACTO INSEGURO"/>
    <s v="T1"/>
    <m/>
  </r>
  <r>
    <m/>
    <s v="INTRADEVCO_INDUSTRIAL_SA"/>
    <s v="SUPPLY CHAIN"/>
    <s v="LOGÍSTICA"/>
    <s v="PREDIOS INDUSTRIALES"/>
    <x v="1"/>
    <s v="DISTRIBUCIÓN INTRADEVCO"/>
    <x v="1"/>
    <m/>
    <s v="DÍA"/>
    <s v="viernes"/>
    <m/>
    <m/>
    <m/>
    <m/>
    <m/>
    <m/>
    <m/>
    <m/>
    <s v="RANSA COMERCIAL SA"/>
    <s v="Contratista"/>
    <s v="Durante la acción de retroceso, el trabajador se dirige a una zona cercana a las líneas peatonales del patio para dejar el equipo y alcanzar al líder para preguntarle sobre sus tareas programadas para la tarde. Es en estas circunstancias, que cuando el trabajador se aproxima con el equipo al área de descarga para estacionarse, decide bajar ligeramente su pie sin detener el equipo, impactando luego contra la barrera metálica de la manguera de aire de los silos, lo que genera que su pie derecho quede atrapado entre la plataforma del equipo y la barrera metálica."/>
    <s v="Herida en tobillo"/>
    <n v="291"/>
    <s v="Equipo logístico "/>
    <m/>
    <s v="Uso inadecuado de herramienta/equipo"/>
    <s v="ACTO INSEGURO"/>
    <s v="T1"/>
    <m/>
  </r>
  <r>
    <m/>
    <s v="INTRADEVCO_INDUSTRIAL_SA"/>
    <s v="SUPPLY CHAIN"/>
    <s v="LOGÍSTICA"/>
    <s v="PREDIOS INDUSTRIALES"/>
    <x v="1"/>
    <s v="DISTRIBUCIÓN INTRADEVCO"/>
    <x v="2"/>
    <m/>
    <s v="DÍA"/>
    <s v="sábado"/>
    <m/>
    <m/>
    <m/>
    <m/>
    <m/>
    <m/>
    <m/>
    <m/>
    <s v="ALTELIZA SAC"/>
    <s v="Tercero - Limpieza"/>
    <s v="La operaria se encontraba realizando la actividad de secado de piso haciendo uso de una escoba y trapo. Al ejercer el movimiento, el palo de la escoba se quiebra en 02 partes y una de las puntas se incrusta en su dedo pulgar, involucrando la uña del mismo. Se notifica de inmediato al personal de ITDC en zona de monitores CD2 quien la acompaña hacia el tópico para su atención y también comunica al personal de seguridad industrial y analista Alicorp. El personal fue derivado a la clínica activando su SCTR. La investigación continúa en curso."/>
    <s v="Herida   "/>
    <n v="9"/>
    <s v="Herramienta"/>
    <m/>
    <s v="Uso inadecuado de herramienta/equipo"/>
    <s v="ACTO INSEGURO"/>
    <s v="T1"/>
    <m/>
  </r>
  <r>
    <m/>
    <s v="ALICORP_SAA"/>
    <s v="SUPPLY CHAIN"/>
    <s v="OTRAS DIRECCIONES"/>
    <s v="SSOMA"/>
    <x v="2"/>
    <s v="OTRAS DIRECCIONES"/>
    <x v="3"/>
    <m/>
    <s v="TARDE"/>
    <s v="martes"/>
    <m/>
    <m/>
    <m/>
    <m/>
    <m/>
    <m/>
    <m/>
    <m/>
    <s v="ALICORP S.A.A"/>
    <s v="PROPIO"/>
    <s v="Trabajador refiere el dia de hoy a las 15:40 que iba caminando con 1 extintor y al estar caminando en el piso habia un hueco y el pies se le quedo atrapado y se cae golpeandose la rodilla derecha causando dolor de moderada intensidad y le leve  aceracion ,motivo por el cual acude para atencion medica"/>
    <s v="Esguince/Torcedura"/>
    <n v="14"/>
    <s v="Equipo extintor"/>
    <m/>
    <s v="Transito por zona no autorizada"/>
    <s v="ACTO INSEGURO"/>
    <s v="T1"/>
    <m/>
  </r>
  <r>
    <m/>
    <s v="ALICORP_SAA"/>
    <s v="SUPPLY CHAIN"/>
    <s v="MANUFACTURA"/>
    <s v="FARINACEOS"/>
    <x v="3"/>
    <s v="GALLETERÍA E INSTANTANEOS"/>
    <x v="4"/>
    <m/>
    <s v="TARDE"/>
    <s v="sábado"/>
    <m/>
    <m/>
    <m/>
    <m/>
    <m/>
    <m/>
    <m/>
    <m/>
    <s v="ALICORP S.A.A"/>
    <s v="PROPIO"/>
    <s v="Paciente masculino de 50 años de edad quien refiere el dia de hoy a las 22:20 estar entrando al_x000a_vestuario de galletera y el piso estaba mojado y se rebalo perdiendo el equilibrio cayo_x000a_colocando la mano derecha como soporte ,lesionandose la mano ,refiere dolor de_x000a_moderada intensidad al realizar flexion y extension se evidencia signos de inflamacion,_x000a_motivo por el cual se recibe llamada del ing isaac perez para atencion medica .antecedentes de_x000a_importancia :dm2"/>
    <s v="Esguince/Torcedura"/>
    <n v="59"/>
    <s v="Piso resbaloso"/>
    <m/>
    <s v="Piso resbaloso"/>
    <s v="CONDICIÓN INSEGURA"/>
    <s v="T1"/>
    <m/>
  </r>
  <r>
    <m/>
    <s v="INTRADEVCO_INDUSTRIAL_SA"/>
    <s v="SUPPLY CHAIN"/>
    <s v="MANUFACTURA"/>
    <s v="HOME Y PERSONAL CARE"/>
    <x v="4"/>
    <s v="CHORRILLOS"/>
    <x v="5"/>
    <m/>
    <s v="DÍA"/>
    <s v="jueves"/>
    <m/>
    <m/>
    <m/>
    <m/>
    <m/>
    <m/>
    <m/>
    <m/>
    <s v="INTRADEVCO"/>
    <s v="PROPIO"/>
    <s v="El sr. Mascco culminó la limpieza y lavado del tanque correspondiente y decide bajar de la plataforma para poder cerrar la manguera de agua, sin embargo, se encontraba otra manguera en el segundo peldaño de la escalera de la plataforma, la cual no estaba siendo usada y no cumplía con ninguna función. Al descender, por esquivar la manguera, el colaborador no pisa bien el primer peldaño y resbala hacia atrás, golpeándose la parte posterior de la cabeza con el vértice de la plataforma."/>
    <s v="Contusión/Trauma"/>
    <n v="37"/>
    <s v="Escalera de acceso"/>
    <m/>
    <s v="Acceso inadecuado"/>
    <s v="CONDICIÓN INSEGURA"/>
    <s v="T1"/>
    <m/>
  </r>
  <r>
    <m/>
    <s v="ALICORP_SAA"/>
    <s v="SUPPLY CHAIN"/>
    <s v="MANUFACTURA"/>
    <s v="OLEOS"/>
    <x v="5"/>
    <s v="REFINERÍA"/>
    <x v="6"/>
    <m/>
    <s v="DÍA"/>
    <s v="sábado"/>
    <m/>
    <m/>
    <m/>
    <m/>
    <m/>
    <m/>
    <m/>
    <m/>
    <s v="SSAYS SAC"/>
    <s v="Contratista"/>
    <s v="El colaborador de la empresa tercera que brinda el servicio de limpieza en planta refinería se encontraba utilizando guantes de protección de jebe y se dispone a realizar una limpieza de estos en un cilindro con agua y detergente, en donde poco después empieza a sentir que el agua ingresa dentro del guante por la parte superior y le provoca una irritación en el brazo derecho. Ante esto aún después de 2 horas comunica a su empresa quienes coordinan una atención en clínica y donde le diagnostican una quemadura en dicha zona."/>
    <s v="Dermatitis/Irritación de la piel"/>
    <n v="17"/>
    <s v="Contacto con producto químico"/>
    <m/>
    <s v="Restringir ingreso a zona de trabajo "/>
    <s v="ACTO INSEGURO"/>
    <s v="T1"/>
    <m/>
  </r>
  <r>
    <m/>
    <s v="INTRADEVCO_INDUSTRIAL_SA"/>
    <s v="SUPPLY CHAIN"/>
    <s v="MANUFACTURA"/>
    <s v="HOME Y PERSONAL CARE"/>
    <x v="6"/>
    <s v="LURIN 2"/>
    <x v="7"/>
    <m/>
    <s v="DÍA"/>
    <s v="martes"/>
    <m/>
    <m/>
    <m/>
    <m/>
    <m/>
    <m/>
    <m/>
    <m/>
    <s v="OUTSOURCING"/>
    <s v="Service"/>
    <s v="La colaboradora Cauper Tello Leny procedía a recoger una etiqueta, por lo cual tránsito de forma rápida, lo que acasionó que  se tropezará en la base de una paleta de ruma de cajas, por lo que la colaboradora perdió el equilibrio ocasionando que caiga poniendo todo su peso en su brazo derecho."/>
    <s v="Contusión/Trauma"/>
    <n v="69"/>
    <s v="Paleta "/>
    <m/>
    <s v="Transito por zona no autorizada"/>
    <s v="ACTO INSEGURO"/>
    <s v="T1"/>
    <m/>
  </r>
  <r>
    <m/>
    <s v="INTRADEVCO_INDUSTRIAL_SA"/>
    <s v="SUPPLY CHAIN"/>
    <s v="MANUFACTURA"/>
    <s v="HOME Y PERSONAL CARE"/>
    <x v="7"/>
    <s v="LURÍN 4"/>
    <x v="8"/>
    <m/>
    <s v="TARDE"/>
    <s v="jueves"/>
    <m/>
    <m/>
    <m/>
    <m/>
    <m/>
    <m/>
    <m/>
    <m/>
    <s v="Consulting Advisers"/>
    <s v="Service"/>
    <s v="Colaboradora se encontraba verificando y pasando las cajas para que su compañero realice la actividad de apilado en la línea 3. Debido a la variación una de las cajas choca con la codificadora generando que ésta se mueva y al intentar detenerla golpea con su mano derecha. Refiere que su reacción inmediata fue detener el equipo sin medir las consecuencias"/>
    <s v="Contusión/Trauma"/>
    <n v="4"/>
    <s v="Máquina codificadora"/>
    <m/>
    <s v="Mal juicio / Exceso de confianza"/>
    <s v="ACTO INSEGURO"/>
    <s v="T1"/>
    <m/>
  </r>
  <r>
    <m/>
    <s v="ALICORP_SAA"/>
    <s v="SUPPLY CHAIN"/>
    <s v="MANUFACTURA"/>
    <s v="OLEOS"/>
    <x v="5"/>
    <s v="SALSAS"/>
    <x v="8"/>
    <m/>
    <s v="DÍA"/>
    <s v="jueves"/>
    <m/>
    <m/>
    <m/>
    <m/>
    <m/>
    <m/>
    <m/>
    <m/>
    <s v="SERVICIOS GENERALES _x000a_NILSON"/>
    <s v="Contratista"/>
    <s v="El colaborador de la empresa tercera que brinda el servicio de encajado manual en planta Salsas 1 se encontraba separando cajas de faja transportadora cuando de repente la manga larga del polo de mano izquierda se engancha en el traslape del transportador de banda y el transportador de polines provocando el atrapamiento de mano. En ese instante, se detuvo la línea para atender a la colaboradora derivándola al tópico para su revisión."/>
    <s v="Contusión/Trauma"/>
    <n v="40"/>
    <s v="Transportador en movimiento"/>
    <m/>
    <s v="Máquina en movimiento "/>
    <s v="CONDICIÓN INSEGURA"/>
    <s v="T1"/>
    <m/>
  </r>
  <r>
    <m/>
    <s v="ALICORP_SAA"/>
    <s v="SUPPLY CHAIN"/>
    <s v="LOGÍSTICA"/>
    <s v="CONSUMO MASIVO"/>
    <x v="8"/>
    <s v="CD HUACHIPA"/>
    <x v="9"/>
    <m/>
    <s v="TARDE"/>
    <s v="martes"/>
    <m/>
    <m/>
    <m/>
    <m/>
    <m/>
    <m/>
    <m/>
    <m/>
    <s v="ALICORP S.A.A"/>
    <s v="PROPIO"/>
    <s v="Durante la búsqueda de documentos en el archivador, el colaborador Sergio Velazco intentó retirar una caja con documentos de un anaquel, se sujeta del borde de éste con su mano izquierda para tomar impulso y con la otra mano jalar la caja, en ese momento realizó fuerza para el impulso generando el corte en los dedos."/>
    <s v="Corte/Herida"/>
    <n v="41"/>
    <s v="Borde filoso"/>
    <m/>
    <s v="Almacenamiento incorecto"/>
    <s v="CONDICIÓN INSEGURA"/>
    <s v="T1"/>
    <m/>
  </r>
  <r>
    <m/>
    <s v="ALICORP_SAA"/>
    <s v="ADMINISTRACIÓN"/>
    <s v="OTRAS DIRECCIONES"/>
    <s v="RELACIONES LABORALES"/>
    <x v="5"/>
    <s v="OTRAS DIRECCIONES"/>
    <x v="10"/>
    <m/>
    <s v="DÍA"/>
    <s v="jueves"/>
    <m/>
    <m/>
    <m/>
    <m/>
    <m/>
    <m/>
    <m/>
    <m/>
    <s v="Charlotte"/>
    <s v="Contratista"/>
    <s v="El accidente ocurrió aproximadamente a las 16:10 p.m., cuando la colaboradora del concesionario, transitaba por el área de lavado de vajillas. Durante su recorrido, resbaló y cayó, impactando su codo derecho, espalda y cabeza. Fue trasladada de inmediato al tópico para recibir atención médica inicial y, tras la evaluación, derivada a la Clínica Providencia acompañada por la supervisora de calidad de su empleador. En la clínica, se activó su SCTR y el médico tratante le otorgó descanso médico por tres días."/>
    <s v="Contusión "/>
    <n v="6"/>
    <s v="Piso resbaloso"/>
    <m/>
    <s v="Falta de drenaje"/>
    <s v="CONDICIÓN INSEGURA"/>
    <s v="T1"/>
    <m/>
  </r>
  <r>
    <m/>
    <s v="ALICORP_SAA"/>
    <s v="SUPPLY CHAIN"/>
    <s v="MANUFACTURA"/>
    <s v="MOLINOS"/>
    <x v="9"/>
    <s v="MCA"/>
    <x v="11"/>
    <m/>
    <s v="DÍA"/>
    <s v="sábado"/>
    <m/>
    <m/>
    <m/>
    <m/>
    <m/>
    <m/>
    <m/>
    <m/>
    <s v="ALICORP S.A.A"/>
    <s v="PROPIO"/>
    <s v="Durante el turno mañana, aproximadamente a las 08:00am, el operador luego de guardar su casco en los colgadores del área, al momento de bajar su mano, golpea su codo con la oreja de la puerta del área, la cual sirve para colocar un candado. El operador minimiza el evento al no sentir dolor y aproximadamente a las 09:00am, se percata que su codo estaba hinchado, de inmediato procede a reportar al monitor de turno, activándose los protocolos correspondientes, luego es trasladado a la clínica San Gabriel."/>
    <s v="Contusión/Trauma"/>
    <n v="7"/>
    <s v="Borde filoso"/>
    <m/>
    <s v="Mal juicio / Exceso de confianza"/>
    <s v="ACTO INSEGURO"/>
    <s v="T1"/>
    <m/>
  </r>
  <r>
    <m/>
    <s v="ALICORP_SAA"/>
    <s v="SUPPLY CHAIN"/>
    <s v="OTRAS DIRECCIONES"/>
    <s v="SSOMA"/>
    <x v="10"/>
    <s v="Acopio"/>
    <x v="12"/>
    <m/>
    <s v="DÍA"/>
    <s v="jueves"/>
    <m/>
    <m/>
    <m/>
    <m/>
    <m/>
    <m/>
    <m/>
    <m/>
    <s v="Transvida"/>
    <s v="Contratista"/>
    <s v="Trabajador contratista se encontraba trasladando una jaula móvil de recepción de residuos sobre una pendiente empujándolo en posición de espalda, en cierto momento intenta detener la jaula y esta cede, por lo que, la base de esta golpea el tobillo de su pie izquierdo ocasionándole una herida en dicha zona."/>
    <s v="Herida múltiple"/>
    <n v="31"/>
    <s v="Jaula metálica"/>
    <m/>
    <s v="Mal juicio / Exceso de confianza"/>
    <s v="ACTO INSEGURO"/>
    <s v="T1"/>
    <m/>
  </r>
  <r>
    <m/>
    <s v="INTRADEVCO_INDUSTRIAL_SA"/>
    <s v="SUPPLY CHAIN"/>
    <s v="MANUFACTURA"/>
    <s v="HOME Y PERSONAL CARE"/>
    <x v="6"/>
    <s v="LURIN 2"/>
    <x v="13"/>
    <m/>
    <s v="DÍA"/>
    <s v="viernes"/>
    <m/>
    <m/>
    <m/>
    <m/>
    <m/>
    <m/>
    <m/>
    <m/>
    <s v="INTRADEVCO"/>
    <s v="PROPIO"/>
    <s v="El viernes 28/02 aproximadamente a la 1:50 pm, se generó la explosión de un envase de Aerosol, lo que generó el desprendimiento del fondo del envase, que termina impactando en el rostro de la colaboradora._x000a_En el tópico, se brindaron los primeros auxilios y se trasladó a la Clínica San Pablo para recibir atención médica."/>
    <s v="Contusión/Trauma"/>
    <n v="17"/>
    <s v="Domo de envase"/>
    <m/>
    <s v="Falta de mantenimiento o desgaste"/>
    <s v="CONDICIÓN INSEGURA"/>
    <s v="T1"/>
    <m/>
  </r>
  <r>
    <m/>
    <s v="ALICORP_SAA"/>
    <s v="SUPPLY CHAIN"/>
    <s v="MANUFACTURA"/>
    <s v="MOLINOS"/>
    <x v="9"/>
    <s v="MCA"/>
    <x v="13"/>
    <m/>
    <s v="TARDE"/>
    <s v="viernes"/>
    <m/>
    <m/>
    <m/>
    <m/>
    <m/>
    <m/>
    <m/>
    <m/>
    <s v="ALICORP S.A.A"/>
    <s v="PROPIO"/>
    <s v="El 28 de febrero, aproximadamente a las 16:10 horas, el operador 1 de Molino, Eduardo Ciudad, sufrió un golpe en la pantorrilla de la pierna derecha ocasionado por la caída de la tapa superior del banco de cilindros C2 mientras realizaba la actividad de regulación del equipo en el banco de cilindros C3. _x000a_El colaborador notificó de inmediato lo sucedido, activando el protocolo correspondiente. Posteriormente, fue trasladado a la clínica San Gabriel para su atención donde le otorgan descanso médico hasta el 02/03."/>
    <s v="Contusión/Trauma"/>
    <n v="2"/>
    <s v="Tapa de banco de cilindro"/>
    <m/>
    <s v="Falta de mantenimiento o desgaste"/>
    <s v="CONDICIÓN INSEGURA"/>
    <s v="T1"/>
    <m/>
  </r>
  <r>
    <m/>
    <s v="INTRADEVCO_INDUSTRIAL_SA"/>
    <s v="SUPPLY CHAIN"/>
    <s v="MANUFACTURA"/>
    <s v="HOME Y PERSONAL CARE"/>
    <x v="4"/>
    <s v="CHORRILLOS"/>
    <x v="14"/>
    <m/>
    <s v="DÍA"/>
    <s v="miércoles"/>
    <m/>
    <m/>
    <m/>
    <m/>
    <m/>
    <m/>
    <m/>
    <m/>
    <s v="Consulting Advisers"/>
    <s v="Service"/>
    <s v="Aprox. a las 10:15 am, el colaborador Bruno Portilla (Prolabora) se encontraba en el área de Sanitarios, en la Línea Z8 realizando la limpieza del área y de la máquina luego de finalizar con el envasado de producto desatorador de cocina._x000a_En el transcurso de la actividad, el colaborador realizó el trasvase de un balde lleno de residuos de lavado (agua + producto), hacia otro recipiente. Al verter el líquido, este se escurre entre el espacio de separación de la manga de PVC y el guante de nitrilo. El colaborador reportó el hecho luego de 5 minutos, momento en que empezó a sentir ardor en la mano derecha. El colaborador comunica lo sucedido al maquinista, y este le indica que se realice el lavado de la parte afectada con agua. Luego, el colaborador acude al tópico, donde lo atendieron y posteriormente es evacuado a la Clínica San Pablo. **La formulación del producto incluye soda caustica y solución amoniacal."/>
    <s v="Quemadura"/>
    <n v="45"/>
    <s v="Contacto con producto químico"/>
    <m/>
    <s v="Uso inadecuado de herramienta/equipo"/>
    <s v="ACTO INSEGURO"/>
    <s v="T1"/>
    <m/>
  </r>
  <r>
    <m/>
    <s v="ALICORP_BOLIVIA"/>
    <s v="SUPPLY CHAIN"/>
    <s v="LOGÍSTICA"/>
    <s v="LOGÍSTICA"/>
    <x v="11"/>
    <s v="CD/APT Bolivia"/>
    <x v="15"/>
    <m/>
    <s v="DÍA"/>
    <s v="jueves"/>
    <m/>
    <m/>
    <m/>
    <m/>
    <m/>
    <m/>
    <m/>
    <m/>
    <s v="Tertiary Services Bolivia S.R.L."/>
    <s v="Contratista"/>
    <s v="En fecha 13 de marzo, a horas 10:11 am, durante la operación de descarguío de producto terminado en el almacén B, el personal de estibaje Omar Cardozo y Erick Pinto (Personal tercero eventual), se encontraban descargando cajas de aceite de un camión sencillo proveniente de Cochabamba. Ambos estibadores se encontraban realizando el apilado de un pallet de aceite, el trabajador Omar Cardozo en el intento de terminar de completar las últimas cajas de aceite en el pallet desde la plataforma del camión, apoya su pie sobre la pisadera del camión (1.30 mts altura), resbalando y cayendo a nivel del suelo apoyando el brazo izquierdo, ocasionando una fractura del radio."/>
    <s v="Fractura"/>
    <n v="30"/>
    <s v="Camión"/>
    <m/>
    <s v="Falta de mantenimiento o desgaste"/>
    <s v="CONDICIÓN INSEGURA"/>
    <s v="T1"/>
    <m/>
  </r>
  <r>
    <m/>
    <s v="INTRADEVCO_INDUSTRIAL_SA"/>
    <s v="SUPPLY CHAIN"/>
    <s v="MANUFACTURA"/>
    <s v="HOME Y PERSONAL CARE"/>
    <x v="7"/>
    <s v="LURÍN 4"/>
    <x v="16"/>
    <m/>
    <s v="DÍA"/>
    <s v="jueves"/>
    <m/>
    <m/>
    <m/>
    <m/>
    <m/>
    <m/>
    <m/>
    <m/>
    <s v="Consulting Advisers"/>
    <s v="Service"/>
    <s v="La colaboradora Celia Carrasco Flores (Consulting) realizaba la actividad de recepción de bolsas de producto de la envasadora de pulidor, en un momento aprecia que uno de los envases se encontraba en una posición incorrecta, por lo que decide acomodarlo introduciendo su mano izquierda por la parte superior de la mordaza, en ese momento el equipo se acciona generándole un aplastamiento en la mano."/>
    <s v="Fractura"/>
    <n v="32"/>
    <s v="Máquina en movimiento"/>
    <m/>
    <s v="Máquina en movimiento "/>
    <s v="CONDICIÓN INSEGURA"/>
    <s v="T1"/>
    <m/>
  </r>
  <r>
    <m/>
    <s v="INTRADEVCO_INDUSTRIAL_SA"/>
    <s v="SUPPLY CHAIN"/>
    <s v="MANUFACTURA"/>
    <s v="HOME Y PERSONAL CARE"/>
    <x v="12"/>
    <s v="LURIN 1"/>
    <x v="16"/>
    <m/>
    <s v="TARDE"/>
    <s v="jueves"/>
    <m/>
    <m/>
    <m/>
    <m/>
    <m/>
    <m/>
    <m/>
    <m/>
    <s v="INTRADEVCO"/>
    <s v="PROPIO"/>
    <s v="Durante el proceso de recirculación de salmuera, se produjo la liberación de gas cloro a través de la tubería de venteo del lavador de gases que se encontraba apagado. Producto de esto, se activaron los detectores de gases de las instalaciones e inició la evacuación de las personas del predio. Se reportaron 3 personas de otras áreas afectadas por exposición."/>
    <s v="Intoxicación"/>
    <n v="10"/>
    <s v="Contacto con producto químico"/>
    <m/>
    <s v="Proceso"/>
    <s v="CONDICIÓN INSEGURA"/>
    <s v="T1"/>
    <m/>
  </r>
  <r>
    <m/>
    <s v="INTRADEVCO_INDUSTRIAL_SA"/>
    <s v="SUPPLY CHAIN"/>
    <s v="MANUFACTURA"/>
    <s v="HOME Y PERSONAL CARE"/>
    <x v="12"/>
    <s v="LURIN 1"/>
    <x v="16"/>
    <m/>
    <s v="TARDE"/>
    <s v="jueves"/>
    <m/>
    <m/>
    <m/>
    <m/>
    <m/>
    <m/>
    <m/>
    <m/>
    <s v="INTRADEVCO"/>
    <s v="PROPIO"/>
    <s v="Durante el proceso de recirculación de salmuera, se produjo la liberación de gas cloro a través de la tubería de venteo del lavador de gases que se encontraba apagado. Producto de esto, se activaron los detectores de gases de las instalaciones e inició la evacuación de las personas del predio. Se reportaron 3 personas de otras áreas afectadas por exposición."/>
    <s v="Intoxicación"/>
    <n v="5"/>
    <s v="Contacto con producto químico"/>
    <m/>
    <s v="Proceso"/>
    <s v="CONDICIÓN INSEGURA"/>
    <s v="T1"/>
    <m/>
  </r>
  <r>
    <m/>
    <s v="MASTERBREAD"/>
    <s v="SUPPLY CHAIN"/>
    <s v="MANUFACTURA"/>
    <s v="FARINACEOS"/>
    <x v="13"/>
    <s v="GLOBAL PLANTA"/>
    <x v="17"/>
    <m/>
    <s v="DÍA"/>
    <s v="viernes"/>
    <m/>
    <m/>
    <m/>
    <m/>
    <m/>
    <m/>
    <m/>
    <m/>
    <s v="Masterbread"/>
    <s v="PROPIO"/>
    <s v="El trabajador afectado se encontraba realizando labores de limpieza en la línea de producción de harina de arroz. Como parte de la actividad de limpieza, el trabajador procede al desmontaje de la tubería de la salida de la esclusa de transporte neumático con el equipo apagado, según las indicaciones de su operador líder.  Una vez finalizado el desmontaje, el trabajador introduce aire comprimido en la esclusa apagada, momento en el cual el operador líder procede a encender el equipo sin verificar previamente que el trabajador haya culminado con la actividad de limpieza, originando una lesión en la mano al activarse la esclusa.  El trabajador comunica lo sucedido de inmediato y es llevado al tópico donde se le brinda los primeros auxilios y posteriormente es trasladado al centro de salud para su atención inmediata."/>
    <s v="Amputación"/>
    <n v="67"/>
    <s v="Esclusa"/>
    <m/>
    <s v="Máquina en movimiento "/>
    <s v="ACTO INSEGURO"/>
    <s v="T1"/>
    <m/>
  </r>
  <r>
    <m/>
    <s v="INTRADEVCO_INDUSTRIAL_SA"/>
    <s v="SUPPLY CHAIN"/>
    <s v="MANUFACTURA"/>
    <s v="HOME Y PERSONAL CARE"/>
    <x v="14"/>
    <s v="LURÍN 5"/>
    <x v="18"/>
    <m/>
    <s v="DÍA"/>
    <s v="jueves"/>
    <m/>
    <m/>
    <m/>
    <m/>
    <m/>
    <m/>
    <m/>
    <m/>
    <s v="Consulting Advisers"/>
    <s v="Service"/>
    <s v="La colaboradora Skandra Cardenas (Consulting) se encontraba realizando la actividad de desarmado de cajas en el área de etiquetado (línea N°2). Durante la actividad, observó que habían cajas que estaban en un extremo de la paleta, por lo que decide subirse a ella para alcanzarlas, en ese momento su pie derecho ingresa por el orificio de la paleta, generándole una contusión en el tobillo."/>
    <s v="Contusión/Trauma"/>
    <n v="13"/>
    <s v="Paleta "/>
    <m/>
    <s v="Acceso inadecuado"/>
    <s v="CONDICIÓN INSEGURA"/>
    <s v="T1"/>
    <m/>
  </r>
  <r>
    <m/>
    <s v="INTRADEVCO_INDUSTRIAL_SA"/>
    <s v="SUPPLY CHAIN"/>
    <s v="MANUFACTURA"/>
    <s v="HOME Y PERSONAL CARE"/>
    <x v="4"/>
    <s v="CHORRILLOS"/>
    <x v="19"/>
    <m/>
    <s v="DÍA"/>
    <s v="viernes"/>
    <m/>
    <m/>
    <m/>
    <m/>
    <m/>
    <m/>
    <m/>
    <m/>
    <s v="INTRADEVCO"/>
    <s v="PROPIO"/>
    <s v="04/04/2025, Aprox. a las 14:15 horas, el colaborador se encontraba en el área de Sanitarios, en la Volpack 260 realizando la regulación de las cuchillas del equipo de corte de envases._x000a_Durante la regulación de las tijeras de la máquina, el trabajador rozó accidentalmente la cuchilla de la máquina con su dedo índice de la mano derecha, sufriendo un corte superficial con levantamiento de piel. (El colaborador no estaba usando guantes de seguridad)._x000a_El trabajador fue derivado al tópico, y posteriormente fue derivado a la clínica San Pablo para su atención."/>
    <s v="Corte/Herida"/>
    <n v="7"/>
    <s v="Borde filoso"/>
    <m/>
    <s v="Mal juicio / Exceso de confianza"/>
    <s v="ACTO INSEGURO"/>
    <s v="T2"/>
    <m/>
  </r>
  <r>
    <m/>
    <s v="INTRADEVCO_INDUSTRIAL_SA"/>
    <s v="SUPPLY CHAIN"/>
    <s v="OTRAS DIRECCIONES"/>
    <s v="ADMINISTRACION"/>
    <x v="4"/>
    <s v="CHORRILLOS"/>
    <x v="20"/>
    <m/>
    <s v="DÍA"/>
    <s v="lunes"/>
    <m/>
    <m/>
    <m/>
    <m/>
    <m/>
    <m/>
    <m/>
    <m/>
    <s v="ALTELIZA SAC"/>
    <s v="Tercero - Limpieza"/>
    <s v="Durante las labores de un colaborador de Alteliza, el trabajador accidentado se encontraba limpiando la puerta de ingreso del vestuario del área de ofertado. Durante la actividad, el trabajador tenia colocada la mano izquierda en el marco de la puerta, en ese momento otro trabajador (que se encontraba dentro del vestuario) cierra la puerta golpeando su mano izquierda entre la puerta y el marco._x000a_El colaborador dio aviso de lo ocurrido horas después del evento y fue atendido en el tópico, catalogándose como accidente no incapacitante._x000a_El trabajador fue derivado a una clínica al día siguiente, por decisión de su empresa."/>
    <s v="Contusión "/>
    <n v="87"/>
    <s v="Golpe con puerta "/>
    <m/>
    <s v="Mal juicio / Exceso de confianza"/>
    <s v="ACTO INSEGURO"/>
    <s v="T2"/>
    <m/>
  </r>
  <r>
    <m/>
    <s v="INTRADEVCO_INDUSTRIAL_SA"/>
    <s v="SUPPLY CHAIN"/>
    <s v="MANUFACTURA"/>
    <s v="HOME Y PERSONAL CARE"/>
    <x v="4"/>
    <s v="CHORRILLOS"/>
    <x v="21"/>
    <m/>
    <s v="DÍA"/>
    <s v="miércoles"/>
    <m/>
    <m/>
    <m/>
    <m/>
    <m/>
    <m/>
    <m/>
    <m/>
    <s v="INTRADEVCO"/>
    <s v="PROPIO"/>
    <s v="Siendo las 08:05 am aprox. del 09/04, en el área de envasado de Sanitarios, se produjo la falla (desacople del racor y campana) de una manguera de conexión, ocasionando la salpicadura del producto que se estaba transportando en ese momento (desatorador de cocina), ello ocasionó la afectación a 7 colaboradores._x000a_Los trabajadores fueron atendidos en el tópico, de los cuales 6 presentaron lesiones leves, 1 colaborador fue evacuado a la clínica San Pablo para recibir atención especializada. Inmediatamente se detuvieron las operaciones del área. _x000a_Un trabajador sufrió una lesión en el 5to dedo del pie durante las operaciones de limpieza, debido a que su calzado de seguridad se encontraba en mal estado. No reportó el hecho hasta el siguiente día."/>
    <s v="Dermatitis/Irritación de la piel"/>
    <n v="30"/>
    <s v="Contacto con producto químico"/>
    <m/>
    <s v="Selección incorrecta"/>
    <s v="CONDICIÓN INSEGURA"/>
    <s v="T2"/>
    <m/>
  </r>
  <r>
    <m/>
    <s v="INTRADEVCO_INDUSTRIAL_SA"/>
    <s v="SUPPLY CHAIN"/>
    <s v="MANUFACTURA"/>
    <s v="HOME Y PERSONAL CARE"/>
    <x v="4"/>
    <s v="CHORRILLOS"/>
    <x v="21"/>
    <m/>
    <s v="DÍA"/>
    <s v="miércoles"/>
    <m/>
    <m/>
    <m/>
    <m/>
    <m/>
    <m/>
    <m/>
    <m/>
    <s v="INTRADEVCO"/>
    <s v="PROPIO"/>
    <s v="Siendo las 08:05 am aprox. del 09/04, en el área de envasado de Sanitarios, se produjo la falla (desacople del racor y campana) de una manguera de conexión, ocasionando la salpicadura del producto que se estaba transportando en ese momento (desatorador de cocina), ello ocasionó la afectación a 7 colaboradores._x000a_Los trabajadores fueron atendidos en el tópico, de los cuales 6 presentaron lesiones leves, 1 colaborador fue evacuado a la clínica San Pablo para recibir atención especializada. Inmediatamente se detuvieron las operaciones del área. _x000a_Un trabajador sufrió una lesión en el 5to dedo del pie durante las operaciones de limpieza, debido a que su calzado de seguridad se encontraba en mal estado. No reportó el hecho hasta el siguiente día."/>
    <s v="Dermatitis/Irritación de la piel"/>
    <n v="16"/>
    <s v="Contacto con producto químico"/>
    <m/>
    <s v="Selección incorrecta"/>
    <s v="CONDICIÓN INSEGURA"/>
    <s v="T2"/>
    <m/>
  </r>
  <r>
    <m/>
    <s v="INTRADEVCO_INDUSTRIAL_SA"/>
    <s v="SUPPLY CHAIN"/>
    <s v="MANUFACTURA"/>
    <s v="HOME Y PERSONAL CARE"/>
    <x v="6"/>
    <s v="LURIN 2"/>
    <x v="22"/>
    <m/>
    <s v="TARDE"/>
    <s v="jueves"/>
    <m/>
    <m/>
    <m/>
    <m/>
    <m/>
    <m/>
    <m/>
    <m/>
    <s v="Consulting Advisers"/>
    <s v="Service"/>
    <s v="Alrededor de las 19:45 horas, el colaborador de la empresa Consulting, se disponía a abastecer materia prima hacia el dosificador de la línea Sika 2 en la planta de soplado. Para ello levanta un saco de 25 Kg para llenar el cilindro dosificador, lo coloca sobre el borde del cilindro de forma vertical e intenta levantarlo con ambas manos para vaciar el contenido, en ese instante el saco resbala y cae, el colaborador intenta sostenerlo con la mano izquierda pero su mano es golpeada por el saco y el borde del cilindro ocasionando que su muñeca se doble."/>
    <s v="Esguince/Torcedura"/>
    <n v="13"/>
    <s v="Carga manual"/>
    <m/>
    <s v="Mal juicio / Exceso de confianza"/>
    <s v="ACTO INSEGURO"/>
    <s v="T2"/>
    <m/>
  </r>
  <r>
    <m/>
    <s v="ALICORP_SAA"/>
    <s v="SUPPLY CHAIN"/>
    <s v="MANUFACTURA"/>
    <s v="MOLINOS"/>
    <x v="9"/>
    <s v="MCA"/>
    <x v="23"/>
    <m/>
    <s v="DÍA"/>
    <s v="martes"/>
    <m/>
    <m/>
    <m/>
    <m/>
    <m/>
    <m/>
    <m/>
    <m/>
    <s v="ALICORP S.A.A"/>
    <s v="PROPIO"/>
    <s v="El 06/05 aproximadamente a las 05:45 am, el Técnico de Laboratorio se encontraba en el 8vo piso del laboratorio de reología preparando sus materiales para el análisis de acidez en harinas. Durante esta tarea, el trabajador intentó colocar la bombilla (pre-pipeta) en la pipeta de 1mL para extraer la fenolftaleína (indicador de color). Al momento de colocarlo ejerce una fuerza de tal manera que quiebra la pipeta a la mitad y por inercia, la parte superior rota de la pipeta sigue su curso y corta el dedo medio de la mano derecha del colaborador. El trabajador fue trasladado a la Clínica San Gabriel donde fue atendido y se le diagnosticó herida de dedo en la mano derecha, no otorgándole descanso médico. Al día siguiente el trabajador se dirige a su seguro donde lo atienden y le otorgan 3 días de descanso médico en total."/>
    <s v="Corte/Herida"/>
    <n v="12"/>
    <s v="Borde filoso"/>
    <m/>
    <s v="Uso inadecuado de herramienta/equipo"/>
    <s v="ACTO INSEGURO"/>
    <s v="T2"/>
    <m/>
  </r>
  <r>
    <m/>
    <s v="ALICORP_SAA"/>
    <s v="SUPPLY CHAIN"/>
    <s v="OTRAS DIRECCIONES"/>
    <s v="INGENIERÍA"/>
    <x v="15"/>
    <s v="PANETONES"/>
    <x v="24"/>
    <m/>
    <s v="DÍA"/>
    <s v="miércoles"/>
    <m/>
    <m/>
    <m/>
    <m/>
    <m/>
    <m/>
    <m/>
    <m/>
    <s v="SC INGENIERIA Y CONSTRUCCION SAC"/>
    <s v="Contratista"/>
    <s v="En fecha 07 de mayo aproximadamente a las 11:40 a.m., un trabajador de la empresa contratista SC Ingeniería y Construcción, con el puesto de operario, sufrió un accidente mientras realizaba el alineamiento de la estructura aérea de los soportes de enfriamiento de panetones, utilizando un manlift en el área de envasado._x000a_Durante la actividad de limpieza mecánica, restos de polvo metálico quedaron en su careta de protección; al levantarse la careta facial, una esquirla metálica le cae en el ojo izquierdo. El trabajador fue trasladado inmediatamente al tópico para atención inicial y, posteriormente, derivado a la clínica Internacional, donde se le diagnosticó la presencia de un cuerpo extraño en el ojo."/>
    <s v="Cuerpo extraño en vista "/>
    <n v="1"/>
    <s v="Partículas metálicas"/>
    <m/>
    <s v="Mal juicio / Exceso de confianza"/>
    <s v="ACTO INSEGURO"/>
    <s v="T2"/>
    <m/>
  </r>
  <r>
    <m/>
    <s v="ALICORP_SAA"/>
    <s v="SUPPLY CHAIN"/>
    <s v="LOGÍSTICA"/>
    <s v="PLANEAMIENTO"/>
    <x v="16"/>
    <s v="INSUMOS"/>
    <x v="25"/>
    <m/>
    <s v="DÍA"/>
    <s v="jueves"/>
    <m/>
    <m/>
    <m/>
    <m/>
    <m/>
    <m/>
    <m/>
    <m/>
    <s v="AGROINDUSTRIA SAN ANTONIO  S.R.L"/>
    <s v="Contratista"/>
    <s v="09:37am Se realiza el 1er pesaje y se percata que el motor no arrancaba.​_x000a_09:44am El conductor decide levantar la cabina, posarse debajo e intervenir.​_x000a_09:53am El Balancero observa que la unidad sigue estacionada, sale de la oficina, detecta el acto subestándar y decide abordar al conductor indicando que no debe realizar ninguna intervención.​_x000a_09:58am El Balancero vuelve a salir de la oficina  y nuevamente detecta que el conductor está manipulando el purgador de combustible, lo aborda nuevamente indicando que no debe intervenir. En ese instante se percata que la mano derecha del conductor tenía una lesión por quemadura. ​_x000a_10:10am El equipo de Vigilancia llega a la zona de la incidencia y deciden llamar a la Ambulancia + SSOMA.​_x000a_10:34am El conductor fue trasladado inmediatamente al tópico para atención inicial y, posteriormente, derivado a la clínica San Gabriel, donde se le diagnosticó quemaduras en muñeca y mano derecha de 1er y 2do grado. (DM 03 días)"/>
    <s v="Quemadura"/>
    <n v="17"/>
    <s v="Camión"/>
    <m/>
    <s v="Hacer caso omiso "/>
    <s v="ACTO INSEGURO"/>
    <s v="T2"/>
    <m/>
  </r>
  <r>
    <m/>
    <s v="MASTERBREAD"/>
    <s v="SUPPLY CHAIN"/>
    <s v="MANUFACTURA"/>
    <s v="FARINACEOS"/>
    <x v="17"/>
    <s v="GLOBAL PLANTA"/>
    <x v="25"/>
    <m/>
    <s v="TARDE"/>
    <s v="jueves"/>
    <m/>
    <m/>
    <m/>
    <m/>
    <m/>
    <m/>
    <m/>
    <m/>
    <s v="Masterbread"/>
    <s v="PROPIO"/>
    <s v="El operador de envasado estaba realizando la limpieza del eje portabobina en la envasadora 14 y al momento de desactivar el freno neumático el eje del portabobina no salía con facilidad de su posición, por lo cual activa y desactiva nuevamente el freno. El operador intenta retirar el freno manualmente y en ese momento  el eje sale de su posición cayendo e impactando sobre el empeine del pie izquierdo del operador. "/>
    <s v="Contusión"/>
    <n v="4"/>
    <s v="Eje portabobina "/>
    <m/>
    <s v="Mal juicio / Exceso de confianza"/>
    <s v="ACTO INSEGURO"/>
    <s v="T2"/>
    <m/>
  </r>
  <r>
    <m/>
    <s v="INTRADEVCO_INDUSTRIAL_SA"/>
    <s v="SUPPLY CHAIN"/>
    <s v="MANUFACTURA"/>
    <s v="HOME Y PERSONAL CARE"/>
    <x v="7"/>
    <s v="LURÍN 4"/>
    <x v="26"/>
    <m/>
    <s v="DÍA"/>
    <s v="viernes"/>
    <m/>
    <m/>
    <m/>
    <m/>
    <m/>
    <m/>
    <m/>
    <m/>
    <s v="INTRADEVCO"/>
    <s v="PROPIO"/>
    <s v="Aproximadamente a las 10:45 am un operario del área de envasado se encontraba laborando en la maquina Intrapack #18. Detiene el equipo para hacer regulaciones del mismo, antes de reiniciar operaciones se percata de que una bolsita iba a ingresar de forma incorrecta a la mordaza de sellado, en ese momento introduce la mano izquierda para guiar la bolsa de forma correcta y con la mano derecha activa la secuencia de arranque. No retira la mano izquierda, la cual es jalada por la bolsa y atrapada por la mordaza de sellado. _x000a_ _x000a_El trabajador fue trasladado al tópico para ser atendido, y posteriormente evacuado a la clínica San Pablo para recibir atención especializada."/>
    <s v="Corte/Herida"/>
    <n v="54"/>
    <s v="Máquina en movimiento"/>
    <m/>
    <s v="Máquina en movimiento "/>
    <s v="ACTO INSEGURO"/>
    <s v="T2"/>
    <m/>
  </r>
  <r>
    <m/>
    <s v="ALICORP_SAA"/>
    <s v="SUPPLY CHAIN"/>
    <s v="LOGÍSTICA"/>
    <s v="CONSUMO MASIVO"/>
    <x v="8"/>
    <s v="CD HUACHIPA"/>
    <x v="27"/>
    <m/>
    <s v="DÍA"/>
    <s v="jueves"/>
    <m/>
    <m/>
    <m/>
    <m/>
    <m/>
    <m/>
    <m/>
    <m/>
    <s v="ALICORP S.A.A"/>
    <s v="PROPIO"/>
    <s v="El operador de Order Picker se encontraba realizando una tarea de picking, decide manipular un pallet sin protección de manos y  en ese instante su dedo entra en contacto con un clavo que sobresalía del pallet, generando una  lesión punzocortante en el el dedo medio de la mano derecha._x000a_Se le brindó primeros auxilios en el CD en coordinación con la central de emergencias."/>
    <s v="Corte/Herida"/>
    <n v="1"/>
    <s v="Borde filoso"/>
    <m/>
    <s v="Pallet en mal estado "/>
    <s v="CONDICIÓN INSEGURA"/>
    <s v="T2"/>
    <m/>
  </r>
  <r>
    <m/>
    <s v="ALICORP_SAA"/>
    <s v="SUPPLY CHAIN"/>
    <s v="MANUFACTURA"/>
    <s v="OLEOS"/>
    <x v="5"/>
    <s v="SALSAS"/>
    <x v="28"/>
    <m/>
    <s v="TARDE"/>
    <s v="sábado"/>
    <m/>
    <m/>
    <m/>
    <m/>
    <m/>
    <m/>
    <m/>
    <m/>
    <s v="ALICORP S.A.A"/>
    <s v="PROPIO"/>
    <s v="Durante el 1er turno se  reportan problemas de flujo con la línea de producción. A la 1:00 p.m.  el equipo de mantenimiento  interviene la línea a fin de identificar el problema ._x000a_A las 3:10 p.m. el mecánico de turno retira el clamp de la tubería provocando la liberación presurizada de producto caliente (Smoky Heat), el cual alcanzó a cinco colaboradores: Tres técnicos de mantenimiento y dos operarios de producción (empresa Prolabora)._x000a_Se derivo al centro médico a 02 colaboradores (1 Tec. Mantto y 01 OP)"/>
    <s v="Quemadura"/>
    <n v="16"/>
    <s v="Tubería presurizada"/>
    <m/>
    <s v="Energía acumulada"/>
    <s v="CONDICIÓN INSEGURA"/>
    <s v="T2"/>
    <m/>
  </r>
  <r>
    <m/>
    <s v="ALICORP_SAA"/>
    <s v="SUPPLY CHAIN"/>
    <s v="MANUFACTURA"/>
    <s v="OLEOS"/>
    <x v="5"/>
    <s v="SALSAS"/>
    <x v="28"/>
    <m/>
    <s v="TARDE"/>
    <s v="sábado"/>
    <m/>
    <m/>
    <m/>
    <m/>
    <m/>
    <m/>
    <m/>
    <m/>
    <s v="PROLABORA"/>
    <s v="Service"/>
    <s v="Durante el 1er turno se  reportan problemas de flujo con la línea de producción. A la 1:00 p.m.  el equipo de mantenimiento  interviene la línea a fin de identificar el problema ._x000a_A las 3:10 p.m. el mecánico de turno retira el clamp de la tubería provocando la liberación presurizada de producto caliente (Smoky Heat), el cual alcanzó a cinco colaboradores: Tres técnicos de mantenimiento y dos operarios de producción (empresa Prolabora)._x000a_Se derivo al centro médico a 02 colaboradores (1 Tec. Mantto y 01 OP)"/>
    <s v="Quemadura"/>
    <n v="2"/>
    <s v="Tubería presurizada"/>
    <m/>
    <s v="Energía acumulada"/>
    <s v="CONDICIÓN INSEGURA"/>
    <s v="T2"/>
    <m/>
  </r>
  <r>
    <m/>
    <s v="ALICORP_SAA"/>
    <s v="ADMINISTRACIÓN"/>
    <s v="OTRAS DIRECCIONES"/>
    <s v="ADMINISTRACION"/>
    <x v="18"/>
    <s v="EDIFICIO MIRAFLORES"/>
    <x v="29"/>
    <m/>
    <s v="DÍA"/>
    <s v="lunes"/>
    <m/>
    <m/>
    <m/>
    <m/>
    <m/>
    <m/>
    <m/>
    <m/>
    <s v="ALICORP S.A.A"/>
    <s v="PROPIO"/>
    <s v="En circunstancias que colaboradora se encontraba en la sala de juegos del Piso 10, al levantarse del mueble y bajar el primer peldaño, sufre una caída, generando una torcedura en el tobillo del pie derecho."/>
    <s v="Esguince/Torcedura"/>
    <n v="42"/>
    <s v="Escalera (zona de juegos)"/>
    <m/>
    <s v="Mal juicio / Exceso de confianza"/>
    <s v="ACTO INSEGURO"/>
    <s v="T2"/>
    <m/>
  </r>
  <r>
    <m/>
    <s v="ALICORP_SAA"/>
    <s v="SUPPLY CHAIN"/>
    <s v="MANUFACTURA"/>
    <s v="MOLINOS"/>
    <x v="19"/>
    <s v="AREQUIPA"/>
    <x v="29"/>
    <m/>
    <s v="DÍA"/>
    <s v="lunes"/>
    <m/>
    <m/>
    <m/>
    <m/>
    <m/>
    <m/>
    <m/>
    <m/>
    <s v="ALICORP S.A.A"/>
    <s v="PROPIO"/>
    <s v="El lunes 19 de mayo de 2025, el trabajador manifestó que se encontraba realizando labores de limpieza en la zona ubicada debajo del carrusel, sin portar casco de seguridad. Durante dicha actividad, al levantar la cabeza, se golpeó con una superficie metálica, lo que le ocasionó una lesión en la cabeza._x000a__x000a_Ante el accidente, el trabajador informó de inmediato a su coordinador, quien activó el protocolo correspondiente, contactando a la central de emergencias. Posteriormente, el trabajador fue trasladado al centro médico para su atención."/>
    <s v="Contusión"/>
    <n v="1"/>
    <s v="Carrusel de envasado"/>
    <m/>
    <s v="Acceso inadecuado"/>
    <s v="ACTO INSEGURO"/>
    <s v="T2"/>
    <m/>
  </r>
  <r>
    <m/>
    <s v="ALICORP_SAA"/>
    <s v="SUPPLY CHAIN"/>
    <s v="LOGÍSTICA"/>
    <s v="ALICORP SOLUCIONES"/>
    <x v="9"/>
    <s v="APT MCA"/>
    <x v="30"/>
    <m/>
    <s v="DÍA"/>
    <s v="martes"/>
    <m/>
    <m/>
    <m/>
    <m/>
    <m/>
    <m/>
    <m/>
    <m/>
    <s v="ALTELIZA SAC"/>
    <s v="Tercero - Limpieza"/>
    <s v="Aproximadamente a las 14:50h, el operario de Alteliza,  estaba realizando la limpieza de las paletas usando los EPP respectivos, en un instante decide  deslizar la paleta que se encontraba en la parte superior(5ta posición), esta cae en el piso y le rebota en el pie izquierdo._x000a__x000a_Se llamo a la ambulancia donde fue evaluado por el personal médico de cardio móvil, posteriormente fue dirigido a la clínica San Gabriel acompañado por el Supervisor de SSOMA de Alteliza  y JT de turno."/>
    <s v="Contusión"/>
    <n v="8"/>
    <s v="Paleta "/>
    <m/>
    <s v="Mal juicio / Exceso de confianza"/>
    <s v="ACTO INSEGURO"/>
    <s v="T2"/>
    <m/>
  </r>
  <r>
    <m/>
    <s v="INTRADEVCO_INDUSTRIAL_SA"/>
    <s v="SUPPLY CHAIN"/>
    <s v="MANUFACTURA"/>
    <s v="HOME Y PERSONAL CARE"/>
    <x v="6"/>
    <s v="LURIN 2"/>
    <x v="30"/>
    <m/>
    <s v="DÍA"/>
    <s v="martes"/>
    <m/>
    <m/>
    <m/>
    <m/>
    <m/>
    <m/>
    <m/>
    <m/>
    <s v="OUTSOURCING"/>
    <s v="Service"/>
    <s v="Alrededor de la 1:00 pm, la colaboradora retornaba a su puesto de trabajo luego del refrigerio e inició la colocación de sus EPPs. Al notar que requería renovar sus guantes, se acercó al escritorio de la supervisora del área y durante su retorno por la escalera de la línea de envasado, perdió el equilibrio y cayó desde el cuarto escalón._x000a__x000a_De acuerdo con su declaración, la colaboradora se desplazaba sin sujetarse del pasamanos y llevaba el mandil no sujeto."/>
    <s v="Contusión"/>
    <n v="20"/>
    <s v="Escalera de acceso"/>
    <m/>
    <s v="Mal juicio / Exceso de confianza"/>
    <s v="ACTO INSEGURO"/>
    <s v="T2"/>
    <m/>
  </r>
  <r>
    <m/>
    <s v="ALICORP_SAA"/>
    <s v="SUPPLY CHAIN"/>
    <s v="MANUFACTURA"/>
    <s v="MOLINOS"/>
    <x v="9"/>
    <s v="MCA"/>
    <x v="31"/>
    <m/>
    <s v="NOCHE"/>
    <s v="sábado"/>
    <m/>
    <m/>
    <m/>
    <m/>
    <m/>
    <m/>
    <m/>
    <m/>
    <s v="ALICORP S.A.A"/>
    <s v="PROPIO"/>
    <s v=" Siendo las 5:00 a.m. el operador 1 de molino procede a realizar limpieza de área en el primer piso de Molino, el trabajador percibe el olor del gas fosfamina proveniente de una ruma fumigada.​_x000a_Procede avisar al monitor de producción quien activa el protocolo de emergencia. La ambulancia Cardiomóvil se acerca al lugar para su evaluación y luego de ello se decide llevarlo a la clínica San Gabriel, donde queda internado para el monitoreo respectivo.​_x000a_Actualmente el colaborador continúa internado."/>
    <s v="Intoxicación"/>
    <n v="13"/>
    <s v="Contacto con producto químico"/>
    <m/>
    <s v="Fuga fosfina"/>
    <s v="CONDICIÓN INSEGURA"/>
    <s v="T2"/>
    <m/>
  </r>
  <r>
    <m/>
    <s v="ALICORP_SAA"/>
    <s v="SUPPLY CHAIN"/>
    <s v="MANUFACTURA"/>
    <s v="MOLINOS"/>
    <x v="20"/>
    <s v="AREQUIPA"/>
    <x v="32"/>
    <m/>
    <s v="NOCHE"/>
    <s v="lunes"/>
    <m/>
    <m/>
    <m/>
    <m/>
    <m/>
    <m/>
    <m/>
    <m/>
    <s v="ALICORP S.A.A"/>
    <s v="PROPIO"/>
    <s v="El trabajador procedió a colocar la artesa en la mezcladora 1. Posteriormente, bajó la guarda y accionó el movimiento de las hélices desde el tablero de control. Al acercarse a la máquina, cuando la hélice comenzó a bajar hacia la artesa, el trabajador acercó la mano al eje de la hélice y sufrió un atrapamiento entre la base de la hélice y la superficie de la guarda. Al percibir el atrapamiento, el trabajador solicitó ayuda a sus dos compañeros que se encontraban cerca. Estos procedieron a presionar la parada de emergencia y, posteriormente, el botón de elevación, lo que permitió liberar la mano del trabajador."/>
    <s v="Contusión"/>
    <n v="13"/>
    <s v="Artesa de mezcladora"/>
    <m/>
    <s v="Mal juicio / Exceso de confianza"/>
    <s v="ACTO INSEGURO"/>
    <s v="T2"/>
    <m/>
  </r>
  <r>
    <m/>
    <s v="ALICORP_SAA"/>
    <s v="SUPPLY CHAIN"/>
    <s v="LOGÍSTICA"/>
    <s v="CONSUMO MASIVO"/>
    <x v="21"/>
    <s v="Latam 600"/>
    <x v="33"/>
    <m/>
    <s v="DÍA"/>
    <s v="martes"/>
    <m/>
    <m/>
    <m/>
    <m/>
    <m/>
    <m/>
    <m/>
    <m/>
    <s v="ALICORP S.A.A"/>
    <s v="PROPIO"/>
    <s v="Minutos antes de culminar y relevar el turno, todo el personal realiza el ordenamiento   de almacén para el inicio de operaciones de la siguiente jornada._x000a_ El colaborador involucrado, se encontraba realizando la limpieza de sus pasillos (23 - 24), bajó del equipo para ordenar la ubicación y tomó la decisión de manipular el order picker fuera del mismo, operación no regular. Debido al uso incorrecto del equipo , no mide el espacio y rango de movimiento, sufrió el atrapamiento de su pie derecho contra el rack en la curva del pasillo._x000a_Inmediatamente se activó el personal de brigadas para poder auxiliar e inmovilizar al colaborador hasta la llegada de la ambulancia._x000a_El trabajador fue derivado a la clínica San Gabriel de surco, donde fue atendido. "/>
    <s v="Atrapamiento"/>
    <n v="40"/>
    <s v="Equipo logístico "/>
    <m/>
    <s v="Mal juicio / Exceso de confianza"/>
    <s v="ACTO INSEGURO"/>
    <s v="T2"/>
    <m/>
  </r>
  <r>
    <m/>
    <s v="ALICORP_SAA"/>
    <s v="SUPPLY CHAIN"/>
    <s v="LOGÍSTICA"/>
    <s v="TRANSPORTES"/>
    <x v="5"/>
    <s v="Transportes"/>
    <x v="34"/>
    <m/>
    <s v="DÍA"/>
    <s v="lunes"/>
    <m/>
    <m/>
    <m/>
    <m/>
    <m/>
    <m/>
    <m/>
    <m/>
    <s v="Transportes Lindsay"/>
    <s v="Tercero - Transportes"/>
    <s v="El 16/06 aproximadamente a las 12:30 pm se reportó accidente incapacitante en la zona de carga de cisternas de COPSA, donde el conductor Raymundo Ticlavilca Huere de la empresa de transportes Lindsay con 65 años de edad, se tropieza con una de las bases de fierro de los topes de estacionamiento. Al caer, coloca las manos; sin embargo, con la caída el casco golpea el piso y a su vez golpea la frente del conductor._x000a_El conductor fue auxiliado rápidamente por su compañero de trabajo y personal Alicorp, atendido en el tópico y luego derivado a la clínica donde le dieron 2 días de descanso médico. Se procede con la investigación del evento."/>
    <s v="Contusión"/>
    <n v="1"/>
    <m/>
    <m/>
    <s v="Mal juicio / Exceso de confianza"/>
    <s v="ACTO INSEGURO"/>
    <s v="T2"/>
    <m/>
  </r>
  <r>
    <m/>
    <s v="INTRADEVCO_INDUSTRIAL_SA"/>
    <s v="SUPPLY CHAIN"/>
    <s v="MANUFACTURA"/>
    <s v="HOME Y PERSONAL CARE"/>
    <x v="14"/>
    <s v="LURÍN 5"/>
    <x v="35"/>
    <m/>
    <s v="TARDE"/>
    <s v="martes"/>
    <m/>
    <m/>
    <m/>
    <m/>
    <m/>
    <m/>
    <m/>
    <m/>
    <s v="INTRADEVCO"/>
    <s v="PROPIO"/>
    <s v="A las 4:00 p.m., el maquinista de producción del área de litografía estaba tomando una muestra de lámina de hojalata para verificar los parámetros de color. Al momento de reponer la lámina en el transportador auxiliar, la colocó de tal forma que un extremo chocó contra parte del sistema de transporte, provocando un rebote que impactó directamente en su rostro, causándole un corte a la altura de la nariz._x000a_Inmediatamente, recibió atención en el tópico de planta Lurín 5 y, posteriormente, fue trasladado a la clínica San Pablo para atención médica. Se le otorga 5 días de descanso médico, posteriormente se le amplia a 4 días mas. "/>
    <s v="Corte/Herida"/>
    <n v="10"/>
    <s v="Borde filoso"/>
    <m/>
    <s v="Diseño inadecuado"/>
    <s v="CONDICIÓN INSEGURA"/>
    <s v="T2"/>
    <m/>
  </r>
  <r>
    <m/>
    <s v="ALICORP_SAA"/>
    <s v="SUPPLY CHAIN"/>
    <s v="MANUFACTURA"/>
    <s v="OLEOS"/>
    <x v="5"/>
    <s v="REFINERÍA"/>
    <x v="36"/>
    <m/>
    <s v="DÍA"/>
    <s v="sábado"/>
    <m/>
    <m/>
    <m/>
    <m/>
    <m/>
    <m/>
    <m/>
    <m/>
    <s v="SSAYS SAC"/>
    <s v="Contratista"/>
    <s v="El día 28/06, aproximadamente a las 12:00 p.m., personal de la empresa SSAYS se encontraba realizando labores de limpieza de canaletas en la zona de los DEOS. Durante el proceso de recolección manual de residuos sólidos acumulados en las canaletas, una operadora de limpieza sufrió una lesión en el dedo anular de la mano izquierda._x000a_La trabajadora estaba utilizando equipo de protección personal para la tarea, incluyendo guantes de nitrilo y guantes anticorte. Sin embargo, al manipular los residuos con un recogedor y sus manos, sintió una punzada en el dedo. Al inspeccionar la lesión, se identificó que un alambre metálico se le había incrustado a través de los guantes."/>
    <s v="Corte/Herida"/>
    <n v="6"/>
    <s v="Alambre metálico"/>
    <m/>
    <s v="Evaluación inadecuada del riesgo"/>
    <s v="CONDICIÓN INSEGURA"/>
    <s v="T2"/>
    <m/>
  </r>
  <r>
    <m/>
    <s v="ALICORP_SAA"/>
    <s v="SUPPLY CHAIN"/>
    <s v="MANUFACTURA"/>
    <s v="FARINACEOS"/>
    <x v="15"/>
    <s v="PANETONES"/>
    <x v="37"/>
    <m/>
    <s v="DÍA"/>
    <s v="lunes"/>
    <m/>
    <m/>
    <m/>
    <m/>
    <m/>
    <m/>
    <m/>
    <m/>
    <s v="ALICORP S.A.A"/>
    <s v="PROPIO"/>
    <s v="El colaborador Kenneth Leon, se dirigía a los vestuarios del CDC asignado al personal de Panetones; en esas circunstancias, bajando las escaleras se resbala debido al piso mojado y para no caer se sujeta de la baranda; la cual también se encontraba mojada y es en ese instante que sufre la torcedura de la muñeca._x000a_Inmediatamente se traslada al tópico para los primeros auxilios."/>
    <s v="Esguince/Torcedura"/>
    <n v="15"/>
    <s v="Escalera de acceso"/>
    <m/>
    <s v="Motivación inadecuada / Intento inapropiado de ahorrar tiempo y esfuerzo"/>
    <s v="ACTO INSEGURO"/>
    <s v="T2"/>
    <m/>
  </r>
  <r>
    <m/>
    <s v="ALICORP_BOLIVIA"/>
    <s v="SUPPLY CHAIN"/>
    <s v="LOGÍSTICA"/>
    <s v="LOGÍSTICA"/>
    <x v="22"/>
    <s v="CD/APT Bolivia"/>
    <x v="38"/>
    <m/>
    <s v="DÍA"/>
    <s v="sábado"/>
    <m/>
    <m/>
    <m/>
    <m/>
    <m/>
    <m/>
    <m/>
    <m/>
    <s v="ALICORP_BOLIVIA"/>
    <s v="PROPIO"/>
    <s v="El sábado 5 de julio alrededor de las 14:45, durante la operación de traslado de producto desde envasado hacia el Almacén de Producto Terminado, un colaborador que conducía un tractor con chata por la avenida 2 detuvo su marcha para dar paso a una cisterna de aceite crudo de soya que ingresaba a planta para el correspondiente descarguío._x000a_En ese momento, la llanta trasera interna del carro cisterna reventó generando una explosión causando una onda expansiva acompañada de una nube de polvo y partículas, alcanzando al rostro del colaborador y provocando un dolor y zumbido en el oído del trabajador (montacarguista). El colaborador se encontraba utilizando adecuadamente sus elementos de protección personal: casco, lentes de seguridad y protección auditiva._x000a__x000a_Se activaron los protocolos de atención y se derivó al colaborador a emergencia del Policlínico Cordes Quillacollo para una atención médica, concluyendo con el diagnóstico de trauma acústico._x000a_El evento se encuentra actualmente en proceso de investigación y análisis para la implementación de las medidas correctivas correspondientes."/>
    <s v="Trauma acústico"/>
    <n v="3"/>
    <s v="Camión"/>
    <m/>
    <s v="Falta de mantenimiento o desgaste"/>
    <s v="CONDICIÓN INSEGURA"/>
    <s v="T3"/>
    <m/>
  </r>
  <r>
    <m/>
    <s v="INTRADEVCO_INDUSTRIAL_SA"/>
    <s v="SUPPLY CHAIN"/>
    <s v="MANUFACTURA"/>
    <s v="HOME Y PERSONAL CARE"/>
    <x v="4"/>
    <s v="CHORRILLOS"/>
    <x v="39"/>
    <m/>
    <s v="DÍA"/>
    <s v="jueves"/>
    <m/>
    <m/>
    <m/>
    <m/>
    <m/>
    <m/>
    <m/>
    <m/>
    <s v="INTRADEVCO"/>
    <s v="PROPIO"/>
    <s v="El jueves 17/07 aproximadamente a las 08:30 h dos colaboradores del área de producción decidieron trasladar un tecle móvil en desuso hacia la planta de plásticos, esto a pedido de un compañero del área. Al ver que el equipo era más alto que el pasadizo por donde iban a trasladarlo deciden inclinarlo, ello originó que un componente metálico del equipo se desprenda y caiga sobre la cabeza de un colaborador._x000a__x000a_El colaborador afectado fue trasladado al tópico y posteriormente a la Clínica San Pablo para recibir atención especializada."/>
    <s v="Traumatismo encefalocreneano"/>
    <n v="7"/>
    <s v="Herramienta"/>
    <m/>
    <s v="Evaluación inadecuada del riesgo"/>
    <s v="ACTO INSEGURO"/>
    <s v="T3"/>
    <m/>
  </r>
  <r>
    <m/>
    <s v="INTRADEVCO_INDUSTRIAL_SA"/>
    <s v="ADMINISTRACIÓN"/>
    <s v="OTRAS DIRECCIONES"/>
    <s v="ADMINISTRACION"/>
    <x v="23"/>
    <s v="LURÍN 2"/>
    <x v="40"/>
    <m/>
    <s v="DÍA"/>
    <s v="lunes"/>
    <m/>
    <m/>
    <m/>
    <m/>
    <m/>
    <m/>
    <m/>
    <m/>
    <s v="ALTELIZA SAC"/>
    <s v="Tercero - Limpieza"/>
    <s v="Aproximadamente a las 07:40, un colaborador de la empresa Alteliza se encontraba realizando la limpieza del pasadizo, producto de la rotura de una tubería de la planta de tratamiento de agua. Mientras realizaba la labor de limpieza y secado de la zona, al momento de retroceder se resbala y su pierna ingresa en el buzón ya que por el nivel de agua no se visualizaba la ubicación. Inmediatamente se retira de la zona hacia tópico, para posteriormente ser derivado a la clínica para recibir atención especializada."/>
    <s v="Contusión"/>
    <n v="3"/>
    <s v="Buzón abierto "/>
    <m/>
    <m/>
    <s v="CONDICIÓN INSEGURA"/>
    <s v="T3"/>
    <m/>
  </r>
  <r>
    <m/>
    <s v="ALICORP_SAA"/>
    <s v="SUPPLY CHAIN"/>
    <s v="LOGÍSTICA"/>
    <s v="ALICORP SOLUCIONES"/>
    <x v="24"/>
    <s v="MCA"/>
    <x v="41"/>
    <m/>
    <s v="DÍA"/>
    <s v="martes"/>
    <m/>
    <m/>
    <m/>
    <m/>
    <m/>
    <m/>
    <m/>
    <m/>
    <s v="LÍNEA VERTICAL"/>
    <s v="Contratista"/>
    <s v="Aproximadamente a las 12.15 p.m, el colaborador de Línea Vertical con 7 meses 18 días laborando y 9 años de_x000a_experiencia como técnico vertical; habiendo terminado sus labores en el APT (limpieza de techos), se dirige a los_x000a_vestuarios. Luego se retira tocando la puerta con la mano derecha sobre el vidrio, ocasionando que se rompa y_x000a_produciendo cortes en la mano derecha. Se llamo a la ambulancia donde fue evaluado por el personal médico de cardio móvil, posteriormente fue dirigido a la clínica Auna Bellavista acompañado por el Supervisor de Soma de Línea Vertical y JT de turno."/>
    <s v="Corte/Herida"/>
    <n v="18"/>
    <s v="Borde filoso"/>
    <m/>
    <s v="Vidrio de puerta"/>
    <s v="CONDICIÓN INSEGURA"/>
    <s v="T3"/>
    <m/>
  </r>
  <r>
    <m/>
    <s v="ALICORP_SAA"/>
    <s v="SUPPLY CHAIN"/>
    <s v="OTRAS DIRECCIONES"/>
    <s v="SSOMA"/>
    <x v="10"/>
    <s v="Acopio"/>
    <x v="42"/>
    <m/>
    <s v="DÍA"/>
    <s v="sábado"/>
    <m/>
    <m/>
    <m/>
    <m/>
    <m/>
    <m/>
    <m/>
    <m/>
    <s v="BIOTEK GROUP"/>
    <s v="Contratista"/>
    <s v="Un colaborador de la empresa Biotek Group S.A.C., se desplazaba por el ingreso al almacén de productos no conformes y al mismo tiempo revisando su celular para realizar las coordinaciones administrativas de venta de residuos y cuando estaba por cruzar la puerta del portón se tropezó con el marco, que tuvo como consecuencia la pérdida del equilibrio provocando una caída al mismo nivel. De manera inmediata, se notificó al personal SSOMA de turno para atender la emergencia y fue asistido por la ambulancia, siendo trasladado al tópico."/>
    <s v="Fractura"/>
    <n v="47"/>
    <s v="Escalera de acceso"/>
    <m/>
    <s v="Mal juicio / Exceso de confianza"/>
    <s v="ACTO INSEGURO"/>
    <s v="T3"/>
    <m/>
  </r>
  <r>
    <m/>
    <s v="ALICORP_SAA"/>
    <s v="SUPPLY CHAIN"/>
    <s v="MANUFACTURA"/>
    <s v="MOLINOS"/>
    <x v="20"/>
    <s v="AREQUIPA"/>
    <x v="43"/>
    <m/>
    <s v="DÍA"/>
    <s v="martes"/>
    <m/>
    <m/>
    <m/>
    <m/>
    <m/>
    <m/>
    <m/>
    <m/>
    <s v="ALICORP S.A.A"/>
    <s v="PROPIO"/>
    <s v="El mecánico de mantenimiento se dirigió al área de elaboración para atender un reporte de trabamiento en el sistema de apertura de la puerta de la mezcladora N°3._x000b_En una primera revisión superficial logró ponerla en funcionamiento sin necesidad de realizar una intervención mayor; sin embargo, minutos después se reportó nuevamente el mismo problema._x000a_Al inspeccionar nuevamente el sistema, el mecánico identificó una falla en el reductor del accionamiento de la puerta, por lo que, en coordinación con personal de producción, se decidió desacoplar la parte mecánica de transmisión e intentar realizar el destrabe de forma manual. Para ello, el trabajador utilizó una llave stilson, con la finalidad de ejercer fuerza sobre el eje del sistema y lograr la apertura de la tolva, a fin de retirar la masa que había quedado retenida en su interior._x000a__x000a_Durante la maniobra, al aplicar fuerza con la llave stilson sobre el eje, la energía mecánica residual se liberó, lo que generó un golpe con una parte metálica en el tercer dedo de la mano del trabajador."/>
    <s v="Corte/Herida"/>
    <n v="2"/>
    <s v="Mezcladora"/>
    <m/>
    <s v="Evaluación inadecuada del riesgo"/>
    <s v="ACTO INSEGURO"/>
    <s v="T3"/>
    <m/>
  </r>
  <r>
    <m/>
    <s v="INTRADEVCO_INDUSTRIAL_SA"/>
    <s v="SUPPLY CHAIN"/>
    <s v="MANUFACTURA"/>
    <s v="HOME Y PERSONAL CARE"/>
    <x v="7"/>
    <s v="LURÍN 4"/>
    <x v="44"/>
    <m/>
    <s v="DÍA"/>
    <s v="miércoles"/>
    <m/>
    <m/>
    <m/>
    <m/>
    <m/>
    <m/>
    <m/>
    <m/>
    <s v="INTRADEVCO"/>
    <s v="PROPIO"/>
    <s v="Aproximadamente a las 14:00 h un colaborador del área de producción se dirigió al 4to piso (zona de escapes) para iniciar labores de limpieza de fin de producción. Como parte del inicio de la actividad procedió con la apertura de la compuerta de un hidrociclón: Retira el 1er seguro y lo deja en el piso, luego retira el 2do seguro y es colocado en la misma ubicación, al momento de reincorporarse, la compuerta se abre generándole un golpe en el rostro (parte izquierda). En el momento del accidente el colaborador se encontraba con los equipos de protección personal colocados (botas, traje de protección, guantes, lentes de seguridad)._x000a_El trabajador afectado fue trasladado al tópico y posteriormente a la Clínica San Pablo para recibir atención especializada."/>
    <s v="Traumatismo encefalocreneano"/>
    <n v="7"/>
    <s v="Golpe con puerta "/>
    <m/>
    <s v="Motivación inadecuada / Intento inapropiado de ahorrar tiempo y esfuerzo"/>
    <s v="ACTO INSEGURO"/>
    <s v="T3"/>
    <m/>
  </r>
  <r>
    <m/>
    <s v="ALICORP_SAA"/>
    <s v="SUPPLY CHAIN"/>
    <s v="MANUFACTURA"/>
    <s v="MOLINOS"/>
    <x v="25"/>
    <s v="MOLINO FAUCETT"/>
    <x v="45"/>
    <m/>
    <s v="DÍA"/>
    <s v="martes"/>
    <m/>
    <m/>
    <m/>
    <m/>
    <m/>
    <m/>
    <m/>
    <m/>
    <s v="SMAL"/>
    <s v="Contratista"/>
    <s v="Aproximadamente a las 10:40am el trabajador de la empresa SMAL se encontraba prestando servicio de mantenimiento correctivo en el banco de cilindros D1.​_x000a_Se desplaza por el pasadizo colindante del banco de cilindros doble T1/T2 (el cual producto de un atoro en el T1 estaba siendo inspeccionado por los coordinadores de mantenimiento y producción), es en ese momento donde sufre un atrapamiento de su mano izquierda en el T2."/>
    <s v="Amputación del 2° al 5° dedo mano izquierda"/>
    <n v="1140"/>
    <s v="Equipo en movimiento"/>
    <m/>
    <s v="Evaluación inadecuada del riesgo"/>
    <s v="ACTO INSEGURO"/>
    <s v="T3"/>
    <m/>
  </r>
  <r>
    <m/>
    <s v="ALICORP_SAA"/>
    <s v="SUPPLY CHAIN"/>
    <s v="MANUFACTURA"/>
    <s v="OLEOS"/>
    <x v="5"/>
    <s v="REFINERÍA"/>
    <x v="46"/>
    <m/>
    <s v="DÍA"/>
    <s v="lunes"/>
    <m/>
    <m/>
    <m/>
    <m/>
    <m/>
    <m/>
    <m/>
    <m/>
    <s v="SSAYS SAC"/>
    <s v="Contratista"/>
    <s v="A las 11:00 a.m., una colaboradora de la empresa SSAYS se encontraba realizando labores de limpieza en la línea de ingreso de aceite desodorizado al intercambiador 881A, utilizando un escobillón. Durante la actividad, se produjo la apertura accidental de la válvula de acceso al sistema de lavado químico del intercambiador de calor.​_x000a__x000a_Dicha tubería contenía grasa desodorizada a una temperatura entre 100 °C y 110 °C. El punto de contacto no contaba con un cierre físico que impidiera el acceso o la manipulación accidental."/>
    <s v="Quemadura de 2° grado"/>
    <n v="3"/>
    <s v="Grasa caliente"/>
    <m/>
    <s v="Evaluación inadecuada del riesgo"/>
    <s v="CONDICIÓN INSEGURA"/>
    <s v="T3"/>
    <m/>
  </r>
  <r>
    <m/>
    <s v="ALICORP_SAA"/>
    <s v="SUPPLY CHAIN"/>
    <s v="LOGÍSTICA"/>
    <s v="PREDIOS INDUSTRIALES"/>
    <x v="26"/>
    <s v="APT FARINACEOS"/>
    <x v="47"/>
    <m/>
    <s v="DÍA"/>
    <s v="jueves"/>
    <m/>
    <m/>
    <m/>
    <m/>
    <m/>
    <m/>
    <m/>
    <m/>
    <s v="ALICORP S.A.A"/>
    <s v="PROPIO"/>
    <s v="El colaborador se encontraba en su equipo logístico (ETV) cruzando el patio de maniobras de Galletas hacia Fideería, cuando sintió que un objeto extraño ingresó a su ojo derecho. Se dirigió al tópico y debido a que la molestia persistía fue derivado a la clínica."/>
    <s v="Cuerpo extraño en ojo"/>
    <n v="2"/>
    <s v="Partícula en ambiente"/>
    <m/>
    <s v="Evaluación inadecuada del riesgo"/>
    <s v="ACTO INSEGURO"/>
    <s v="T3"/>
    <m/>
  </r>
  <r>
    <m/>
    <s v="INTRADEVCO_INDUSTRIAL_SA"/>
    <s v="SUPPLY CHAIN"/>
    <s v="OTRAS DIRECCIONES"/>
    <s v="INGENIERÍA"/>
    <x v="6"/>
    <s v="LURIN 2"/>
    <x v="48"/>
    <m/>
    <s v="DÍA"/>
    <s v="martes"/>
    <m/>
    <m/>
    <m/>
    <m/>
    <m/>
    <m/>
    <m/>
    <m/>
    <s v="Consulting Advisers"/>
    <s v="Service"/>
    <s v="El 27-Set. previa planificación con el coordinador de planta y sin personal de producción en el área, se ejecutaron los trabajos de abertura de pared de drywall para puerta de acceso en limpiatodo.​_x000a__x000a_El 30-Set. personal de CJ CONTRATISTA retorna al lugar a culminar el resane de perfil de la puerta, con ATS y sin coordinar la actividad, procede a realizar picado del suelo llegando a proyectar una partícula en el ojo izquierdo de colaborador de la empresa CONSULTING de producción."/>
    <s v="Cuerpo extraño en ojo"/>
    <n v="12"/>
    <s v="Proyección de partícula"/>
    <m/>
    <s v="Evaluación inadecuada del riesgo"/>
    <s v="CONDICIÓN INSEGURA"/>
    <s v="T3"/>
    <m/>
  </r>
  <r>
    <m/>
    <s v="ALICORP_BOLIVIA"/>
    <s v="SUPPLY CHAIN"/>
    <s v="MANUFACTURA"/>
    <s v="OLEOS"/>
    <x v="22"/>
    <s v="CD/APT Bolivia"/>
    <x v="49"/>
    <m/>
    <s v="DÍA"/>
    <s v="lunes"/>
    <m/>
    <m/>
    <m/>
    <m/>
    <m/>
    <m/>
    <m/>
    <m/>
    <s v="ALICORP_BOLIVIA"/>
    <s v="PROPIO"/>
    <s v="El día lunes 06 de octubre de 2025 a horas 23:10 pm, en línea de envasado de aceite (FINOPET), se produjo filtración de un bidón de aceite (por defecto de fábrica) generando un derrame en el suelo y por tanto una superficie resbalosa, al intentar retirar el bidón, el colaborador sufrió un resbalón que ocasionó una caída, golpeándose la rodilla izquierda contra el suelo, inmediatamente se llevó al colaborador al centro de salud, donde le dieron calmantes, posteriormente el colaborador se retiró a su domicilio, la investigación del accidente se encuentra en curso."/>
    <s v="Trauma contuso rodilla izquierda  "/>
    <n v="6"/>
    <m/>
    <m/>
    <m/>
    <m/>
    <s v="T4"/>
    <m/>
  </r>
  <r>
    <m/>
    <s v="INTRADEVCO_INDUSTRIAL_SA"/>
    <s v="ADMINISTRACIÓN"/>
    <s v="OTRAS DIRECCIONES"/>
    <s v="ADMINISTRACION"/>
    <x v="6"/>
    <m/>
    <x v="50"/>
    <m/>
    <m/>
    <s v="viernes"/>
    <m/>
    <m/>
    <m/>
    <m/>
    <m/>
    <m/>
    <m/>
    <m/>
    <s v="ALTELIZA SAC"/>
    <s v="Tercero"/>
    <s v="El día viernes 10 de octubre a las 8:30 am aproximadamente, el Personal Operario de Limpieza se encontraba realizando labores de recolección de residuos en la zona peatonal de la Planta Principal del Patio de Maniobra (Lote 1)._x000a_Mientras recogía basura con una bolsa negra, la trabajadora adoptó una posición que limitó su campo visual, provocando que se tropezara con un tope de llantas de protección. Tras la caída, el peso de su cuerpo recayó sobre su mano derecha, afectando específicamente su dedo índice._x000a_De forma inmediata, la trabajadora fue trasladada al tópico para una evaluación inicial. Se activó el Seguro Complementario de Trabajo de Riesgo (SCTR) para su traslado a la Clínica San Pablo, donde se le diagnosticó una fractura del dedo índice derecho. "/>
    <s v="Luxo fractura de dedo meñique mano izquierda"/>
    <n v="17"/>
    <s v="Tope de camión"/>
    <m/>
    <s v="Mal juicio / Exceso de confianza"/>
    <s v="ACTO INSEGURO"/>
    <s v="T4"/>
    <m/>
  </r>
  <r>
    <m/>
    <s v="ALICORP_SAA"/>
    <s v="SUPPLY CHAIN"/>
    <s v="LOGÍSTICA"/>
    <s v="PREDIOS INDUSTRIALES"/>
    <x v="27"/>
    <m/>
    <x v="51"/>
    <m/>
    <m/>
    <s v="sábado"/>
    <m/>
    <m/>
    <m/>
    <m/>
    <m/>
    <m/>
    <m/>
    <m/>
    <s v="ALICORP S.A.A"/>
    <s v="PROPIO"/>
    <s v="07:43pm : Durante el desarrollo del turno 2, el ayudante Alexis se encontraba estacionado con el equipo logístico ERD al costado de una columna, en el pasillo 29.  En ese momento, el ayudante Marco, se acercó caminando, colocándose entre el equipo ERD y apoyándose en el rack para conversar con Alexis.  Al terminar de conversar y continuar sus operaciones, Alexis retrocedió ligeramente el equipo ERD para alinearse en la dirección de salida, en ese instante impacta el equipo ERD contra la pierna de Marco, quien aún se encontraba en la misma posición (entre el equipo ERD y el rack). ​​_x000a_​​El trabajador fue evaluado en el tópico y derivado a la clínica donde le diagnosticó Traumatismo por aplastamiento en la pierna."/>
    <s v="Traumatismo por aplastamiento en la pierna."/>
    <n v="34"/>
    <s v="Equipo logístico "/>
    <m/>
    <s v="Mal juicio / Exceso de confianza"/>
    <s v="ACTO INSEGURO"/>
    <s v="T4"/>
    <m/>
  </r>
  <r>
    <m/>
    <s v="ALICORP_SAA"/>
    <s v="SUPPLY CHAIN"/>
    <s v="MANUFACTURA"/>
    <s v="FARINACEOS"/>
    <x v="3"/>
    <m/>
    <x v="52"/>
    <m/>
    <m/>
    <s v="lunes"/>
    <m/>
    <m/>
    <m/>
    <m/>
    <m/>
    <m/>
    <m/>
    <m/>
    <s v="PROLABORA"/>
    <s v="Service"/>
    <s v="El día 13 de octubre, el colaborador de la empresa Prolabora, ingresa a su turno de las 3:00 pm para realizar labores de abastecimiento de azúcar refinada. Tanto el  colaborador accidentado  y su compañero estaban bromeando; en ese contexto le solicita el cutter a su compañero, quién tenía el cutter retráctil sujetada en la mano con el filo expuesto y hace la entrega;  al tomar  el cutter se produce  el corte de su mano derecha.​_x000a_Testimonio 13/10: El colaborador indicó que se realizó en casa, sin embargo a su supervisor si lo reporta el mismo día antes del ingreso a tópico. ​_x000a_Colaborador en tópico reporta que se lo realiza en casa y se deriva a Essalud. "/>
    <s v="Herida en mano"/>
    <n v="7"/>
    <s v="Cutter"/>
    <m/>
    <s v="Mal juicio / Exceso de confianza"/>
    <s v="ACTO INSEGURO"/>
    <s v="T4"/>
    <m/>
  </r>
  <r>
    <m/>
    <s v="ALICORP_SAA"/>
    <s v="SUPPLY CHAIN"/>
    <s v="MANUFACTURA"/>
    <s v="MOLINOS"/>
    <x v="20"/>
    <m/>
    <x v="53"/>
    <m/>
    <m/>
    <s v="jueves"/>
    <m/>
    <m/>
    <m/>
    <m/>
    <m/>
    <m/>
    <m/>
    <m/>
    <s v="ALICORP S.A.A"/>
    <s v="PROPIO"/>
    <s v="El trabajador se encontraba realizando sus labores en la faja 208, correspondiente a la salida SIG 06._x000a__x000b_Aproximadamente a las 21:30 horas, observó que la máquina SIG 05 presentó una falla. Pensando que dicha falla podría generar congestión en la faja, el trabajador decidió acercarse apresuradamente para presionar la botonera de emergencia y detener la línea._x000b_Durante esta acción, al extender el brazo para alcanzar la botonera, impactó su rodilla contra un selector que sobresalía en la parte frontal del equipo."/>
    <s v="Contusión de rodilla"/>
    <n v="2"/>
    <s v="Selector de botonera"/>
    <m/>
    <s v="Motivación inadecuada / Intento inapropiado de ahorrar tiempo y esfuerzo"/>
    <s v="ACTO INSEGURO"/>
    <s v="T4"/>
    <m/>
  </r>
  <r>
    <m/>
    <s v="ALICORP_SAA"/>
    <s v="SUPPLY CHAIN"/>
    <s v="MANUFACTURA"/>
    <s v="FARINACEOS"/>
    <x v="3"/>
    <m/>
    <x v="54"/>
    <m/>
    <m/>
    <s v="lunes"/>
    <m/>
    <m/>
    <m/>
    <m/>
    <m/>
    <m/>
    <m/>
    <m/>
    <s v="ALICORP S.A.A"/>
    <s v="PROPIO"/>
    <s v="A las 19:00 horas, en el área de preparación de coberturas, dos operadores realizaban la maniobra de subir un pallet de 820 kg con recorte de cobertura. Durante la maniobra, el operador que jalaba el pallet observó que no podía completar el ascenso, por lo que mencionó a su compañero que iba a bajar a nivel del piso el pallet. En ese momento el operador de la parte posterior tenia su pie izquierdo colocado entre las horquillas del pallet y fue presionado con el pallet con carga. "/>
    <s v="Atrapamiento  de dedo pie con stoca manual "/>
    <n v="43"/>
    <s v="Pallet con carga"/>
    <m/>
    <s v="Evaluación inadecuada del riesgo"/>
    <s v="CONDICIÓN INSEGURA"/>
    <s v="T4"/>
    <m/>
  </r>
  <r>
    <m/>
    <s v="ALICORP_SAA"/>
    <s v="SUPPLY CHAIN"/>
    <s v="LOGÍSTICA"/>
    <s v="PREDIOS INDUSTRIALES"/>
    <x v="9"/>
    <m/>
    <x v="55"/>
    <m/>
    <m/>
    <s v="miércoles"/>
    <m/>
    <m/>
    <m/>
    <m/>
    <m/>
    <m/>
    <m/>
    <m/>
    <s v="ALICORP S.A.A"/>
    <s v="PROPIO"/>
    <s v="Siendo las 15:15 h, el colaborador del área de Balanzas descendió de su vehículo en el estacionamiento de la planta MCA. Al hacerlo, pisó un hueco en el piso, ocasionándose una torsión en el tobillo izquierdo._x000a__x000a_En ese momento no reportó el hecho ni manifestó dolor inmediato, continuando sus labores con normalidad. Posteriormente, a las 17:33 h, comunicó al analista que su tobillo se había inflamado._x000a__x000a_El colaborador fue derivado a la clínica, donde se diagnosticó esguince y torcedura del tobillo izquierdo, otorgándose 02 días DM y 07 días de alta con restricciones"/>
    <s v="Esguince y torcedura del tobillo izquierdo"/>
    <n v="1"/>
    <s v="Orificio en el piso"/>
    <m/>
    <s v="Evaluación inadecuada del riesgo"/>
    <s v="CONDICIÓN INSEGURA"/>
    <s v="T4"/>
    <m/>
  </r>
  <r>
    <m/>
    <s v="ALICORP_SAA"/>
    <s v="SUPPLY CHAIN"/>
    <s v="LOGÍSTICA"/>
    <s v="CONSUMO MASIVO"/>
    <x v="20"/>
    <m/>
    <x v="56"/>
    <m/>
    <m/>
    <s v="lunes"/>
    <m/>
    <m/>
    <m/>
    <m/>
    <m/>
    <m/>
    <m/>
    <m/>
    <s v="IOLSA"/>
    <s v="Tercero"/>
    <s v="Siendo las 22:45 h, el colaborador de la empresa IOLSA realizaba labores de estiba de sacos de harina.  Durante la manipulación de un saco de harina de la cama 7, se desliza un saco de la cama 8 y golpeó el dedo pulgar de su mano derecha. El trabajador no reportó el hecho y continuó con sus labores. "/>
    <s v="Inflamación de tendón pulgar mano derecha"/>
    <n v="1"/>
    <s v="Sacos de harina"/>
    <m/>
    <s v="Evaluación inadecuada del riesgo"/>
    <s v="CONDICIÓN INSEGURA"/>
    <s v="T4"/>
    <m/>
  </r>
  <r>
    <m/>
    <s v="ALICORP_SAA"/>
    <s v="SUPPLY CHAIN"/>
    <s v="MANUFACTURA"/>
    <s v="MOLINOS"/>
    <x v="20"/>
    <m/>
    <x v="57"/>
    <m/>
    <m/>
    <s v="miércoles"/>
    <m/>
    <m/>
    <m/>
    <m/>
    <m/>
    <m/>
    <m/>
    <m/>
    <s v="ALICORP S.A.A"/>
    <s v="PROPIO"/>
    <s v="El 29 de octubre alrededor de las 10:00 a.m., el electricista retornaba tras haber realizado un bloqueo eléctrico en el centro de distribución Arequipa (CDA)_x000a__x000a_Durante su desplazamiento, el trabajador caminaba próximo a una pared donde se encontraba un elemento metálico sobresaliente (perno), del cual no se percató, golpeándose contra este. "/>
    <s v="Contusión de mano"/>
    <n v="3"/>
    <s v="Perno metálico"/>
    <m/>
    <s v="Evaluación inadecuada del riesgo"/>
    <s v="CONDICIÓN INSEGURA"/>
    <s v="T4"/>
    <m/>
  </r>
  <r>
    <m/>
    <s v="ALICORP_SAA"/>
    <s v="SUPPLY CHAIN"/>
    <s v="MANUFACTURA"/>
    <s v="FARINACEOS"/>
    <x v="3"/>
    <m/>
    <x v="58"/>
    <m/>
    <m/>
    <s v="viernes"/>
    <m/>
    <m/>
    <m/>
    <m/>
    <m/>
    <m/>
    <m/>
    <m/>
    <s v="ALICORP S.A.A"/>
    <s v="PROPIO"/>
    <s v="El ingeniero Edert Velarde, al tener conocimiento del evento, derivó al trabajador al tópico para recibir la atención necesaria. El diagnóstico inicial fue: lesión por corriente eléctrica e indica derivación a Clínica San Gabriel._x000a__x000a_Se traslada al accidentado en la ambulancia y en la clínica es atendido por el médico de turno. En la clínica ingresa a shock trauma para monitoreo y se le indica hospitalización por lo menos dos días. Se comunica a las áreas pertinentes: Bienestar, RRLL, Salud Ocupacional y Seguridad._x000a__x000a_El diagnóstico fue exposición a líneas de transmisión eléctrica en área industrial y de la construcción."/>
    <s v="Contacto eléctrico indirecto"/>
    <n v="5"/>
    <s v="Cordón eléctrico"/>
    <m/>
    <s v="Ingeniería inadecuada"/>
    <s v="CONDICIÓN INSEGURA"/>
    <s v="T4"/>
    <m/>
  </r>
  <r>
    <m/>
    <s v="INTRADEVCO_INDUSTRIAL_SA"/>
    <s v="SUPPLY CHAIN"/>
    <s v="MANUFACTURA"/>
    <s v="HOME Y PERSONAL CARE"/>
    <x v="6"/>
    <m/>
    <x v="59"/>
    <m/>
    <m/>
    <s v="sábado"/>
    <m/>
    <m/>
    <m/>
    <m/>
    <m/>
    <m/>
    <m/>
    <m/>
    <s v="OUTSOURCING"/>
    <s v="Tercero"/>
    <s v="La colaboradora se encontraba realizando el tapado de actuadoras a las latas en una línea manual, cuando de pronto sintió un golpe en el brazo izquierdo proveniente del domo de una lata que salió expulsado de la llenadora de gas, la proyección de la lata fue originado por la sobrepresión de un una doble inyección de gas, de inmediato, los compañeros notificaron a la encargada, para que avisara a Seguridad Industrial, y se traslade al tópico para que se le brinden los primeros auxilios correspondientes._x000a__x000a_La colaboradora es atendida en el tópico y es derivada a la clínica activándose el SCTR."/>
    <s v="Contusión en brazo"/>
    <n v="14"/>
    <s v="Envase con aerosol"/>
    <m/>
    <s v="Ingeniería inadecuada"/>
    <s v="CONDICIÓN INSEGURA"/>
    <s v="T4"/>
    <m/>
  </r>
  <r>
    <m/>
    <s v="INTRADEVCO_INDUSTRIAL_SA"/>
    <s v="SUPPLY CHAIN"/>
    <s v="OTRAS DIRECCIONES"/>
    <s v="INGENIERÍA"/>
    <x v="6"/>
    <m/>
    <x v="60"/>
    <m/>
    <m/>
    <s v="martes"/>
    <m/>
    <m/>
    <m/>
    <m/>
    <m/>
    <m/>
    <m/>
    <m/>
    <s v="OUTSOURCING"/>
    <s v="Tercero"/>
    <s v="En circunstancias que colaboradores de la empresa CJ movilizaban una transpaleta manual con 25 bolsas de cemento (aprox. 1Tn), al estar pasando por la zona acondicionada para el pesado de PT de aerosoles, personal de CONSUTING se cruza sobre el camino de este, generando que en la pendiente colaborador de CJ pierda el control de la transpaleta ocasionando que choque con un pallets vacío y este a su vez golpee el tobillo del pie izquierdo del colaborador de CONSULTING que se encontraba parado en dicha zona. "/>
    <s v="Contusión en pie"/>
    <n v="4"/>
    <s v="Transpaleta manual"/>
    <m/>
    <s v="Evaluación inadecuada del riesgo"/>
    <s v="CONDICIÓN INSEGURA"/>
    <s v="T4"/>
    <m/>
  </r>
  <r>
    <m/>
    <s v="MASTERBREAD"/>
    <s v="SUPPLY CHAIN"/>
    <s v="MANUFACTURA"/>
    <s v="FARINACEOS"/>
    <x v="17"/>
    <m/>
    <x v="61"/>
    <m/>
    <m/>
    <s v="jueves"/>
    <m/>
    <m/>
    <m/>
    <m/>
    <m/>
    <m/>
    <m/>
    <m/>
    <s v="LIMPIEK"/>
    <s v="Tercero - Limpieza"/>
    <s v="Siendo las 20:50 h, operaria de limpieza de la empresa Limpie se encontraba en el área de Extruido – Indirecto 1, realizando la limpieza del techo del primer nivel utilizando una solución de detergente industrial Skill Cleaner 3009 diluido en agua. Mientras frotaba la superficie, una salpicadura de la mezcla cayó sobre la frente y descendió hacia el ojo izquierdo. La trabajadora portaba lentes de seguridad para proyección de partículas, los cuales no brindan protección contra salpicaduras químicas. Se deriva a centro de salud para su atención."/>
    <s v="Hiperemia de conjuntiva ocular"/>
    <n v="4"/>
    <s v="Contacto con producto químico"/>
    <m/>
    <s v="Evaluación inadecuada del riesgo"/>
    <s v="CONDICIÓN INSEGURA"/>
    <s v="T4"/>
    <m/>
  </r>
  <r>
    <m/>
    <s v="ALICORP_SAA"/>
    <s v="SUPPLY CHAIN"/>
    <s v="MANUFACTURA"/>
    <s v="FARINACEOS"/>
    <x v="3"/>
    <m/>
    <x v="62"/>
    <m/>
    <m/>
    <s v="martes"/>
    <m/>
    <m/>
    <m/>
    <m/>
    <m/>
    <m/>
    <m/>
    <m/>
    <s v="ALICORP S.A.A"/>
    <s v="PROPIO"/>
    <s v="Aproximadamente a las 08:45 horas, durante las actividades de cambio de formato en la Línea 2, una aprendiz sufrió el aplastamiento de su dedo medio de la mano derecha con los dados de teflón de la mesa de acomodo. El accidente ocurrió cuando un compañero, ubicado en el lado opuesto, empujó los dados y varillas mientras ella reposaba su mano en la zona._x000a_De inmediato, la colaboradora fue trasladada al tópico y posterior a Clínica. El diagnóstico fue una  fractura en el dedo medio de mano derecha"/>
    <m/>
    <n v="17"/>
    <m/>
    <m/>
    <m/>
    <m/>
    <s v="T4"/>
    <m/>
  </r>
  <r>
    <m/>
    <s v="INTRADEVCO_INDUSTRIAL_SA"/>
    <s v="SUPPLY CHAIN"/>
    <s v="MANUFACTURA"/>
    <s v="HOME Y PERSONAL CARE"/>
    <x v="6"/>
    <m/>
    <x v="63"/>
    <m/>
    <m/>
    <s v="miércoles"/>
    <m/>
    <m/>
    <m/>
    <m/>
    <m/>
    <m/>
    <m/>
    <m/>
    <s v="OUTSOURCING"/>
    <s v="Tercero"/>
    <s v="Los colaboradores del área se encontraban realizando labores de recuperación de frascos producto de una prueba de desarrollo con un mal sellado de las tapas; el colaborador en cuclillas recogía las tapas observadas del suelo, uno de sus compañeros levanta una caja con frascos sin tapas, que se encontraban sobre un pallet, y esta cede de su base lo cual provoca la caía de los frascos al suelo generando salpicadura del producto al colaborador alcanzando la parte lateral del cuerpo no cubierta por el mandil, mojandole le polo y transfiriendose a la piel. Se brindan los primeros auxilios con ducha prolongada, posterior a ello es evaluado en topico y trasladado a la clínica donde se le otorga tratamiento y descanso por 5 días."/>
    <m/>
    <n v="6"/>
    <m/>
    <m/>
    <m/>
    <m/>
    <s v="T4"/>
    <m/>
  </r>
  <r>
    <m/>
    <s v="INTRADEVCO_INDUSTRIAL_SA"/>
    <s v="SUPPLY CHAIN"/>
    <s v="MANUFACTURA"/>
    <s v="HOME Y PERSONAL CARE"/>
    <x v="12"/>
    <m/>
    <x v="64"/>
    <m/>
    <m/>
    <s v="jueves"/>
    <m/>
    <m/>
    <m/>
    <m/>
    <m/>
    <m/>
    <m/>
    <m/>
    <m/>
    <s v="PROPIO"/>
    <s v="Los colaboradores del área se encontraban realizando labores de recuperación de frascos producto de una prueba de desarrollo con un mal sellado de las tapas; el colaborador en cuclillas recogía las tapas observadas del suelo, uno de sus compañeros levanta una caja con frascos sin tapas, que se encontraban sobre un pallet, y esta cede de su base lo cual provoca la caía de los frascos al suelo generando salpicadura del producto al colaborador alcanzando la parte lateral del cuerpo no cubierta por el mandil, mojandole le polo y transfiriendose a la piel. Se brindan los primeros auxilios con ducha prolongada, posterior a ello es evaluado en topico y trasladado a la clínica donde se le otorga tratamiento y descanso por 5 días."/>
    <m/>
    <n v="4"/>
    <m/>
    <m/>
    <m/>
    <m/>
    <s v="T4"/>
    <m/>
  </r>
  <r>
    <m/>
    <s v="INDUSTRIAS DEL ESPINO_SA"/>
    <s v="SUPPLY CHAIN"/>
    <s v="MANUFACTURA"/>
    <s v="OLEOS"/>
    <x v="28"/>
    <s v="REFINERIA PALMAWASI"/>
    <x v="65"/>
    <d v="1899-12-30T11:20:00"/>
    <s v="Turno 1"/>
    <s v="miércoles"/>
    <s v="CHUQUIYURI CRISOSTOMO"/>
    <s v=" SILVANA LUZ"/>
    <n v="73304218"/>
    <n v="30"/>
    <n v="84"/>
    <n v="7"/>
    <m/>
    <s v="PRODUCCIÓN"/>
    <s v="INDUSTRIAS DEL ESPINO_SA"/>
    <s v="PROPIO"/>
    <s v="La operaria se encontraba saliendo de la cabina de Grasas Especiales, iniciaba descenso por escaleras, portaba en la mano derecha su laptop y celular y procedió a bajar las escaleras con dirección al 1er nivel, sosteniéndose con su única mano libre, resbala en escalón y cae golpeándose muslo derecho, generándole una contusión. Da aviso inmediato a Prevencionista de turno, se activa el traslado a Posta para la evaluación. No hubo indicación por parte del equipo de Salud Ocupacional para atención adicional ni otra indicación. Sin embargo, a solicitud de afectada se dio tratamiento con médico externo."/>
    <s v="Contusión de pierna"/>
    <n v="16"/>
    <s v="Escalera"/>
    <s v="Motivación incorrecta / Intento incorrecto de ahorrar tiempo o esfuerzo"/>
    <s v="Motivación inadecuada / Intento inapropiado de ahorrar tiempo y esfuerzo"/>
    <s v="ACTO INSEGURO"/>
    <s v="T1"/>
    <m/>
  </r>
  <r>
    <s v="PCO26786"/>
    <s v="ALICORP_SAA"/>
    <s v="SUPPLY CHAIN"/>
    <s v="MANUFACTURA"/>
    <s v="OLEOS"/>
    <x v="29"/>
    <s v="MARGARINAS &amp; MANTECAS"/>
    <x v="66"/>
    <d v="1899-12-30T13:30:00"/>
    <s v="Turno 1"/>
    <s v="viernes"/>
    <s v="Chumbe Silva"/>
    <s v="Jonathan "/>
    <n v="45038698"/>
    <n v="38"/>
    <n v="4"/>
    <n v="0"/>
    <m/>
    <s v="MANTENIMIENTO"/>
    <s v="ALICORP S.A.A"/>
    <s v="PROPIO"/>
    <s v="El colaborador, junto con su compañero, se encontraba realizando el trabajo de drenado de aceite del enfriador del compresor de NH3. Uno de los colaboradores sostenía la manguera dentro del bidón con agua y el otro colaborador aperturaba la válvula. Culminan el drenado en el lado de aceite y luego, durante el drenado en el lado de NH3, la manguera sale del bidón y genera una salpicadura de NH3 a los colaboradores, alcanzando en la parte del tronco al colaborador que regulaba la válvula y en la zona del abdomen al colaborador que sostenía la manguera, mojándoles el polo y transfiriéndose el NH3 a la piel. "/>
    <s v="Quemadura de 2do grado"/>
    <n v="32"/>
    <s v="Amoniaco"/>
    <s v="Estándares de Trabajo Inadecuados/ Desarrollo inadecuado de estándares"/>
    <s v="Evaluación inadecuada del riesgo"/>
    <s v="CONDICIÓN INSEGURA"/>
    <s v="T1"/>
    <m/>
  </r>
  <r>
    <s v="MCA26860"/>
    <s v="MASTERBREAD"/>
    <s v="SUPPLY CHAIN"/>
    <s v="MANUFACTURA"/>
    <s v="FARINACEOS"/>
    <x v="30"/>
    <s v="ÑAÑA"/>
    <x v="67"/>
    <d v="1899-12-30T03:30:00"/>
    <s v="Turno 1"/>
    <s v="viernes"/>
    <s v="Yamunaque"/>
    <s v="Manuel "/>
    <n v="75539617"/>
    <n v="28"/>
    <n v="24"/>
    <n v="2"/>
    <m/>
    <s v="PRODUCCIÓN"/>
    <s v="LIMPIE"/>
    <s v="Tercero - Limpieza"/>
    <s v="Siendo aproximadamente las 03:30 a. m., una operaria de la empresa Limpie se encontraba realizando labores de limpieza en el área de empacado. Posteriormente, se dirigió hacia el área de laboratorio, para lo cual debía abrir una puerta de acceso. Al momento de ingresar, la puerta se cerró de manera brusca debido a una diferencia de presión entre ambos ambientes. En un intento por evitar el golpe de la puerta, la trabajadora colocó su mano derecha en el marco, produciéndose una contusión en el dedo medio. Luego del evento, la trabajadora fue trasladada a una clínica, donde fue diagnosticada con contusión del dedo medio."/>
    <s v="Contusión dedo medio Mano derecha"/>
    <n v="24"/>
    <s v="Máquina cocedora"/>
    <s v="Ingeniería Inadecuada / Estándares, especificaciones y /o criterios de diseño_x000a_inadecuados"/>
    <s v="Motivación inadecuada /Falta de concentración y ojos no en la tarea"/>
    <s v="ACTO INSEGURO"/>
    <s v="T1"/>
    <m/>
  </r>
  <r>
    <s v="GÑA26851"/>
    <s v="ALICORP_SAA"/>
    <s v="SUPPLY CHAIN"/>
    <s v="MANUFACTURA"/>
    <s v="MOLINOS"/>
    <x v="9"/>
    <s v="MCA"/>
    <x v="68"/>
    <d v="1899-12-30T12:40:00"/>
    <s v="Turno 1"/>
    <s v="lunes"/>
    <s v="ROMERO CHOCA"/>
    <s v="MARISOL YANETH"/>
    <n v="47380476"/>
    <n v="38"/>
    <n v="12"/>
    <n v="1"/>
    <m/>
    <s v="PRODUCCIÓN"/>
    <s v="ALICORP S.A.A"/>
    <s v="PROPIO"/>
    <s v="Durante el turno de embolsado de salvado de 20 kg, aproximadamente a las 12:40 a.m., un trabajador se encontraba realizando labores de cosido de sacos en el área de Salvado._x000a_Al momento de sacudir y doblar el saco para colocarlo en la cosedora, uno de los extremos del saco se rompió inesperadamente, provocando que el trabajador pierda estabilidad en el movimiento y que su mano impacte contra una parte de la máquina cosedora, generándose un golpe en la mano izquierda._x000a_De inmediato se procedió a activar el protocolo de atención con la central de emergencia, solicitando la presencia de la ambulancia para evaluar al colaborador._x000a_El evento está en proceso de investigación para determinar las causas y tomar las acciones correctivas."/>
    <s v="Golpe mano"/>
    <n v="7"/>
    <s v="Maquina cosedora"/>
    <s v="Compras Inadecuadas / Especificaciones inadecuadas en las requisiciones"/>
    <s v="Diseño inadecuado"/>
    <s v=" Condición Insegura"/>
    <s v="T1"/>
    <m/>
  </r>
  <r>
    <s v="ALI27101"/>
    <s v="ALICORP_SAA"/>
    <s v="SUPPLY CHAIN"/>
    <s v="OTRAS DIRECCIONES"/>
    <s v="LIMPIEZA Y VIGILANCIA"/>
    <x v="31"/>
    <s v="OTROS"/>
    <x v="69"/>
    <d v="1899-12-30T02:35:00"/>
    <s v="Turno 1"/>
    <s v="miércoles"/>
    <s v="LEGUA BARRIOS "/>
    <s v="MARITZA JANETH"/>
    <n v="40458995"/>
    <n v="47"/>
    <n v="72"/>
    <n v="6"/>
    <m/>
    <s v="PRODUCCIÓN"/>
    <s v="CLEANED"/>
    <s v="Tercero - Limpieza"/>
    <s v="Aproximadamente a las 11:45 am, una colaboradora de la empresa Alteliza se encontraba realizando la limpieza de la base de las sombrillas, al momento de levantarse se golpea la cabeza con la cobertura rectangular del cable de acero de las sombrillas. Inmediatamente se retira de la zona hacia tópico, para posteriormente ser derivado a la clínica para recibir atención especializada._x000a_El evento se encuentra en investigación."/>
    <s v="Golpeado contra"/>
    <n v="8"/>
    <s v="Caja reculadora de sombrilla"/>
    <s v="Ingeniería Inadecuada / Estándares, especificaciones y /o criterios de diseño_x000a_inadecuados"/>
    <s v="Mala técnica de ejecución"/>
    <s v="CONDICIÓN INSEGURA"/>
    <s v="T1"/>
    <m/>
  </r>
  <r>
    <s v="GÑA26880"/>
    <s v="MASTERBREAD"/>
    <s v="SUPPLY CHAIN"/>
    <s v="MANUFACTURA"/>
    <s v="FARINACEOS"/>
    <x v="30"/>
    <s v="ÑAÑA"/>
    <x v="70"/>
    <d v="1899-12-30T08:40:00"/>
    <s v="Turno 2"/>
    <s v="lunes"/>
    <s v="Rutti Condor "/>
    <s v="Nilton"/>
    <s v="42130387"/>
    <n v="41"/>
    <n v="108"/>
    <n v="9"/>
    <m/>
    <s v="PRODUCCIÓN"/>
    <s v="Masterbread"/>
    <s v="PROPIO"/>
    <s v="Siendo las 08:40 horas, el operario se dirigió a realizar el retiro de la compuerta del tambor rociador utilizando una escalera tipo avión. Dicha escalera cuenta con un diseño especial de uso exclusivo para el horno secador, debido a que presenta un último peldaño tipo voladizo que solo es estable cuando se ancla a dicha estructura._x000a_El trabajador trasladó la escalera a una zona distinta al horno, debido a la falta de disponibilidad de otras escaleras. Durante el ascenso, al pisar el último peldaño, la escalera perdió estabilidad y se volcó, ocasionando la caída del trabajador, quien presentó contusión en la rodilla."/>
    <s v="Contusión en la rodilla"/>
    <n v="1"/>
    <s v="Escalera "/>
    <s v="Herramientas y Equipo Inadecuados /Evaluación inadecuada de necesidades y riesgos"/>
    <s v="Diseño inadecuado"/>
    <s v=" Acto Inseguro"/>
    <s v="T1"/>
    <m/>
  </r>
  <r>
    <s v="ILU26888"/>
    <s v="INTRADEVCO_INDUSTRIAL_SA"/>
    <s v="SUPPLY CHAIN"/>
    <s v="MANUFACTURA"/>
    <s v="HOME Y PERSONAL CARE"/>
    <x v="7"/>
    <s v="LURÍN 4"/>
    <x v="71"/>
    <d v="1899-12-30T01:30:00"/>
    <s v="Turno 1"/>
    <s v="miércoles"/>
    <s v="MAYURI BOTERIN "/>
    <s v="JORGE ERNESTO"/>
    <s v="45072642"/>
    <n v="42"/>
    <n v="156"/>
    <n v="13"/>
    <m/>
    <s v="PRODUCCIÓN"/>
    <s v="INDUSTRIAS DEL ESPINO_SA"/>
    <s v="PROPIO"/>
    <s v="Aproximadamente a las 01:30 horas, un colaborador del área de manufactura – zona de coches se encontraba realizando la actividad de traslado de coches vacíos. Durante esta labor, al juntar los coches vacíos para su traslado, el colaborador atrapó el dedo pulgar derecho entre estructuras del coche, ocasionándole un golpe. "/>
    <s v="Contusión de dedo"/>
    <n v="6"/>
    <s v="coche"/>
    <s v="Liderazgo o Supervisión Inadecuados/  Dar política, procedimiento, prácticas o pautas_x000a_inadecuadas"/>
    <s v="Mala técnica de ejecución"/>
    <s v=" Acto Inseguro"/>
    <s v="T1"/>
    <m/>
  </r>
  <r>
    <s v="SID26927"/>
    <s v="ALICORP_SAA"/>
    <s v="SUPPLY CHAIN"/>
    <s v="MANUFACTURA"/>
    <s v="MOLINOS"/>
    <x v="20"/>
    <s v="SIDSUR"/>
    <x v="72"/>
    <d v="1899-12-30T11:40:00"/>
    <s v="Turno 1"/>
    <s v="sábado"/>
    <s v="JARA QUISPE "/>
    <s v="ELVIS "/>
    <s v="29710743"/>
    <n v="49"/>
    <n v="276"/>
    <n v="23"/>
    <m/>
    <s v="PRODUCCIÓN"/>
    <s v="ALICORP S.A.A"/>
    <s v="PROPIO"/>
    <s v="Alrededor de las 11:40 a.m., durante el cambio de bobina en la máquina BOSCH N.° 2, el maquinista utilizó una escalera portátil de tres peldaños colocada en posición lateral para acceder al portabobina. Al finalizar la tarea, inició el descenso realizando el movimiento como si la escalera estuviera en posición frontal, produciéndose una pisada en vacío, pérdida de equilibrio y caída, golpeándose los gluteos . "/>
    <s v="Contusión"/>
    <n v="64"/>
    <s v="Escalera"/>
    <s v="Falta de Habilidad_x000a_/ Instrucción inicial inadecuada"/>
    <s v="Diseño inadecuado"/>
    <s v=" Acto Inseguro"/>
    <s v="T1"/>
    <m/>
  </r>
  <r>
    <s v="ILU27126"/>
    <s v="INTRADEVCO_INDUSTRIAL_SA"/>
    <s v="SUPPLY CHAIN"/>
    <s v="OTRAS DIRECCIONES"/>
    <s v="HOME Y PERSONAL CARE"/>
    <x v="7"/>
    <s v="OTROS"/>
    <x v="73"/>
    <d v="1899-12-30T09:00:00"/>
    <s v="Turno 1"/>
    <s v="martes"/>
    <s v="ACOSTA PEREZ "/>
    <s v="MILAGROS MALBELIS"/>
    <n v="7262551"/>
    <n v="47"/>
    <n v="36"/>
    <n v="3"/>
    <m/>
    <s v="TERCERO"/>
    <s v="CLEANED"/>
    <s v="Tercero - Limpieza"/>
    <s v="El día 10/02 una colaboradora de la empresa CLEANED se encontraba realizando labores de limpieza en los servicios higiénicos cuando aplicó detergente y lejía sobre superficies donde previamente se había utilizado un producto desincrustante (quita sarro). La interacción de estos productos habría generado vapores irritantes, ocasionando una exposición por inhalación. Posteriormente, la colaboradora presentó síntomas compatibles con irritación respiratoria, manifestando mareos al finalizar la jornada, situación que fue comunicada a su supervisión. No obstante, continuó desarrollando sus actividades en los días siguientes.​_x000a__x000a_El 25/02/2026, ante la persistencia del malestar, la colaboradora acudió al tópico de planta detergente, donde refirió síntomas asociados al episodio de exposición química previo. Debido a su condición de salud se gestionó su traslado a un centro médico para evaluación especializada conforme a los protocolos establecidos."/>
    <s v="Exposición a Productos Químicos"/>
    <n v="6"/>
    <s v="Sustancia quimica"/>
    <s v="Falta de Conocimientos_x000a_/ Falta de experiencia"/>
    <s v="Mala técnica de ejecución"/>
    <s v="ACTO INSEGURO"/>
    <s v="T1"/>
    <m/>
  </r>
  <r>
    <s v="PCO27017"/>
    <s v="ALICORP_SAA"/>
    <s v="SUPPLY CHAIN"/>
    <s v="MANUFACTURA"/>
    <s v="OLEOS"/>
    <x v="5"/>
    <s v="SALSAS"/>
    <x v="74"/>
    <d v="1899-12-30T22:30:00"/>
    <s v="Turno 2"/>
    <s v="lunes"/>
    <s v="rojas"/>
    <s v="Orlando"/>
    <s v="25690145"/>
    <n v="56"/>
    <n v="276"/>
    <n v="23"/>
    <m/>
    <s v="TERCERO"/>
    <s v="PROLABORA"/>
    <s v="Service"/>
    <s v="El colaborador de la empresa Prolabora se encontraba trasladando insumos desde el elevador de carga hacia la cámara de frío, utilizando una stoka._x000a_Durante la ejecución de la tarea, intentó retirar con la stoka un palet que contenía cajas de vegetales, el cual se encontraba sobreapilada y en condición inestable. Al aplicar fuerza adicional para retirar los insumos, perdió estabilidad y resbaló, golpeándose el pie derecho con la stoka."/>
    <s v="Contusión de pie"/>
    <n v="7"/>
    <s v="Piso mojado"/>
    <s v="Estándares de Trabajo Inadecuados/ Desarrollo inadecuado de estándares "/>
    <s v="Mala técnica de ejecución"/>
    <m/>
    <s v="T1"/>
    <m/>
  </r>
  <r>
    <s v="GÑA27110"/>
    <s v="MASTERBREAD"/>
    <s v="SUPPLY CHAIN"/>
    <s v="MANUFACTURA"/>
    <s v="FARINACEOS"/>
    <x v="30"/>
    <s v="ÑAÑA"/>
    <x v="75"/>
    <d v="1899-12-30T16:40:00"/>
    <s v="Turno 2"/>
    <s v="lunes"/>
    <s v=" Lancha Chota"/>
    <s v="Max"/>
    <s v="47232429"/>
    <n v="34"/>
    <n v="120"/>
    <n v="10"/>
    <m/>
    <s v="PRODUCCIÓN"/>
    <s v="Masterbread"/>
    <s v="PROPIO"/>
    <s v="Siendo las 4:40pm ,operario realizaba limpieza de zaranda utilizando una manguera conectada a la línea principal de aire comprimido del proceso productivo, la cual operaba a aproximadamente 6 bar (≈87 psi)._x000a_La limpieza se realizaba sin el uso de pistola reguladora de presión y mientras direccionaba el aire hacia una llanta plástica del equipo, el componente se fragmentó debido a la sobrepresión aplicada. _x000a_Un fragmento impactó en su mano, generando contusión en los dedos índice y medio y un corte superficial."/>
    <s v="Contusión en dedos "/>
    <n v="5"/>
    <s v="Rueda de zaranda"/>
    <s v="Motivación Incorrecta / Frustración excesiva"/>
    <s v="Falta de estándar"/>
    <s v="ACTO INSEGURO"/>
    <s v="T1"/>
    <m/>
  </r>
  <r>
    <s v="PGL27014"/>
    <s v="ALICORP_SAA"/>
    <s v="SUPPLY CHAIN"/>
    <s v="MANUFACTURA"/>
    <s v="FARINACEOS"/>
    <x v="3"/>
    <s v="GALLETERÍA E INSTANTANEOS"/>
    <x v="76"/>
    <d v="1899-12-30T20:25:00"/>
    <s v="Turno 2"/>
    <s v="viernes"/>
    <s v="RAMOS PEREZ"/>
    <s v="SHARON"/>
    <n v="72559393"/>
    <n v="21"/>
    <n v="24"/>
    <n v="2"/>
    <m/>
    <s v="TERCERO"/>
    <s v="PROLABORA"/>
    <s v="Service"/>
    <s v="Aproximadamente a las 20:25 horas del viernes 27 de febrero, una operadora tercera sufrió un golpe en el quinto dedo de la mano izquierda durante el traslado de la fila de galletas hacia la bandeja por contacto con el magazín metálico de máquina envasadora D2 de Línea 4"/>
    <s v="Golpe de dedo izquierdo"/>
    <n v="2"/>
    <s v="MAGAZIN D2"/>
    <s v="Ingeniería Inadecuada /  Control inadecuado de la construcción"/>
    <s v="Mala técnica de ejecución"/>
    <s v="CONDICIÓN INSEGURA"/>
    <s v="T1"/>
    <m/>
  </r>
  <r>
    <s v="ILU27116"/>
    <s v="INTRADEVCO_INDUSTRIAL_SA"/>
    <s v="SUPPLY CHAIN"/>
    <s v="MANUFACTURA"/>
    <s v="HOME Y PERSONAL CARE"/>
    <x v="23"/>
    <s v="LURÍN 2"/>
    <x v="77"/>
    <d v="1899-12-30T08:30:00"/>
    <s v="Turno 1"/>
    <s v="sábado"/>
    <s v="PEÑALOZA VARGAS"/>
    <s v="MAYRA"/>
    <n v="74806353"/>
    <n v="27"/>
    <n v="1"/>
    <n v="0"/>
    <m/>
    <s v="TERCERO"/>
    <s v="OUTSOURCING"/>
    <s v="Service"/>
    <s v="La colaboradora se encontraba en capacitación para el puesto de control documentario, estaba observando el llenado de algunos registros y decide trasladar una silla hacia el punto de entrenamiento para sentarse; levanta la silla de manera horizontal y en el traslado se le resbala de la mano derecha, ella intenta sujetarla en el aire y en ese momento su dedo anular se engancha en el reposapiés provocándole un dolor intenso.​_x000a__x000a_​_x000a__x000a_Nota: No reporta el evento inmediatamente, sin embargo, al pasar 5 min sufre una descompensación ajena al evento"/>
    <s v="Fractura oblicua"/>
    <n v="32"/>
    <s v="REPOSAPIES GIRATORIO DE LA SILLA"/>
    <s v="Falta de Habilidad /  Instrucción inicial inadecuada"/>
    <s v="Mala técnica de ejecución"/>
    <s v=" Acto Inseguro"/>
    <s v="T1"/>
    <m/>
  </r>
  <r>
    <s v="PGL27052"/>
    <s v="ALICORP_SAA"/>
    <s v="SUPPLY CHAIN"/>
    <s v="MANUFACTURA"/>
    <s v="FARINACEOS"/>
    <x v="3"/>
    <s v="GALLETERÍA E INSTANTANEOS"/>
    <x v="78"/>
    <d v="1899-12-30T20:00:00"/>
    <s v="Turno 2"/>
    <s v="jueves"/>
    <s v="SANTAMARIA FOLCH"/>
    <s v="BRYAN CALEB"/>
    <s v="74395221"/>
    <n v="28"/>
    <n v="12"/>
    <n v="1"/>
    <m/>
    <s v="PRODUCCIÓN"/>
    <s v="ALICORP S.A.A"/>
    <s v="PROPIO"/>
    <s v="Aproximadamente a las 20:00 horas, un operador transitaba por el sendero peatonal del estacionamiento cuando tropezó con un desnivel entre las juntas de concreto. El operador indica que, para evitar caer al suelo, se apoyó con su pierna izquierda, lo que le ocasionó malestar en la rodilla izquierda al caminar."/>
    <s v="Esguince en rodilla izquierda"/>
    <n v="18"/>
    <s v="Desnivel en piso"/>
    <s v="Ingeniería Inadecuada / Estándares, especificaciones y /o criterios de diseño_x000a_inadecuados"/>
    <s v="Diseño inadecuado"/>
    <s v="CONDICIÓN INSEGURA"/>
    <s v="T1"/>
    <m/>
  </r>
  <r>
    <s v="ILU27317"/>
    <s v="INTRADEVCO_INDUSTRIAL_SA"/>
    <s v="SUPPLY CHAIN"/>
    <s v="MANUFACTURA"/>
    <s v="HOME Y PERSONAL CARE"/>
    <x v="7"/>
    <s v="LURÍN 4"/>
    <x v="79"/>
    <d v="1899-12-30T15:30:00"/>
    <s v="Turno 2"/>
    <s v="viernes"/>
    <s v="ROCA VALVERDE"/>
    <s v="MIGUEL "/>
    <s v="06884720"/>
    <n v="61"/>
    <n v="312"/>
    <n v="26"/>
    <m/>
    <s v="MANTENIMIENTO"/>
    <s v="INDUSTRIAS DEL ESPINO_SA"/>
    <s v="PROPIO"/>
    <s v="Aproximadamente a las 03:30 h del viernes 13, un colaborador del área de mantenimiento realizaba la intervención de una bomba de soda cáustica debido a una falla (trabamiento del impulsor). La actividad consistía en desmontar la bomba para identificar el problema y realizar la corrección. Antes de iniciar la intervención se elaboró un ATS y permiso de trabajo en frio (sustancias químicas), sin embargo en el permiso no se consideró el uso de botas adecuada para la ejecución de la actividad (calzado resistente a químicos). Durante las pruebas de la bomba post intervención, el colaborador afectado sufrió un contacto de soda que se filtró por la parte superior del calzado de seguridad (botín) teniendo contacto con el dorso de su pie izquierdo. El colaborador no evaluó la severidad del hecho, y no reporto en el momento lo ocurrido. El trabajador acude a laborar de manera normal al día siguiente (viernes 2do turno) sin comentar lo ocurrido. El día sábado a las 11:40am da aviso a su jefatura de lo ocurrido y de la atencion de salud que había recibido."/>
    <s v="Quemadura química"/>
    <n v="16"/>
    <s v="Sustancia quimica"/>
    <s v="Estándares de Trabajo Inadecuados / Desarrollo inadecuado de estándares"/>
    <s v="Evaluación inadecuada del riesgo"/>
    <s v="CONDICIÓN INSEGURA"/>
    <s v="T1"/>
    <m/>
  </r>
  <r>
    <s v="PFL27197"/>
    <s v="ALICORP_SAA"/>
    <s v="SUPPLY CHAIN"/>
    <s v="MANUFACTURA"/>
    <s v="FARINACEOS"/>
    <x v="0"/>
    <s v="FIDERÍA "/>
    <x v="80"/>
    <d v="1899-12-30T09:29:00"/>
    <s v="Turno 1"/>
    <s v="domingo"/>
    <s v="Arellano Velarde"/>
    <s v="Hebert"/>
    <s v="41478657"/>
    <n v="43"/>
    <n v="144"/>
    <n v="12"/>
    <n v="2"/>
    <s v="MANTENIMIENTO"/>
    <s v="ALICORP S.A.A"/>
    <s v="PROPIO"/>
    <s v="El colaborador se encontraba realizando verificación de los equipos de inyección de aire ubicados en la azotea a solicitud de producción_x000a_(Piso 3 – Zona de Rotostares) . Al momento de bajar por la escalera para regresar a planta, pisa una zona en desnivel, generando una torcedura del tobillo derecho. El colaborador acude al tópico para atención. Al día siguiente acude al tópico para su revisión. Posterior a ello se realiza la derivación a clínica siendo el diagnostico esguince de tobillo derecho."/>
    <s v="Esguince en tobillo"/>
    <n v="53"/>
    <s v="Desnivel en piso"/>
    <s v="Ingeniería Inadecuada /  Estándares, especificaciones y /o criterios de diseño_x000a_inadecuados"/>
    <s v="Diseño inadecuado"/>
    <s v="CONDICIÓN INSEGURA"/>
    <s v="T1"/>
    <m/>
  </r>
  <r>
    <s v="MFA27240"/>
    <s v="ALICORP_SAA"/>
    <s v="SUPPLY CHAIN"/>
    <s v="MANUFACTURA"/>
    <s v="MOLINOS"/>
    <x v="25"/>
    <s v="MOLINO FAUCETT"/>
    <x v="81"/>
    <d v="1899-12-30T09:05:00"/>
    <s v="Turno 1"/>
    <s v="lunes"/>
    <s v="Lopez Maldonado"/>
    <s v="Jorge Antonio"/>
    <n v="25732404"/>
    <n v="59"/>
    <n v="276"/>
    <n v="23"/>
    <m/>
    <s v="PRODUCCIÓN"/>
    <s v="ALICORP S.A.A"/>
    <s v="PROPIO"/>
    <s v="Siendo las 09:05 am aproximadamente, el trabajador se encontraba bajando desde la oficina del Coordinador de Envasado cuando, al descender por las escaleras internas del edificio de Envasado, resbaló en el tercer peldaño (entre el piso 1 y piso 2) y sufrió una torcedura en el pie izquierdo."/>
    <s v="Esguince en pie izquierdo"/>
    <n v="58"/>
    <s v="Escalero de acceso"/>
    <s v="Ingeniería Inadecuada /  Estándares, especificaciones y /o criterios de diseño_x000a_inadecuados"/>
    <s v="Motivación inadecuada /Falta de concentración y ojos no en la tarea"/>
    <s v="CONDICIÓN INSEGURA"/>
    <s v="T1"/>
    <m/>
  </r>
  <r>
    <s v="DIS27200"/>
    <s v="ALICORP_SAA"/>
    <s v="SUPPLY CHAIN"/>
    <s v="LOGÍSTICA"/>
    <s v="ALICORP SOLUCIONES"/>
    <x v="9"/>
    <s v="APT MCA"/>
    <x v="82"/>
    <d v="1899-12-30T14:22:00"/>
    <s v="Turno 2"/>
    <s v="lunes"/>
    <s v="MONZON MANUYAMA"/>
    <s v="SANDER YAMIR"/>
    <n v="74785444"/>
    <n v="22"/>
    <n v="252"/>
    <n v="21"/>
    <m/>
    <s v="TERCERO"/>
    <s v="LÍNEA VERTICAL"/>
    <s v="Tercero"/>
    <s v="Aproximadamente a las 14.22 p.m, el colaborador de Línea Vertical con 1 año 09 Meses laborando y 5 años de experiencia como técnico_x000a_vertical; se encontraba realizando labores de limpieza (barrido) en la cubierta del almacén C, cuando se bloqueó el sistema anticaída (ASAP)_x000a_del trabajador. Al detenerse para desbloquear el sistema, permaneció próximo a la zona de trabajo de su compañero, produciéndose el_x000a_impacto del extremo del mango de la escoba contra su ceja derecha. Fue evaluado por el personal médico de cardio móvil, posteriormente_x000a_fue dirigido a la clínica Providencia acompañado por el Supervisor de Soma de Línea Vertical y JT de turno."/>
    <s v="Corte/Herida en ceja"/>
    <n v="7"/>
    <s v="Mango extensor de escoba"/>
    <s v="Tensión Mental o Psicológica / Instrucciones exigencias confusas"/>
    <s v="Evaluación inadecuada del riesgo"/>
    <s v=" Acto Inseguro"/>
    <s v="T1"/>
    <m/>
  </r>
  <r>
    <s v="MCA27284"/>
    <s v="ALICORP_SAA"/>
    <s v="SUPPLY CHAIN"/>
    <s v="MANUFACTURA"/>
    <s v="MOLINOS"/>
    <x v="9"/>
    <s v="MCA"/>
    <x v="83"/>
    <d v="1899-12-30T16:30:00"/>
    <s v="Turno 2"/>
    <s v="martes"/>
    <s v="Sacha Quispe"/>
    <s v="Anderson"/>
    <s v="46957304"/>
    <n v="33"/>
    <n v="72"/>
    <n v="6"/>
    <m/>
    <s v="MANTENIMIENTO"/>
    <s v="ALICORP S.A.A"/>
    <s v="PROPIO"/>
    <s v="Aproximadamente a las 16:30 horas, el técnico se encontraba realizando el retiro de un rollo del caballete de tránsito, específicamente en el segundo nivel de la estructura. Durante la maniobra, observa que el rollo presenta un movimiento oscilante, por lo que procede a colocar la mano derecha con la intención de estabilizarlo. En ese instante, su dedo meñique queda atrapado y es presionado entre la estructura del caballete y el rollo, generándose la lesión. El trabajador comunica de inmediato lo sucedido a su jefatura, activándose el protocolo de atención de emergencias. Posteriormente, tras la evaluación realizada por el personal de Cardio Móvil, se determina su traslado a la Clínica San Gabriel para una atención especializada."/>
    <s v="Contusión en dedo"/>
    <n v="47"/>
    <s v="Rollo de molino"/>
    <s v="Motivación Incorrecta / El desempeño correcto es castigado"/>
    <s v="Diseño inadecuado"/>
    <s v="ACTO INSEGURO"/>
    <s v="T1"/>
    <m/>
  </r>
  <r>
    <m/>
    <s v="JABONERÍA WILSON"/>
    <s v="SUPPLY CHAIN"/>
    <s v="MANUFACTURA"/>
    <s v="HOME Y PERSONAL CARE"/>
    <x v="32"/>
    <s v="Calacalí"/>
    <x v="83"/>
    <d v="1899-12-30T10:00:00"/>
    <s v="Turno 1"/>
    <s v="martes"/>
    <s v="Laso Collaguazo"/>
    <s v="Luis Geovanny"/>
    <n v="1722542642"/>
    <m/>
    <n v="108"/>
    <n v="9"/>
    <m/>
    <s v="MANTENIMIENTO"/>
    <s v="JABONERÍA WILSON"/>
    <s v="PROPIO"/>
    <s v="El señor pertenece a la nómina de Jabonería Wilson y se desenvuelve en las actividades de trabajador de planta en la producción de polvo detergente. El mismo se encuentra cursando un carrera superior en la rama de electricidad y solicita una pasantía en el área de mantenimiento._x000a_• Talento Humano aprueba la pasantía considerando toda la parte legal correspondiente, para lo cual el señor Luis Laso decide aprovechar sus vacaciones para realizar estas actividades._x000a_• El días martes 24-03-2026 al momento de romper una amarra que sostenía unos cables eléctricos de un equipo que se encontraba en el área de mantenimiento, el señor se corta el 2do y 3er dedo (superficial) de la mano izquierda con un estilete."/>
    <s v="Corte/Herida en dedo"/>
    <n v="2"/>
    <s v="Cuchilla"/>
    <s v="Falta de Habilidad / Instrucción inicial inadecuada"/>
    <s v="Falta de entrenamiento "/>
    <s v="ACTO INSEGURO"/>
    <s v="T1"/>
    <m/>
  </r>
  <r>
    <s v="ILU27286"/>
    <s v="INTRADEVCO_INDUSTRIAL_SA"/>
    <s v="SUPPLY CHAIN"/>
    <s v="MANUFACTURA"/>
    <s v="HOME Y PERSONAL CARE"/>
    <x v="23"/>
    <s v="LURÍN 2"/>
    <x v="84"/>
    <d v="1899-12-30T13:45:00"/>
    <s v="Turno 1"/>
    <s v="viernes"/>
    <s v="GANOZA QUISPE"/>
    <s v="JORGE LUIS "/>
    <s v="45347066"/>
    <n v="37"/>
    <n v="120"/>
    <n v="10"/>
    <n v="6"/>
    <s v="PRODUCCIÓN"/>
    <s v="INDUSTRIAS DEL ESPINO_SA"/>
    <s v="PROPIO"/>
    <s v="Aproximadamente a la 1:45 pm el colaborador detecta que una de las boquillas de la maquina estaba obtruida y decide revisar y limpiar la tuberia de producto que ingresa a dicha boquilla; cierra la válvula de producto y retira el codo de ingreso de material y se dispone a limpiar; en ese momento la manguera que sujetaba la válvula se desprende de la tuberia y el producto que se encontraba en ella salpica al colaborador en la parte derecha del pecho y cuello._x000a_El colaborador se dirige a la ducha y posteriormente al tópico donde se revisa y deriva a la clinica donde le dieron 2 dias de descanso medico _x000a_"/>
    <s v="Exposición a Productos Químicos"/>
    <n v="1"/>
    <s v="Sustancia quimica"/>
    <s v="Ingeniería Inadecuada "/>
    <s v="Diseño inadecuado"/>
    <s v=" Condición Insegura"/>
    <s v="T2"/>
    <m/>
  </r>
  <r>
    <s v="PGL27349"/>
    <s v="ALICORP_SAA"/>
    <s v="SUPPLY CHAIN"/>
    <s v="MANUFACTURA"/>
    <s v="FARINACEOS"/>
    <x v="3"/>
    <s v="GALLETERÍA E INSTANTANEOS"/>
    <x v="85"/>
    <d v="1899-12-30T18:45:00"/>
    <s v="Turno 2"/>
    <s v="sábado"/>
    <s v="SAMAN CUENCA"/>
    <s v="RAUL"/>
    <s v="15397601"/>
    <n v="59"/>
    <n v="228"/>
    <n v="19"/>
    <m/>
    <s v="PRODUCCIÓN"/>
    <s v="ALICORP S.A.A"/>
    <s v="PROPIO"/>
    <s v="Siendo las 18:45 horas, un colaborador  regresaba al área de instantáneos luego de sus refrigerio, en eso él ve que la puerta de ingreso estaba elevada y decide pasar, sin embargo esta desciende de manera inesperada golpeando la cabeza del colaborador."/>
    <s v="Contusión en la cabeza "/>
    <n v="11"/>
    <s v="Puerta de ingreso elevable"/>
    <s v="Ingeniería Inadecuada "/>
    <s v="Diseño inadecuado"/>
    <s v=" Acto Inseguro"/>
    <s v="T2"/>
    <m/>
  </r>
  <r>
    <s v="DET27377"/>
    <s v="ALICORP_SAA"/>
    <s v="SUPPLY CHAIN"/>
    <s v="MANUFACTURA"/>
    <s v="HOME Y PERSONAL CARE"/>
    <x v="33"/>
    <s v="DETERGENTE CALLAO"/>
    <x v="86"/>
    <d v="1899-12-30T10:00:00"/>
    <s v="Turno 1"/>
    <s v="martes"/>
    <s v=" Artola"/>
    <s v="Alfredo"/>
    <s v="25708949"/>
    <n v="55"/>
    <n v="228"/>
    <n v="19"/>
    <m/>
    <s v="PRODUCCIÓN"/>
    <s v="ALICORP S.A.A"/>
    <s v="PROPIO"/>
    <s v="Durante un cambio de bobina de laminado Bolivar de aprox. 70 kilos en la maquina 1008. El operador de envasadora Masipack se dispone a bajar una bobina de la paleta para colocarlo en el coche elevador de bobinas y posteriormente colocarla en la envasadora.​_x000a__x000a_Para realizar la actividad de forma correcta: ​_x000a_- Se debe primero elevar la bobina usando el tecle con volteador. ​_x000a_- Estando suspendida, se activa el volteador para que este de forma horizontal el eje de la bobina. ​_x000a_- Se coloca en el coche elevador para ser trasladado a la parte posterior de la envasadora.​_x000a__x000a_El trabajador obvio el paso 1 y 2, queriendo voltear la bobina con sus manos y pasarlo al coche elevador. Durante esa maniobra, debido al peso de la bobina, se genera un deslizamiento perdiendo el control de la misma y atrapando su dedo contra otra bobina.​"/>
    <s v="Atrapamiento y contusión en dedo de la mano"/>
    <n v="28"/>
    <s v="Bobina de laminado de aproximadamente 70 kg"/>
    <s v="Motivación Incorrecta"/>
    <s v="Intento incorrecto de ahorrar tiempo o esfuerzo"/>
    <s v=" Acto Inseguro"/>
    <s v="T2"/>
    <m/>
  </r>
  <r>
    <s v="ALI27418"/>
    <s v="ALICORP_SAA"/>
    <s v="ADMINISTRACIÓN"/>
    <s v="OTRAS DIRECCIONES"/>
    <s v="RELACIONES LABORALES"/>
    <x v="34"/>
    <s v="CENTRO DE DISTRIBUCION HUACHIPA"/>
    <x v="87"/>
    <d v="1899-12-30T08:30:00"/>
    <s v="Turno 1"/>
    <s v="miércoles"/>
    <s v="GALVEZ FREYRE "/>
    <s v="DYLAN PASCUAL"/>
    <n v="76602201"/>
    <m/>
    <n v="288"/>
    <n v="24"/>
    <m/>
    <s v="TERCERO"/>
    <s v="HASP SERVICE"/>
    <s v="Tercero-servicios de alimentación"/>
    <s v="Aprox. a las 08:30 a.m., durante las labores de habilitado en el área de cocina fría, colaborador sufre un corte en el dedo pulgar de la mano izquierda con el cuchillo mientras cortaba la lechuga."/>
    <s v="Corte en el dedo pulgar de la mano izquierda"/>
    <n v="5"/>
    <s v="Cuchillo de cocina"/>
    <s v="Falta de Habilidad / Procedimiento inadecuado"/>
    <s v="Mala técnica de ejecución"/>
    <s v=" Acto Inseguro"/>
    <s v="T2"/>
    <m/>
  </r>
  <r>
    <s v="ILU27379"/>
    <s v="INTRADEVCO_INDUSTRIAL_SA"/>
    <s v="SUPPLY CHAIN"/>
    <s v="MANUFACTURA"/>
    <s v="HOME Y PERSONAL CARE"/>
    <x v="7"/>
    <s v="LURÍN 4"/>
    <x v="87"/>
    <d v="1899-12-30T08:20:00"/>
    <s v="Turno 1"/>
    <s v="miércoles"/>
    <s v="MANIHUARI ANDRADE"/>
    <s v="VICTOR"/>
    <n v="43753618"/>
    <n v="42"/>
    <n v="84"/>
    <n v="7"/>
    <m/>
    <s v="TERCERO"/>
    <s v="Consulting Advisers"/>
    <s v="Service"/>
    <s v="Aproximadamente a las 8:20 am, el colaborador afectado se encontraba realizando la actividad de abastecimiento de producto en coches hacia la tolva de una de las envasadoras de detergente. Durante el abastecimiento, observó que la lona se encontraba mal posicionada en la tolva, por lo que se agachó para acomodarla. Una vez realizada la acción, el colaborador retiró los brazos de manera rápida, sin advertir la proximidad de la estructura del coche, impactando su codo izquierdo contra una parte de dicha estructura, lo que le ocasionó una contusión en la zona afectada.​_x000a__x000a_Continuó con sus labores; sin embargo, al cabo de unos minutos notó una ligera incomodidad y una protuberancia en la zona, por lo que dio aviso  inmediato. "/>
    <s v="Contusión en codo izquierdo"/>
    <n v="8"/>
    <s v="Estructura metálica del coche de abastecimiento"/>
    <s v="Ingeniería Inadecuada "/>
    <s v="Diseño inadecuado"/>
    <s v=" Acto Inseguro"/>
    <s v="T2"/>
    <m/>
  </r>
  <r>
    <s v="PGL27404"/>
    <s v="ALICORP_SAA"/>
    <s v="SUPPLY CHAIN"/>
    <s v="MANUFACTURA"/>
    <s v="FARINACEOS"/>
    <x v="3"/>
    <s v="GALLETERÍA E INSTANTANEOS"/>
    <x v="88"/>
    <d v="1899-12-30T05:20:00"/>
    <s v="Turno 3"/>
    <s v="jueves"/>
    <s v="Zaravia Taboada"/>
    <s v="José Antonio"/>
    <n v="21873119"/>
    <m/>
    <n v="276"/>
    <n v="23"/>
    <m/>
    <s v="PRODUCCIÓN"/>
    <s v="ALICORP S.A.A"/>
    <s v="PROPIO"/>
    <s v="Siendo las 05:20 a. m., el operador de mesa de acomodo de la Línea 2 se dispone a pasar por debajo de la estructura del brazo vibratorio, momento en el cual impacta su cabeza contra una esquina metálica de la estructura. Como consecuencia del golpe, el trabajador presenta una contusión."/>
    <s v="Contusión en la cabeza"/>
    <n v="9"/>
    <s v="Estructura metálica del brazo vibratorio"/>
    <s v="Ingeniería Inadecuada "/>
    <s v="Diseño inadecuado"/>
    <s v="ACTO INSEGURO"/>
    <s v="T2"/>
    <m/>
  </r>
  <r>
    <s v="PGL27446"/>
    <s v="ALICORP_SAA"/>
    <s v="SUPPLY CHAIN"/>
    <s v="MANUFACTURA"/>
    <s v="FARINACEOS"/>
    <x v="3"/>
    <s v="GALLETERÍA E INSTANTANEOS"/>
    <x v="89"/>
    <d v="1899-12-30T15:45:00"/>
    <s v="Turno 2"/>
    <s v="viernes"/>
    <s v="PEÑALOZA POMAZONCCO "/>
    <s v="CINTHIA DAYSI"/>
    <s v="42533647"/>
    <n v="41"/>
    <n v="36"/>
    <n v="3"/>
    <m/>
    <s v="PRODUCCIÓN"/>
    <s v="ALICORP S.A.A"/>
    <s v="PROPIO"/>
    <s v="A las 15:45 se envasaban los refrescos; un operador manipuló la escalera de avión y accidentalmente en el tránsito golpeó el ventilador de la zona que se encontraba encendido. _x000a_Este ventilador tenía polvillo acumulado y al ser golpeado, el polvillo se liberó y fue arrastrado por el aire llegando de esta manera a los ojos de la afectada generando irritación "/>
    <s v="Irritación ocular"/>
    <n v="7"/>
    <s v="Ventilador en funcionamiento con acumulación de polvillo"/>
    <s v="Liderazgo y/o Supervisión Inadecuados"/>
    <s v="Evaluación inadecuada del riesgo"/>
    <s v="ACTO INSEGURO"/>
    <s v="T2"/>
    <m/>
  </r>
  <r>
    <m/>
    <s v="ALICORP_BOLIVIA"/>
    <s v="SUPPLY CHAIN"/>
    <s v="MANUFACTURA"/>
    <s v="OLEOS"/>
    <x v="22"/>
    <s v="COCHABAMBA"/>
    <x v="90"/>
    <d v="1899-12-30T18:00:00"/>
    <s v="Turno 2"/>
    <s v="domingo"/>
    <s v="Hurtado Pinto"/>
    <s v="Juan Silvio "/>
    <n v="7563069"/>
    <n v="37"/>
    <n v="48"/>
    <n v="4"/>
    <m/>
    <s v="TERCERO"/>
    <s v="Transporte Gregorio Condori TGC​"/>
    <s v="Tercero"/>
    <s v="En fecha 26/04/2026, a horas 18:00 durante el proceso de descarga de sebo, materia prima utilizada para la producción de manteca en Planta Cbba, se produjo un accidente incapacitante con 2 días DM._x000a_- Previo a la descarga, el producto permaneció detenido para la realización de análisis de impurezas al cisterna, situación que ocasionó el congelamiento del sebo en la línea de descarga. En este contexto, el conductor del cisterna realizó, sin autorización, el calentamiento con vapor de la válvula de descarga y conexión hacia la línea de sebo; mientras paralelamente el Asistente de Refinería ejecutaba trabajos con aire para destrancar la tubería hacia el tanque de recepción de crudo._x000a_- Durante la actividad, la presencia de energía remanente (aire no purgado) provocó el retorno de aire hacia el cisterna, ocasionando el desacople de la manguera de descarga. Como consecuencia, la manguera golpeó el brazo del conductor y ocasionó que la línea de vapor genere una quemadura de 2° grado en la pierna izquierda."/>
    <s v="Quemadura de segundo grado en pierna izquierda"/>
    <n v="2"/>
    <s v="Energía no controlada (aire y vapor)"/>
    <s v="Liderazgo y/o Supervisión Inadecuados / Falta de cumplimiento de procedimientos y control de energías peligrosas"/>
    <s v="Falta de estándar"/>
    <s v="ACTO INSEGURO"/>
    <s v="T2"/>
    <m/>
  </r>
  <r>
    <s v="PGL27468"/>
    <s v="ALICORP_SAA"/>
    <s v="SUPPLY CHAIN"/>
    <s v="MANUFACTURA"/>
    <s v="FARINACEOS"/>
    <x v="3"/>
    <s v="GALLETERÍA E INSTANTANEOS"/>
    <x v="90"/>
    <d v="1899-12-30T21:20:00"/>
    <s v="Turno 2"/>
    <s v="domingo"/>
    <s v="SILVA SEVERINO"/>
    <s v=" JHON ALEXANDER​"/>
    <n v="44637562"/>
    <n v="38"/>
    <n v="3"/>
    <n v="0"/>
    <m/>
    <s v="PRODUCCIÓN"/>
    <s v="ALICORP S.A.A"/>
    <s v="PROPIO"/>
    <s v="Aproximadamente a las 21:20 horas un operario sufre un resbalón en una superficie lisa de línea 2, mientras trasladaba una bandeja con galleta granel para apilarlo en el pallet. El operador colocó su mano izquierda en el piso para no caer por completo. "/>
    <s v="Golpe de mano"/>
    <n v="5"/>
    <s v=" Superficie lisa de la línea 2"/>
    <s v="Mantenimiento inadecuado"/>
    <s v="Limpieza o recubrimiento de superficie inadecuado"/>
    <s v="CONDICIÓN INSEGURA"/>
    <s v="T2"/>
    <m/>
  </r>
  <r>
    <s v="GÑA27513"/>
    <s v="MASTERBREAD"/>
    <s v="SUPPLY CHAIN"/>
    <s v="MANUFACTURA"/>
    <s v="FARINACEOS"/>
    <x v="30"/>
    <s v="ÑAÑA"/>
    <x v="91"/>
    <d v="1899-12-30T18:45:00"/>
    <s v="Turno 2"/>
    <s v="martes"/>
    <s v="Mendoza"/>
    <s v="Isuiza Elda "/>
    <n v="48068127"/>
    <n v="32"/>
    <n v="96"/>
    <n v="8"/>
    <m/>
    <s v="TERCERO"/>
    <s v="LIMPIE"/>
    <s v="Tercero - Limpieza"/>
    <s v="Siendo aproximadamente las 18:45 horas, una operaria de limpieza se encontraba culminando labores de limpieza en la plataforma del 3er nivel de Envasado. Al momento de​ descender al 2do nivel por una escalera fija portando un balde con trapeador en la mano derecha y apoyándose en la baranda con la mano izquierda, usando guantes de jebe que limitaban el agarre firme.​ Al pisar el segundo escalón, su pie derecho tropieza y pierde el equilibrio y producto de una abertura pronunciada entre la baranda y el rodapié, la trabajadora cae lateralmente desde una altura aproximada de 2.5 m, impactando sobre la plataforma del 2do nivel.​"/>
    <s v="Golpe lateral contra superficie"/>
    <n v="3"/>
    <s v="Escalera fija con abertura en la protección lateral "/>
    <s v="Ingeniería inadecuada"/>
    <s v="Estándares, especificaciones y/o criterios de diseño inadecuados "/>
    <s v="CONDICIÓN INSEGURA"/>
    <s v="T2"/>
    <m/>
  </r>
  <r>
    <m/>
    <s v="ALICORP_BOLIVIA"/>
    <s v="SUPPLY CHAIN"/>
    <s v="MANUFACTURA"/>
    <s v="OLEOS"/>
    <x v="22"/>
    <s v="COCHABAMBA"/>
    <x v="92"/>
    <d v="1899-12-30T07:30:00"/>
    <s v="Turno 1"/>
    <s v="miércoles"/>
    <s v="Calderon"/>
    <s v="Hugo "/>
    <n v="4433718"/>
    <n v="57"/>
    <n v="456"/>
    <n v="38"/>
    <m/>
    <s v="PRODUCCIÓN"/>
    <s v="ALICORP_BOLIVIA"/>
    <s v="PROPIO"/>
    <s v="En fecha miércoles 29 de abril de 2026, aproximadamente a horas 07:30 am, durante la actividad de limpieza de prensa en el área de blanqueo de Sebo, el operador realizaba el traslado de un pallet con una carga parcial de bolsa de un peso aprox. 350 [kg] destinada a la recepción de tierra filtrada de la prensa._x000a__x000a_Durante el ingreso, el operador pisó una rejilla de inspección lo que ocasionó su desequilibrio. Como consecuencia, el transpallet se desplazó hacia el pie de apoyo, generando una atrición entre el transpallet y la base del motor del tanque de blanqueo en la pantorrilla derecha. "/>
    <s v="Fractura Tibia - pie derecho"/>
    <n v="32"/>
    <s v="Rejilla de inspección "/>
    <s v="Estándares de trabajo inadecuados"/>
    <s v="Comunicación inadecuada de estándares para entrenamiento"/>
    <s v="CONDICIÓN INSEGURA"/>
    <s v="T2"/>
    <m/>
  </r>
  <r>
    <s v="ILU27889"/>
    <s v="INTRADEVCO_INDUSTRIAL_SA"/>
    <s v="ADMINISTRACIÓN"/>
    <s v="OTRAS DIRECCIONES"/>
    <s v="LIMPIEZA Y VIGILANCIA"/>
    <x v="35"/>
    <s v="OTROS"/>
    <x v="93"/>
    <d v="1899-12-30T22:50:00"/>
    <s v="Turno 2"/>
    <s v="miércoles"/>
    <s v="GUILLEN OREJUELA "/>
    <s v=" RAUL GERARDO"/>
    <n v="2795389"/>
    <n v="59"/>
    <n v="72"/>
    <n v="6"/>
    <m/>
    <s v="TERCERO"/>
    <s v="CLEANED"/>
    <s v="Tercero - Limpieza"/>
    <s v="El día 06/05/2026 a horas 10:50 pm aproximadamente, el trabajador tercero de Clenead, se encontraba retornando de su refrigerio y al bajar las escaleras, en uno de los peldaños no pisa firmemente a lo cual sufre una dobladura de tobillo, al no sentir dolor inmediato, siguió con sus labores y pasado unos 30 minutos empezó a sentir molestia y dolor, a lo cual se comunicaron con su supervisor y fue atendido en el tópico._x000a_Medico ocupacional de ITDV, en la revisión, indica que guarde reposo ante la contusión hasta finalizar el turno, no se deriva a clínica._x000a_Posterior a ello colaborador al retirarse fuera del predio (hora de salida) es contactado por su área de Medicina ocupacional a lo cual sí es derivado a clínica y se le brinda 6 días de DM. _x000a_"/>
    <s v="Torcedura de pie"/>
    <n v="8"/>
    <s v="Escalero de acceso"/>
    <s v="Motivación Incorrecta"/>
    <s v="Motivación inadecuada /Falta de concentración y ojos no en la tarea"/>
    <s v="ACTO INSEGURO"/>
    <s v="T2"/>
    <m/>
  </r>
  <r>
    <m/>
    <s v="JABONERÍA WILSON"/>
    <s v="SUPPLY CHAIN"/>
    <s v="OTRAS DIRECCIONES"/>
    <s v="I+D"/>
    <x v="36"/>
    <s v="OTROS"/>
    <x v="94"/>
    <d v="1899-12-30T16:30:00"/>
    <s v="Turno 1"/>
    <s v="viernes"/>
    <s v="Montaluisa Naranjo"/>
    <s v="Bryan Fabricio"/>
    <n v="1726238338"/>
    <m/>
    <n v="39.96"/>
    <n v="3.33"/>
    <m/>
    <s v="I+D"/>
    <s v="JABONERÍA WILSON"/>
    <s v="PROPIO"/>
    <s v="El día viernes 8-05-2026 16H30 el colaborador se encontraba en el área del laboratorio de calidad realizando el análisis de densidad en muestras de jabón líquido con viscosidad alta,  colocado todo su EPP´s, realizo 3 análisis de densidad, al realizar el cuarto análisis, coge con la mano izquierda el picnómetro de vidrio y con la mano derecha vierte  la muestra; debido a la viscosidad de la misma existió dificultad en el llenado, por lo que procede a golpear el picnómetro sobre la toalla y el papel que estaba asentada sobre la mesa de trabajo, en ese momento el picnómetro se rompe y le corta el dedo medio de su mano izquierda, recibe primeros auxilios en el dispensario médico y es derivado a una unidad de salud privada, es valorado por el especialista, le suturan 4 puntos y le dan 2 días de reposo (8/05/2026 hasta 9/05/2026) para su recuperación. El colaborador reingreso a sus actividad laborales el 11/05/2026 sin restricción médicas_x000a_"/>
    <s v="Herida en dedo"/>
    <n v="1"/>
    <s v="Borde filoso"/>
    <s v="Estándares de Trabajo Inadecuados / Desarrollo inadecuado de estándares"/>
    <s v="Estándares, especificaciones y/o criterios de diseño inadecuados "/>
    <s v="ACTO INSEGURO"/>
    <s v="T2"/>
    <m/>
  </r>
  <r>
    <s v="ILU27141"/>
    <s v="INTRADEVCO_INDUSTRIAL_SA"/>
    <s v="SUPPLY CHAIN"/>
    <s v=" MANUFACTURA"/>
    <s v="HOME Y PERSONAL CARE"/>
    <x v="7"/>
    <s v="LURÍN 4"/>
    <x v="95"/>
    <d v="1899-12-30T16:05:00"/>
    <s v="Turno 1"/>
    <s v="sábado"/>
    <s v="SALAZAR RAMOS "/>
    <s v="ALVARO CESAR"/>
    <n v="10088069"/>
    <n v="50"/>
    <n v="120"/>
    <n v="10"/>
    <m/>
    <s v="PRODUCCIÓN"/>
    <s v="INDUSTRIAS DEL ESPINO_SA"/>
    <s v="PROPIO"/>
    <s v="Aproximadamente cerca de las 16:05 horas, el trabajador accidentado se dispuso a realizar la limpieza de las fajas de tracción de la envasadora #36. El trabajador se dispone a realizar la limpieza con un trapo y alcohol. Esta actividad la ejecuta con la fajas del equipo en funcionamiento, las cuales giran en sentido antihorario y están cercanas al tubo formador del equipo.​_x000a_Al colocar el trapo sobre la parte superior de la faja, el trapo queda atrapado entre la faja y el tubo formador arrastrando su mano izquierda, generándole  un aplastamiento en el dedo medio izquierdo."/>
    <s v="Amputación parcial dedo"/>
    <n v="75"/>
    <s v="Máquina empacadora"/>
    <s v="Estándares de Trabajo Inadecuados / Desarrollo inadecuado de estándares"/>
    <s v="Estándares, especificaciones y/o criterios de diseño inadecuados "/>
    <s v="ACTO INSEGURO"/>
    <s v="T2"/>
    <m/>
  </r>
  <r>
    <s v="ILU27554"/>
    <s v="INTRADEVCO_INDUSTRIAL_SA"/>
    <s v="SUPPLY CHAIN"/>
    <s v=" MANUFACTURA"/>
    <s v="HOME Y PERSONAL CARE"/>
    <x v="7"/>
    <s v="LURÍN 4"/>
    <x v="95"/>
    <d v="1899-12-30T06:10:00"/>
    <s v="Turno 2"/>
    <s v="sábado"/>
    <s v="RAMOS CASTAÑEDA"/>
    <s v="MANUEL NATIVIDAD"/>
    <n v="47583326"/>
    <m/>
    <n v="60"/>
    <n v="5"/>
    <m/>
    <s v="TERCERO"/>
    <s v="CONSULTING"/>
    <s v="Service"/>
    <s v="El sábado 09/05 aproximadamente a las 06:10 am, el trabajador accidentado (Consulting Advisers) se encontraba manipulando el tecle eléctrico del silo diario de carbonato, ello para facilitar el espacio y dejar libre para la actividad que se realizaba en la base del mismo (colocación de pernos). Al realizar la manipulación del mismo (elevación de la cadena), no se percata que el gancho del tecle queda enganchado en un ángulo de la estructura del silo, el colaborador siguió oprimiendo el botón de ascenso, lo que originó que la cadena acumule presión. Esta cadena sube de manera súbita generando un movimiento en forma de péndulo impactando en el dedo medio de la mano derecha del colaborador."/>
    <s v="Herida en dedo"/>
    <n v="10"/>
    <s v="Tecle de izaje"/>
    <s v="Liderazgo y/o Supervisión Inadecuados"/>
    <s v="Falta de entrenamiento"/>
    <s v="ACTO INSEGURO"/>
    <s v="T2"/>
    <m/>
  </r>
  <r>
    <s v="PGL27563"/>
    <s v="ALICORP_SAA"/>
    <s v="SUPPLY CHAIN"/>
    <s v=" MANUFACTURA"/>
    <s v="FARINACEOS"/>
    <x v="3"/>
    <s v="GALLETERÍA E INSTANTANEOS"/>
    <x v="96"/>
    <d v="1899-12-30T10:15:00"/>
    <s v="Turno 1"/>
    <s v="martes"/>
    <s v=" Gavilán Barrutia"/>
    <s v="Xiomara Sofía"/>
    <s v="60827934"/>
    <n v="19"/>
    <n v="1"/>
    <n v="0"/>
    <m/>
    <s v="PRODUCCIÓN"/>
    <s v="ALICORP S.A.A"/>
    <s v="PROPIO"/>
    <s v="El día 12-may a las 10:15 am durante el abastecimiento de paquetes a la envasadora C10 de L3, un paquete se atoró en el transportador y en el intento de desatorar el paquete, la trabajadora sufrió un corte en el segundo dedo de la mano derecha."/>
    <s v="Herida en dedo"/>
    <n v="6"/>
    <s v="Transportador en movimiento"/>
    <s v="Ingeniería Inadecuada "/>
    <s v="Diseño inadecuado"/>
    <s v="ACTO INSEGURO"/>
    <s v="T2"/>
    <m/>
  </r>
  <r>
    <s v="ILU27590"/>
    <s v="INTRADEVCO_INDUSTRIAL_SA"/>
    <s v="SUPPLY CHAIN"/>
    <s v=" MANUFACTURA"/>
    <s v="HOME Y PERSONAL CARE"/>
    <x v="23"/>
    <s v="LURÍN 2"/>
    <x v="97"/>
    <d v="1899-12-30T17:20:00"/>
    <s v="Turno 1"/>
    <s v="viernes"/>
    <s v="SILVA CARDENAS"/>
    <s v="GERARDO"/>
    <n v="71761446"/>
    <m/>
    <n v="48"/>
    <n v="4"/>
    <m/>
    <s v="TERCERO"/>
    <s v="OUTSOURCING"/>
    <s v="Service"/>
    <s v="El colaborador se encontraba en Soplado realizando el abastecimiento manual de frascos vacíos desde una bandeja hacia la faja transportadora de la máquina Sika N.° 4. Durante la ejecución de esta actividad, generando movimientos verticales, impactó la parte superior de su cabeza contra un soporte metálico tipo perno perteneciente al pulsador instalado en la estructura de la faja transportadora."/>
    <s v="Herida en cabeza"/>
    <n v="7"/>
    <s v="Transportador en movimiento"/>
    <s v="Estándares de Trabajo Inadecuados / Desarrollo inadecuado de estándares"/>
    <s v="Estándares, especificaciones y/o criterios de diseño inadecuados "/>
    <s v="ACTO INSEGURO"/>
    <s v="T2"/>
    <m/>
  </r>
  <r>
    <s v="PGL27591"/>
    <s v="ALICORP_SAA"/>
    <s v="SUPPLY CHAIN"/>
    <s v=" MANUFACTURA"/>
    <s v="FARINACEOS"/>
    <x v="3"/>
    <s v="GALLETERÍA E INSTANTANEOS"/>
    <x v="98"/>
    <d v="1899-12-30T18:35:00"/>
    <s v="Turno 2"/>
    <s v="lunes"/>
    <s v=" AYMA MELQUIADES"/>
    <s v="ZANABRIA"/>
    <s v="25832977"/>
    <n v="50"/>
    <n v="288"/>
    <n v="24"/>
    <m/>
    <s v="PRODUCCIÓN"/>
    <s v="ALICORP S.A.A"/>
    <s v="PROPIO"/>
    <s v="Aproximadamente a las 18:35 horas del lunes 18 de mayo, un operador sufrió una herida en la ceja derecha con el borde de una bandeja de plástico. El contacto ocurrió cuando el operador intentó mover 3 bandejas vacías._x000a_"/>
    <s v="Herida en cabeza"/>
    <n v="1"/>
    <s v="Bandeja galleta"/>
    <s v="Estándares de Trabajo Inadecuados / Desarrollo inadecuado de estándares"/>
    <s v="Estándares, especificaciones y/o criterios de diseño inadecuados "/>
    <s v="ACTO INSEGURO"/>
    <s v="T2"/>
    <m/>
  </r>
  <r>
    <s v="ILU27615"/>
    <s v="INTRADEVCO_INDUSTRIAL_SA"/>
    <s v="SUPPLY CHAIN"/>
    <s v=" MANUFACTURA"/>
    <s v="HOME Y PERSONAL CARE"/>
    <x v="23"/>
    <s v="LURÍN 2"/>
    <x v="99"/>
    <d v="1899-12-30T16:45:00"/>
    <s v="Turno 1"/>
    <s v="martes"/>
    <s v="GARCIA HERNANDEZ "/>
    <s v="ANTONY YERSON"/>
    <s v="46295022"/>
    <n v="35"/>
    <n v="60"/>
    <n v="5"/>
    <m/>
    <s v="MANTENIMIENTO"/>
    <s v="INDUSTRIAS DEL ESPINO_SA"/>
    <s v="PROPIO"/>
    <s v="El trabajador de mantenimiento se encontraba realizando labores de limpieza en un torno utilizando una línea de aire comprimido para el sopleteado de virutas y residuos metálicos._x000a_Al finalizar la actividad y mientras se disponía a colgar la manguera de aire, observó que una viruta metálica se había enredado en el espiral de la línea de aire. Al intentar retirarla manualmente, jala la viruta con al mano derecha ,produciéndose en ese momento un corte en el dedo medio. El trabajador sintió ardor inmediatamente e informó el incidente a su supervisor. Posteriormente fue trasladado al tópico y, debido a la profundidad de la lesión, fue derivado a una clínica para la atención médica correspondiente, donde se determinó la necesidad de sutura._x000a_"/>
    <s v="Herida en dedo"/>
    <n v="7"/>
    <s v="Borde filoso"/>
    <s v="Herramientas o equipos inadecuados"/>
    <s v="Evaluación inadecuada del riesgo"/>
    <s v="ACTO INSEGURO"/>
    <s v="T2"/>
    <m/>
  </r>
  <r>
    <s v="PCO27813"/>
    <s v="ALICORP_SAA"/>
    <s v="ADMINISTRACIÓN"/>
    <s v="OTRAS DIRECCIONES"/>
    <s v="LIMPIEZA Y VIGILANCIA"/>
    <x v="31"/>
    <s v="OTROS"/>
    <x v="100"/>
    <d v="1899-12-30T12:30:00"/>
    <s v="Turno 1"/>
    <s v="miércoles"/>
    <s v="TENAZOA TORRES"/>
    <s v=" LERY GRETEL"/>
    <n v="47590860"/>
    <m/>
    <n v="72"/>
    <n v="6"/>
    <m/>
    <s v="TERCERO"/>
    <s v="CLEANED"/>
    <s v="Tercero - Limpieza"/>
    <s v="En circunstancias que Supervisora de Cleaned sale de la oficina de calidad de Oleos, al bajar peldaño de la vereda se tropieza, llegando a doblar el tobillo del pie derecho. "/>
    <s v="Esguince en tobillo"/>
    <n v="24"/>
    <s v="Desnivel en piso"/>
    <s v="Motivación Incorrecta"/>
    <s v="Motivación inadecuada /Falta de concentración y ojos no en la tarea"/>
    <s v="CONDICIÓN INSEGURA"/>
    <s v="T2"/>
    <m/>
  </r>
  <r>
    <s v="SID27830 "/>
    <s v="ALICORP_SAA"/>
    <s v="SUPPLY CHAIN"/>
    <s v=" MANUFACTURA"/>
    <s v="MOLINOS"/>
    <x v="20"/>
    <s v="SIDSUR"/>
    <x v="101"/>
    <d v="1899-12-30T13:15:00"/>
    <s v="Turno 1"/>
    <s v="jueves"/>
    <s v="ARANZABAL ROMAN"/>
    <s v="WYATT HERBERT"/>
    <n v="72093521"/>
    <n v="26"/>
    <n v="2"/>
    <n v="0"/>
    <m/>
    <s v="PRODUCCIÓN"/>
    <s v="ALICORP S.A.A"/>
    <s v="PROPIO"/>
    <s v="Alrededor de las 13:15 horas, el operario se encontraba en la mesa de inspección de la Línea 2 durante aproximadamente los primeros 15 minutos de su jornada. Posteriormente fue derivado a la Línea 1._x000a_Durante el transito hacia la zona de magazines, el trabajador refiere haber pisado sunchos plásticos que se encontraban en el piso produciéndose un resbalón y posterior caída sobre su propio peso, apoyando la mano derecha contra el piso._x000a_El trabajador continuó realizando actividades de alimentación al magazine por algunos minutos, al percibir incremento del dolor en la mano reportó lo ocurrido a su coordinador, quien procedió con la activación del protocolo de atención correspondiente."/>
    <s v="Esguinde de mano"/>
    <n v="10"/>
    <s v="Piso resbaloso"/>
    <s v="Mantenimiento inadecuado"/>
    <s v="Limpieza o recubrimiento de superficie inadecuado"/>
    <s v="CONDICIÓN INSEGURA"/>
    <s v="T2"/>
    <m/>
  </r>
  <r>
    <s v="ILU27627"/>
    <s v="INTRADEVCO_INDUSTRIAL_SA"/>
    <s v="SUPPLY CHAIN"/>
    <s v=" MANUFACTURA"/>
    <s v="HOME Y PERSONAL CARE"/>
    <x v="7"/>
    <s v="LURÍN 4"/>
    <x v="101"/>
    <d v="1899-12-30T05:40:00"/>
    <s v="Turno 2"/>
    <s v="jueves"/>
    <s v="Espinoza Tapia"/>
    <s v="Ricardo"/>
    <n v="61876430"/>
    <m/>
    <n v="24"/>
    <n v="2"/>
    <m/>
    <s v="TERCERO"/>
    <s v="CONSULTING"/>
    <s v="Service"/>
    <s v="Un colaborador de Consulting Advisers se encontraba en la zona de coches, efectuando el traslado y acomodo de coches con detergente hacia la balanza N° 2, con el fin de facilitar la descarga del producto. Durante la ejecución de dicha actividad, otro colaborador de Consulting Advisers movilizó un coche con producto (278 kg) sin percatarse de la ubicación de su compañero, ocasionando el impacto del coche contra el hombro y pie izquierdo. Posterior al evento el colaborador manifestó dolor en el hombro y pie._x000a_El evento fue comunicado de manera inmediata a la supervisión del área. El colaborador fue atendido en tópico, siendo evaluado inicialmente como accidente no incapacitante (con reubicación). En las posteriores reevaluaciones, se determinó la necesidad de trasladarlo a la clínica San Pablo para recibir atención especializada_x000a_"/>
    <s v="Contusión de pie"/>
    <n v="3"/>
    <s v="Coche"/>
    <s v="Ingeniería Inadecuada "/>
    <s v="Diseño inadecuado"/>
    <s v="ACTO INSEGURO"/>
    <s v="T2"/>
    <m/>
  </r>
  <r>
    <s v="ILU27801"/>
    <s v="INTRADEVCO_INDUSTRIAL_SA"/>
    <s v="SUPPLY CHAIN"/>
    <s v=" MANUFACTURA"/>
    <s v="HOME Y PERSONAL CARE"/>
    <x v="7"/>
    <s v="LURÍN 4"/>
    <x v="102"/>
    <d v="1899-12-30T05:00:00"/>
    <s v="Turno 2"/>
    <s v="viernes"/>
    <s v="PALACIOS CARHUA"/>
    <s v=" ENRIQUE"/>
    <n v="41703214"/>
    <m/>
    <n v="12"/>
    <n v="1"/>
    <m/>
    <s v="TERCERO"/>
    <s v="CONSULTING"/>
    <s v="Service"/>
    <s v="Un colaborador de la empresa Consulting Advisers se encontraba realizando labores de fraccionamiento y abastecimiento de LESS (Lauril Éter Sulfato de Sodio 70%), durante la actividad el colaborador debido a la incomodidad se retira los lentes antiparra y se frota el ojo derecho con los guantes contaminados, generándole irritación y enrojecimiento.​_x000a__x000a_El evento fue comunicado al día siguiente de lo ocurrido donde fue atendido en tópico, siendo evaluado inicialmente como accidente no incapacitante. En las posteriores reevaluaciones, se determinó la necesidad de trasladarlo a la clínica San Pablo para recibir atención especializada."/>
    <s v="Cuerpo extraño en vista"/>
    <n v="5"/>
    <s v="Sustancia quimica"/>
    <s v="Falta de Habilidad / Instrucción inicial inadecuada"/>
    <s v="Falta de entrenamiento "/>
    <s v="ACTO INSEGURO"/>
    <s v="T2"/>
    <m/>
  </r>
  <r>
    <s v="ALI27891"/>
    <s v="ALICORP_SAA"/>
    <s v="ADMINISTRACIÓN"/>
    <s v="OTRAS DIRECCIONES"/>
    <s v="OTRAS DIRECCIONES"/>
    <x v="3"/>
    <s v="OTRAS DIRECCIONES"/>
    <x v="103"/>
    <m/>
    <m/>
    <s v="domingo"/>
    <s v=" MILAGROS DEL VALLE"/>
    <s v="VILLAROEL"/>
    <n v="7504140"/>
    <m/>
    <m/>
    <m/>
    <m/>
    <m/>
    <s v="CLEANED"/>
    <s v="Tercero - Limpieza"/>
    <s v="En circunstancias que colaboradora procede a salir del área de vestuario con una bolsa de residuos por la puerta intermedia, al jalar de la manija para abrir se golpea el dorso de la mano derecha contra la pared."/>
    <s v="_x000a_Golpe de mano contra"/>
    <n v="2"/>
    <s v=" Puerta y pared del área de vestuario."/>
    <s v="Ingeniería inadecuada"/>
    <s v="Consideración inadecuada de factores humanos / ergonomía"/>
    <s v="CONDICIÓN INSEGURA"/>
    <s v="T2"/>
    <m/>
  </r>
  <r>
    <s v="PGL27850"/>
    <s v="ALICORP_SAA"/>
    <s v="SUPPLY CHAIN"/>
    <s v=" MANUFACTURA"/>
    <s v="FARINACEOS"/>
    <x v="3"/>
    <s v="GALLETERÍA E INSTANTANEOS"/>
    <x v="104"/>
    <m/>
    <m/>
    <s v="viernes"/>
    <s v="NAVARRO VILLODAS"/>
    <s v="YULIANA HEIDI"/>
    <n v="42119014"/>
    <m/>
    <m/>
    <m/>
    <m/>
    <m/>
    <s v="ALICORP S.A.A"/>
    <s v="PROPIO"/>
    <s v="El día 12/06/2026, aproximadamente a las 06:50 am, la colaboradora que se desempeña como operaria de producción se encontraba caminando por el sendero peatonal (frente a patio de maniobras de MFA) en dirección a la planta de G&amp;I, cuando se detiene a amarrarse los pasadores apoyando un pie en el muro y al reincorporarse pierde el equilibrio al pisar un desnivel, cayéndose y golpeándose la cabeza y la rodilla."/>
    <s v="Golpe en cabeza y rodilla por caída en senda"/>
    <n v="19"/>
    <s v="Sendero peatonal con desnivel."/>
    <s v="Ingeniería inadecuada"/>
    <s v="Evaluación inadecuada de exposición a pérdidas"/>
    <s v="CONDICIÓN INSEGURA"/>
    <s v="T2"/>
    <m/>
  </r>
  <r>
    <s v="MPA28023"/>
    <s v="ALICORP_SAA"/>
    <s v="SUPPLY CHAIN"/>
    <s v=" MANUFACTURA"/>
    <s v="MOLINOS"/>
    <x v="37"/>
    <s v="MOLINO PAITA"/>
    <x v="105"/>
    <m/>
    <m/>
    <s v="martes"/>
    <s v="TORRES MORAN "/>
    <s v="ANDRY"/>
    <n v="44942491"/>
    <m/>
    <m/>
    <m/>
    <m/>
    <m/>
    <s v="ALICORP S.A.A"/>
    <s v="PROPIO"/>
    <s v="Un colaborador del área de embolsado se encontraba movilizando envases de harina mediante un carrito desde el primer hacia el segundo nivel de empaque. Al llegar a la puerta de salida del primer piso, la cual tiene un diseño de puerta de emergencia, es golpeado contra la barra antipánico de la puerta, la cual tenía una superficie filosa causándole un corte en el antebrazo derecho. Se le brinda los primeros auxilios y es evacuado a clínica para sutura"/>
    <s v="Herida cortante en antebrazo derecho"/>
    <n v="8"/>
    <s v="Puerta de emergencia con barra antipánico."/>
    <s v="Herramientas y Equipo Inadecuados"/>
    <s v="Estándares o especificaciones inadecuadas"/>
    <s v="CONDICIÓN INSEGURA"/>
    <s v="T2"/>
    <m/>
  </r>
  <r>
    <s v="ILU27959"/>
    <s v="ALICORP_SAA"/>
    <s v="SUPPLY CHAIN"/>
    <s v="LOGÍSTICA"/>
    <s v="HOME Y PERSONAL CARE"/>
    <x v="7"/>
    <s v="LURÍN 4"/>
    <x v="106"/>
    <m/>
    <m/>
    <s v="jueves"/>
    <s v="PALOMARE SECLEN "/>
    <s v="CESAR SMITH"/>
    <n v="75700587"/>
    <m/>
    <m/>
    <m/>
    <m/>
    <m/>
    <s v="RANSA COMERCIAL SA"/>
    <s v="Service"/>
    <s v="Siendo aprox. 04:50 am durante la actividad de traslado de paletas vacías desde el almacén CD1 a la jaula de paletas (patio CD2), el colaborador de Ransa ingresó en retroceso conforme al procedimiento establecido y procedió a acomodar las rumas de paletas vacías.​_x000a_Sin embargo, al maniobrar con la mano derecha apoyándose del mango, en el impacto con otra ruma de paletas, este le ocasionó el atrapamiento de los dedos de la mano derecha."/>
    <s v="atrapamiento dedos mano derecha"/>
    <n v="18"/>
    <s v="Rumas de paletas vacías y mango del equipo de traslado."/>
    <s v="Herramientas y Equipo Inadecuados"/>
    <s v="Consideración inadecuada de factores humanos / ergonomía"/>
    <s v="ACTO INSEGURO"/>
    <s v="T2"/>
    <m/>
  </r>
  <r>
    <s v="MCA27983"/>
    <s v="ALICORP_SAA"/>
    <s v="SUPPLY CHAIN"/>
    <s v=" MANUFACTURA"/>
    <s v="MOLINOS"/>
    <x v="38"/>
    <s v="MOLINO CALLAO"/>
    <x v="107"/>
    <m/>
    <m/>
    <s v="miércoles"/>
    <s v="DIAZ MOYA "/>
    <s v="MARCO ANTONIO"/>
    <n v="25786973"/>
    <m/>
    <m/>
    <m/>
    <m/>
    <m/>
    <s v="ALICORP S.A.A"/>
    <s v="PROPIO"/>
    <s v="Aproximadamente a las 08:40 hrs, en el área de embolsado, el colaborador se encontraba laborando en la Línea 1 y, al detectar un saco con error de costura, intenta retirar el saco de la faja transportadora._x000a_En la maniobra, el colaborador golpea el saco contra la baranda guía, haciendo que pierda la estabilidad y resbalando hacia atrás, provocando que caiga de espaldas._x000a_El colaborador es auxiliado por los compañeros y se informa inmediatamente al supervisor, se llama a la ambulancia y se revisa al colaborador, quien es llevado a tópico para su atención"/>
    <s v="Contusión en espalda por caída al mismo nivel"/>
    <n v="13"/>
    <s v="Faja transportadora, saco de producto y baranda guía."/>
    <s v="Estándares de trabajo inadecuados"/>
    <s v="Procedimientos, prácticas / reglas."/>
    <s v="ACTO INSEGURO"/>
    <s v="T2"/>
    <m/>
  </r>
  <r>
    <s v=" ALI28020"/>
    <s v="ALICORP_SAA"/>
    <s v="OTRAS VICEPRESIDENCIAS"/>
    <s v="OTRAS DIRECCIONES"/>
    <s v="OTRAS DIRECCIONES"/>
    <x v="39"/>
    <s v="OTRAS DIRECCIONES"/>
    <x v="107"/>
    <m/>
    <m/>
    <s v="miércoles"/>
    <s v="ALDIVIA VILLAGARAY"/>
    <s v="FRANCISCO ITALO "/>
    <n v="72915677"/>
    <m/>
    <m/>
    <m/>
    <m/>
    <m/>
    <s v="BOCACION S.A.C"/>
    <s v="Tercero-servicios de alimentación"/>
    <s v="En circunstancias que el colaborador procedía a realizar la actividad de habilitado de zapallo, coge el cuchillo por el mango con la mano derecha y con la mano izquierda abraza la parte filosa, a fin de generar presión sobre la verdura (zapallo), lo que ocasiona que se corte el dedo medio de la mano izquierda, a la altura de la última falange. "/>
    <s v="Corte dedo medio "/>
    <n v="4"/>
    <s v="Cuchillo (hoja filosa)."/>
    <s v=" Falta de Habilidad"/>
    <s v="Procedimiento inadecuado"/>
    <s v="ACTO INSEGURO"/>
    <s v="T2"/>
    <m/>
  </r>
  <r>
    <m/>
    <s v="JABONERÍA WILSON"/>
    <s v="SUPPLY CHAIN"/>
    <s v=" MANUFACTURA"/>
    <s v="HOME Y PERSONAL CARE"/>
    <x v="32"/>
    <s v="Calacalí"/>
    <x v="108"/>
    <m/>
    <m/>
    <s v="viernes"/>
    <s v="Burgos"/>
    <s v="Gabriel "/>
    <m/>
    <m/>
    <m/>
    <m/>
    <m/>
    <m/>
    <s v="ALICORP S.A.A"/>
    <s v="PROPIO"/>
    <s v="El colaborador se encontraba realizando limpieza de su zona de trabajo, transporte neumático, el día 19/06/2026 en el turno de la noche.​En sus funciones está la limpieza de las gradas.​ A la 1h50 el colaborador está realizando un barrido de la zona de las escaleras pierde la estabilidad al bajar de grada y se golpea el lado derecho de las costillas contra el pasamano.​ El incidente es notificado al supervisor de turno, pero no se retira de sus actividades ya que el colaborador menciona que no tiene dolor, al finalizar el turno comenta que se va a realizar el chequeo de la zona afectada con un doctor particular y se retira.​_x000a_"/>
    <s v="Contusión en el lado derecho del tórax"/>
    <n v="2"/>
    <s v="Escaleras (gradas) y pasamanos."/>
    <s v="Estándares de trabajo inadecuados"/>
    <s v="Procedimientos / prácticas / reglas"/>
    <s v="ACTO INSEGURO"/>
    <s v="T2"/>
    <m/>
  </r>
  <r>
    <s v="ILU27997"/>
    <s v="ALICORP_SAA"/>
    <s v="SUPPLY CHAIN"/>
    <s v=" MANUFACTURA"/>
    <s v="HOME Y PERSONAL CARE"/>
    <x v="7"/>
    <s v="LURÍN 4"/>
    <x v="109"/>
    <m/>
    <m/>
    <s v="lunes"/>
    <s v="MARQUINA SILVA"/>
    <s v="RENZO MARTIN"/>
    <n v="70556153"/>
    <m/>
    <m/>
    <m/>
    <m/>
    <m/>
    <m/>
    <s v="Service"/>
    <s v="Un colaborador de la empresa Consulting Advisers se encontraba realizando labores de abastecimiento de coches, durante la actividad el colaborador decidió trasladar dos coches de manera simultánea sujetando un coche con cada mano, al momento de posicionarlos y acomodarlos sufrió un golpe en la mano derecha. Luego de unos minutos al evidenciar incomodidad da aviso a su supervisor y es derivado al tópico de planta._x000a_El evento fue determinado inicialmente como accidente no incapacitante sin embargo en su reevaluación del día siguiente se determinó derivarlo a la clínica para atención especializada."/>
    <s v="Contusión en la mano derecha por golpe"/>
    <n v="2"/>
    <s v="Coches de abastecimiento."/>
    <s v=" Motivación Incorrecta"/>
    <s v="Intento incorrecto de ahorrar tiempo o esfuerzo."/>
    <s v="ACTO INSEGURO"/>
    <s v="T2"/>
    <m/>
  </r>
  <r>
    <s v="ILU28037"/>
    <s v="INTRADEVCO_INDUSTRIAL_SA"/>
    <s v="OTRAS VICEPRESIDENCIAS"/>
    <s v="OTRAS DIRECCIONES"/>
    <s v="SSOMA"/>
    <x v="40"/>
    <s v="OTRAS DIRECCIONES"/>
    <x v="110"/>
    <d v="1899-12-30T13:50:00"/>
    <s v="Turno 1"/>
    <s v="viernes"/>
    <m/>
    <m/>
    <m/>
    <m/>
    <m/>
    <m/>
    <m/>
    <m/>
    <m/>
    <s v="Tercero"/>
    <s v="El 26/06 a las 07:00h, al culminar las labores de succión de efluentes y con la poza prácticamente vacía, se presentó una liberación de gases desde la poza, como consecuencia el personal de la empresa contratista Praxis manifestó malestar y fue evaluado en tópico donde recibió tratamiento médico. Posteriormente el equipo de producción verificó que las válvulas de salida de óleum se encontraban cerradas, sin embargo quedó pendiente la inspección de la válvula ubicada en la línea de ingreso de la poza de efluentes."/>
    <s v="Intoxicación por inhalación de gases"/>
    <n v="3"/>
    <s v="Poza de efluentes"/>
    <s v="Liderazgo y/o Supervisión Inadecuados"/>
    <s v="Identificación y evaluación inadecuadas de exposición a pérdidas"/>
    <s v="CONDICIÓN INSEGURA"/>
    <s v="T2"/>
    <m/>
  </r>
  <r>
    <s v="STC28004"/>
    <s v="ALICORP_BOLIVIA"/>
    <s v="ADMINISTRACIÓN"/>
    <s v="OTRAS DIRECCIONES"/>
    <s v="OTRAS DIRECCIONES"/>
    <x v="41"/>
    <s v="OTROS"/>
    <x v="111"/>
    <d v="1899-12-30T07:30:00"/>
    <s v="Turno 1"/>
    <s v="martes"/>
    <s v="Barrancos"/>
    <s v="Sioni "/>
    <m/>
    <m/>
    <n v="23"/>
    <m/>
    <m/>
    <m/>
    <m/>
    <s v="Tercero"/>
    <s v="El día 30/06/2026 a horas 8:30 am aproximadamente, la recepcionista de oficina central Sioni Barrancos perteneciente a la empresa contratista TSB, se encontraba yendo al área de archivo y al dirigirse hacia el parqueo con ambas manos ocupadas con 2 tasas al bajar el desnivel de la acera pisó en falso sufriendo una caída, lo que ocasiono un pequeño corte cerca a la rodilla y torcedura del tobillo izquierdo._x000a_De manera inmediata recibió auxilio con el botiquín de la empresa realizando su curación de la rodilla y posteriormente se dirigió a su centro de salud de su seguro para evaluación de la inflamación de su tobillo._x000a_Diagnostico medico: esguince grado 2 en tobillo izquierdo "/>
    <s v="Esguince de tobillo"/>
    <n v="7"/>
    <s v="Acera con desnivel"/>
    <s v="Ingeniería inadecuada"/>
    <s v="Evaluación inadecuada de exposición a pérdidas"/>
    <s v="ACTO INSEGURO"/>
    <s v="T2"/>
    <m/>
  </r>
  <r>
    <m/>
    <s v="ALICORP_SAA"/>
    <s v="SUPPLY CHAIN"/>
    <s v="MANUFACTURA"/>
    <s v="FARINACEOS"/>
    <x v="3"/>
    <s v="GALLETERÍA E INSTANTANEOS"/>
    <x v="112"/>
    <d v="1899-12-30T05:40:00"/>
    <s v="Turno 1"/>
    <s v="viernes"/>
    <s v="FLORES AGUILA "/>
    <s v="SILVIA KARINA"/>
    <m/>
    <m/>
    <m/>
    <m/>
    <m/>
    <m/>
    <s v="ALICORP S.A.A"/>
    <s v="PROPIO"/>
    <s v="Aproximadamente a las 05:40 a. m., la operadora de producción asignada a la Línea 2 sufrió un incidente al atraparse el quinto dedo de la mano derecha con el asa de una bandeja de galletas, produciéndose un estiramiento del dedo afectado. Tras el evento, fue trasladada al tópico para la atención inicial y posteriormente derivada a una clínica para una evaluación médica más especializada. El diagnostico final esta en trascurso. "/>
    <s v="Distensión (estiramiento) del quinto dedo de la mano derecha"/>
    <n v="18"/>
    <s v="Asa de bandeja de galletas."/>
    <s v="Herramientas y Equipo Inadecuados"/>
    <s v="Consideración inadecuada de factores humanos / ergonomía"/>
    <s v="ACTO INSEGURO"/>
    <s v="T3"/>
    <m/>
  </r>
  <r>
    <m/>
    <s v="INTRADEVCO_INDUSTRIAL_SA"/>
    <s v="OTRAS VICEPRESIDENCIAS"/>
    <s v="OTRAS DIRECCIONES"/>
    <s v="SSOMA"/>
    <x v="40"/>
    <s v="OTRAS DIRECCIONES"/>
    <x v="113"/>
    <d v="1899-12-30T03:00:00"/>
    <s v="Turno 1"/>
    <s v="lunes"/>
    <s v="CAMPOS CABRERA "/>
    <s v="KEVIN FERNANDO"/>
    <m/>
    <m/>
    <m/>
    <m/>
    <m/>
    <m/>
    <s v="PRAXIS ECOLOGY"/>
    <s v="Tercero"/>
    <s v="Durante las actividades de recojo de residuos sólidos peligrosos, un operario de la empresa contratista Praxis manifestó una sensación de ardor en los ojos mientras realizaba el carguío de sacos contaminados. Ante esta situación, se retiró temporalmente algunos elementos de protección personal (respirador, guantes y lentes) para limpiarse el sudor y posteriormente retomó la ejecución de la actividad."/>
    <s v="Irritación ocular / ardor ocular."/>
    <n v="2"/>
    <s v="Residuos sólidos peligrosos contaminados "/>
    <s v="Motivación Incorrecta"/>
    <s v="Intento incorrecto de evitar incomodidad"/>
    <s v="ACTO INSEGURO"/>
    <s v="T3"/>
    <m/>
  </r>
  <r>
    <m/>
    <s v="INTRADEVCO_INDUSTRIAL_SA"/>
    <s v="ADMINISTRACIÓN"/>
    <s v="OTRAS DIRECCIONES"/>
    <s v="ADMINISTRACION"/>
    <x v="23"/>
    <s v="OTRAS DIRECCIONES"/>
    <x v="114"/>
    <d v="1899-12-30T03:00:00"/>
    <s v="Turno 1"/>
    <s v="martes"/>
    <s v="AGURTO CABRERA "/>
    <s v="ROSA"/>
    <m/>
    <m/>
    <m/>
    <m/>
    <m/>
    <m/>
    <s v="CLEANED"/>
    <s v="Tercero - Limpieza"/>
    <s v="El personal de Cleaned a su encargada de la presencia de sintomatología relacionada a intoxicación (Dolor de cabeza, náuseas, mareos, urticaria, etc). Pasado unos minutos, más colaboradores de la concesionaria empiezan a presentar los mismos síntomas, por lo que también son derivados."/>
    <s v="Intoxicación"/>
    <n v="5"/>
    <s v="Sustancia química de desinsectación "/>
    <s v="Liderazgo y/o Supervisión Inadecuados"/>
    <s v="Identificación y evaluación inadecuadas de exposición a pérdidas"/>
    <s v="CONDICIÓN INSEGURA"/>
    <s v="T3"/>
    <m/>
  </r>
  <r>
    <m/>
    <s v="ALICORP_SAA"/>
    <s v="OTRAS VICEPRESIDENCIAS"/>
    <s v="OTRAS DIRECCIONES"/>
    <s v="INGENIERÍA Y MANTENIMIENTO"/>
    <x v="39"/>
    <s v="FIDERÍA "/>
    <x v="115"/>
    <d v="1899-12-30T14:40:00"/>
    <s v="Turno 2"/>
    <s v="miércoles"/>
    <s v="IBARRA MELENDEZ "/>
    <s v="LUIS ERNESTO"/>
    <m/>
    <m/>
    <m/>
    <m/>
    <m/>
    <m/>
    <s v="ALICORP S.A.A"/>
    <s v="PROPIO"/>
    <s v="El 08/07 a las 2:40 p. m., durante labores de limpieza en la Prensa L22, un técnico mecánico de mantenimiento sufrió una herida en la región frontal izquierda tras el impacto de una varilla que cayó desde un segundo nivel."/>
    <s v=" corte/laceración "/>
    <n v="8"/>
    <s v="Varilla caída desde segundo nivel."/>
    <s v="Herramientas y Equipo Inadecuados"/>
    <s v="Evaluación inadecuada de necesidades y riesgos"/>
    <s v="CONDICIÓN INSEGURA"/>
    <s v="T3"/>
    <m/>
  </r>
  <r>
    <m/>
    <s v="INTRADEVCO_INDUSTRIAL_SA"/>
    <s v="OTRAS VICEPRESIDENCIAS"/>
    <s v="OTRAS DIRECCIONES"/>
    <s v="CALIDAD"/>
    <x v="23"/>
    <s v="LURÍN 2"/>
    <x v="115"/>
    <d v="1899-12-30T03:00:00"/>
    <s v="Turno 1"/>
    <s v="miércoles"/>
    <s v="SEGOVIA GUTIERREZ "/>
    <s v="EDWIN SMITH"/>
    <m/>
    <m/>
    <m/>
    <m/>
    <m/>
    <m/>
    <s v="INTRADEVCO"/>
    <s v="PROPIO"/>
    <s v="El personal de Calidad informa a su encargada de la presencia de sintomatología relacionada a intoxicación (Dolor de cabeza, náuseas, mareos, urticaria, etc). Pasado unos minutos, más colaboradores de la concesionaria empiezan a presentar los mismos síntomas, por lo que también son derivados._x000a_"/>
    <s v="Intoxicación"/>
    <n v="9"/>
    <s v="Sustancia química de desinsectación "/>
    <s v="Liderazgo y/o Supervisión Inadecuados"/>
    <s v="Identificación y evaluación inadecuadas de exposición a pérdidas"/>
    <s v="CONDICIÓN INSEGURA"/>
    <s v="T3"/>
    <m/>
  </r>
  <r>
    <m/>
    <s v="INTRADEVCO_INDUSTRIAL_SA"/>
    <s v="OTRAS VICEPRESIDENCIAS"/>
    <s v="OTRAS DIRECCIONES"/>
    <s v="CALIDAD"/>
    <x v="23"/>
    <s v="LURÍN 2"/>
    <x v="115"/>
    <d v="1899-12-30T03:00:00"/>
    <s v="Turno 1"/>
    <s v="miércoles"/>
    <s v="SIFUENTES SOSA "/>
    <s v="MELISA ANDREA"/>
    <m/>
    <m/>
    <m/>
    <m/>
    <m/>
    <m/>
    <s v="INTRADEVCO"/>
    <s v="PROPIO"/>
    <s v="El personal de Calidad informa a su encargada de la presencia de sintomatología relacionada a intoxicación (Dolor de cabeza, náuseas, mareos, urticaria, etc). Pasado unos minutos, más colaboradores de la concesionaria empiezan a presentar los mismos síntomas, por lo que también son derivados._x000a_"/>
    <s v="Intoxicación"/>
    <n v="12"/>
    <s v="Sustancia química de desinsectación "/>
    <s v="Liderazgo y/o Supervisión Inadecuados"/>
    <s v="Identificación y evaluación inadecuadas de exposición a pérdidas"/>
    <s v="CONDICIÓN INSEGURA"/>
    <s v="T3"/>
    <m/>
  </r>
  <r>
    <m/>
    <s v="INTRADEVCO_INDUSTRIAL_SA"/>
    <s v="OTRAS VICEPRESIDENCIAS"/>
    <s v="OTRAS DIRECCIONES"/>
    <s v="RELACIONES LABORALES"/>
    <x v="23"/>
    <s v="OTRAS DIRECCIONES"/>
    <x v="115"/>
    <d v="1899-12-30T02:45:00"/>
    <s v="Turno 1"/>
    <s v="miércoles"/>
    <s v=" LOCK CAMINO "/>
    <s v="JAIME EDUARDO"/>
    <m/>
    <m/>
    <m/>
    <m/>
    <m/>
    <m/>
    <s v="AMERICA CAUTERING"/>
    <s v="Tercero-servicios de alimentación"/>
    <s v="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s v="Intoxicación"/>
    <n v="2"/>
    <s v="Sustancia química de desinsectación "/>
    <s v="Liderazgo y/o Supervisión Inadecuados"/>
    <s v="Identificación y evaluación inadecuadas de exposición a pérdidas"/>
    <s v="CONDICIÓN INSEGURA"/>
    <s v="T3"/>
    <m/>
  </r>
  <r>
    <m/>
    <s v="INTRADEVCO_INDUSTRIAL_SA"/>
    <s v="OTRAS VICEPRESIDENCIAS"/>
    <s v="OTRAS DIRECCIONES"/>
    <s v="RELACIONES LABORALES"/>
    <x v="23"/>
    <s v="OTRAS DIRECCIONES"/>
    <x v="115"/>
    <d v="1899-12-30T02:45:00"/>
    <s v="Turno 1"/>
    <s v="miércoles"/>
    <s v="FERNANDEZ QUISPE "/>
    <s v="JOSSELIN JUDITH"/>
    <m/>
    <m/>
    <m/>
    <m/>
    <m/>
    <m/>
    <s v="AMERICA CAUTERING"/>
    <s v="Tercero-servicios de alimentación"/>
    <s v="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s v="Intoxicación"/>
    <n v="2"/>
    <s v="Sustancia química de desinsectación "/>
    <s v="Liderazgo y/o Supervisión Inadecuados"/>
    <s v="Identificación y evaluación inadecuadas de exposición a pérdidas"/>
    <s v="CONDICIÓN INSEGURA"/>
    <s v="T3"/>
    <m/>
  </r>
  <r>
    <m/>
    <s v="INTRADEVCO_INDUSTRIAL_SA"/>
    <s v="OTRAS VICEPRESIDENCIAS"/>
    <s v="OTRAS DIRECCIONES"/>
    <s v="RELACIONES LABORALES"/>
    <x v="23"/>
    <s v="OTRAS DIRECCIONES"/>
    <x v="115"/>
    <d v="1899-12-30T02:45:00"/>
    <s v="Turno 1"/>
    <s v="miércoles"/>
    <s v="MALPARTIDA TORRES"/>
    <s v=" ANGEL"/>
    <m/>
    <m/>
    <m/>
    <m/>
    <m/>
    <m/>
    <s v="AMERICA CAUTERING"/>
    <s v="Tercero-servicios de alimentación"/>
    <s v="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s v="Intoxicación"/>
    <n v="2"/>
    <s v="Sustancia química de desinsectación "/>
    <s v="Liderazgo y/o Supervisión Inadecuados"/>
    <s v="Identificación y evaluación inadecuadas de exposición a pérdidas"/>
    <s v="CONDICIÓN INSEGURA"/>
    <s v="T3"/>
    <m/>
  </r>
  <r>
    <m/>
    <s v="INTRADEVCO_INDUSTRIAL_SA"/>
    <s v="OTRAS VICEPRESIDENCIAS"/>
    <s v="OTRAS DIRECCIONES"/>
    <s v="RELACIONES LABORALES"/>
    <x v="23"/>
    <s v="OTRAS DIRECCIONES"/>
    <x v="115"/>
    <d v="1899-12-30T02:45:00"/>
    <s v="Turno 1"/>
    <s v="miércoles"/>
    <s v="NASHNATE UNICAHUARI "/>
    <s v="HERMES"/>
    <m/>
    <m/>
    <m/>
    <m/>
    <m/>
    <m/>
    <s v="AMERICA CAUTERING"/>
    <s v="Tercero-servicios de alimentación"/>
    <s v="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s v="Intoxicación"/>
    <n v="4"/>
    <s v="Sustancia química de desinsectación "/>
    <s v="Liderazgo y/o Supervisión Inadecuados"/>
    <s v="Identificación y evaluación inadecuadas de exposición a pérdidas"/>
    <s v="CONDICIÓN INSEGURA"/>
    <s v="T3"/>
    <m/>
  </r>
  <r>
    <m/>
    <s v="INTRADEVCO_INDUSTRIAL_SA"/>
    <s v="OTRAS VICEPRESIDENCIAS"/>
    <s v="OTRAS DIRECCIONES"/>
    <s v="RELACIONES LABORALES"/>
    <x v="23"/>
    <s v="OTRAS DIRECCIONES"/>
    <x v="115"/>
    <d v="1899-12-30T02:45:00"/>
    <s v="Turno 1"/>
    <s v="miércoles"/>
    <s v="VILCAS GAMBOA "/>
    <s v="GERALDINE SONIA"/>
    <m/>
    <m/>
    <m/>
    <m/>
    <m/>
    <m/>
    <s v="AMERICA CAUTERING"/>
    <s v="Tercero-servicios de alimentación"/>
    <s v="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s v="Intoxicación"/>
    <n v="2"/>
    <s v="Sustancia química de desinsectación "/>
    <s v="Liderazgo y/o Supervisión Inadecuados"/>
    <s v="Identificación y evaluación inadecuadas de exposición a pérdidas"/>
    <s v="CONDICIÓN INSEGURA"/>
    <s v="T3"/>
    <m/>
  </r>
  <r>
    <m/>
    <s v="INTRADEVCO_INDUSTRIAL_SA"/>
    <s v="OTRAS VICEPRESIDENCIAS"/>
    <s v="OTRAS DIRECCIONES"/>
    <s v="RELACIONES LABORALES"/>
    <x v="23"/>
    <s v="OTRAS DIRECCIONES"/>
    <x v="115"/>
    <d v="1899-12-30T02:45:00"/>
    <s v="Turno 1"/>
    <s v="miércoles"/>
    <s v="YOVERA FLORES "/>
    <s v="GEYDE YSABED"/>
    <m/>
    <m/>
    <m/>
    <m/>
    <m/>
    <m/>
    <s v="AMERICA CAUTERING"/>
    <s v="Tercero-servicios de alimentación"/>
    <s v="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s v="Intoxicación"/>
    <n v="2"/>
    <s v="Sustancia química de desinsectación "/>
    <s v="Liderazgo y/o Supervisión Inadecuados"/>
    <s v="Identificación y evaluación inadecuadas de exposición a pérdidas"/>
    <s v="CONDICIÓN INSEGURA"/>
    <s v="T3"/>
    <m/>
  </r>
  <r>
    <m/>
    <s v="INTRADEVCO_INDUSTRIAL_SA"/>
    <s v="OTRAS VICEPRESIDENCIAS"/>
    <s v="OTRAS DIRECCIONES"/>
    <s v="RELACIONES LABORALES"/>
    <x v="23"/>
    <s v="OTRAS DIRECCIONES"/>
    <x v="115"/>
    <d v="1899-12-30T02:45:00"/>
    <s v="Turno 1"/>
    <s v="miércoles"/>
    <s v="BRACHO GRATEROL"/>
    <s v=" AERLIN"/>
    <m/>
    <m/>
    <m/>
    <m/>
    <m/>
    <m/>
    <s v="AMERICA CAUTERING"/>
    <s v="Tercero-servicios de alimentación"/>
    <s v="Siendo las 10:30 am, el colaborador de la empresa American Catering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s v="Intoxicación"/>
    <n v="4"/>
    <s v="Sustancia química de desinsectación "/>
    <s v="Liderazgo y/o Supervisión Inadecuados"/>
    <s v="Identificación y evaluación inadecuadas de exposición a pérdidas"/>
    <s v="CONDICIÓN INSEGURA"/>
    <s v="T3"/>
    <m/>
  </r>
  <r>
    <m/>
    <s v="INTRADEVCO_INDUSTRIAL_SA"/>
    <s v="OTRAS VICEPRESIDENCIAS"/>
    <s v="OTRAS DIRECCIONES"/>
    <s v="ADMINISTRACION"/>
    <x v="23"/>
    <s v="OTRAS DIRECCIONES"/>
    <x v="115"/>
    <d v="1899-12-30T02:45:00"/>
    <s v="Turno 1"/>
    <s v="miércoles"/>
    <s v="GONZALES MOQUILLAZA"/>
    <s v=" ROSA ANGELICA"/>
    <m/>
    <m/>
    <m/>
    <m/>
    <m/>
    <m/>
    <s v="CLEANED"/>
    <s v="Tercero - Limpieza"/>
    <s v="El colaborador de la empresa Cleaned informa a su encargada de la presencia de sintomatología relacionada a intoxicación (Dolor de cabeza, náuseas, mareos, urticaria, etc). Pasado unos minutos, más colaboradores de la concesionaria empiezan a presentar los mismos síntomas, por lo que también son derivados. Adicional a ello, durante el paso de las horas aparece personal de la empresa Clean Force con sintomatología similar. _x000a_Cabe agregar que el mismo día aproximadamente a las 02:45 am se ejecuta la desinsectación de ambientes de dicho comedor."/>
    <s v="Intoxicación"/>
    <n v="8"/>
    <s v="Sustancia química de desinsectación "/>
    <s v="Liderazgo y/o Supervisión Inadecuados"/>
    <s v="Identificación y evaluación inadecuadas de exposición a pérdidas"/>
    <s v="CONDICIÓN INSEGURA"/>
    <s v="T3"/>
    <m/>
  </r>
  <r>
    <m/>
    <s v="INTRADEVCO_INDUSTRIAL_SA"/>
    <s v="OTRAS VICEPRESIDENCIAS"/>
    <s v="OTRAS DIRECCIONES"/>
    <s v="ADMINISTRACION"/>
    <x v="23"/>
    <s v="OTRAS DIRECCIONES"/>
    <x v="115"/>
    <d v="1899-12-30T02:45:00"/>
    <s v="Turno 1"/>
    <s v="miércoles"/>
    <s v="ROBLES GARCIA "/>
    <s v="YAHAIRA LISSET"/>
    <m/>
    <m/>
    <m/>
    <m/>
    <m/>
    <m/>
    <s v="CLEANED"/>
    <s v="Tercero - Limpieza"/>
    <s v="El colaborador de la empresa Cleaned informa a su encargada de la presencia de sintomatología relacionada a intoxicación (Dolor de cabeza, náuseas, mareos, urticaria, etc). Pasado unos minutos, más colaboradores de la concesionaria empiezan a presentar los mismos síntomas, por lo que también son derivados. "/>
    <s v="Intoxicación"/>
    <n v="6"/>
    <s v="Sustancia química de desinsectación "/>
    <s v="Liderazgo y/o Supervisión Inadecuados"/>
    <s v="Identificación y evaluación inadecuadas de exposición a pérdidas"/>
    <s v="CONDICIÓN INSEGURA"/>
    <s v="T3"/>
    <m/>
  </r>
  <r>
    <m/>
    <s v="ALICORP_SAA"/>
    <s v="SUPPLY CHAIN"/>
    <s v="MANUFACTURA"/>
    <s v="MOLINOS"/>
    <x v="20"/>
    <s v="SIDSUR"/>
    <x v="116"/>
    <d v="1899-12-30T10:20:00"/>
    <s v="Turno 1"/>
    <s v="miércoles"/>
    <s v="SILLOCA SILLOCA "/>
    <s v="VITALIANO WENCESLAO"/>
    <m/>
    <m/>
    <m/>
    <m/>
    <m/>
    <m/>
    <s v="ALICORP S.A.A"/>
    <s v="PROPIO"/>
    <s v="Siendo aproximadamente las 10:20 a.m., el trabajador se encontraba realizando la apertura manual de la puerta corrediza de recepción de materiales para el área de materias primas de Galletería, sujetando la manija con la mano izquierda y apoyando la mano derecha sobre la pared. Durante la maniobra, al ejercer fuerza sobre la manija porque presentaba dureza en el recorrido, ocasionó el atrapamiento del primer dedo de la mano derecha entre la manija de la puerta y la pared. De forma inmediata, el trabajador fue trasladado al tópico de la empresa, donde recibió atención médica preliminar y posteriormente se deriva a la Clinica San Juan de Dios."/>
    <s v="Contusión / aplastamiento del primer dedo de la mano derecha."/>
    <n v="6"/>
    <s v=" Puerta corrediza manual "/>
    <s v="Herramientas y Equipo Inadecuados"/>
    <s v="Ajuste / reparación / mantenimiento inadecuados"/>
    <s v="CONDICIÓN INSEGURA"/>
    <s v="T3"/>
    <m/>
  </r>
  <r>
    <m/>
    <s v="INTRADEVCO_INDUSTRIAL_SA"/>
    <s v="SUPPLY CHAIN"/>
    <s v="MANUFACTURA"/>
    <s v="HOME Y PERSONAL CARE"/>
    <x v="23"/>
    <s v="LURÍN 2"/>
    <x v="116"/>
    <d v="1899-12-30T02:45:00"/>
    <s v="Turno 1"/>
    <s v="miércoles"/>
    <s v="OCHOA ROCA "/>
    <s v="JUAN CARLOS"/>
    <m/>
    <m/>
    <m/>
    <m/>
    <m/>
    <m/>
    <s v="INDUSTRIAS DEL ESPINO_SA"/>
    <s v="PROPIO"/>
    <s v="El colaborador se encontraba realizando labores en el área de Envasado cuando intentó orientar un ventilador para dirigir el flujo de aire hacia su posición de trabajo. Durante esta acción, tomó el ventilador con ambas manos desde la guarda tipo rejilla y no se percató de que esta presentaba una deformación, ocasionando que uno de sus dedos rozara con las aletas del ventilador, produciéndose un corte._x000a_El colaborador fue trasladado al tópico para su atención médica. Actualmente, se viene realizando la investigación del evento para determinar las causas y establecer las acciones correspondientes"/>
    <s v="Corte (laceración) en dedo de la mano."/>
    <n v="2"/>
    <s v="Ventilador con guarda/rejilla deformada"/>
    <s v="Herramientas y Equipo Inadecuados"/>
    <s v="Remoción y reemplazo inadecuado de artículos inapropiados"/>
    <s v="CONDICIÓN INSEGURA"/>
    <s v="T3"/>
    <m/>
  </r>
  <r>
    <m/>
    <s v="INTRADEVCO_INDUSTRIAL_SA"/>
    <s v="SUPPLY CHAIN"/>
    <s v="MANUFACTURA"/>
    <s v="HOME Y PERSONAL CARE"/>
    <x v="7"/>
    <s v="OTRAS DIRECCIONES"/>
    <x v="116"/>
    <m/>
    <m/>
    <s v="miércoles"/>
    <s v="RIOS RIOJA "/>
    <s v="ROCIO CAMILA"/>
    <m/>
    <m/>
    <m/>
    <m/>
    <m/>
    <m/>
    <s v="CONSULTING"/>
    <s v="Service"/>
    <s v="Un colaboradora de la empresa Consulting Advisers se encontraba realizando labores de tapado manual de potes, durante la actividad la colaboradora se encontraba de pie sobre una plataforma de trabajo. Al realizar un movimiento durante la ejecución de la tarea, apoyó el pie fuera del borde de la plataforma, perdiendo la estabilidad. Como consecuencia, sufrió la torcedura del tobillo derecho. Tras el evento, se la derivo al tópico de planta donde se le aplico la medicina correspondiente. Al finalizar el turno el dolor se intensificó y fue derivada a la clínica para atención especializada.  _x000a_"/>
    <s v="Esguince de tobillo derecho."/>
    <n v="6"/>
    <s v="Plataforma de trabajo (borde de la plataforma)"/>
    <s v="Ingeniería inadecuada"/>
    <s v="Consideración inadecuada de factores humanos / ergonomía"/>
    <s v="ACTO INSEGURO"/>
    <s v="T3"/>
    <m/>
  </r>
  <r>
    <m/>
    <s v="ALICORP_SAA"/>
    <s v="SUPPLY CHAIN"/>
    <s v="MANUFACTURA"/>
    <s v="FARINACEOS"/>
    <x v="3"/>
    <s v="OTRAS DIRECCIONES"/>
    <x v="117"/>
    <d v="1899-12-30T18:00:00"/>
    <s v="Turno 2"/>
    <s v="jueves"/>
    <s v="GUERRA TORO "/>
    <s v="TEODORO JOSÉ"/>
    <m/>
    <m/>
    <m/>
    <m/>
    <m/>
    <m/>
    <s v="PROLABORA"/>
    <s v="Service"/>
    <s v="Aproximadamente a las 18:00 horas, durante el abastecimiento de paletas de manteca, el operador del apilador impactó la estructura del equipo TAWI. Como consecuencia del impacto, uno de los rieles de la estructura se desprendió y cayó sobre la espalda de un operador tercero, quien se encontraba realizando la actividad de abastecimiento de manteca en ese momento."/>
    <s v="Contusión en la espalda."/>
    <n v="2"/>
    <s v="Riel desprendido de la estructura"/>
    <s v="Ingeniería inadecuada"/>
    <s v="Evaluación inadecuada de exposición a pérdidas"/>
    <s v="ACTO INSEGURO"/>
    <s v="T3"/>
    <m/>
  </r>
  <r>
    <m/>
    <s v="ALICORP_SAA"/>
    <s v="SUPPLY CHAIN"/>
    <s v="MANUFACTURA"/>
    <s v="FARINACEOS"/>
    <x v="15"/>
    <s v="PANETONES"/>
    <x v="118"/>
    <d v="1899-12-30T10:20:00"/>
    <s v="Turno 1"/>
    <s v="viernes"/>
    <s v="CASTILLO MOLINA "/>
    <s v="JUAN CARLOS"/>
    <m/>
    <m/>
    <m/>
    <m/>
    <m/>
    <m/>
    <s v="ALICORP S.A.A"/>
    <s v="PROPIO"/>
    <s v="Trabajador quien refiere que mientras se encontraba realizando manipulacion de un balde con contenido de dos bolsas de yemas, con un peso aproximado de 2 kg cada una, el cual se encontraba ubicado sobre un estante a una altura aproximada entre 1.20 y 1.50 metros. refiere que, al momento de intentar abrir la tapa del balde, observa que este presentaba humedad externa por condensación, provocando que se resbalara de sus manos. como consecuencia, el balde cae y roza directamente la cara anterolateral de la pierna derecha, posterior refiere no presentar dolor importante ni limitación funcional. sin embargo, si hay dolor a la digitopresión sobre la zona de impacto y aumento de volumen."/>
    <s v="Contusión en pierna derecha"/>
    <n v="3"/>
    <s v="Balde con contenido almacenado en altura"/>
    <s v="Estándares de trabajo inadecuados"/>
    <s v="Inventario y evaluación de exposiciones y necesidades"/>
    <s v="CONDICIÓN INSEGURA"/>
    <s v="T3"/>
    <m/>
  </r>
  <r>
    <m/>
    <s v="INTRADEVCO_INDUSTRIAL_SA"/>
    <s v="OTRAS VICEPRESIDENCIAS"/>
    <s v="OTRAS VICEPRESIDENCIAS"/>
    <s v="HOME Y PERSONAL CARE"/>
    <x v="23"/>
    <s v="OTRAS DIRECCIONES"/>
    <x v="119"/>
    <m/>
    <m/>
    <s v="lunes"/>
    <s v="BRACHO GRATEROL "/>
    <s v="AERLIN"/>
    <m/>
    <m/>
    <m/>
    <m/>
    <m/>
    <m/>
    <s v="AMERICA CAUTERING"/>
    <s v="Tercero-servicios de alimentación"/>
    <s v="PACIENTE REFIERE QUE SE ENCONTRABA CAMINANDO EN COMEDOR, EL PISO SE ECONTRABA MOJADO POR LO QUE RESBALA, SUFRIENDO CAIDA DE ESPALDAS, GENERANDO CONTUSION EN HEMICUERPO IZQUIERDO, REFIERE DOLOR EN REGION CERVICAL Y LUMBAR IZQUIERDA EVA 9/10 , NO CONTUSION EN CABEZA NI PERDIDA DE CONCIENCIA . POR LO QUE ES TRAIDA A TOPICO PARA VALORACION Y CONDUCTA."/>
    <m/>
    <n v="2"/>
    <m/>
    <m/>
    <m/>
    <m/>
    <s v="T3"/>
    <m/>
  </r>
  <r>
    <m/>
    <s v="INTRADEVCO_INDUSTRIAL_SA"/>
    <s v="OTRAS VICEPRESIDENCIAS"/>
    <s v="OTRAS VICEPRESIDENCIAS"/>
    <s v="HOME Y PERSONAL CARE"/>
    <x v="23"/>
    <s v="OTRAS DIRECCIONES"/>
    <x v="120"/>
    <m/>
    <m/>
    <s v="martes"/>
    <s v="FERNANDEZ QUISPE "/>
    <s v="JOSSELIN JUDITH"/>
    <m/>
    <m/>
    <m/>
    <m/>
    <m/>
    <m/>
    <s v="AMERICA CATERING"/>
    <s v="Tercero-servicios de alimentación"/>
    <s v="PACIENTE REFIERE QUE, MIENTRAS REALIZABA SUS LABORES, SE DESPLAZÓ A OTRA ÁREA PARA RECOGER UN MATERIAL. AL RETORNAR A SU PUESTO, SUFRIÓ UN RESBALÓN CON CAÍDA A NIVEL DEL SUELO, IMPACTANDO LA REGIÓN OCCIPITAL DE LA CABEZA. POSTERIORMENTE PRESENTA DOLOR LOCALIZADO EN LA REGIÓN OCCIPITAL. REFIERE ADEMÁS HABER PRESENTADO NÁUSEAS POSTERIORES AL EVENTO. NIEGA PÉRDIDA DE CONOCIMIENTO, VÓMITOS, CONVULSIONES Y OTROS SÍNTOMAS ASOCIADOS."/>
    <m/>
    <n v="2"/>
    <m/>
    <m/>
    <m/>
    <m/>
    <s v="T3"/>
    <m/>
  </r>
  <r>
    <m/>
    <s v="ALICORP_SAA"/>
    <s v="SUPPLY CHAIN"/>
    <s v="MANUFACTURA"/>
    <s v="FARINACEOS"/>
    <x v="15"/>
    <s v="PANETONES"/>
    <x v="121"/>
    <m/>
    <m/>
    <s v="miércoles"/>
    <s v="RAMIREZ MATSUBARA "/>
    <s v="TEOFILO MANUEL"/>
    <m/>
    <m/>
    <m/>
    <m/>
    <m/>
    <m/>
    <s v="ALICORP S.A.A."/>
    <s v="PROPIO"/>
    <s v="TRABAJADOR QUIEN REFIERE QUE MIENTRAS SE ENCONTRABA REALIZANDO SUS FUNCIONES LABORALES HABITUALES DE BANDEJEO EN CONJUNTO CON UN COMPAÑERO, POSTERIOR A COLOCAR LOS PANETONES EN UNA BANDEJA, AMBOS PROCEDIERON A TRANSPORTARLA HACIA EL ÁREA CORRESPONDIENTE. REFIERE QUE DURANTE EL TRASLADO SE PRODUCE UNA DESCOORDINACIÓN EN LA MANIPULACIÓN DE LA CARGA, OCASIONANDO QUE LA BANDEJA IMPACTE DIRECTAMENTE SOBRE EL DORSO DE LA MANO IZQUIERDA, COMPROMETIENDO PRINCIPALMENTE LA REGIÓN DORSAL ENTRE LA BASE DEL CUARTO Y QUINTO DEDO. POSTERIOR AL IMPACTO PRESENTA DOLOR DE MODERADA INTENSIDAD, EVA 5/10, DE CARÁCTER PUNZANTE, LOCALIZADO EN EL ÁREA AFECTADA, EL CUAL SE EXACERBA A LA DIGITOPRESIÓN Y DURANTE LA FUERZA DE AGARRE. NIEGA PARESTESIAS, HERIDA ABIERTA, SANGRADO, LIMITACIÓN IMPORTANTE PARA LOS MOVIMIENTOS DE LA MANO O CUALQUIER OTRA SINTOMATOLOGÍA ASOCIADA, ACUDIENDO A TÓPICO PARA EVALUACIÓN MÉDICA."/>
    <m/>
    <n v="18"/>
    <m/>
    <m/>
    <m/>
    <m/>
    <s v="T3"/>
    <m/>
  </r>
  <r>
    <m/>
    <m/>
    <m/>
    <m/>
    <m/>
    <x v="42"/>
    <m/>
    <x v="122"/>
    <m/>
    <m/>
    <m/>
    <m/>
    <m/>
    <m/>
    <m/>
    <m/>
    <m/>
    <m/>
    <m/>
    <m/>
    <m/>
    <m/>
    <m/>
    <m/>
    <m/>
    <m/>
    <m/>
    <m/>
    <m/>
    <m/>
  </r>
  <r>
    <m/>
    <m/>
    <m/>
    <m/>
    <m/>
    <x v="42"/>
    <m/>
    <x v="122"/>
    <m/>
    <m/>
    <m/>
    <m/>
    <m/>
    <m/>
    <m/>
    <m/>
    <m/>
    <m/>
    <m/>
    <m/>
    <m/>
    <m/>
    <m/>
    <m/>
    <m/>
    <m/>
    <m/>
    <m/>
    <m/>
    <m/>
  </r>
  <r>
    <m/>
    <m/>
    <m/>
    <m/>
    <m/>
    <x v="42"/>
    <m/>
    <x v="122"/>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08E646-9115-495F-906A-F3F0180F31AE}" name="TablaDinámica1" cacheId="2" applyNumberFormats="0" applyBorderFormats="0" applyFontFormats="0" applyPatternFormats="0" applyAlignmentFormats="0" applyWidthHeightFormats="1" dataCaption="Valores" updatedVersion="8" minRefreshableVersion="5" useAutoFormatting="1" itemPrintTitles="1" createdVersion="8" indent="0" outline="1" outlineData="1" multipleFieldFilters="0">
  <location ref="A3:A47" firstHeaderRow="1" firstDataRow="1" firstDataCol="1"/>
  <pivotFields count="30">
    <pivotField showAll="0"/>
    <pivotField showAll="0"/>
    <pivotField showAll="0"/>
    <pivotField showAll="0"/>
    <pivotField showAll="0"/>
    <pivotField axis="axisRow" showAll="0">
      <items count="44">
        <item x="10"/>
        <item x="26"/>
        <item x="24"/>
        <item x="13"/>
        <item x="32"/>
        <item x="8"/>
        <item x="11"/>
        <item x="1"/>
        <item x="27"/>
        <item x="34"/>
        <item x="4"/>
        <item x="22"/>
        <item x="5"/>
        <item x="33"/>
        <item x="18"/>
        <item x="0"/>
        <item x="39"/>
        <item x="3"/>
        <item x="36"/>
        <item x="21"/>
        <item x="12"/>
        <item x="6"/>
        <item x="23"/>
        <item x="40"/>
        <item x="7"/>
        <item x="14"/>
        <item x="35"/>
        <item x="29"/>
        <item x="9"/>
        <item x="19"/>
        <item x="38"/>
        <item x="25"/>
        <item x="37"/>
        <item x="17"/>
        <item x="15"/>
        <item x="16"/>
        <item x="31"/>
        <item x="28"/>
        <item x="41"/>
        <item x="20"/>
        <item x="2"/>
        <item x="42"/>
        <item x="30"/>
        <item t="default"/>
      </items>
    </pivotField>
    <pivotField showAll="0"/>
    <pivotField showAll="0">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8"/>
        <item x="107"/>
        <item x="110"/>
        <item x="109"/>
        <item x="111"/>
        <item x="112"/>
        <item x="113"/>
        <item x="114"/>
        <item x="115"/>
        <item x="118"/>
        <item x="116"/>
        <item x="117"/>
        <item x="119"/>
        <item x="120"/>
        <item x="121"/>
        <item x="1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194B24-D498-4B4D-8A47-2E6C51BB2D0C}"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A6:B8" firstHeaderRow="1" firstDataRow="1" firstDataCol="1" rowPageCount="3" colPageCount="1"/>
  <pivotFields count="33">
    <pivotField showAll="0"/>
    <pivotField showAll="0">
      <items count="8">
        <item x="2"/>
        <item x="0"/>
        <item x="4"/>
        <item x="1"/>
        <item x="5"/>
        <item x="3"/>
        <item m="1" x="6"/>
        <item t="default"/>
      </items>
    </pivotField>
    <pivotField showAll="0"/>
    <pivotField axis="axisPage" multipleItemSelectionAllowed="1" showAll="0">
      <items count="6">
        <item x="1"/>
        <item x="0"/>
        <item x="2"/>
        <item m="1" x="4"/>
        <item x="3"/>
        <item t="default"/>
      </items>
    </pivotField>
    <pivotField showAll="0">
      <items count="21">
        <item x="9"/>
        <item x="12"/>
        <item x="18"/>
        <item x="5"/>
        <item x="0"/>
        <item x="3"/>
        <item x="15"/>
        <item x="10"/>
        <item x="17"/>
        <item x="14"/>
        <item x="8"/>
        <item x="7"/>
        <item x="4"/>
        <item x="16"/>
        <item x="11"/>
        <item x="1"/>
        <item x="6"/>
        <item x="2"/>
        <item x="13"/>
        <item m="1" x="19"/>
        <item t="default"/>
      </items>
    </pivotField>
    <pivotField showAll="0">
      <items count="44">
        <item x="10"/>
        <item x="26"/>
        <item x="24"/>
        <item x="13"/>
        <item x="31"/>
        <item x="8"/>
        <item x="11"/>
        <item x="1"/>
        <item x="27"/>
        <item x="33"/>
        <item x="4"/>
        <item x="22"/>
        <item x="5"/>
        <item x="32"/>
        <item x="18"/>
        <item x="0"/>
        <item x="38"/>
        <item m="1" x="41"/>
        <item x="3"/>
        <item x="35"/>
        <item x="21"/>
        <item x="12"/>
        <item x="6"/>
        <item x="23"/>
        <item x="39"/>
        <item x="7"/>
        <item x="14"/>
        <item x="34"/>
        <item x="29"/>
        <item x="9"/>
        <item x="19"/>
        <item x="37"/>
        <item x="25"/>
        <item x="36"/>
        <item x="17"/>
        <item x="15"/>
        <item x="16"/>
        <item x="30"/>
        <item x="28"/>
        <item x="40"/>
        <item x="20"/>
        <item x="2"/>
        <item m="1" x="42"/>
        <item t="default"/>
      </items>
    </pivotField>
    <pivotField showAll="0"/>
    <pivotField axis="axisRow" showAll="0">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showAll="0"/>
    <pivotField showAll="0"/>
    <pivotField showAll="0"/>
    <pivotField showAll="0"/>
    <pivotField showAll="0"/>
    <pivotField showAll="0"/>
    <pivotField showAll="0"/>
    <pivotField showAll="0"/>
    <pivotField showAll="0"/>
    <pivotField showAll="0"/>
    <pivotField showAll="0">
      <items count="6">
        <item x="4"/>
        <item x="2"/>
        <item x="1"/>
        <item x="3"/>
        <item x="0"/>
        <item t="default"/>
      </items>
    </pivotField>
    <pivotField dataField="1" showAll="0"/>
    <pivotField showAll="0"/>
    <pivotField showAll="0"/>
    <pivotField axis="axisPage" showAll="0">
      <items count="87">
        <item x="0"/>
        <item x="17"/>
        <item x="14"/>
        <item x="25"/>
        <item x="29"/>
        <item x="13"/>
        <item x="7"/>
        <item x="40"/>
        <item x="28"/>
        <item x="42"/>
        <item x="34"/>
        <item x="24"/>
        <item x="36"/>
        <item x="30"/>
        <item x="51"/>
        <item x="43"/>
        <item x="39"/>
        <item x="31"/>
        <item x="4"/>
        <item x="6"/>
        <item x="50"/>
        <item x="52"/>
        <item x="19"/>
        <item x="12"/>
        <item x="5"/>
        <item x="49"/>
        <item x="46"/>
        <item x="48"/>
        <item x="26"/>
        <item x="3"/>
        <item x="41"/>
        <item x="10"/>
        <item x="45"/>
        <item x="44"/>
        <item x="37"/>
        <item x="38"/>
        <item x="2"/>
        <item x="23"/>
        <item x="1"/>
        <item x="8"/>
        <item x="32"/>
        <item x="27"/>
        <item x="11"/>
        <item x="21"/>
        <item x="9"/>
        <item x="18"/>
        <item x="35"/>
        <item x="47"/>
        <item x="15"/>
        <item x="20"/>
        <item x="16"/>
        <item x="22"/>
        <item x="33"/>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showAll="0"/>
    <pivotField showAll="0">
      <items count="93">
        <item x="85"/>
        <item x="72"/>
        <item x="66"/>
        <item x="80"/>
        <item x="25"/>
        <item x="43"/>
        <item x="23"/>
        <item x="81"/>
        <item x="89"/>
        <item x="71"/>
        <item x="60"/>
        <item x="10"/>
        <item x="26"/>
        <item x="46"/>
        <item x="14"/>
        <item x="17"/>
        <item x="22"/>
        <item x="48"/>
        <item x="79"/>
        <item x="6"/>
        <item x="39"/>
        <item x="58"/>
        <item x="77"/>
        <item x="61"/>
        <item x="33"/>
        <item x="54"/>
        <item x="12"/>
        <item x="19"/>
        <item x="65"/>
        <item x="40"/>
        <item x="28"/>
        <item x="3"/>
        <item x="1"/>
        <item x="42"/>
        <item x="47"/>
        <item x="21"/>
        <item x="5"/>
        <item m="1" x="91"/>
        <item x="67"/>
        <item x="78"/>
        <item x="55"/>
        <item x="15"/>
        <item x="63"/>
        <item x="62"/>
        <item x="76"/>
        <item x="16"/>
        <item x="29"/>
        <item x="2"/>
        <item x="11"/>
        <item x="52"/>
        <item x="56"/>
        <item x="44"/>
        <item x="8"/>
        <item x="45"/>
        <item x="69"/>
        <item x="0"/>
        <item x="27"/>
        <item x="36"/>
        <item x="7"/>
        <item x="35"/>
        <item x="30"/>
        <item x="18"/>
        <item x="38"/>
        <item x="50"/>
        <item x="4"/>
        <item x="87"/>
        <item x="31"/>
        <item m="1" x="90"/>
        <item x="74"/>
        <item x="59"/>
        <item x="68"/>
        <item x="53"/>
        <item x="82"/>
        <item x="88"/>
        <item x="57"/>
        <item x="51"/>
        <item x="75"/>
        <item x="37"/>
        <item x="34"/>
        <item x="73"/>
        <item x="49"/>
        <item x="83"/>
        <item x="13"/>
        <item x="70"/>
        <item x="32"/>
        <item x="41"/>
        <item x="9"/>
        <item x="20"/>
        <item x="84"/>
        <item x="86"/>
        <item x="64"/>
        <item x="24"/>
        <item t="default"/>
      </items>
    </pivotField>
    <pivotField showAll="0"/>
    <pivotField axis="axisPage" showAll="0">
      <items count="37">
        <item x="4"/>
        <item x="7"/>
        <item m="1" x="33"/>
        <item m="1" x="31"/>
        <item x="16"/>
        <item x="14"/>
        <item x="17"/>
        <item x="8"/>
        <item x="25"/>
        <item x="9"/>
        <item x="15"/>
        <item m="1" x="34"/>
        <item x="12"/>
        <item x="21"/>
        <item x="0"/>
        <item x="23"/>
        <item x="6"/>
        <item x="18"/>
        <item x="22"/>
        <item x="13"/>
        <item x="3"/>
        <item x="10"/>
        <item m="1" x="32"/>
        <item x="5"/>
        <item x="11"/>
        <item m="1" x="35"/>
        <item x="2"/>
        <item x="1"/>
        <item x="20"/>
        <item x="19"/>
        <item x="24"/>
        <item x="26"/>
        <item x="27"/>
        <item x="28"/>
        <item x="29"/>
        <item x="30"/>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5">
        <item h="1" sd="0" x="0"/>
        <item h="1" sd="0" x="1"/>
        <item sd="0" x="2"/>
        <item h="1" x="3"/>
        <item t="default"/>
      </items>
    </pivotField>
  </pivotFields>
  <rowFields count="3">
    <field x="32"/>
    <field x="30"/>
    <field x="7"/>
  </rowFields>
  <rowItems count="2">
    <i>
      <x v="2"/>
    </i>
    <i t="grand">
      <x/>
    </i>
  </rowItems>
  <colItems count="1">
    <i/>
  </colItems>
  <pageFields count="3">
    <pageField fld="26" hier="-1"/>
    <pageField fld="22" hier="-1"/>
    <pageField fld="3" hier="-1"/>
  </pageFields>
  <dataFields count="1">
    <dataField name="Cuenta de EMPRESA" fld="19" subtotal="count" baseField="0" baseItem="0"/>
  </dataFields>
  <formats count="14">
    <format dxfId="35">
      <pivotArea type="all" dataOnly="0" outline="0" fieldPosition="0"/>
    </format>
    <format dxfId="34">
      <pivotArea outline="0" collapsedLevelsAreSubtotals="1" fieldPosition="0"/>
    </format>
    <format dxfId="33">
      <pivotArea field="32" type="button" dataOnly="0" labelOnly="1" outline="0" axis="axisRow" fieldPosition="0"/>
    </format>
    <format dxfId="32">
      <pivotArea dataOnly="0" labelOnly="1" fieldPosition="0">
        <references count="1">
          <reference field="32" count="2">
            <x v="1"/>
            <x v="2"/>
          </reference>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32" type="button" dataOnly="0" labelOnly="1" outline="0" axis="axisRow" fieldPosition="0"/>
    </format>
    <format dxfId="26">
      <pivotArea dataOnly="0" labelOnly="1" fieldPosition="0">
        <references count="1">
          <reference field="32" count="2">
            <x v="1"/>
            <x v="2"/>
          </reference>
        </references>
      </pivotArea>
    </format>
    <format dxfId="25">
      <pivotArea dataOnly="0" labelOnly="1" grandRow="1" outline="0" fieldPosition="0"/>
    </format>
    <format dxfId="24">
      <pivotArea dataOnly="0" labelOnly="1" outline="0" axis="axisValues" fieldPosition="0"/>
    </format>
    <format dxfId="23">
      <pivotArea field="32" type="button" dataOnly="0" labelOnly="1" outline="0" axis="axisRow" fieldPosition="0"/>
    </format>
    <format dxfId="22">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32" count="1" selected="0">
            <x v="2"/>
          </reference>
        </references>
      </pivotArea>
    </chartFormat>
    <chartFormat chart="1" format="4">
      <pivotArea type="data" outline="0" fieldPosition="0">
        <references count="2">
          <reference field="4294967294" count="1" selected="0">
            <x v="0"/>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3A5E8B-394C-4F9E-B7B2-C4DBD3BE2C43}"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99" firstHeaderRow="1" firstDataRow="1" firstDataCol="1" rowPageCount="2" colPageCount="1"/>
  <pivotFields count="7">
    <pivotField axis="axisRow" showAll="0">
      <items count="76">
        <item x="69"/>
        <item x="12"/>
        <item x="19"/>
        <item x="64"/>
        <item x="42"/>
        <item x="48"/>
        <item x="8"/>
        <item x="16"/>
        <item x="49"/>
        <item x="29"/>
        <item x="57"/>
        <item x="55"/>
        <item x="60"/>
        <item x="73"/>
        <item x="15"/>
        <item x="38"/>
        <item x="53"/>
        <item x="72"/>
        <item x="58"/>
        <item x="44"/>
        <item x="14"/>
        <item x="4"/>
        <item x="33"/>
        <item x="50"/>
        <item x="7"/>
        <item x="71"/>
        <item x="5"/>
        <item x="39"/>
        <item x="6"/>
        <item x="51"/>
        <item x="9"/>
        <item x="18"/>
        <item x="24"/>
        <item x="67"/>
        <item x="47"/>
        <item x="41"/>
        <item x="68"/>
        <item x="74"/>
        <item x="27"/>
        <item x="52"/>
        <item x="40"/>
        <item x="1"/>
        <item x="11"/>
        <item x="10"/>
        <item x="34"/>
        <item x="59"/>
        <item x="28"/>
        <item x="35"/>
        <item x="0"/>
        <item x="56"/>
        <item x="62"/>
        <item x="17"/>
        <item x="63"/>
        <item x="3"/>
        <item x="37"/>
        <item x="25"/>
        <item x="26"/>
        <item x="46"/>
        <item x="66"/>
        <item x="2"/>
        <item x="43"/>
        <item x="13"/>
        <item x="21"/>
        <item x="36"/>
        <item x="70"/>
        <item x="32"/>
        <item x="31"/>
        <item x="45"/>
        <item x="65"/>
        <item x="22"/>
        <item x="54"/>
        <item x="23"/>
        <item x="30"/>
        <item x="61"/>
        <item x="20"/>
        <item t="default"/>
      </items>
    </pivotField>
    <pivotField axis="axisPage" numFmtId="14" multipleItemSelectionAllowed="1" showAll="0" defaultSubtotal="0">
      <items count="145">
        <item h="1" x="12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x="88"/>
        <item x="89"/>
        <item x="90"/>
        <item x="91"/>
        <item x="92"/>
        <item x="93"/>
        <item x="96"/>
        <item x="94"/>
        <item x="95"/>
        <item x="97"/>
        <item x="98"/>
        <item x="99"/>
        <item x="101"/>
        <item x="100"/>
        <item x="102"/>
        <item x="103"/>
        <item x="104"/>
        <item x="106"/>
        <item x="105"/>
        <item x="107"/>
        <item x="109"/>
        <item x="108"/>
        <item x="110"/>
        <item x="111"/>
        <item x="112"/>
        <item x="113"/>
        <item x="114"/>
        <item x="115"/>
        <item x="116"/>
        <item x="117"/>
        <item h="1" x="118"/>
        <item h="1" x="121"/>
        <item h="1" x="120"/>
        <item h="1" x="119"/>
        <item h="1" x="122"/>
        <item h="1" x="123"/>
        <item h="1" x="124"/>
        <item h="1" x="125"/>
        <item h="1" x="126"/>
        <item h="1" x="127"/>
        <item h="1" x="129"/>
        <item h="1" x="130"/>
        <item h="1" x="131"/>
        <item h="1" x="133"/>
        <item h="1" x="132"/>
        <item h="1" x="134"/>
        <item h="1" x="135"/>
        <item h="1" x="137"/>
        <item h="1" x="136"/>
        <item h="1" x="138"/>
        <item h="1" x="140"/>
        <item h="1" x="139"/>
        <item h="1" x="141"/>
        <item h="1" x="142"/>
        <item h="1" x="143"/>
        <item h="1" x="144"/>
      </items>
    </pivotField>
    <pivotField showAll="0">
      <items count="21">
        <item x="12"/>
        <item x="0"/>
        <item x="19"/>
        <item x="15"/>
        <item x="4"/>
        <item x="8"/>
        <item x="18"/>
        <item x="16"/>
        <item x="1"/>
        <item x="3"/>
        <item x="5"/>
        <item x="11"/>
        <item x="17"/>
        <item x="2"/>
        <item x="7"/>
        <item x="13"/>
        <item x="10"/>
        <item x="14"/>
        <item x="6"/>
        <item x="9"/>
        <item t="default"/>
      </items>
    </pivotField>
    <pivotField axis="axisPage" dataField="1" multipleItemSelectionAllowed="1" showAll="0">
      <items count="16">
        <item x="1"/>
        <item x="7"/>
        <item x="5"/>
        <item x="2"/>
        <item x="4"/>
        <item x="8"/>
        <item x="13"/>
        <item x="0"/>
        <item x="12"/>
        <item x="10"/>
        <item x="9"/>
        <item x="3"/>
        <item x="6"/>
        <item x="14"/>
        <item x="11"/>
        <item t="default"/>
      </items>
    </pivotField>
    <pivotField axis="axisRow" showAll="0">
      <items count="224">
        <item x="164"/>
        <item x="134"/>
        <item x="211"/>
        <item x="182"/>
        <item x="44"/>
        <item x="186"/>
        <item x="4"/>
        <item x="79"/>
        <item x="48"/>
        <item x="45"/>
        <item x="20"/>
        <item x="9"/>
        <item x="29"/>
        <item x="14"/>
        <item x="138"/>
        <item x="25"/>
        <item x="57"/>
        <item x="65"/>
        <item x="52"/>
        <item x="221"/>
        <item x="13"/>
        <item x="7"/>
        <item x="125"/>
        <item x="42"/>
        <item x="67"/>
        <item x="54"/>
        <item x="131"/>
        <item x="80"/>
        <item x="95"/>
        <item x="36"/>
        <item x="144"/>
        <item x="93"/>
        <item x="112"/>
        <item x="148"/>
        <item x="115"/>
        <item x="196"/>
        <item x="212"/>
        <item x="73"/>
        <item x="214"/>
        <item x="117"/>
        <item x="37"/>
        <item x="129"/>
        <item x="60"/>
        <item x="61"/>
        <item x="119"/>
        <item x="151"/>
        <item x="199"/>
        <item x="141"/>
        <item x="76"/>
        <item x="198"/>
        <item x="132"/>
        <item x="12"/>
        <item x="174"/>
        <item x="11"/>
        <item x="213"/>
        <item x="209"/>
        <item x="130"/>
        <item x="160"/>
        <item x="202"/>
        <item x="207"/>
        <item x="16"/>
        <item x="23"/>
        <item x="118"/>
        <item x="220"/>
        <item x="69"/>
        <item x="165"/>
        <item x="8"/>
        <item x="22"/>
        <item x="157"/>
        <item x="188"/>
        <item x="86"/>
        <item x="15"/>
        <item x="123"/>
        <item x="190"/>
        <item x="135"/>
        <item x="167"/>
        <item x="136"/>
        <item x="2"/>
        <item x="10"/>
        <item x="39"/>
        <item x="180"/>
        <item x="142"/>
        <item x="50"/>
        <item x="89"/>
        <item x="5"/>
        <item x="66"/>
        <item x="133"/>
        <item x="171"/>
        <item x="109"/>
        <item x="124"/>
        <item x="146"/>
        <item x="187"/>
        <item x="204"/>
        <item x="184"/>
        <item x="205"/>
        <item x="170"/>
        <item x="172"/>
        <item x="72"/>
        <item x="3"/>
        <item x="162"/>
        <item x="194"/>
        <item x="88"/>
        <item x="51"/>
        <item x="41"/>
        <item x="181"/>
        <item x="43"/>
        <item x="63"/>
        <item x="99"/>
        <item x="222"/>
        <item x="46"/>
        <item x="173"/>
        <item x="107"/>
        <item x="59"/>
        <item x="155"/>
        <item x="216"/>
        <item x="217"/>
        <item x="81"/>
        <item x="197"/>
        <item x="82"/>
        <item x="195"/>
        <item x="193"/>
        <item x="166"/>
        <item x="203"/>
        <item x="189"/>
        <item x="208"/>
        <item x="19"/>
        <item x="108"/>
        <item x="185"/>
        <item x="137"/>
        <item x="62"/>
        <item x="30"/>
        <item x="110"/>
        <item x="111"/>
        <item x="87"/>
        <item x="147"/>
        <item x="116"/>
        <item x="113"/>
        <item x="114"/>
        <item x="31"/>
        <item x="64"/>
        <item x="32"/>
        <item x="90"/>
        <item x="18"/>
        <item x="168"/>
        <item x="105"/>
        <item x="75"/>
        <item x="34"/>
        <item x="35"/>
        <item x="1"/>
        <item x="38"/>
        <item x="49"/>
        <item x="47"/>
        <item x="40"/>
        <item x="191"/>
        <item x="58"/>
        <item x="55"/>
        <item x="104"/>
        <item x="53"/>
        <item x="74"/>
        <item x="83"/>
        <item x="28"/>
        <item x="149"/>
        <item x="102"/>
        <item x="26"/>
        <item x="97"/>
        <item x="68"/>
        <item x="91"/>
        <item x="70"/>
        <item x="158"/>
        <item x="126"/>
        <item x="56"/>
        <item x="94"/>
        <item x="24"/>
        <item x="153"/>
        <item x="122"/>
        <item x="169"/>
        <item x="140"/>
        <item x="178"/>
        <item x="206"/>
        <item x="27"/>
        <item x="77"/>
        <item x="161"/>
        <item x="152"/>
        <item x="106"/>
        <item x="219"/>
        <item x="150"/>
        <item x="84"/>
        <item x="6"/>
        <item x="17"/>
        <item x="92"/>
        <item x="210"/>
        <item x="103"/>
        <item x="98"/>
        <item x="139"/>
        <item x="96"/>
        <item x="33"/>
        <item x="71"/>
        <item x="179"/>
        <item x="183"/>
        <item x="192"/>
        <item x="120"/>
        <item x="215"/>
        <item x="175"/>
        <item x="85"/>
        <item x="101"/>
        <item x="163"/>
        <item x="156"/>
        <item x="200"/>
        <item x="201"/>
        <item x="100"/>
        <item x="177"/>
        <item x="218"/>
        <item n="Siendo las 01:50 p.m., el operador se encontraba en el segundo piso del Molino C, realizando su ronda correspondiente al cierre de turno. Durante dicha inspección, se percató de que la tapa de una tubería se encontraba fuera de su posición. Al proceder a" x="159"/>
        <item x="127"/>
        <item x="154"/>
        <item x="145"/>
        <item x="143"/>
        <item x="176"/>
        <item x="121"/>
        <item x="21"/>
        <item x="128"/>
        <item x="0"/>
        <item x="78"/>
        <item t="default"/>
      </items>
    </pivotField>
    <pivotField showAll="0"/>
    <pivotField showAll="0"/>
  </pivotFields>
  <rowFields count="2">
    <field x="0"/>
    <field x="4"/>
  </rowFields>
  <rowItems count="95">
    <i>
      <x v="3"/>
    </i>
    <i r="1">
      <x v="185"/>
    </i>
    <i>
      <x v="5"/>
    </i>
    <i r="1">
      <x v="111"/>
    </i>
    <i>
      <x v="8"/>
    </i>
    <i r="1">
      <x v="88"/>
    </i>
    <i r="1">
      <x v="132"/>
    </i>
    <i>
      <x v="10"/>
    </i>
    <i r="1">
      <x v="26"/>
    </i>
    <i>
      <x v="11"/>
    </i>
    <i r="1">
      <x v="169"/>
    </i>
    <i>
      <x v="12"/>
    </i>
    <i r="1">
      <x v="81"/>
    </i>
    <i>
      <x v="14"/>
    </i>
    <i r="1">
      <x v="131"/>
    </i>
    <i>
      <x v="16"/>
    </i>
    <i r="1">
      <x v="135"/>
    </i>
    <i>
      <x v="18"/>
    </i>
    <i r="1">
      <x v="128"/>
    </i>
    <i>
      <x v="21"/>
    </i>
    <i r="1">
      <x v="181"/>
    </i>
    <i r="1">
      <x v="182"/>
    </i>
    <i r="1">
      <x v="183"/>
    </i>
    <i>
      <x v="23"/>
    </i>
    <i r="1">
      <x/>
    </i>
    <i r="1">
      <x v="136"/>
    </i>
    <i>
      <x v="29"/>
    </i>
    <i r="1">
      <x v="137"/>
    </i>
    <i>
      <x v="34"/>
    </i>
    <i r="1">
      <x v="126"/>
    </i>
    <i>
      <x v="38"/>
    </i>
    <i r="1">
      <x v="32"/>
    </i>
    <i>
      <x v="39"/>
    </i>
    <i r="1">
      <x v="1"/>
    </i>
    <i r="1">
      <x v="14"/>
    </i>
    <i r="1">
      <x v="34"/>
    </i>
    <i r="1">
      <x v="86"/>
    </i>
    <i>
      <x v="42"/>
    </i>
    <i r="1">
      <x v="113"/>
    </i>
    <i r="1">
      <x v="173"/>
    </i>
    <i r="1">
      <x v="174"/>
    </i>
    <i r="1">
      <x v="176"/>
    </i>
    <i r="1">
      <x v="193"/>
    </i>
    <i r="1">
      <x v="214"/>
    </i>
    <i>
      <x v="45"/>
    </i>
    <i r="1">
      <x v="47"/>
    </i>
    <i>
      <x v="49"/>
    </i>
    <i r="1">
      <x v="220"/>
    </i>
    <i>
      <x v="50"/>
    </i>
    <i r="1">
      <x v="90"/>
    </i>
    <i>
      <x v="52"/>
    </i>
    <i r="1">
      <x v="134"/>
    </i>
    <i>
      <x v="58"/>
    </i>
    <i r="1">
      <x v="57"/>
    </i>
    <i r="1">
      <x v="168"/>
    </i>
    <i>
      <x v="59"/>
    </i>
    <i r="1">
      <x v="99"/>
    </i>
    <i>
      <x v="60"/>
    </i>
    <i r="1">
      <x v="212"/>
    </i>
    <i>
      <x v="62"/>
    </i>
    <i r="1">
      <x v="218"/>
    </i>
    <i>
      <x v="63"/>
    </i>
    <i r="1">
      <x v="45"/>
    </i>
    <i>
      <x v="67"/>
    </i>
    <i r="1">
      <x v="30"/>
    </i>
    <i r="1">
      <x v="33"/>
    </i>
    <i r="1">
      <x v="39"/>
    </i>
    <i r="1">
      <x v="41"/>
    </i>
    <i r="1">
      <x v="50"/>
    </i>
    <i r="1">
      <x v="56"/>
    </i>
    <i r="1">
      <x v="62"/>
    </i>
    <i r="1">
      <x v="65"/>
    </i>
    <i r="1">
      <x v="72"/>
    </i>
    <i r="1">
      <x v="74"/>
    </i>
    <i r="1">
      <x v="76"/>
    </i>
    <i r="1">
      <x v="89"/>
    </i>
    <i r="1">
      <x v="161"/>
    </i>
    <i r="1">
      <x v="200"/>
    </i>
    <i r="1">
      <x v="205"/>
    </i>
    <i>
      <x v="68"/>
    </i>
    <i r="1">
      <x v="68"/>
    </i>
    <i>
      <x v="69"/>
    </i>
    <i r="1">
      <x v="206"/>
    </i>
    <i>
      <x v="70"/>
    </i>
    <i r="1">
      <x v="44"/>
    </i>
    <i>
      <x v="71"/>
    </i>
    <i r="1">
      <x v="213"/>
    </i>
    <i>
      <x v="72"/>
    </i>
    <i r="1">
      <x v="216"/>
    </i>
    <i>
      <x v="73"/>
    </i>
    <i r="1">
      <x v="215"/>
    </i>
    <i>
      <x v="74"/>
    </i>
    <i r="1">
      <x v="22"/>
    </i>
    <i r="1">
      <x v="121"/>
    </i>
    <i t="grand">
      <x/>
    </i>
  </rowItems>
  <colItems count="1">
    <i/>
  </colItems>
  <pageFields count="2">
    <pageField fld="1" hier="-1"/>
    <pageField fld="3" hier="-1"/>
  </pageFields>
  <dataFields count="1">
    <dataField name="Cuenta de Tipo de evento" fld="3" subtotal="count" baseField="0" baseItem="0"/>
  </dataFields>
  <formats count="20">
    <format dxfId="21">
      <pivotArea dataOnly="0" fieldPosition="0">
        <references count="2">
          <reference field="0" count="1" selected="0">
            <x v="74"/>
          </reference>
          <reference field="4" count="1">
            <x v="121"/>
          </reference>
        </references>
      </pivotArea>
    </format>
    <format dxfId="20">
      <pivotArea dataOnly="0" labelOnly="1" fieldPosition="0">
        <references count="2">
          <reference field="0" count="1" selected="0">
            <x v="62"/>
          </reference>
          <reference field="4" count="1">
            <x v="218"/>
          </reference>
        </references>
      </pivotArea>
    </format>
    <format dxfId="19">
      <pivotArea dataOnly="0" labelOnly="1" fieldPosition="0">
        <references count="2">
          <reference field="0" count="1" selected="0">
            <x v="12"/>
          </reference>
          <reference field="4" count="1">
            <x v="81"/>
          </reference>
        </references>
      </pivotArea>
    </format>
    <format dxfId="18">
      <pivotArea dataOnly="0" labelOnly="1" fieldPosition="0">
        <references count="2">
          <reference field="0" count="1" selected="0">
            <x v="10"/>
          </reference>
          <reference field="4" count="1">
            <x v="26"/>
          </reference>
        </references>
      </pivotArea>
    </format>
    <format dxfId="17">
      <pivotArea dataOnly="0" labelOnly="1" fieldPosition="0">
        <references count="2">
          <reference field="0" count="1" selected="0">
            <x v="45"/>
          </reference>
          <reference field="4" count="1">
            <x v="47"/>
          </reference>
        </references>
      </pivotArea>
    </format>
    <format dxfId="16">
      <pivotArea dataOnly="0" labelOnly="1" fieldPosition="0">
        <references count="2">
          <reference field="0" count="1" selected="0">
            <x v="39"/>
          </reference>
          <reference field="4" count="1">
            <x v="14"/>
          </reference>
        </references>
      </pivotArea>
    </format>
    <format dxfId="15">
      <pivotArea dataOnly="0" labelOnly="1" fieldPosition="0">
        <references count="2">
          <reference field="0" count="1" selected="0">
            <x v="39"/>
          </reference>
          <reference field="4" count="1">
            <x v="86"/>
          </reference>
        </references>
      </pivotArea>
    </format>
    <format dxfId="14">
      <pivotArea dataOnly="0" labelOnly="1" fieldPosition="0">
        <references count="2">
          <reference field="0" count="1" selected="0">
            <x v="3"/>
          </reference>
          <reference field="4" count="1">
            <x v="185"/>
          </reference>
        </references>
      </pivotArea>
    </format>
    <format dxfId="13">
      <pivotArea dataOnly="0" labelOnly="1" fieldPosition="0">
        <references count="2">
          <reference field="0" count="1" selected="0">
            <x v="11"/>
          </reference>
          <reference field="4" count="1">
            <x v="169"/>
          </reference>
        </references>
      </pivotArea>
    </format>
    <format dxfId="12">
      <pivotArea dataOnly="0" labelOnly="1" fieldPosition="0">
        <references count="2">
          <reference field="0" count="1" selected="0">
            <x v="21"/>
          </reference>
          <reference field="4" count="3">
            <x v="181"/>
            <x v="182"/>
            <x v="183"/>
          </reference>
        </references>
      </pivotArea>
    </format>
    <format dxfId="11">
      <pivotArea dataOnly="0" labelOnly="1" fieldPosition="0">
        <references count="2">
          <reference field="0" count="1" selected="0">
            <x v="52"/>
          </reference>
          <reference field="4" count="1">
            <x v="134"/>
          </reference>
        </references>
      </pivotArea>
    </format>
    <format dxfId="10">
      <pivotArea dataOnly="0" labelOnly="1" fieldPosition="0">
        <references count="2">
          <reference field="0" count="1" selected="0">
            <x v="29"/>
          </reference>
          <reference field="4" count="1">
            <x v="137"/>
          </reference>
        </references>
      </pivotArea>
    </format>
    <format dxfId="9">
      <pivotArea dataOnly="0" labelOnly="1" fieldPosition="0">
        <references count="2">
          <reference field="0" count="1" selected="0">
            <x v="23"/>
          </reference>
          <reference field="4" count="1">
            <x v="136"/>
          </reference>
        </references>
      </pivotArea>
    </format>
    <format dxfId="8">
      <pivotArea dataOnly="0" labelOnly="1" fieldPosition="0">
        <references count="2">
          <reference field="0" count="1" selected="0">
            <x v="23"/>
          </reference>
          <reference field="4" count="1">
            <x v="0"/>
          </reference>
        </references>
      </pivotArea>
    </format>
    <format dxfId="7">
      <pivotArea dataOnly="0" labelOnly="1" fieldPosition="0">
        <references count="2">
          <reference field="0" count="1" selected="0">
            <x v="16"/>
          </reference>
          <reference field="4" count="1">
            <x v="135"/>
          </reference>
        </references>
      </pivotArea>
    </format>
    <format dxfId="6">
      <pivotArea dataOnly="0" labelOnly="1" fieldPosition="0">
        <references count="2">
          <reference field="0" count="1" selected="0">
            <x v="8"/>
          </reference>
          <reference field="4" count="1">
            <x v="88"/>
          </reference>
        </references>
      </pivotArea>
    </format>
    <format dxfId="5">
      <pivotArea dataOnly="0" labelOnly="1" fieldPosition="0">
        <references count="2">
          <reference field="0" count="1" selected="0">
            <x v="8"/>
          </reference>
          <reference field="4" count="1">
            <x v="132"/>
          </reference>
        </references>
      </pivotArea>
    </format>
    <format dxfId="4">
      <pivotArea dataOnly="0" labelOnly="1" fieldPosition="0">
        <references count="2">
          <reference field="0" count="1" selected="0">
            <x v="5"/>
          </reference>
          <reference field="4" count="1">
            <x v="111"/>
          </reference>
        </references>
      </pivotArea>
    </format>
    <format dxfId="3">
      <pivotArea dataOnly="0" labelOnly="1" fieldPosition="0">
        <references count="2">
          <reference field="0" count="1" selected="0">
            <x v="14"/>
          </reference>
          <reference field="4" count="1">
            <x v="131"/>
          </reference>
        </references>
      </pivotArea>
    </format>
    <format dxfId="2">
      <pivotArea dataOnly="0" labelOnly="1" fieldPosition="0">
        <references count="2">
          <reference field="0" count="1" selected="0">
            <x v="18"/>
          </reference>
          <reference field="4" count="1">
            <x v="12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LANTA_DE_OCURRENCIA" xr10:uid="{571A1C34-2AB6-4C39-A2EA-89A92315ECA5}" sourceName="PLANTA DE OCURRENCIA">
  <pivotTables>
    <pivotTable tabId="8" name="TablaDinámica1"/>
  </pivotTables>
  <data>
    <tabular pivotCacheId="57737905">
      <items count="43">
        <i x="31" s="1"/>
        <i x="33" s="1"/>
        <i x="22" s="1"/>
        <i x="5" s="1"/>
        <i x="32" s="1"/>
        <i x="0" s="1"/>
        <i x="38" s="1"/>
        <i x="3" s="1"/>
        <i x="35" s="1"/>
        <i x="23" s="1"/>
        <i x="39" s="1"/>
        <i x="7" s="1"/>
        <i x="34" s="1"/>
        <i x="29" s="1"/>
        <i x="9" s="1"/>
        <i x="37" s="1"/>
        <i x="25" s="1"/>
        <i x="36" s="1"/>
        <i x="17" s="1"/>
        <i x="15" s="1"/>
        <i x="30" s="1"/>
        <i x="28" s="1"/>
        <i x="20" s="1"/>
        <i x="10" s="1" nd="1"/>
        <i x="26" s="1" nd="1"/>
        <i x="24" s="1" nd="1"/>
        <i x="13" s="1" nd="1"/>
        <i x="8" s="1" nd="1"/>
        <i x="11" s="1" nd="1"/>
        <i x="1" s="1" nd="1"/>
        <i x="27" s="1" nd="1"/>
        <i x="4" s="1" nd="1"/>
        <i x="18" s="1" nd="1"/>
        <i x="41" s="1" nd="1"/>
        <i x="21" s="1" nd="1"/>
        <i x="12" s="1" nd="1"/>
        <i x="6" s="1" nd="1"/>
        <i x="14" s="1" nd="1"/>
        <i x="19" s="1" nd="1"/>
        <i x="16" s="1" nd="1"/>
        <i x="40" s="1" nd="1"/>
        <i x="2" s="1" nd="1"/>
        <i x="4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ÁREA_DEL_ACCIDENTADO" xr10:uid="{A7DDD7D1-EBFA-4842-9998-9C3973D4ADBF}" sourceName="ÁREA DEL ACCIDENTADO">
  <pivotTables>
    <pivotTable tabId="8" name="TablaDinámica1"/>
  </pivotTables>
  <data>
    <tabular pivotCacheId="57737905">
      <items count="5">
        <i x="4" s="1"/>
        <i x="2" s="1"/>
        <i x="1" s="1"/>
        <i x="3"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LESIÓN" xr10:uid="{A7B5E833-668A-47B4-995B-5DA89930542C}" sourceName="LESIÓN">
  <pivotTables>
    <pivotTable tabId="8" name="TablaDinámica1"/>
  </pivotTables>
  <data>
    <tabular pivotCacheId="57737905">
      <items count="86">
        <i x="80" s="1"/>
        <i x="69" s="1"/>
        <i x="65" s="1"/>
        <i x="72" s="1"/>
        <i x="54" s="1"/>
        <i x="13" s="1"/>
        <i x="81" s="1"/>
        <i x="40" s="1"/>
        <i x="42" s="1"/>
        <i x="34" s="1"/>
        <i x="36" s="1"/>
        <i x="56" s="1"/>
        <i x="51" s="1"/>
        <i x="43" s="1"/>
        <i x="75" s="1"/>
        <i x="73" s="1"/>
        <i x="57" s="1"/>
        <i x="53" s="1"/>
        <i x="84" s="1"/>
        <i x="39" s="1"/>
        <i x="85" s="1"/>
        <i x="82" s="1"/>
        <i x="74" s="1"/>
        <i x="55" s="1"/>
        <i x="50" s="1"/>
        <i x="52" s="1"/>
        <i x="68" s="1"/>
        <i x="78" s="1"/>
        <i x="83" s="1"/>
        <i x="49" s="1"/>
        <i x="46" s="1"/>
        <i x="48" s="1"/>
        <i x="67" s="1"/>
        <i x="41" s="1"/>
        <i x="45" s="1"/>
        <i x="62" s="1"/>
        <i x="44" s="1"/>
        <i x="60" s="1"/>
        <i x="70" s="1"/>
        <i x="61" s="1"/>
        <i x="37" s="1"/>
        <i x="38" s="1"/>
        <i x="71" s="1"/>
        <i x="66" s="1"/>
        <i x="64" s="1"/>
        <i x="11" s="1"/>
        <i x="58" s="1"/>
        <i x="79" s="1"/>
        <i x="35" s="1"/>
        <i x="59" s="1"/>
        <i x="47" s="1"/>
        <i x="63" s="1"/>
        <i x="0" s="1" nd="1"/>
        <i x="17" s="1" nd="1"/>
        <i x="14" s="1" nd="1"/>
        <i x="25" s="1" nd="1"/>
        <i x="29" s="1" nd="1"/>
        <i x="7" s="1" nd="1"/>
        <i x="28" s="1" nd="1"/>
        <i x="24" s="1" nd="1"/>
        <i x="30" s="1" nd="1"/>
        <i x="76" s="1" nd="1"/>
        <i x="31" s="1" nd="1"/>
        <i x="4" s="1" nd="1"/>
        <i x="6" s="1" nd="1"/>
        <i x="19" s="1" nd="1"/>
        <i x="12" s="1" nd="1"/>
        <i x="5" s="1" nd="1"/>
        <i x="77" s="1" nd="1"/>
        <i x="26" s="1" nd="1"/>
        <i x="3" s="1" nd="1"/>
        <i x="10" s="1" nd="1"/>
        <i x="2" s="1" nd="1"/>
        <i x="23" s="1" nd="1"/>
        <i x="1" s="1" nd="1"/>
        <i x="8" s="1" nd="1"/>
        <i x="32" s="1" nd="1"/>
        <i x="27" s="1" nd="1"/>
        <i x="21" s="1" nd="1"/>
        <i x="9" s="1" nd="1"/>
        <i x="18" s="1" nd="1"/>
        <i x="15" s="1" nd="1"/>
        <i x="20" s="1" nd="1"/>
        <i x="16" s="1" nd="1"/>
        <i x="22" s="1" nd="1"/>
        <i x="3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UENTE_DE_PELIGRO" xr10:uid="{58886F3E-0C2D-4388-BF2D-F830D27B16D9}" sourceName="FUENTE DE PELIGRO">
  <pivotTables>
    <pivotTable tabId="8" name="TablaDinámica1"/>
  </pivotTables>
  <data>
    <tabular pivotCacheId="57737905">
      <items count="92">
        <i x="85" s="1"/>
        <i x="72" s="1"/>
        <i x="66" s="1"/>
        <i x="43" s="1"/>
        <i x="81" s="1"/>
        <i x="89" s="1"/>
        <i x="71" s="1"/>
        <i x="60" s="1"/>
        <i x="10" s="1"/>
        <i x="46" s="1"/>
        <i x="48" s="1"/>
        <i x="58" s="1"/>
        <i x="77" s="1"/>
        <i x="61" s="1"/>
        <i x="54" s="1"/>
        <i x="65" s="1"/>
        <i x="42" s="1"/>
        <i x="47" s="1"/>
        <i x="67" s="1"/>
        <i x="78" s="1"/>
        <i x="55" s="1"/>
        <i x="63" s="1"/>
        <i x="62" s="1"/>
        <i x="76" s="1"/>
        <i x="52" s="1"/>
        <i x="56" s="1"/>
        <i x="44" s="1"/>
        <i x="45" s="1"/>
        <i x="69" s="1"/>
        <i x="50" s="1"/>
        <i x="4" s="1"/>
        <i x="87" s="1"/>
        <i x="74" s="1"/>
        <i x="59" s="1"/>
        <i x="68" s="1"/>
        <i x="53" s="1"/>
        <i x="82" s="1"/>
        <i x="88" s="1"/>
        <i x="57" s="1"/>
        <i x="51" s="1"/>
        <i x="75" s="1"/>
        <i x="73" s="1"/>
        <i x="49" s="1"/>
        <i x="83" s="1"/>
        <i x="70" s="1"/>
        <i x="9" s="1"/>
        <i x="84" s="1"/>
        <i x="86" s="1"/>
        <i x="64" s="1"/>
        <i x="80" s="1" nd="1"/>
        <i x="25" s="1" nd="1"/>
        <i x="23" s="1" nd="1"/>
        <i x="26" s="1" nd="1"/>
        <i x="14" s="1" nd="1"/>
        <i x="17" s="1" nd="1"/>
        <i x="22" s="1" nd="1"/>
        <i x="79" s="1" nd="1"/>
        <i x="6" s="1" nd="1"/>
        <i x="39" s="1" nd="1"/>
        <i x="33" s="1" nd="1"/>
        <i x="12" s="1" nd="1"/>
        <i x="19" s="1" nd="1"/>
        <i x="40" s="1" nd="1"/>
        <i x="28" s="1" nd="1"/>
        <i x="3" s="1" nd="1"/>
        <i x="1" s="1" nd="1"/>
        <i x="21" s="1" nd="1"/>
        <i x="5" s="1" nd="1"/>
        <i x="91" s="1" nd="1"/>
        <i x="15" s="1" nd="1"/>
        <i x="16" s="1" nd="1"/>
        <i x="29" s="1" nd="1"/>
        <i x="2" s="1" nd="1"/>
        <i x="11" s="1" nd="1"/>
        <i x="8" s="1" nd="1"/>
        <i x="0" s="1" nd="1"/>
        <i x="27" s="1" nd="1"/>
        <i x="36" s="1" nd="1"/>
        <i x="7" s="1" nd="1"/>
        <i x="35" s="1" nd="1"/>
        <i x="30" s="1" nd="1"/>
        <i x="18" s="1" nd="1"/>
        <i x="38" s="1" nd="1"/>
        <i x="31" s="1" nd="1"/>
        <i x="90" s="1" nd="1"/>
        <i x="37" s="1" nd="1"/>
        <i x="34" s="1" nd="1"/>
        <i x="13" s="1" nd="1"/>
        <i x="32" s="1" nd="1"/>
        <i x="41" s="1" nd="1"/>
        <i x="20" s="1" nd="1"/>
        <i x="2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USA_PRINCIPAL" xr10:uid="{81B1A541-2B70-4C4E-BEC9-3625A29AC3D7}" sourceName="CAUSA PRINCIPAL ">
  <pivotTables>
    <pivotTable tabId="8" name="TablaDinámica1"/>
  </pivotTables>
  <data>
    <tabular pivotCacheId="57737905">
      <items count="36">
        <i x="29" s="1"/>
        <i x="16" s="1"/>
        <i x="28" s="1"/>
        <i x="17" s="1"/>
        <i x="30" s="1"/>
        <i x="25" s="1"/>
        <i x="24" s="1"/>
        <i x="26" s="1"/>
        <i x="27" s="1"/>
        <i x="23" s="1"/>
        <i x="18" s="1"/>
        <i x="22" s="1"/>
        <i x="19" s="1"/>
        <i x="4" s="1" nd="1"/>
        <i x="7" s="1" nd="1"/>
        <i x="33" s="1" nd="1"/>
        <i x="31" s="1" nd="1"/>
        <i x="14" s="1" nd="1"/>
        <i x="8" s="1" nd="1"/>
        <i x="9" s="1" nd="1"/>
        <i x="15" s="1" nd="1"/>
        <i x="34" s="1" nd="1"/>
        <i x="12" s="1" nd="1"/>
        <i x="21" s="1" nd="1"/>
        <i x="0" s="1" nd="1"/>
        <i x="6" s="1" nd="1"/>
        <i x="13" s="1" nd="1"/>
        <i x="3" s="1" nd="1"/>
        <i x="10" s="1" nd="1"/>
        <i x="32" s="1" nd="1"/>
        <i x="5" s="1" nd="1"/>
        <i x="11" s="1" nd="1"/>
        <i x="35" s="1" nd="1"/>
        <i x="2" s="1" nd="1"/>
        <i x="1" s="1" nd="1"/>
        <i x="20"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OCIEDAD2" xr10:uid="{63629AB0-DCC1-47BD-857B-C5878AB69198}" sourceName="SOCIEDAD2">
  <pivotTables>
    <pivotTable tabId="8" name="TablaDinámica1"/>
  </pivotTables>
  <data>
    <tabular pivotCacheId="57737905">
      <items count="7">
        <i x="2" s="1"/>
        <i x="0" s="1"/>
        <i x="4" s="1"/>
        <i x="1" s="1"/>
        <i x="5" s="1"/>
        <i x="3" s="1"/>
        <i x="6"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ÍA" xr10:uid="{9EC2E660-8EC0-4E1A-82D2-72E9A8D921C9}" sourceName="CATEGORÍA">
  <pivotTables>
    <pivotTable tabId="8" name="TablaDinámica1"/>
  </pivotTables>
  <data>
    <tabular pivotCacheId="57737905">
      <items count="20">
        <i x="9" s="1"/>
        <i x="12" s="1"/>
        <i x="18" s="1"/>
        <i x="0" s="1"/>
        <i x="3" s="1"/>
        <i x="15" s="1"/>
        <i x="17" s="1"/>
        <i x="14" s="1"/>
        <i x="7" s="1"/>
        <i x="4" s="1"/>
        <i x="16" s="1"/>
        <i x="6" s="1"/>
        <i x="2" s="1"/>
        <i x="5" s="1" nd="1"/>
        <i x="10" s="1" nd="1"/>
        <i x="8" s="1" nd="1"/>
        <i x="11" s="1" nd="1"/>
        <i x="1" s="1" nd="1"/>
        <i x="13" s="1" nd="1"/>
        <i x="19"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DIRECCIÓN" xr10:uid="{E3278BA0-84FD-496A-AED7-50B2378F3AB2}" sourceName="DIRECCIÓN">
  <pivotTables>
    <pivotTable tabId="8" name="TablaDinámica1"/>
  </pivotTables>
  <data>
    <tabular pivotCacheId="57737905">
      <items count="5">
        <i x="3" s="1"/>
        <i x="1" s="1"/>
        <i x="0" s="1"/>
        <i x="2" s="1"/>
        <i x="4"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s__FECHA" xr10:uid="{42791312-9546-4BA5-80A4-8F38352429E3}" sourceName="Años (FECHA)">
  <pivotTables>
    <pivotTable tabId="8" name="TablaDinámica1"/>
  </pivotTables>
  <data>
    <tabular pivotCacheId="57737905">
      <items count="4">
        <i x="1"/>
        <i x="2" s="1"/>
        <i x="0"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A DE OCURRENCIA" xr10:uid="{DE040E8B-BCCA-4EC5-8E80-BBB8E4E135CF}" cache="SegmentaciónDeDatos_PLANTA_DE_OCURRENCIA" caption="PLANTA DE OCURRENCIA" style="SlicerStyleLight3" rowHeight="247650"/>
  <slicer name="ÁREA DEL ACCIDENTADO" xr10:uid="{00E01698-38AA-47EF-83C0-78C6C06EA83F}" cache="SegmentaciónDeDatos_ÁREA_DEL_ACCIDENTADO" caption="ÁREA DEL ACCIDENTADO" style="SlicerStyleLight3" rowHeight="247650"/>
  <slicer name="LESIÓN" xr10:uid="{EAF3341D-72C7-410F-9B26-AD0C787847E2}" cache="SegmentaciónDeDatos_LESIÓN" caption="LESIÓN" rowHeight="247650"/>
  <slicer name="FUENTE DE PELIGRO" xr10:uid="{663A1DC0-B4CB-479E-80C2-64A68EAD8735}" cache="SegmentaciónDeDatos_FUENTE_DE_PELIGRO" caption="FUENTE DE PELIGRO" rowHeight="247650"/>
  <slicer name="CAUSA PRINCIPAL " xr10:uid="{1A7C8026-E1A7-4314-B7B1-74E9F7CF0C26}" cache="SegmentaciónDeDatos_CAUSA_PRINCIPAL" caption="CAUSA PRINCIPAL " rowHeight="247650"/>
  <slicer name="SOCIEDAD2" xr10:uid="{B7D7D112-889E-4905-837B-FC0EF75AE8AF}" cache="SegmentaciónDeDatos_SOCIEDAD2" caption="SOCIEDAD2" columnCount="2" style="SlicerStyleLight3" rowHeight="247650"/>
  <slicer name="CATEGORÍA" xr10:uid="{A66881E2-0372-446C-88CC-A95F5F1FEC54}" cache="SegmentaciónDeDatos_CATEGORÍA" caption="CATEGORÍA" style="SlicerStyleLight3" rowHeight="247650"/>
  <slicer name="DIRECCIÓN" xr10:uid="{31C0BB21-BA48-443A-A473-62193048D6B5}" cache="SegmentaciónDeDatos_DIRECCIÓN" caption="DIRECCIÓN" style="SlicerStyleLight3" rowHeight="247650"/>
  <slicer name="Años (FECHA)" xr10:uid="{2594F3AE-03DD-4929-BF5E-7D5DCFF1BB9A}" cache="SegmentaciónDeDatos_Años__FECHA" caption="Años (FECHA)"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826EDB-2903-4276-837D-BD19E42A1D3A}" name="Tabla34" displayName="Tabla34" ref="A2:H345" totalsRowShown="0" headerRowDxfId="46" headerRowBorderDxfId="45" tableBorderDxfId="44" totalsRowBorderDxfId="43">
  <autoFilter ref="A2:H345" xr:uid="{8C826EDB-2903-4276-837D-BD19E42A1D3A}">
    <filterColumn colId="1">
      <filters>
        <dateGroupItem year="2026" month="7" dateTimeGrouping="month"/>
      </filters>
    </filterColumn>
    <filterColumn colId="3">
      <filters>
        <filter val="Alto potencial"/>
      </filters>
    </filterColumn>
  </autoFilter>
  <tableColumns count="8">
    <tableColumn id="1" xr3:uid="{4144FF02-C902-4F56-8635-36C4F03AE4C2}" name="Planta" dataDxfId="42"/>
    <tableColumn id="2" xr3:uid="{DE7F3EB1-21D8-4F14-9002-39191EDF4F40}" name="Fecha" dataDxfId="41"/>
    <tableColumn id="3" xr3:uid="{546BE657-72B2-4F39-BD7E-197A8F5294E1}" name="EMPRESA" dataDxfId="40"/>
    <tableColumn id="4" xr3:uid="{16A1C4C3-5674-4F09-9590-43F996D897AE}" name="Tipo de evento" dataDxfId="39"/>
    <tableColumn id="5" xr3:uid="{F7CE2F38-F3D1-47EC-A713-98BE31CFAB9F}" name="Descripción " dataDxfId="38"/>
    <tableColumn id="6" xr3:uid="{90DE720E-5F3E-456E-9F41-D1E584B29D5E}" name="Daños reales o potenciales" dataDxfId="37"/>
    <tableColumn id="7" xr3:uid="{E072BF05-1E9F-4ED1-BE4C-D22A0F49EA31}" name="Fuente de peligro" dataDxfId="36"/>
    <tableColumn id="8" xr3:uid="{FD8A6C18-C98E-44E0-9E2E-36CE2D36D60C}" name="verificad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F82D71-6A6E-477B-AE28-0AC1D8FD0058}" name="LTI_5" displayName="LTI_5" ref="B2:AE153" totalsRowShown="0" headerRowDxfId="81" dataDxfId="79" headerRowBorderDxfId="80" tableBorderDxfId="78" totalsRowBorderDxfId="77">
  <autoFilter ref="B2:AE153" xr:uid="{ECF82D71-6A6E-477B-AE28-0AC1D8FD0058}">
    <filterColumn colId="7">
      <filters>
        <dateGroupItem year="2026" dateTimeGrouping="year"/>
      </filters>
    </filterColumn>
    <filterColumn colId="20">
      <filters>
        <filter val="Tercero-servicios de alimentación"/>
      </filters>
    </filterColumn>
  </autoFilter>
  <tableColumns count="30">
    <tableColumn id="16" xr3:uid="{359EA4A6-8692-4A1C-9B90-9BED75291C4A}" name="N° de ROM" dataDxfId="76"/>
    <tableColumn id="1" xr3:uid="{DD2BD104-6E29-479B-9E6C-55C52E6C8A67}" name="SOCIEDAD2" dataDxfId="75"/>
    <tableColumn id="17" xr3:uid="{9374E4E4-032E-4571-B297-D90878EFDC8E}" name="VP" dataDxfId="74"/>
    <tableColumn id="9" xr3:uid="{0558445D-24EC-48D7-87D5-A8D0BC5CC56C}" name="DIRECCIÓN" dataDxfId="73"/>
    <tableColumn id="14" xr3:uid="{50EF62BA-5185-4879-9732-156236087DA7}" name="CATEGORÍA" dataDxfId="72"/>
    <tableColumn id="15" xr3:uid="{4F72D6BF-FBE8-4461-AF7B-3F86E2C0B829}" name="PLANTA DE OCURRENCIA" dataDxfId="71"/>
    <tableColumn id="2" xr3:uid="{315B0DCF-BAA1-49AD-BD6D-5D2733CE3E9E}" name="PLANTA SIGMA" dataDxfId="70"/>
    <tableColumn id="3" xr3:uid="{E6EA986A-05AE-44E9-81E0-66E1FB666EB9}" name="FECHA" dataDxfId="69"/>
    <tableColumn id="22" xr3:uid="{BCC81AEA-8753-46A9-A9B7-960AB1868FA7}" name="HORA DE OCURRENCIA" dataDxfId="68"/>
    <tableColumn id="13" xr3:uid="{2AAA71DE-E341-4A43-A43B-830F017ED439}" name="TURNO" dataDxfId="67"/>
    <tableColumn id="30" xr3:uid="{8D2E058F-BB1F-46E7-8F71-4C1F8EBD1223}" name="DIA DE SEMANA" dataDxfId="66">
      <calculatedColumnFormula>TEXT(LTI_5[[#This Row],[FECHA]],"dddd")</calculatedColumnFormula>
    </tableColumn>
    <tableColumn id="27" xr3:uid="{E674730B-09F3-492F-9FA8-707626D39F8C}" name="APELLIDOS DEL ACCIENTADO" dataDxfId="65"/>
    <tableColumn id="26" xr3:uid="{D9E9322F-C35C-46DD-BCB7-9979DFC6A16B}" name="NOMBRE DEL ACCIDENTADO" dataDxfId="64"/>
    <tableColumn id="28" xr3:uid="{79D403CC-3643-46EF-B763-15B0050D00E7}" name="DNI" dataDxfId="63"/>
    <tableColumn id="24" xr3:uid="{2A9C25B2-F705-4B31-B3E2-6EFA8DD781CE}" name="EDAD DEL ACCIDENTADO" dataDxfId="62"/>
    <tableColumn id="29" xr3:uid="{5CBEBDDE-1903-449E-B80D-4F001CC1A2A8}" name="TIEMPO EN LA EMPRESA (meses)" dataDxfId="61"/>
    <tableColumn id="25" xr3:uid="{74B2EE09-8C55-49FB-8EDB-4D69BDC9A37E}" name="TIEMPO EN LA EMPRESA (años)" dataDxfId="60"/>
    <tableColumn id="19" xr3:uid="{A50E149D-E595-4573-B1AE-F281F8170D29}" name="CANTIDAD DE HORAS TRABAJADAS EN EL TURNO" dataDxfId="59"/>
    <tableColumn id="21" xr3:uid="{9EA40755-9822-4531-A899-9F2C5B61E458}" name="ÁREA DEL ACCIDENTADO" dataDxfId="58"/>
    <tableColumn id="4" xr3:uid="{DCF4828B-933F-4D6E-96DA-D992D4F5628C}" name="EMPRESA" dataDxfId="57"/>
    <tableColumn id="5" xr3:uid="{A010B04F-6580-4F75-A5AF-FE50618EBAC1}" name="Tipo de Trabajador" dataDxfId="56"/>
    <tableColumn id="6" xr3:uid="{0FA90689-438F-4E55-845F-6A5976B1B2AB}" name="DESCRIPCIÓN" dataDxfId="55"/>
    <tableColumn id="7" xr3:uid="{4B1C7EDA-F755-472E-8C81-D94F15B0D7A4}" name="LESIÓN" dataDxfId="54"/>
    <tableColumn id="8" xr3:uid="{07BB22A7-E7BF-4B4D-9671-624C3D11978A}" name="DÍAS REGISTRABLES" dataDxfId="53"/>
    <tableColumn id="10" xr3:uid="{577B8E92-1C3B-48AA-A9EC-DEEF7B3BFCDE}" name="FUENTE DE PELIGRO" dataDxfId="52"/>
    <tableColumn id="23" xr3:uid="{7797E0B1-732B-4B54-8734-430D4C5DC461}" name="CAUSA BASICA (SEGÚN SCAT)" dataDxfId="51"/>
    <tableColumn id="11" xr3:uid="{E5C1B153-C8F6-4DDB-AD6C-35F7C12AC1E4}" name="CAUSA PRINCIPAL " dataDxfId="50"/>
    <tableColumn id="12" xr3:uid="{E019F6EE-6343-4746-816C-1D3E5799A071}" name="CAUSA INMEDIATA" dataDxfId="49"/>
    <tableColumn id="18" xr3:uid="{6ECE17EB-93AD-42D9-B687-EFF8A350E566}" name="TRIMESTRE" dataDxfId="48">
      <calculatedColumnFormula>"T"&amp;INT((MONTH(LTI_5[[#This Row],[FECHA]])-1)/3)+1</calculatedColumnFormula>
    </tableColumn>
    <tableColumn id="20" xr3:uid="{298C7F74-042D-4DF3-BF75-99AC769F526D}" name="DIAS SEGUROS" dataDxfId="47"/>
  </tableColumns>
  <tableStyleInfo name="TableStyleMedium2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8B45B6-72FC-433C-ADC0-E0E7A5CB9EAA}" name="Tabla1" displayName="Tabla1" ref="B2:B63" totalsRowShown="0">
  <autoFilter ref="B2:B63" xr:uid="{898B45B6-72FC-433C-ADC0-E0E7A5CB9EAA}"/>
  <tableColumns count="1">
    <tableColumn id="1" xr3:uid="{9509243D-E67C-47B9-AAC9-A490C61E7339}" name="FUENTE DE PELIGR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62C571-5C14-4647-BC8B-08F271790159}" name="Tabla2" displayName="Tabla2" ref="C2:C32" totalsRowShown="0">
  <autoFilter ref="C2:C32" xr:uid="{1662C571-5C14-4647-BC8B-08F271790159}"/>
  <tableColumns count="1">
    <tableColumn id="1" xr3:uid="{969B6493-6315-43CB-85D2-5BAF98E96574}" name="CAUSA PRINCIPAL"/>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2" dT="2026-04-01T18:14:06.34" personId="{C30AD019-2174-4976-9464-A0A46BEB220D}" id="{A9EB24E2-C9D1-4140-B0DB-1FEB820723E3}">
    <text xml:space="preserve">Cantidad de horas desde su ingreso, desde su inicio de labores
</text>
  </threadedComment>
  <threadedComment ref="B102" dT="2026-05-11T03:26:09.67" personId="{AB54AD18-C332-47E2-85D1-5A1A61D618F6}" id="{08C8419F-1C4E-4340-BE93-6E9F17899CA1}">
    <text>Consultar el turno</text>
  </threadedComment>
  <threadedComment ref="E126" dT="2026-07-08T17:51:52.43" personId="{C30AD019-2174-4976-9464-A0A46BEB220D}" id="{EDEFF945-59D4-41BE-A254-F4669A0D81E7}">
    <text xml:space="preserve">Siempre cuando es en manufactura la única planta de Wilson es Calacalí
</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 xr10:uid="{17960459-FE26-4217-9AF2-2E1F39AE47D0}" sourceName="FECHA">
  <pivotTables>
    <pivotTable tabId="12" name="TablaDinámica1"/>
  </pivotTables>
  <state minimalRefreshVersion="6" lastRefreshVersion="6" pivotCacheId="184372273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xr10:uid="{21828620-AD23-41D8-9358-401411163C65}" cache="NativeTimeline_FECHA" caption="FECHA" level="2" selectionLevel="2" scrollPosition="2026-02-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65929-2020-43DF-B5BA-8EABC216BA16}">
  <dimension ref="A1:I345"/>
  <sheetViews>
    <sheetView zoomScale="112" zoomScaleNormal="95" workbookViewId="0">
      <selection activeCell="A323" sqref="A323"/>
    </sheetView>
  </sheetViews>
  <sheetFormatPr baseColWidth="10" defaultColWidth="11.44140625" defaultRowHeight="14.4" x14ac:dyDescent="0.3"/>
  <cols>
    <col min="1" max="1" width="13.109375" customWidth="1"/>
    <col min="2" max="2" width="12.109375" bestFit="1" customWidth="1"/>
    <col min="3" max="3" width="12.44140625" customWidth="1"/>
    <col min="4" max="4" width="17.44140625" style="1" bestFit="1" customWidth="1"/>
    <col min="5" max="5" width="96.5546875" customWidth="1"/>
    <col min="6" max="6" width="30.5546875" bestFit="1" customWidth="1"/>
    <col min="7" max="7" width="15.109375" customWidth="1"/>
  </cols>
  <sheetData>
    <row r="1" spans="1:8" x14ac:dyDescent="0.3">
      <c r="D1"/>
    </row>
    <row r="2" spans="1:8" ht="28.8" x14ac:dyDescent="0.3">
      <c r="A2" s="38" t="s">
        <v>0</v>
      </c>
      <c r="B2" s="37" t="s">
        <v>1</v>
      </c>
      <c r="C2" s="37" t="s">
        <v>2</v>
      </c>
      <c r="D2" s="37" t="s">
        <v>3</v>
      </c>
      <c r="E2" s="37" t="s">
        <v>4</v>
      </c>
      <c r="F2" s="36" t="s">
        <v>5</v>
      </c>
      <c r="G2" s="35" t="s">
        <v>6</v>
      </c>
      <c r="H2" s="123" t="s">
        <v>7</v>
      </c>
    </row>
    <row r="3" spans="1:8" ht="55.2" hidden="1" x14ac:dyDescent="0.3">
      <c r="A3" s="30" t="s">
        <v>8</v>
      </c>
      <c r="B3" s="121">
        <v>45663</v>
      </c>
      <c r="C3" s="19" t="s">
        <v>9</v>
      </c>
      <c r="D3" s="19" t="s">
        <v>10</v>
      </c>
      <c r="E3" s="28" t="s">
        <v>11</v>
      </c>
      <c r="F3" s="19" t="s">
        <v>12</v>
      </c>
      <c r="G3" s="8" t="s">
        <v>13</v>
      </c>
    </row>
    <row r="4" spans="1:8" ht="96.6" hidden="1" x14ac:dyDescent="0.3">
      <c r="A4" s="34" t="s">
        <v>14</v>
      </c>
      <c r="B4" s="33">
        <v>45681</v>
      </c>
      <c r="C4" s="31" t="s">
        <v>9</v>
      </c>
      <c r="D4" s="31" t="s">
        <v>15</v>
      </c>
      <c r="E4" s="32" t="s">
        <v>16</v>
      </c>
      <c r="F4" s="31" t="s">
        <v>12</v>
      </c>
      <c r="G4" s="26" t="s">
        <v>13</v>
      </c>
    </row>
    <row r="5" spans="1:8" ht="124.2" hidden="1" x14ac:dyDescent="0.3">
      <c r="A5" s="34" t="s">
        <v>17</v>
      </c>
      <c r="B5" s="33">
        <v>45683</v>
      </c>
      <c r="C5" s="31" t="s">
        <v>9</v>
      </c>
      <c r="D5" s="31" t="s">
        <v>18</v>
      </c>
      <c r="E5" s="32" t="s">
        <v>19</v>
      </c>
      <c r="F5" s="31" t="s">
        <v>20</v>
      </c>
      <c r="G5" s="26" t="s">
        <v>21</v>
      </c>
    </row>
    <row r="6" spans="1:8" ht="55.2" hidden="1" x14ac:dyDescent="0.3">
      <c r="A6" s="30" t="s">
        <v>22</v>
      </c>
      <c r="B6" s="29">
        <v>45684</v>
      </c>
      <c r="C6" s="19" t="s">
        <v>23</v>
      </c>
      <c r="D6" s="19" t="s">
        <v>24</v>
      </c>
      <c r="E6" s="28" t="s">
        <v>25</v>
      </c>
      <c r="F6" s="19" t="s">
        <v>26</v>
      </c>
      <c r="G6" s="8" t="s">
        <v>27</v>
      </c>
    </row>
    <row r="7" spans="1:8" ht="110.4" hidden="1" x14ac:dyDescent="0.3">
      <c r="A7" s="34" t="s">
        <v>28</v>
      </c>
      <c r="B7" s="33">
        <v>45685</v>
      </c>
      <c r="C7" s="31" t="s">
        <v>9</v>
      </c>
      <c r="D7" s="31" t="s">
        <v>29</v>
      </c>
      <c r="E7" s="32" t="s">
        <v>30</v>
      </c>
      <c r="F7" s="31" t="s">
        <v>31</v>
      </c>
      <c r="G7" s="26" t="s">
        <v>32</v>
      </c>
    </row>
    <row r="8" spans="1:8" ht="55.2" hidden="1" x14ac:dyDescent="0.3">
      <c r="A8" s="30" t="s">
        <v>33</v>
      </c>
      <c r="B8" s="29">
        <v>45686</v>
      </c>
      <c r="C8" s="19" t="s">
        <v>9</v>
      </c>
      <c r="D8" s="19" t="s">
        <v>34</v>
      </c>
      <c r="E8" s="28" t="s">
        <v>35</v>
      </c>
      <c r="F8" s="19" t="s">
        <v>36</v>
      </c>
      <c r="G8" s="8" t="s">
        <v>37</v>
      </c>
    </row>
    <row r="9" spans="1:8" ht="55.2" hidden="1" x14ac:dyDescent="0.3">
      <c r="A9" s="13" t="s">
        <v>38</v>
      </c>
      <c r="B9" s="12">
        <v>45701</v>
      </c>
      <c r="C9" s="11" t="s">
        <v>9</v>
      </c>
      <c r="D9" s="11" t="s">
        <v>10</v>
      </c>
      <c r="E9" s="10" t="s">
        <v>39</v>
      </c>
      <c r="F9" s="9" t="s">
        <v>40</v>
      </c>
      <c r="G9" s="8" t="s">
        <v>13</v>
      </c>
    </row>
    <row r="10" spans="1:8" ht="69" hidden="1" x14ac:dyDescent="0.3">
      <c r="A10" s="25" t="s">
        <v>41</v>
      </c>
      <c r="B10" s="24">
        <v>45707</v>
      </c>
      <c r="C10" s="22" t="s">
        <v>9</v>
      </c>
      <c r="D10" s="22" t="s">
        <v>10</v>
      </c>
      <c r="E10" s="23" t="s">
        <v>42</v>
      </c>
      <c r="F10" s="22" t="s">
        <v>43</v>
      </c>
      <c r="G10" s="8" t="s">
        <v>13</v>
      </c>
    </row>
    <row r="11" spans="1:8" ht="82.8" hidden="1" x14ac:dyDescent="0.3">
      <c r="A11" s="25" t="s">
        <v>44</v>
      </c>
      <c r="B11" s="24">
        <v>45709</v>
      </c>
      <c r="C11" s="22" t="s">
        <v>9</v>
      </c>
      <c r="D11" s="22" t="s">
        <v>45</v>
      </c>
      <c r="E11" s="23" t="s">
        <v>46</v>
      </c>
      <c r="F11" s="22" t="s">
        <v>47</v>
      </c>
      <c r="G11" s="8" t="s">
        <v>13</v>
      </c>
    </row>
    <row r="12" spans="1:8" ht="69" hidden="1" x14ac:dyDescent="0.3">
      <c r="A12" s="27" t="s">
        <v>48</v>
      </c>
      <c r="B12" s="24">
        <v>45711</v>
      </c>
      <c r="C12" s="22" t="s">
        <v>49</v>
      </c>
      <c r="D12" s="22" t="s">
        <v>50</v>
      </c>
      <c r="E12" s="23" t="s">
        <v>51</v>
      </c>
      <c r="F12" s="22" t="s">
        <v>52</v>
      </c>
      <c r="G12" s="8" t="s">
        <v>53</v>
      </c>
    </row>
    <row r="13" spans="1:8" ht="69" hidden="1" x14ac:dyDescent="0.3">
      <c r="A13" s="13" t="s">
        <v>54</v>
      </c>
      <c r="B13" s="12">
        <v>45712</v>
      </c>
      <c r="C13" s="11" t="s">
        <v>9</v>
      </c>
      <c r="D13" s="11" t="s">
        <v>50</v>
      </c>
      <c r="E13" s="10" t="s">
        <v>55</v>
      </c>
      <c r="F13" s="11" t="s">
        <v>56</v>
      </c>
      <c r="G13" s="8" t="s">
        <v>37</v>
      </c>
    </row>
    <row r="14" spans="1:8" ht="82.8" hidden="1" x14ac:dyDescent="0.3">
      <c r="A14" s="21" t="s">
        <v>28</v>
      </c>
      <c r="B14" s="12">
        <v>45715</v>
      </c>
      <c r="C14" s="11" t="s">
        <v>9</v>
      </c>
      <c r="D14" s="11" t="s">
        <v>10</v>
      </c>
      <c r="E14" s="10" t="s">
        <v>57</v>
      </c>
      <c r="F14" s="11" t="s">
        <v>58</v>
      </c>
      <c r="G14" s="26" t="s">
        <v>13</v>
      </c>
    </row>
    <row r="15" spans="1:8" ht="41.4" hidden="1" x14ac:dyDescent="0.3">
      <c r="A15" s="25" t="s">
        <v>59</v>
      </c>
      <c r="B15" s="24">
        <v>45715</v>
      </c>
      <c r="C15" s="22" t="s">
        <v>9</v>
      </c>
      <c r="D15" s="22" t="s">
        <v>50</v>
      </c>
      <c r="E15" s="23" t="s">
        <v>60</v>
      </c>
      <c r="F15" s="22" t="s">
        <v>56</v>
      </c>
      <c r="G15" s="8" t="s">
        <v>37</v>
      </c>
    </row>
    <row r="16" spans="1:8" ht="41.4" hidden="1" x14ac:dyDescent="0.3">
      <c r="A16" s="13" t="s">
        <v>61</v>
      </c>
      <c r="B16" s="12">
        <v>45716</v>
      </c>
      <c r="C16" s="11" t="s">
        <v>9</v>
      </c>
      <c r="D16" s="11" t="s">
        <v>10</v>
      </c>
      <c r="E16" s="10" t="s">
        <v>62</v>
      </c>
      <c r="F16" s="9" t="s">
        <v>63</v>
      </c>
      <c r="G16" s="8" t="s">
        <v>13</v>
      </c>
    </row>
    <row r="17" spans="1:7" ht="55.2" hidden="1" x14ac:dyDescent="0.3">
      <c r="A17" s="13" t="s">
        <v>22</v>
      </c>
      <c r="B17" s="12">
        <v>45722</v>
      </c>
      <c r="C17" s="11" t="s">
        <v>23</v>
      </c>
      <c r="D17" s="11" t="s">
        <v>50</v>
      </c>
      <c r="E17" s="10" t="s">
        <v>64</v>
      </c>
      <c r="F17" s="19" t="s">
        <v>26</v>
      </c>
      <c r="G17" s="8" t="s">
        <v>27</v>
      </c>
    </row>
    <row r="18" spans="1:7" ht="69" hidden="1" x14ac:dyDescent="0.3">
      <c r="A18" s="13" t="s">
        <v>41</v>
      </c>
      <c r="B18" s="12">
        <v>45729</v>
      </c>
      <c r="C18" s="11" t="s">
        <v>9</v>
      </c>
      <c r="D18" s="11" t="s">
        <v>10</v>
      </c>
      <c r="E18" s="10" t="s">
        <v>65</v>
      </c>
      <c r="F18" s="9" t="s">
        <v>66</v>
      </c>
      <c r="G18" s="8" t="s">
        <v>13</v>
      </c>
    </row>
    <row r="19" spans="1:7" ht="55.2" hidden="1" x14ac:dyDescent="0.3">
      <c r="A19" s="13" t="s">
        <v>67</v>
      </c>
      <c r="B19" s="12">
        <v>45733</v>
      </c>
      <c r="C19" s="11" t="s">
        <v>68</v>
      </c>
      <c r="D19" s="11" t="s">
        <v>10</v>
      </c>
      <c r="E19" s="10" t="s">
        <v>69</v>
      </c>
      <c r="F19" s="9" t="s">
        <v>12</v>
      </c>
      <c r="G19" s="8" t="s">
        <v>13</v>
      </c>
    </row>
    <row r="20" spans="1:7" ht="69" hidden="1" x14ac:dyDescent="0.3">
      <c r="A20" s="13" t="s">
        <v>70</v>
      </c>
      <c r="B20" s="12">
        <v>45738</v>
      </c>
      <c r="C20" s="11" t="s">
        <v>9</v>
      </c>
      <c r="D20" s="11" t="s">
        <v>50</v>
      </c>
      <c r="E20" s="10" t="s">
        <v>71</v>
      </c>
      <c r="F20" s="9" t="s">
        <v>72</v>
      </c>
      <c r="G20" s="8" t="s">
        <v>73</v>
      </c>
    </row>
    <row r="21" spans="1:7" ht="116.1" hidden="1" customHeight="1" x14ac:dyDescent="0.3">
      <c r="A21" s="7" t="s">
        <v>74</v>
      </c>
      <c r="B21" s="6">
        <v>45742</v>
      </c>
      <c r="C21" s="5" t="s">
        <v>9</v>
      </c>
      <c r="D21" s="5" t="s">
        <v>10</v>
      </c>
      <c r="E21" s="14" t="s">
        <v>75</v>
      </c>
      <c r="F21" s="3" t="s">
        <v>12</v>
      </c>
      <c r="G21" s="2" t="s">
        <v>13</v>
      </c>
    </row>
    <row r="22" spans="1:7" ht="69" hidden="1" x14ac:dyDescent="0.3">
      <c r="A22" s="7" t="s">
        <v>74</v>
      </c>
      <c r="B22" s="6">
        <v>45750</v>
      </c>
      <c r="C22" s="5" t="s">
        <v>9</v>
      </c>
      <c r="D22" s="5" t="s">
        <v>10</v>
      </c>
      <c r="E22" s="4" t="s">
        <v>76</v>
      </c>
      <c r="F22" s="3" t="s">
        <v>77</v>
      </c>
      <c r="G22" s="2" t="s">
        <v>13</v>
      </c>
    </row>
    <row r="23" spans="1:7" ht="55.2" hidden="1" x14ac:dyDescent="0.3">
      <c r="A23" s="7" t="s">
        <v>78</v>
      </c>
      <c r="B23" s="6">
        <v>45751</v>
      </c>
      <c r="C23" s="5" t="s">
        <v>9</v>
      </c>
      <c r="D23" s="5" t="s">
        <v>45</v>
      </c>
      <c r="E23" s="4" t="s">
        <v>79</v>
      </c>
      <c r="F23" s="3" t="s">
        <v>80</v>
      </c>
      <c r="G23" s="2" t="s">
        <v>13</v>
      </c>
    </row>
    <row r="24" spans="1:7" ht="69" hidden="1" x14ac:dyDescent="0.3">
      <c r="A24" s="7" t="s">
        <v>81</v>
      </c>
      <c r="B24" s="6">
        <v>45758</v>
      </c>
      <c r="C24" s="5" t="s">
        <v>23</v>
      </c>
      <c r="D24" s="5" t="s">
        <v>50</v>
      </c>
      <c r="E24" s="4" t="s">
        <v>82</v>
      </c>
      <c r="F24" s="3" t="s">
        <v>20</v>
      </c>
      <c r="G24" s="2" t="s">
        <v>83</v>
      </c>
    </row>
    <row r="25" spans="1:7" ht="55.2" hidden="1" x14ac:dyDescent="0.3">
      <c r="A25" s="13" t="s">
        <v>59</v>
      </c>
      <c r="B25" s="6">
        <v>45762</v>
      </c>
      <c r="C25" s="5" t="s">
        <v>9</v>
      </c>
      <c r="D25" s="5" t="s">
        <v>45</v>
      </c>
      <c r="E25" s="4" t="s">
        <v>84</v>
      </c>
      <c r="F25" s="3" t="s">
        <v>80</v>
      </c>
      <c r="G25" s="2" t="s">
        <v>85</v>
      </c>
    </row>
    <row r="26" spans="1:7" ht="55.2" hidden="1" x14ac:dyDescent="0.3">
      <c r="A26" s="7" t="s">
        <v>59</v>
      </c>
      <c r="B26" s="6">
        <v>45770</v>
      </c>
      <c r="C26" s="5" t="s">
        <v>9</v>
      </c>
      <c r="D26" s="5" t="s">
        <v>86</v>
      </c>
      <c r="E26" s="4" t="s">
        <v>87</v>
      </c>
      <c r="F26" s="3" t="s">
        <v>80</v>
      </c>
      <c r="G26" s="2" t="s">
        <v>85</v>
      </c>
    </row>
    <row r="27" spans="1:7" ht="138" hidden="1" x14ac:dyDescent="0.3">
      <c r="A27" s="7" t="s">
        <v>88</v>
      </c>
      <c r="B27" s="6">
        <v>45773</v>
      </c>
      <c r="C27" s="5" t="s">
        <v>9</v>
      </c>
      <c r="D27" s="5" t="s">
        <v>10</v>
      </c>
      <c r="E27" s="4" t="s">
        <v>89</v>
      </c>
      <c r="F27" s="3" t="s">
        <v>90</v>
      </c>
      <c r="G27" s="2" t="s">
        <v>13</v>
      </c>
    </row>
    <row r="28" spans="1:7" ht="82.8" hidden="1" x14ac:dyDescent="0.3">
      <c r="A28" s="7" t="s">
        <v>91</v>
      </c>
      <c r="B28" s="6">
        <v>45776</v>
      </c>
      <c r="C28" s="5" t="s">
        <v>9</v>
      </c>
      <c r="D28" s="5" t="s">
        <v>45</v>
      </c>
      <c r="E28" s="14" t="s">
        <v>92</v>
      </c>
      <c r="F28" s="3" t="s">
        <v>12</v>
      </c>
      <c r="G28" s="2" t="s">
        <v>13</v>
      </c>
    </row>
    <row r="29" spans="1:7" ht="82.8" hidden="1" x14ac:dyDescent="0.3">
      <c r="A29" s="7" t="s">
        <v>93</v>
      </c>
      <c r="B29" s="6">
        <v>45776</v>
      </c>
      <c r="C29" s="5" t="s">
        <v>9</v>
      </c>
      <c r="D29" s="5" t="s">
        <v>50</v>
      </c>
      <c r="E29" s="14" t="s">
        <v>94</v>
      </c>
      <c r="F29" s="3" t="s">
        <v>56</v>
      </c>
      <c r="G29" s="2" t="s">
        <v>95</v>
      </c>
    </row>
    <row r="30" spans="1:7" ht="69" hidden="1" x14ac:dyDescent="0.3">
      <c r="A30" s="13" t="s">
        <v>93</v>
      </c>
      <c r="B30" s="12">
        <v>45779</v>
      </c>
      <c r="C30" s="11" t="s">
        <v>9</v>
      </c>
      <c r="D30" s="11" t="s">
        <v>50</v>
      </c>
      <c r="E30" s="10" t="s">
        <v>96</v>
      </c>
      <c r="F30" s="9" t="s">
        <v>47</v>
      </c>
      <c r="G30" s="8" t="s">
        <v>97</v>
      </c>
    </row>
    <row r="31" spans="1:7" ht="138" hidden="1" x14ac:dyDescent="0.3">
      <c r="A31" s="13" t="s">
        <v>48</v>
      </c>
      <c r="B31" s="12">
        <v>45785</v>
      </c>
      <c r="C31" s="11" t="s">
        <v>9</v>
      </c>
      <c r="D31" s="9" t="s">
        <v>98</v>
      </c>
      <c r="E31" s="10" t="s">
        <v>99</v>
      </c>
      <c r="F31" s="9" t="s">
        <v>47</v>
      </c>
      <c r="G31" s="8" t="s">
        <v>100</v>
      </c>
    </row>
    <row r="32" spans="1:7" ht="69" hidden="1" x14ac:dyDescent="0.3">
      <c r="A32" s="13" t="s">
        <v>81</v>
      </c>
      <c r="B32" s="12">
        <v>45785</v>
      </c>
      <c r="C32" s="11" t="s">
        <v>23</v>
      </c>
      <c r="D32" s="11" t="s">
        <v>101</v>
      </c>
      <c r="E32" s="10" t="s">
        <v>102</v>
      </c>
      <c r="F32" s="9" t="s">
        <v>26</v>
      </c>
      <c r="G32" s="8" t="s">
        <v>27</v>
      </c>
    </row>
    <row r="33" spans="1:7" ht="82.8" hidden="1" x14ac:dyDescent="0.3">
      <c r="A33" s="13" t="s">
        <v>103</v>
      </c>
      <c r="B33" s="12">
        <v>45791</v>
      </c>
      <c r="C33" s="11" t="s">
        <v>68</v>
      </c>
      <c r="D33" s="11" t="s">
        <v>10</v>
      </c>
      <c r="E33" s="10" t="s">
        <v>104</v>
      </c>
      <c r="F33" s="9" t="s">
        <v>12</v>
      </c>
      <c r="G33" s="8" t="s">
        <v>13</v>
      </c>
    </row>
    <row r="34" spans="1:7" ht="82.8" hidden="1" x14ac:dyDescent="0.3">
      <c r="A34" s="13" t="s">
        <v>105</v>
      </c>
      <c r="B34" s="12">
        <v>45798</v>
      </c>
      <c r="C34" s="11" t="s">
        <v>9</v>
      </c>
      <c r="D34" s="9" t="s">
        <v>106</v>
      </c>
      <c r="E34" s="10" t="s">
        <v>107</v>
      </c>
      <c r="F34" s="9" t="s">
        <v>108</v>
      </c>
      <c r="G34" s="8" t="s">
        <v>27</v>
      </c>
    </row>
    <row r="35" spans="1:7" ht="124.2" hidden="1" x14ac:dyDescent="0.3">
      <c r="A35" s="13" t="s">
        <v>59</v>
      </c>
      <c r="B35" s="12">
        <v>45800</v>
      </c>
      <c r="C35" s="11" t="s">
        <v>9</v>
      </c>
      <c r="D35" s="11" t="s">
        <v>45</v>
      </c>
      <c r="E35" s="10" t="s">
        <v>109</v>
      </c>
      <c r="F35" s="9" t="s">
        <v>47</v>
      </c>
      <c r="G35" s="8" t="s">
        <v>110</v>
      </c>
    </row>
    <row r="36" spans="1:7" ht="55.2" hidden="1" x14ac:dyDescent="0.3">
      <c r="A36" s="13" t="s">
        <v>111</v>
      </c>
      <c r="B36" s="12">
        <v>45807</v>
      </c>
      <c r="C36" s="11" t="s">
        <v>9</v>
      </c>
      <c r="D36" s="11" t="s">
        <v>45</v>
      </c>
      <c r="E36" s="10" t="s">
        <v>112</v>
      </c>
      <c r="F36" s="9" t="s">
        <v>47</v>
      </c>
      <c r="G36" s="8" t="s">
        <v>27</v>
      </c>
    </row>
    <row r="37" spans="1:7" ht="55.2" hidden="1" x14ac:dyDescent="0.3">
      <c r="A37" s="7" t="s">
        <v>113</v>
      </c>
      <c r="B37" s="6">
        <v>45807</v>
      </c>
      <c r="C37" s="5" t="s">
        <v>23</v>
      </c>
      <c r="D37" s="5" t="s">
        <v>10</v>
      </c>
      <c r="E37" s="4" t="s">
        <v>114</v>
      </c>
      <c r="F37" s="3" t="s">
        <v>12</v>
      </c>
      <c r="G37" s="2" t="s">
        <v>13</v>
      </c>
    </row>
    <row r="38" spans="1:7" ht="41.4" hidden="1" x14ac:dyDescent="0.3">
      <c r="A38" s="7" t="s">
        <v>115</v>
      </c>
      <c r="B38" s="6">
        <v>45807</v>
      </c>
      <c r="C38" s="5" t="s">
        <v>23</v>
      </c>
      <c r="D38" s="5" t="s">
        <v>10</v>
      </c>
      <c r="E38" s="4" t="s">
        <v>116</v>
      </c>
      <c r="F38" s="3" t="s">
        <v>12</v>
      </c>
      <c r="G38" s="2" t="s">
        <v>83</v>
      </c>
    </row>
    <row r="39" spans="1:7" ht="69" hidden="1" x14ac:dyDescent="0.3">
      <c r="A39" s="13" t="s">
        <v>44</v>
      </c>
      <c r="B39" s="6">
        <v>45810</v>
      </c>
      <c r="C39" s="11" t="s">
        <v>9</v>
      </c>
      <c r="D39" s="11" t="s">
        <v>50</v>
      </c>
      <c r="E39" s="20" t="s">
        <v>117</v>
      </c>
      <c r="F39" s="9" t="s">
        <v>52</v>
      </c>
      <c r="G39" s="8" t="s">
        <v>53</v>
      </c>
    </row>
    <row r="40" spans="1:7" ht="96.6" hidden="1" x14ac:dyDescent="0.3">
      <c r="A40" s="13" t="s">
        <v>28</v>
      </c>
      <c r="B40" s="12">
        <v>45812</v>
      </c>
      <c r="C40" s="11" t="s">
        <v>9</v>
      </c>
      <c r="D40" s="11" t="s">
        <v>50</v>
      </c>
      <c r="E40" s="20" t="s">
        <v>118</v>
      </c>
      <c r="F40" s="3" t="s">
        <v>47</v>
      </c>
      <c r="G40" s="8" t="s">
        <v>83</v>
      </c>
    </row>
    <row r="41" spans="1:7" ht="96.6" hidden="1" x14ac:dyDescent="0.3">
      <c r="A41" s="13" t="s">
        <v>119</v>
      </c>
      <c r="B41" s="12">
        <v>45813</v>
      </c>
      <c r="C41" s="11" t="s">
        <v>9</v>
      </c>
      <c r="D41" s="5" t="s">
        <v>50</v>
      </c>
      <c r="E41" s="20" t="s">
        <v>120</v>
      </c>
      <c r="F41" s="3" t="s">
        <v>26</v>
      </c>
      <c r="G41" s="8" t="s">
        <v>121</v>
      </c>
    </row>
    <row r="42" spans="1:7" ht="69" hidden="1" x14ac:dyDescent="0.3">
      <c r="A42" s="13" t="s">
        <v>122</v>
      </c>
      <c r="B42" s="12">
        <v>45815</v>
      </c>
      <c r="C42" s="21" t="s">
        <v>9</v>
      </c>
      <c r="D42" s="5" t="s">
        <v>50</v>
      </c>
      <c r="E42" s="20" t="s">
        <v>123</v>
      </c>
      <c r="F42" s="3" t="s">
        <v>47</v>
      </c>
      <c r="G42" s="8" t="s">
        <v>124</v>
      </c>
    </row>
    <row r="43" spans="1:7" ht="96.6" hidden="1" x14ac:dyDescent="0.3">
      <c r="A43" s="13" t="s">
        <v>125</v>
      </c>
      <c r="B43" s="12">
        <v>45815</v>
      </c>
      <c r="C43" s="11" t="s">
        <v>9</v>
      </c>
      <c r="D43" s="11" t="s">
        <v>50</v>
      </c>
      <c r="E43" s="20" t="s">
        <v>126</v>
      </c>
      <c r="F43" s="9" t="s">
        <v>26</v>
      </c>
      <c r="G43" s="8" t="s">
        <v>121</v>
      </c>
    </row>
    <row r="44" spans="1:7" ht="82.8" hidden="1" x14ac:dyDescent="0.3">
      <c r="A44" s="7" t="s">
        <v>44</v>
      </c>
      <c r="B44" s="12">
        <v>45816</v>
      </c>
      <c r="C44" s="5" t="s">
        <v>9</v>
      </c>
      <c r="D44" s="5" t="s">
        <v>50</v>
      </c>
      <c r="E44" s="14" t="s">
        <v>127</v>
      </c>
      <c r="F44" s="3" t="s">
        <v>56</v>
      </c>
      <c r="G44" s="8" t="s">
        <v>83</v>
      </c>
    </row>
    <row r="45" spans="1:7" ht="69" hidden="1" x14ac:dyDescent="0.3">
      <c r="A45" s="13" t="s">
        <v>128</v>
      </c>
      <c r="B45" s="12">
        <v>45821</v>
      </c>
      <c r="C45" s="3" t="s">
        <v>128</v>
      </c>
      <c r="D45" s="5" t="s">
        <v>10</v>
      </c>
      <c r="E45" s="20" t="s">
        <v>129</v>
      </c>
      <c r="F45" s="9" t="s">
        <v>12</v>
      </c>
      <c r="G45" s="8" t="s">
        <v>130</v>
      </c>
    </row>
    <row r="46" spans="1:7" ht="124.2" hidden="1" x14ac:dyDescent="0.3">
      <c r="A46" s="13" t="s">
        <v>105</v>
      </c>
      <c r="B46" s="12">
        <v>45821</v>
      </c>
      <c r="C46" s="5" t="s">
        <v>9</v>
      </c>
      <c r="D46" s="3" t="s">
        <v>47</v>
      </c>
      <c r="E46" s="20" t="s">
        <v>131</v>
      </c>
      <c r="F46" s="9" t="s">
        <v>47</v>
      </c>
      <c r="G46" s="8" t="s">
        <v>83</v>
      </c>
    </row>
    <row r="47" spans="1:7" ht="55.2" hidden="1" x14ac:dyDescent="0.3">
      <c r="A47" s="13" t="s">
        <v>111</v>
      </c>
      <c r="B47" s="12">
        <v>45826</v>
      </c>
      <c r="C47" s="5" t="s">
        <v>9</v>
      </c>
      <c r="D47" s="5" t="s">
        <v>10</v>
      </c>
      <c r="E47" s="20" t="s">
        <v>132</v>
      </c>
      <c r="F47" s="9" t="s">
        <v>12</v>
      </c>
      <c r="G47" s="8" t="s">
        <v>124</v>
      </c>
    </row>
    <row r="48" spans="1:7" ht="55.2" hidden="1" x14ac:dyDescent="0.3">
      <c r="A48" s="7" t="s">
        <v>81</v>
      </c>
      <c r="B48" s="12">
        <v>45832</v>
      </c>
      <c r="C48" s="5" t="s">
        <v>23</v>
      </c>
      <c r="D48" s="5" t="s">
        <v>50</v>
      </c>
      <c r="E48" s="20" t="s">
        <v>133</v>
      </c>
      <c r="F48" s="9" t="s">
        <v>47</v>
      </c>
      <c r="G48" s="8" t="s">
        <v>121</v>
      </c>
    </row>
    <row r="49" spans="1:7" ht="110.4" hidden="1" x14ac:dyDescent="0.3">
      <c r="A49" s="7" t="s">
        <v>105</v>
      </c>
      <c r="B49" s="12">
        <v>45834</v>
      </c>
      <c r="C49" s="5" t="s">
        <v>9</v>
      </c>
      <c r="D49" s="5" t="s">
        <v>50</v>
      </c>
      <c r="E49" s="14" t="s">
        <v>134</v>
      </c>
      <c r="F49" s="9" t="s">
        <v>12</v>
      </c>
      <c r="G49" s="8" t="s">
        <v>83</v>
      </c>
    </row>
    <row r="50" spans="1:7" ht="124.2" hidden="1" x14ac:dyDescent="0.3">
      <c r="A50" s="13" t="s">
        <v>135</v>
      </c>
      <c r="B50" s="12">
        <v>45839</v>
      </c>
      <c r="C50" s="5" t="s">
        <v>9</v>
      </c>
      <c r="D50" s="5" t="s">
        <v>50</v>
      </c>
      <c r="E50" s="10" t="s">
        <v>136</v>
      </c>
      <c r="F50" s="9" t="s">
        <v>47</v>
      </c>
      <c r="G50" s="8" t="s">
        <v>137</v>
      </c>
    </row>
    <row r="51" spans="1:7" ht="96.6" hidden="1" x14ac:dyDescent="0.3">
      <c r="A51" s="13" t="s">
        <v>138</v>
      </c>
      <c r="B51" s="12">
        <v>45839</v>
      </c>
      <c r="C51" s="11" t="s">
        <v>23</v>
      </c>
      <c r="D51" s="11" t="s">
        <v>50</v>
      </c>
      <c r="E51" s="10" t="s">
        <v>139</v>
      </c>
      <c r="F51" s="19" t="s">
        <v>26</v>
      </c>
      <c r="G51" s="8" t="s">
        <v>27</v>
      </c>
    </row>
    <row r="52" spans="1:7" ht="151.80000000000001" hidden="1" x14ac:dyDescent="0.3">
      <c r="A52" s="13" t="s">
        <v>140</v>
      </c>
      <c r="B52" s="12">
        <v>45841</v>
      </c>
      <c r="C52" s="11" t="s">
        <v>9</v>
      </c>
      <c r="D52" s="11" t="s">
        <v>50</v>
      </c>
      <c r="E52" s="10" t="s">
        <v>141</v>
      </c>
      <c r="F52" s="9" t="s">
        <v>47</v>
      </c>
      <c r="G52" s="8" t="s">
        <v>137</v>
      </c>
    </row>
    <row r="53" spans="1:7" ht="207" hidden="1" x14ac:dyDescent="0.3">
      <c r="A53" s="13" t="s">
        <v>67</v>
      </c>
      <c r="B53" s="12">
        <v>45841</v>
      </c>
      <c r="C53" s="11" t="s">
        <v>68</v>
      </c>
      <c r="D53" s="11" t="s">
        <v>50</v>
      </c>
      <c r="E53" s="10" t="s">
        <v>142</v>
      </c>
      <c r="F53" s="19" t="s">
        <v>26</v>
      </c>
      <c r="G53" s="8" t="s">
        <v>27</v>
      </c>
    </row>
    <row r="54" spans="1:7" ht="124.2" hidden="1" x14ac:dyDescent="0.3">
      <c r="A54" s="7" t="s">
        <v>105</v>
      </c>
      <c r="B54" s="12">
        <v>45842</v>
      </c>
      <c r="C54" s="5" t="s">
        <v>9</v>
      </c>
      <c r="D54" s="5" t="s">
        <v>50</v>
      </c>
      <c r="E54" s="4" t="s">
        <v>143</v>
      </c>
      <c r="F54" s="9" t="s">
        <v>47</v>
      </c>
      <c r="G54" s="8" t="s">
        <v>100</v>
      </c>
    </row>
    <row r="55" spans="1:7" ht="27.6" hidden="1" x14ac:dyDescent="0.3">
      <c r="A55" s="13" t="s">
        <v>128</v>
      </c>
      <c r="B55" s="12">
        <v>45849</v>
      </c>
      <c r="C55" s="11" t="s">
        <v>128</v>
      </c>
      <c r="D55" s="11" t="s">
        <v>50</v>
      </c>
      <c r="E55" s="10" t="s">
        <v>144</v>
      </c>
      <c r="F55" s="9" t="s">
        <v>12</v>
      </c>
      <c r="G55" s="8" t="s">
        <v>83</v>
      </c>
    </row>
    <row r="56" spans="1:7" ht="69" hidden="1" x14ac:dyDescent="0.3">
      <c r="A56" s="13" t="s">
        <v>145</v>
      </c>
      <c r="B56" s="12">
        <v>45849</v>
      </c>
      <c r="C56" s="11" t="s">
        <v>9</v>
      </c>
      <c r="D56" s="11" t="s">
        <v>50</v>
      </c>
      <c r="E56" s="20" t="s">
        <v>146</v>
      </c>
      <c r="F56" s="3" t="s">
        <v>12</v>
      </c>
      <c r="G56" s="8" t="s">
        <v>83</v>
      </c>
    </row>
    <row r="57" spans="1:7" ht="138" hidden="1" x14ac:dyDescent="0.3">
      <c r="A57" s="13" t="s">
        <v>147</v>
      </c>
      <c r="B57" s="12">
        <v>45849</v>
      </c>
      <c r="C57" s="11" t="s">
        <v>23</v>
      </c>
      <c r="D57" s="11" t="s">
        <v>50</v>
      </c>
      <c r="E57" s="10" t="s">
        <v>148</v>
      </c>
      <c r="F57" s="9" t="s">
        <v>47</v>
      </c>
      <c r="G57" s="8" t="s">
        <v>149</v>
      </c>
    </row>
    <row r="58" spans="1:7" ht="69" hidden="1" x14ac:dyDescent="0.3">
      <c r="A58" s="13" t="s">
        <v>138</v>
      </c>
      <c r="B58" s="12">
        <v>45850</v>
      </c>
      <c r="C58" s="11" t="s">
        <v>23</v>
      </c>
      <c r="D58" s="11" t="s">
        <v>50</v>
      </c>
      <c r="E58" s="10" t="s">
        <v>150</v>
      </c>
      <c r="F58" s="9" t="s">
        <v>12</v>
      </c>
      <c r="G58" s="8" t="s">
        <v>83</v>
      </c>
    </row>
    <row r="59" spans="1:7" ht="69" hidden="1" x14ac:dyDescent="0.3">
      <c r="A59" s="7" t="s">
        <v>122</v>
      </c>
      <c r="B59" s="12">
        <v>45850</v>
      </c>
      <c r="C59" s="5" t="s">
        <v>9</v>
      </c>
      <c r="D59" s="11" t="s">
        <v>50</v>
      </c>
      <c r="E59" s="14" t="s">
        <v>151</v>
      </c>
      <c r="F59" s="9" t="s">
        <v>56</v>
      </c>
      <c r="G59" s="8" t="s">
        <v>152</v>
      </c>
    </row>
    <row r="60" spans="1:7" ht="138" hidden="1" x14ac:dyDescent="0.3">
      <c r="A60" s="7" t="s">
        <v>153</v>
      </c>
      <c r="B60" s="12">
        <v>45853</v>
      </c>
      <c r="C60" s="5" t="s">
        <v>9</v>
      </c>
      <c r="D60" s="11" t="s">
        <v>50</v>
      </c>
      <c r="E60" s="4" t="s">
        <v>154</v>
      </c>
      <c r="F60" s="3" t="s">
        <v>56</v>
      </c>
      <c r="G60" s="2" t="s">
        <v>155</v>
      </c>
    </row>
    <row r="61" spans="1:7" ht="96.6" hidden="1" x14ac:dyDescent="0.3">
      <c r="A61" s="7" t="s">
        <v>156</v>
      </c>
      <c r="B61" s="12">
        <v>45856</v>
      </c>
      <c r="C61" s="5" t="s">
        <v>9</v>
      </c>
      <c r="D61" s="5" t="s">
        <v>50</v>
      </c>
      <c r="E61" s="4" t="s">
        <v>157</v>
      </c>
      <c r="F61" s="9" t="s">
        <v>47</v>
      </c>
      <c r="G61" s="2" t="s">
        <v>13</v>
      </c>
    </row>
    <row r="62" spans="1:7" ht="69" hidden="1" x14ac:dyDescent="0.3">
      <c r="A62" s="13" t="s">
        <v>44</v>
      </c>
      <c r="B62" s="12">
        <v>45859</v>
      </c>
      <c r="C62" s="11" t="s">
        <v>9</v>
      </c>
      <c r="D62" s="11" t="s">
        <v>50</v>
      </c>
      <c r="E62" s="10" t="s">
        <v>158</v>
      </c>
      <c r="F62" s="9" t="s">
        <v>52</v>
      </c>
      <c r="G62" s="8" t="s">
        <v>53</v>
      </c>
    </row>
    <row r="63" spans="1:7" ht="55.2" hidden="1" x14ac:dyDescent="0.3">
      <c r="A63" s="7" t="s">
        <v>159</v>
      </c>
      <c r="B63" s="12">
        <v>45901</v>
      </c>
      <c r="C63" s="5" t="s">
        <v>23</v>
      </c>
      <c r="D63" s="5" t="s">
        <v>50</v>
      </c>
      <c r="E63" s="4" t="s">
        <v>160</v>
      </c>
      <c r="F63" s="9" t="s">
        <v>72</v>
      </c>
      <c r="G63" s="2" t="s">
        <v>161</v>
      </c>
    </row>
    <row r="64" spans="1:7" ht="69" hidden="1" x14ac:dyDescent="0.3">
      <c r="A64" s="13" t="s">
        <v>28</v>
      </c>
      <c r="B64" s="12">
        <v>45908</v>
      </c>
      <c r="C64" s="11" t="s">
        <v>49</v>
      </c>
      <c r="D64" s="11" t="s">
        <v>50</v>
      </c>
      <c r="E64" s="10" t="s">
        <v>162</v>
      </c>
      <c r="F64" s="9" t="s">
        <v>72</v>
      </c>
      <c r="G64" s="2" t="s">
        <v>163</v>
      </c>
    </row>
    <row r="65" spans="1:7" ht="138" hidden="1" x14ac:dyDescent="0.3">
      <c r="A65" s="13" t="s">
        <v>164</v>
      </c>
      <c r="B65" s="12">
        <v>45912</v>
      </c>
      <c r="C65" s="11" t="s">
        <v>49</v>
      </c>
      <c r="D65" s="11" t="s">
        <v>50</v>
      </c>
      <c r="E65" s="10" t="s">
        <v>165</v>
      </c>
      <c r="F65" s="9" t="s">
        <v>20</v>
      </c>
      <c r="G65" s="2" t="s">
        <v>166</v>
      </c>
    </row>
    <row r="66" spans="1:7" ht="27.6" hidden="1" x14ac:dyDescent="0.3">
      <c r="A66" s="13" t="s">
        <v>59</v>
      </c>
      <c r="B66" s="12">
        <v>45916</v>
      </c>
      <c r="C66" s="11" t="s">
        <v>9</v>
      </c>
      <c r="D66" s="11" t="s">
        <v>50</v>
      </c>
      <c r="E66" s="10" t="s">
        <v>167</v>
      </c>
      <c r="F66" s="9" t="s">
        <v>47</v>
      </c>
      <c r="G66" s="2" t="s">
        <v>124</v>
      </c>
    </row>
    <row r="67" spans="1:7" ht="124.2" hidden="1" x14ac:dyDescent="0.3">
      <c r="A67" s="13" t="s">
        <v>74</v>
      </c>
      <c r="B67" s="12">
        <v>45922</v>
      </c>
      <c r="C67" s="11" t="s">
        <v>9</v>
      </c>
      <c r="D67" s="11" t="s">
        <v>10</v>
      </c>
      <c r="E67" s="10" t="s">
        <v>168</v>
      </c>
      <c r="F67" s="9" t="s">
        <v>12</v>
      </c>
      <c r="G67" s="2" t="s">
        <v>13</v>
      </c>
    </row>
    <row r="68" spans="1:7" ht="55.2" hidden="1" x14ac:dyDescent="0.3">
      <c r="A68" s="11" t="s">
        <v>128</v>
      </c>
      <c r="B68" s="12">
        <v>45924</v>
      </c>
      <c r="C68" s="11" t="s">
        <v>128</v>
      </c>
      <c r="D68" s="5" t="s">
        <v>50</v>
      </c>
      <c r="E68" s="10" t="s">
        <v>169</v>
      </c>
      <c r="F68" s="9" t="s">
        <v>47</v>
      </c>
      <c r="G68" s="8" t="s">
        <v>83</v>
      </c>
    </row>
    <row r="69" spans="1:7" ht="69" hidden="1" x14ac:dyDescent="0.3">
      <c r="A69" s="13" t="s">
        <v>159</v>
      </c>
      <c r="B69" s="12">
        <v>45929</v>
      </c>
      <c r="C69" s="11" t="s">
        <v>23</v>
      </c>
      <c r="D69" s="5" t="s">
        <v>50</v>
      </c>
      <c r="E69" s="10" t="s">
        <v>170</v>
      </c>
      <c r="F69" s="9" t="s">
        <v>47</v>
      </c>
      <c r="G69" s="8" t="s">
        <v>100</v>
      </c>
    </row>
    <row r="70" spans="1:7" ht="110.4" hidden="1" x14ac:dyDescent="0.3">
      <c r="A70" s="13" t="s">
        <v>138</v>
      </c>
      <c r="B70" s="12">
        <v>45930</v>
      </c>
      <c r="C70" s="11" t="s">
        <v>49</v>
      </c>
      <c r="D70" s="5" t="s">
        <v>50</v>
      </c>
      <c r="E70" s="10" t="s">
        <v>171</v>
      </c>
      <c r="F70" s="9" t="s">
        <v>47</v>
      </c>
      <c r="G70" s="8" t="s">
        <v>83</v>
      </c>
    </row>
    <row r="71" spans="1:7" ht="138" hidden="1" x14ac:dyDescent="0.3">
      <c r="A71" s="13" t="s">
        <v>172</v>
      </c>
      <c r="B71" s="12">
        <v>45932</v>
      </c>
      <c r="C71" s="11" t="s">
        <v>173</v>
      </c>
      <c r="D71" s="11" t="s">
        <v>50</v>
      </c>
      <c r="E71" s="10" t="s">
        <v>174</v>
      </c>
      <c r="F71" s="3" t="s">
        <v>175</v>
      </c>
      <c r="G71" s="2" t="s">
        <v>13</v>
      </c>
    </row>
    <row r="72" spans="1:7" ht="82.8" hidden="1" x14ac:dyDescent="0.3">
      <c r="A72" s="7" t="s">
        <v>113</v>
      </c>
      <c r="B72" s="12">
        <v>45932</v>
      </c>
      <c r="C72" s="11" t="s">
        <v>23</v>
      </c>
      <c r="D72" s="11" t="s">
        <v>50</v>
      </c>
      <c r="E72" s="4" t="s">
        <v>176</v>
      </c>
      <c r="F72" s="3" t="s">
        <v>177</v>
      </c>
      <c r="G72" s="2" t="s">
        <v>178</v>
      </c>
    </row>
    <row r="73" spans="1:7" ht="179.4" hidden="1" x14ac:dyDescent="0.3">
      <c r="A73" s="13" t="s">
        <v>48</v>
      </c>
      <c r="B73" s="12">
        <v>45933</v>
      </c>
      <c r="C73" s="11" t="s">
        <v>173</v>
      </c>
      <c r="D73" s="11" t="s">
        <v>50</v>
      </c>
      <c r="E73" s="10" t="s">
        <v>179</v>
      </c>
      <c r="F73" s="9" t="s">
        <v>20</v>
      </c>
      <c r="G73" s="8" t="s">
        <v>13</v>
      </c>
    </row>
    <row r="74" spans="1:7" ht="55.2" hidden="1" x14ac:dyDescent="0.3">
      <c r="A74" s="13" t="s">
        <v>93</v>
      </c>
      <c r="B74" s="12">
        <v>45936</v>
      </c>
      <c r="C74" s="11" t="s">
        <v>9</v>
      </c>
      <c r="D74" s="11" t="s">
        <v>50</v>
      </c>
      <c r="E74" s="10" t="s">
        <v>180</v>
      </c>
      <c r="F74" s="9" t="s">
        <v>175</v>
      </c>
      <c r="G74" s="8" t="s">
        <v>181</v>
      </c>
    </row>
    <row r="75" spans="1:7" ht="151.80000000000001" hidden="1" x14ac:dyDescent="0.3">
      <c r="A75" s="13" t="s">
        <v>81</v>
      </c>
      <c r="B75" s="12">
        <v>45937</v>
      </c>
      <c r="C75" s="11" t="s">
        <v>23</v>
      </c>
      <c r="D75" s="11" t="s">
        <v>50</v>
      </c>
      <c r="E75" s="10" t="s">
        <v>182</v>
      </c>
      <c r="F75" s="9" t="s">
        <v>26</v>
      </c>
      <c r="G75" s="8" t="s">
        <v>183</v>
      </c>
    </row>
    <row r="76" spans="1:7" ht="41.4" hidden="1" x14ac:dyDescent="0.3">
      <c r="A76" s="7" t="s">
        <v>184</v>
      </c>
      <c r="B76" s="6">
        <v>45959</v>
      </c>
      <c r="C76" s="5" t="s">
        <v>23</v>
      </c>
      <c r="D76" s="5" t="s">
        <v>185</v>
      </c>
      <c r="E76" s="4" t="s">
        <v>186</v>
      </c>
      <c r="F76" s="3" t="s">
        <v>177</v>
      </c>
      <c r="G76" s="2" t="s">
        <v>187</v>
      </c>
    </row>
    <row r="77" spans="1:7" ht="96.6" hidden="1" x14ac:dyDescent="0.3">
      <c r="A77" s="13" t="s">
        <v>93</v>
      </c>
      <c r="B77" s="6">
        <v>45960</v>
      </c>
      <c r="C77" s="11" t="s">
        <v>9</v>
      </c>
      <c r="D77" s="11" t="s">
        <v>50</v>
      </c>
      <c r="E77" s="10" t="s">
        <v>188</v>
      </c>
      <c r="F77" s="9" t="s">
        <v>189</v>
      </c>
      <c r="G77" s="8" t="s">
        <v>190</v>
      </c>
    </row>
    <row r="78" spans="1:7" ht="110.4" hidden="1" x14ac:dyDescent="0.3">
      <c r="A78" s="13" t="s">
        <v>119</v>
      </c>
      <c r="B78" s="6">
        <v>45960</v>
      </c>
      <c r="C78" s="11" t="s">
        <v>9</v>
      </c>
      <c r="D78" s="11" t="s">
        <v>50</v>
      </c>
      <c r="E78" s="10" t="s">
        <v>191</v>
      </c>
      <c r="F78" s="19" t="s">
        <v>26</v>
      </c>
      <c r="G78" s="8" t="s">
        <v>192</v>
      </c>
    </row>
    <row r="79" spans="1:7" ht="69" hidden="1" x14ac:dyDescent="0.3">
      <c r="A79" s="7" t="s">
        <v>122</v>
      </c>
      <c r="B79" s="6">
        <v>45961</v>
      </c>
      <c r="C79" s="5" t="s">
        <v>9</v>
      </c>
      <c r="D79" s="5" t="s">
        <v>50</v>
      </c>
      <c r="E79" s="4" t="s">
        <v>193</v>
      </c>
      <c r="F79" s="9" t="s">
        <v>52</v>
      </c>
      <c r="G79" s="8" t="s">
        <v>53</v>
      </c>
    </row>
    <row r="80" spans="1:7" ht="82.8" hidden="1" x14ac:dyDescent="0.3">
      <c r="A80" s="13" t="s">
        <v>28</v>
      </c>
      <c r="B80" s="12">
        <v>45965</v>
      </c>
      <c r="C80" s="11" t="s">
        <v>9</v>
      </c>
      <c r="D80" s="11" t="s">
        <v>50</v>
      </c>
      <c r="E80" s="10" t="s">
        <v>194</v>
      </c>
      <c r="F80" s="9" t="s">
        <v>20</v>
      </c>
      <c r="G80" s="8" t="s">
        <v>13</v>
      </c>
    </row>
    <row r="81" spans="1:7" hidden="1" x14ac:dyDescent="0.3">
      <c r="A81" s="13" t="s">
        <v>105</v>
      </c>
      <c r="B81" s="12">
        <v>45968</v>
      </c>
      <c r="C81" s="11" t="s">
        <v>195</v>
      </c>
      <c r="D81" s="11" t="s">
        <v>50</v>
      </c>
      <c r="E81" s="10"/>
      <c r="F81" s="9" t="s">
        <v>196</v>
      </c>
      <c r="G81" s="8" t="s">
        <v>197</v>
      </c>
    </row>
    <row r="82" spans="1:7" ht="110.4" hidden="1" x14ac:dyDescent="0.3">
      <c r="A82" s="13" t="s">
        <v>28</v>
      </c>
      <c r="B82" s="12">
        <v>45969</v>
      </c>
      <c r="C82" s="11" t="s">
        <v>9</v>
      </c>
      <c r="D82" s="11" t="s">
        <v>50</v>
      </c>
      <c r="E82" s="10" t="s">
        <v>198</v>
      </c>
      <c r="F82" s="9" t="s">
        <v>20</v>
      </c>
      <c r="G82" s="8" t="s">
        <v>13</v>
      </c>
    </row>
    <row r="83" spans="1:7" ht="110.4" hidden="1" x14ac:dyDescent="0.3">
      <c r="A83" s="13" t="s">
        <v>199</v>
      </c>
      <c r="B83" s="12">
        <v>45969</v>
      </c>
      <c r="C83" s="11" t="s">
        <v>9</v>
      </c>
      <c r="D83" s="5" t="s">
        <v>50</v>
      </c>
      <c r="E83" s="10" t="s">
        <v>200</v>
      </c>
      <c r="F83" s="9" t="s">
        <v>36</v>
      </c>
      <c r="G83" s="8" t="s">
        <v>201</v>
      </c>
    </row>
    <row r="84" spans="1:7" ht="69" hidden="1" x14ac:dyDescent="0.3">
      <c r="A84" s="13" t="s">
        <v>202</v>
      </c>
      <c r="B84" s="12">
        <v>45971</v>
      </c>
      <c r="C84" s="11" t="s">
        <v>9</v>
      </c>
      <c r="D84" s="11" t="s">
        <v>50</v>
      </c>
      <c r="E84" s="10" t="s">
        <v>203</v>
      </c>
      <c r="F84" s="9" t="s">
        <v>52</v>
      </c>
      <c r="G84" s="8" t="s">
        <v>53</v>
      </c>
    </row>
    <row r="85" spans="1:7" ht="41.4" hidden="1" x14ac:dyDescent="0.3">
      <c r="A85" s="13" t="s">
        <v>44</v>
      </c>
      <c r="B85" s="12">
        <v>45971</v>
      </c>
      <c r="C85" s="11" t="s">
        <v>9</v>
      </c>
      <c r="D85" s="11" t="s">
        <v>50</v>
      </c>
      <c r="E85" s="10" t="s">
        <v>204</v>
      </c>
      <c r="F85" s="9" t="s">
        <v>20</v>
      </c>
      <c r="G85" s="8" t="s">
        <v>13</v>
      </c>
    </row>
    <row r="86" spans="1:7" ht="82.8" hidden="1" x14ac:dyDescent="0.3">
      <c r="A86" s="13" t="s">
        <v>93</v>
      </c>
      <c r="B86" s="12">
        <v>45971</v>
      </c>
      <c r="C86" s="11" t="s">
        <v>9</v>
      </c>
      <c r="D86" s="11" t="s">
        <v>50</v>
      </c>
      <c r="E86" s="10" t="s">
        <v>205</v>
      </c>
      <c r="F86" s="9" t="s">
        <v>36</v>
      </c>
      <c r="G86" s="8" t="s">
        <v>206</v>
      </c>
    </row>
    <row r="87" spans="1:7" ht="165.6" hidden="1" x14ac:dyDescent="0.3">
      <c r="A87" s="13" t="s">
        <v>164</v>
      </c>
      <c r="B87" s="12">
        <v>45972</v>
      </c>
      <c r="C87" s="11" t="s">
        <v>9</v>
      </c>
      <c r="D87" s="11" t="s">
        <v>50</v>
      </c>
      <c r="E87" s="10" t="s">
        <v>207</v>
      </c>
      <c r="F87" s="9" t="s">
        <v>20</v>
      </c>
      <c r="G87" s="8" t="s">
        <v>13</v>
      </c>
    </row>
    <row r="88" spans="1:7" ht="55.2" hidden="1" x14ac:dyDescent="0.3">
      <c r="A88" s="13" t="s">
        <v>208</v>
      </c>
      <c r="B88" s="12">
        <v>45975</v>
      </c>
      <c r="C88" s="11" t="s">
        <v>9</v>
      </c>
      <c r="D88" s="11" t="s">
        <v>50</v>
      </c>
      <c r="E88" s="10" t="s">
        <v>209</v>
      </c>
      <c r="F88" s="9" t="s">
        <v>36</v>
      </c>
      <c r="G88" s="8" t="s">
        <v>206</v>
      </c>
    </row>
    <row r="89" spans="1:7" ht="55.2" hidden="1" x14ac:dyDescent="0.3">
      <c r="A89" s="13" t="s">
        <v>48</v>
      </c>
      <c r="B89" s="12">
        <v>45976</v>
      </c>
      <c r="C89" s="11" t="s">
        <v>9</v>
      </c>
      <c r="D89" s="11" t="s">
        <v>50</v>
      </c>
      <c r="E89" s="10" t="s">
        <v>210</v>
      </c>
      <c r="F89" s="9" t="s">
        <v>20</v>
      </c>
      <c r="G89" s="8" t="s">
        <v>13</v>
      </c>
    </row>
    <row r="90" spans="1:7" ht="55.2" hidden="1" x14ac:dyDescent="0.3">
      <c r="A90" s="13" t="s">
        <v>105</v>
      </c>
      <c r="B90" s="12">
        <v>45978</v>
      </c>
      <c r="C90" s="11" t="s">
        <v>211</v>
      </c>
      <c r="D90" s="11" t="s">
        <v>212</v>
      </c>
      <c r="E90" s="10" t="s">
        <v>213</v>
      </c>
      <c r="F90" s="9" t="s">
        <v>214</v>
      </c>
      <c r="G90" s="8" t="s">
        <v>83</v>
      </c>
    </row>
    <row r="91" spans="1:7" ht="41.4" hidden="1" x14ac:dyDescent="0.3">
      <c r="A91" s="13" t="s">
        <v>28</v>
      </c>
      <c r="B91" s="12">
        <v>45981</v>
      </c>
      <c r="C91" s="11" t="s">
        <v>9</v>
      </c>
      <c r="D91" s="11" t="s">
        <v>50</v>
      </c>
      <c r="E91" s="10" t="s">
        <v>215</v>
      </c>
      <c r="F91" s="9" t="s">
        <v>20</v>
      </c>
      <c r="G91" s="8" t="s">
        <v>13</v>
      </c>
    </row>
    <row r="92" spans="1:7" ht="55.2" hidden="1" x14ac:dyDescent="0.3">
      <c r="A92" s="13" t="s">
        <v>216</v>
      </c>
      <c r="B92" s="12">
        <v>45982</v>
      </c>
      <c r="C92" s="11" t="s">
        <v>23</v>
      </c>
      <c r="D92" s="11" t="s">
        <v>212</v>
      </c>
      <c r="E92" s="10" t="s">
        <v>217</v>
      </c>
      <c r="F92" s="9" t="s">
        <v>218</v>
      </c>
      <c r="G92" s="8" t="s">
        <v>13</v>
      </c>
    </row>
    <row r="93" spans="1:7" ht="124.2" hidden="1" x14ac:dyDescent="0.3">
      <c r="A93" s="13" t="s">
        <v>59</v>
      </c>
      <c r="B93" s="12">
        <v>45985</v>
      </c>
      <c r="C93" s="11" t="s">
        <v>9</v>
      </c>
      <c r="D93" s="11" t="s">
        <v>10</v>
      </c>
      <c r="E93" s="10" t="s">
        <v>219</v>
      </c>
      <c r="F93" s="9" t="s">
        <v>220</v>
      </c>
      <c r="G93" s="8" t="s">
        <v>13</v>
      </c>
    </row>
    <row r="94" spans="1:7" ht="69" hidden="1" x14ac:dyDescent="0.3">
      <c r="A94" s="7" t="s">
        <v>41</v>
      </c>
      <c r="B94" s="6">
        <v>45986</v>
      </c>
      <c r="C94" s="5" t="s">
        <v>9</v>
      </c>
      <c r="D94" s="5" t="s">
        <v>50</v>
      </c>
      <c r="E94" s="4" t="s">
        <v>221</v>
      </c>
      <c r="F94" s="3" t="s">
        <v>20</v>
      </c>
      <c r="G94" s="2" t="s">
        <v>13</v>
      </c>
    </row>
    <row r="95" spans="1:7" ht="110.4" hidden="1" x14ac:dyDescent="0.3">
      <c r="A95" s="7" t="s">
        <v>164</v>
      </c>
      <c r="B95" s="6">
        <v>45987</v>
      </c>
      <c r="C95" s="5" t="s">
        <v>222</v>
      </c>
      <c r="D95" s="5" t="s">
        <v>50</v>
      </c>
      <c r="E95" s="4" t="s">
        <v>223</v>
      </c>
      <c r="F95" s="3" t="s">
        <v>196</v>
      </c>
      <c r="G95" s="2" t="s">
        <v>197</v>
      </c>
    </row>
    <row r="96" spans="1:7" ht="69" hidden="1" x14ac:dyDescent="0.3">
      <c r="A96" s="13" t="s">
        <v>184</v>
      </c>
      <c r="B96" s="12">
        <v>45996</v>
      </c>
      <c r="C96" s="11" t="s">
        <v>23</v>
      </c>
      <c r="D96" s="5" t="s">
        <v>50</v>
      </c>
      <c r="E96" s="10" t="s">
        <v>224</v>
      </c>
      <c r="F96" s="9"/>
      <c r="G96" s="8"/>
    </row>
    <row r="97" spans="1:9" ht="55.2" hidden="1" x14ac:dyDescent="0.3">
      <c r="A97" s="13" t="s">
        <v>48</v>
      </c>
      <c r="B97" s="12">
        <v>45997</v>
      </c>
      <c r="C97" s="11"/>
      <c r="D97" s="5" t="s">
        <v>50</v>
      </c>
      <c r="E97" s="10" t="s">
        <v>225</v>
      </c>
      <c r="F97" s="9"/>
      <c r="G97" s="8"/>
    </row>
    <row r="98" spans="1:9" ht="69" hidden="1" x14ac:dyDescent="0.3">
      <c r="A98" s="13" t="s">
        <v>59</v>
      </c>
      <c r="B98" s="18">
        <v>46002</v>
      </c>
      <c r="C98" s="9" t="s">
        <v>9</v>
      </c>
      <c r="D98" s="11" t="s">
        <v>10</v>
      </c>
      <c r="E98" s="10" t="s">
        <v>226</v>
      </c>
      <c r="F98" s="9"/>
      <c r="G98" s="8"/>
    </row>
    <row r="99" spans="1:9" ht="41.4" hidden="1" x14ac:dyDescent="0.3">
      <c r="A99" s="7" t="s">
        <v>44</v>
      </c>
      <c r="B99" s="17">
        <v>46004</v>
      </c>
      <c r="C99" s="3" t="s">
        <v>227</v>
      </c>
      <c r="D99" s="11" t="s">
        <v>10</v>
      </c>
      <c r="E99" s="4" t="s">
        <v>228</v>
      </c>
      <c r="F99" s="3"/>
      <c r="G99" s="2"/>
    </row>
    <row r="100" spans="1:9" ht="55.2" hidden="1" x14ac:dyDescent="0.3">
      <c r="A100" s="13" t="s">
        <v>229</v>
      </c>
      <c r="B100" s="12">
        <v>46007</v>
      </c>
      <c r="C100" s="11" t="s">
        <v>230</v>
      </c>
      <c r="D100" s="11" t="s">
        <v>45</v>
      </c>
      <c r="E100" s="10" t="s">
        <v>231</v>
      </c>
      <c r="F100" s="9"/>
      <c r="G100" s="8"/>
    </row>
    <row r="101" spans="1:9" ht="96.6" hidden="1" x14ac:dyDescent="0.3">
      <c r="A101" s="13" t="s">
        <v>59</v>
      </c>
      <c r="B101" s="6">
        <v>46008</v>
      </c>
      <c r="C101" s="5" t="s">
        <v>9</v>
      </c>
      <c r="D101" s="5" t="s">
        <v>50</v>
      </c>
      <c r="E101" s="4" t="s">
        <v>232</v>
      </c>
      <c r="F101" s="3"/>
      <c r="G101" s="2"/>
    </row>
    <row r="102" spans="1:9" ht="69" hidden="1" x14ac:dyDescent="0.3">
      <c r="A102" s="7" t="s">
        <v>233</v>
      </c>
      <c r="B102" s="6">
        <v>46009</v>
      </c>
      <c r="C102" s="3" t="s">
        <v>234</v>
      </c>
      <c r="D102" s="11" t="s">
        <v>10</v>
      </c>
      <c r="E102" s="4" t="s">
        <v>235</v>
      </c>
      <c r="F102" s="3"/>
      <c r="G102" s="2"/>
    </row>
    <row r="103" spans="1:9" ht="96.6" hidden="1" x14ac:dyDescent="0.3">
      <c r="A103" s="13" t="s">
        <v>59</v>
      </c>
      <c r="B103" s="6">
        <v>46011</v>
      </c>
      <c r="C103" s="5" t="s">
        <v>9</v>
      </c>
      <c r="D103" s="11" t="s">
        <v>45</v>
      </c>
      <c r="E103" s="4" t="s">
        <v>236</v>
      </c>
      <c r="F103" s="3"/>
      <c r="G103" s="2"/>
    </row>
    <row r="104" spans="1:9" ht="55.2" hidden="1" x14ac:dyDescent="0.3">
      <c r="A104" s="13" t="s">
        <v>59</v>
      </c>
      <c r="B104" s="6">
        <v>46012</v>
      </c>
      <c r="C104" s="5" t="s">
        <v>9</v>
      </c>
      <c r="D104" s="11" t="s">
        <v>45</v>
      </c>
      <c r="E104" s="4" t="s">
        <v>237</v>
      </c>
      <c r="F104" s="3"/>
      <c r="G104" s="2"/>
    </row>
    <row r="105" spans="1:9" ht="82.8" hidden="1" x14ac:dyDescent="0.3">
      <c r="A105" s="13" t="s">
        <v>67</v>
      </c>
      <c r="B105" s="6">
        <v>46013</v>
      </c>
      <c r="C105" s="5" t="s">
        <v>9</v>
      </c>
      <c r="D105" s="11" t="s">
        <v>45</v>
      </c>
      <c r="E105" s="4" t="s">
        <v>238</v>
      </c>
      <c r="F105" s="3"/>
      <c r="G105" s="2"/>
    </row>
    <row r="106" spans="1:9" ht="82.8" hidden="1" x14ac:dyDescent="0.3">
      <c r="A106" s="7" t="s">
        <v>138</v>
      </c>
      <c r="B106" s="12">
        <v>46018</v>
      </c>
      <c r="C106" s="9" t="s">
        <v>239</v>
      </c>
      <c r="D106" s="11" t="s">
        <v>45</v>
      </c>
      <c r="E106" s="10" t="s">
        <v>240</v>
      </c>
      <c r="F106" s="9"/>
      <c r="G106" s="8"/>
    </row>
    <row r="107" spans="1:9" ht="55.2" hidden="1" x14ac:dyDescent="0.3">
      <c r="A107" s="13" t="s">
        <v>74</v>
      </c>
      <c r="B107" s="12">
        <v>46018</v>
      </c>
      <c r="C107" s="9" t="s">
        <v>241</v>
      </c>
      <c r="D107" s="11" t="s">
        <v>45</v>
      </c>
      <c r="E107" s="10" t="s">
        <v>242</v>
      </c>
      <c r="F107" s="9"/>
      <c r="G107" s="8"/>
    </row>
    <row r="108" spans="1:9" ht="69" hidden="1" x14ac:dyDescent="0.3">
      <c r="A108" s="7" t="s">
        <v>243</v>
      </c>
      <c r="B108" s="6">
        <v>46021</v>
      </c>
      <c r="C108" s="5"/>
      <c r="D108" s="5" t="s">
        <v>50</v>
      </c>
      <c r="E108" s="4" t="s">
        <v>244</v>
      </c>
      <c r="F108" s="3"/>
      <c r="G108" s="2"/>
    </row>
    <row r="109" spans="1:9" ht="82.8" hidden="1" x14ac:dyDescent="0.3">
      <c r="A109" s="100" t="s">
        <v>28</v>
      </c>
      <c r="B109" s="6">
        <v>46025</v>
      </c>
      <c r="C109" s="5" t="s">
        <v>245</v>
      </c>
      <c r="D109" s="5" t="s">
        <v>246</v>
      </c>
      <c r="E109" s="4" t="s">
        <v>247</v>
      </c>
      <c r="F109" s="3"/>
      <c r="G109" s="2"/>
      <c r="I109" s="124"/>
    </row>
    <row r="110" spans="1:9" ht="82.8" hidden="1" x14ac:dyDescent="0.3">
      <c r="A110" s="101" t="s">
        <v>248</v>
      </c>
      <c r="B110" s="6">
        <v>46028</v>
      </c>
      <c r="C110" s="5" t="s">
        <v>245</v>
      </c>
      <c r="D110" s="5" t="s">
        <v>246</v>
      </c>
      <c r="E110" s="10" t="s">
        <v>249</v>
      </c>
      <c r="F110" s="9"/>
      <c r="G110" s="8"/>
    </row>
    <row r="111" spans="1:9" ht="55.2" hidden="1" x14ac:dyDescent="0.3">
      <c r="A111" s="13" t="s">
        <v>243</v>
      </c>
      <c r="B111" s="6">
        <v>46030</v>
      </c>
      <c r="C111" s="5" t="s">
        <v>245</v>
      </c>
      <c r="D111" s="5" t="s">
        <v>45</v>
      </c>
      <c r="E111" s="10" t="s">
        <v>250</v>
      </c>
      <c r="F111" s="9"/>
      <c r="G111" s="8"/>
    </row>
    <row r="112" spans="1:9" ht="55.2" hidden="1" x14ac:dyDescent="0.3">
      <c r="A112" s="101" t="s">
        <v>251</v>
      </c>
      <c r="B112" s="6">
        <v>46030</v>
      </c>
      <c r="C112" s="5" t="s">
        <v>245</v>
      </c>
      <c r="D112" s="5" t="s">
        <v>246</v>
      </c>
      <c r="E112" s="10" t="s">
        <v>252</v>
      </c>
      <c r="F112" s="9"/>
      <c r="G112" s="8"/>
    </row>
    <row r="113" spans="1:8" ht="82.8" hidden="1" x14ac:dyDescent="0.3">
      <c r="A113" s="101" t="s">
        <v>74</v>
      </c>
      <c r="B113" s="6">
        <v>46038</v>
      </c>
      <c r="C113" s="5" t="s">
        <v>245</v>
      </c>
      <c r="D113" s="5" t="s">
        <v>45</v>
      </c>
      <c r="E113" s="10" t="s">
        <v>253</v>
      </c>
      <c r="F113" s="9"/>
      <c r="G113" s="8"/>
    </row>
    <row r="114" spans="1:8" ht="55.2" hidden="1" x14ac:dyDescent="0.3">
      <c r="A114" s="101" t="s">
        <v>251</v>
      </c>
      <c r="B114" s="6">
        <v>46038</v>
      </c>
      <c r="C114" s="5" t="s">
        <v>245</v>
      </c>
      <c r="D114" s="5" t="s">
        <v>246</v>
      </c>
      <c r="E114" s="10" t="s">
        <v>254</v>
      </c>
      <c r="F114" s="9"/>
      <c r="G114" s="8"/>
    </row>
    <row r="115" spans="1:8" ht="41.4" hidden="1" x14ac:dyDescent="0.3">
      <c r="A115" s="13" t="s">
        <v>122</v>
      </c>
      <c r="B115" s="6">
        <v>46040</v>
      </c>
      <c r="C115" s="5" t="s">
        <v>245</v>
      </c>
      <c r="D115" s="5" t="s">
        <v>50</v>
      </c>
      <c r="E115" s="10" t="s">
        <v>255</v>
      </c>
      <c r="F115" s="9"/>
      <c r="G115" s="8"/>
      <c r="H115" s="126" t="s">
        <v>256</v>
      </c>
    </row>
    <row r="116" spans="1:8" ht="69" hidden="1" x14ac:dyDescent="0.3">
      <c r="A116" s="101" t="s">
        <v>257</v>
      </c>
      <c r="B116" s="6">
        <v>46043</v>
      </c>
      <c r="C116" s="11" t="s">
        <v>258</v>
      </c>
      <c r="D116" s="5" t="s">
        <v>246</v>
      </c>
      <c r="E116" s="10" t="s">
        <v>259</v>
      </c>
      <c r="F116" s="9"/>
      <c r="G116" s="8"/>
    </row>
    <row r="117" spans="1:8" ht="55.2" hidden="1" x14ac:dyDescent="0.3">
      <c r="A117" s="101" t="s">
        <v>260</v>
      </c>
      <c r="B117" s="6">
        <v>46043</v>
      </c>
      <c r="C117" s="9" t="s">
        <v>261</v>
      </c>
      <c r="D117" s="5" t="s">
        <v>45</v>
      </c>
      <c r="E117" s="10" t="s">
        <v>262</v>
      </c>
      <c r="F117" s="9"/>
      <c r="G117" s="8"/>
    </row>
    <row r="118" spans="1:8" ht="69" hidden="1" x14ac:dyDescent="0.3">
      <c r="A118" s="13" t="s">
        <v>263</v>
      </c>
      <c r="B118" s="6">
        <v>46043</v>
      </c>
      <c r="C118" s="11" t="s">
        <v>23</v>
      </c>
      <c r="D118" s="5" t="s">
        <v>50</v>
      </c>
      <c r="E118" s="10" t="s">
        <v>264</v>
      </c>
      <c r="F118" s="9"/>
      <c r="G118" s="8"/>
      <c r="H118" s="126" t="s">
        <v>256</v>
      </c>
    </row>
    <row r="119" spans="1:8" ht="69" hidden="1" x14ac:dyDescent="0.3">
      <c r="A119" s="101" t="s">
        <v>265</v>
      </c>
      <c r="B119" s="6">
        <v>46043</v>
      </c>
      <c r="C119" s="5" t="s">
        <v>245</v>
      </c>
      <c r="D119" s="5" t="s">
        <v>246</v>
      </c>
      <c r="E119" s="10" t="s">
        <v>266</v>
      </c>
      <c r="F119" s="9"/>
      <c r="G119" s="8"/>
    </row>
    <row r="120" spans="1:8" ht="55.2" hidden="1" x14ac:dyDescent="0.3">
      <c r="A120" s="13" t="s">
        <v>59</v>
      </c>
      <c r="B120" s="6">
        <v>46053</v>
      </c>
      <c r="C120" s="5" t="s">
        <v>245</v>
      </c>
      <c r="D120" s="5" t="s">
        <v>45</v>
      </c>
      <c r="E120" s="4" t="s">
        <v>267</v>
      </c>
      <c r="F120" s="3"/>
      <c r="G120" s="2"/>
    </row>
    <row r="121" spans="1:8" ht="41.4" hidden="1" x14ac:dyDescent="0.3">
      <c r="A121" s="7" t="s">
        <v>268</v>
      </c>
      <c r="B121" s="12">
        <v>46055</v>
      </c>
      <c r="C121" s="5" t="s">
        <v>245</v>
      </c>
      <c r="D121" s="5" t="s">
        <v>45</v>
      </c>
      <c r="E121" s="10" t="s">
        <v>269</v>
      </c>
      <c r="F121" s="9"/>
      <c r="G121" s="8"/>
    </row>
    <row r="122" spans="1:8" ht="27.6" hidden="1" x14ac:dyDescent="0.3">
      <c r="A122" s="7" t="s">
        <v>270</v>
      </c>
      <c r="B122" s="6">
        <v>46052</v>
      </c>
      <c r="C122" s="5" t="s">
        <v>245</v>
      </c>
      <c r="D122" s="5" t="s">
        <v>45</v>
      </c>
      <c r="E122" s="4" t="s">
        <v>271</v>
      </c>
      <c r="F122" s="3"/>
      <c r="G122" s="2"/>
    </row>
    <row r="123" spans="1:8" ht="41.4" hidden="1" x14ac:dyDescent="0.3">
      <c r="A123" s="13" t="s">
        <v>229</v>
      </c>
      <c r="B123" s="12">
        <v>46056</v>
      </c>
      <c r="C123" s="5" t="s">
        <v>245</v>
      </c>
      <c r="D123" s="5" t="s">
        <v>45</v>
      </c>
      <c r="E123" s="10" t="s">
        <v>272</v>
      </c>
      <c r="F123" s="9"/>
      <c r="G123" s="8"/>
    </row>
    <row r="124" spans="1:8" ht="69" hidden="1" x14ac:dyDescent="0.3">
      <c r="A124" s="13" t="s">
        <v>59</v>
      </c>
      <c r="B124" s="6">
        <v>46057</v>
      </c>
      <c r="C124" s="5" t="s">
        <v>245</v>
      </c>
      <c r="D124" s="5" t="s">
        <v>45</v>
      </c>
      <c r="E124" s="4" t="s">
        <v>273</v>
      </c>
      <c r="F124" s="3"/>
      <c r="G124" s="2"/>
    </row>
    <row r="125" spans="1:8" ht="41.4" hidden="1" x14ac:dyDescent="0.3">
      <c r="A125" s="13" t="s">
        <v>229</v>
      </c>
      <c r="B125" s="6">
        <v>46057</v>
      </c>
      <c r="C125" s="5" t="s">
        <v>245</v>
      </c>
      <c r="D125" s="5" t="s">
        <v>45</v>
      </c>
      <c r="E125" s="4" t="s">
        <v>274</v>
      </c>
      <c r="F125" s="3"/>
      <c r="G125" s="2"/>
    </row>
    <row r="126" spans="1:8" ht="41.4" hidden="1" x14ac:dyDescent="0.3">
      <c r="A126" s="13" t="s">
        <v>59</v>
      </c>
      <c r="B126" s="6">
        <v>46058</v>
      </c>
      <c r="C126" s="5" t="s">
        <v>245</v>
      </c>
      <c r="D126" s="5" t="s">
        <v>50</v>
      </c>
      <c r="E126" s="99" t="s">
        <v>275</v>
      </c>
      <c r="F126" s="3"/>
      <c r="G126" s="2"/>
      <c r="H126" s="125" t="s">
        <v>256</v>
      </c>
    </row>
    <row r="127" spans="1:8" ht="41.4" hidden="1" x14ac:dyDescent="0.3">
      <c r="A127" s="7" t="s">
        <v>93</v>
      </c>
      <c r="B127" s="6">
        <v>46060</v>
      </c>
      <c r="C127" s="5" t="s">
        <v>276</v>
      </c>
      <c r="D127" s="5" t="s">
        <v>45</v>
      </c>
      <c r="E127" s="16" t="s">
        <v>277</v>
      </c>
      <c r="F127" s="3"/>
      <c r="G127" s="2"/>
    </row>
    <row r="128" spans="1:8" ht="69" hidden="1" x14ac:dyDescent="0.3">
      <c r="A128" s="7" t="s">
        <v>278</v>
      </c>
      <c r="B128" s="122">
        <v>46059</v>
      </c>
      <c r="C128" s="5" t="s">
        <v>245</v>
      </c>
      <c r="D128" s="5" t="s">
        <v>45</v>
      </c>
      <c r="E128" s="4" t="s">
        <v>279</v>
      </c>
      <c r="F128" s="3"/>
      <c r="G128" s="2"/>
    </row>
    <row r="129" spans="1:8" ht="55.2" hidden="1" x14ac:dyDescent="0.3">
      <c r="A129" s="7" t="s">
        <v>111</v>
      </c>
      <c r="B129" s="6">
        <v>46062</v>
      </c>
      <c r="C129" s="5" t="s">
        <v>245</v>
      </c>
      <c r="D129" s="5" t="s">
        <v>45</v>
      </c>
      <c r="E129" s="4" t="s">
        <v>280</v>
      </c>
      <c r="F129" s="3"/>
      <c r="G129" s="2"/>
    </row>
    <row r="130" spans="1:8" ht="55.2" hidden="1" x14ac:dyDescent="0.3">
      <c r="A130" s="7" t="s">
        <v>281</v>
      </c>
      <c r="B130" s="6">
        <v>46063</v>
      </c>
      <c r="C130" s="5" t="s">
        <v>23</v>
      </c>
      <c r="D130" s="5" t="s">
        <v>50</v>
      </c>
      <c r="E130" s="4" t="s">
        <v>282</v>
      </c>
      <c r="F130" s="3"/>
      <c r="G130" s="2"/>
      <c r="H130" s="126" t="s">
        <v>256</v>
      </c>
    </row>
    <row r="131" spans="1:8" ht="27.6" hidden="1" x14ac:dyDescent="0.3">
      <c r="A131" s="13" t="s">
        <v>229</v>
      </c>
      <c r="B131" s="6">
        <v>46063</v>
      </c>
      <c r="C131" s="5" t="s">
        <v>245</v>
      </c>
      <c r="D131" s="5" t="s">
        <v>45</v>
      </c>
      <c r="E131" s="4" t="s">
        <v>283</v>
      </c>
      <c r="F131" s="3"/>
      <c r="G131" s="2"/>
    </row>
    <row r="132" spans="1:8" ht="41.4" hidden="1" x14ac:dyDescent="0.3">
      <c r="A132" s="13" t="s">
        <v>59</v>
      </c>
      <c r="B132" s="6">
        <v>46053</v>
      </c>
      <c r="C132" s="5" t="s">
        <v>245</v>
      </c>
      <c r="D132" s="5" t="s">
        <v>45</v>
      </c>
      <c r="E132" s="4" t="s">
        <v>284</v>
      </c>
      <c r="F132" s="3"/>
      <c r="G132" s="2"/>
    </row>
    <row r="133" spans="1:8" ht="41.4" hidden="1" x14ac:dyDescent="0.3">
      <c r="A133" s="7" t="s">
        <v>128</v>
      </c>
      <c r="B133" s="122">
        <v>46063</v>
      </c>
      <c r="C133" s="11" t="s">
        <v>128</v>
      </c>
      <c r="D133" s="5" t="s">
        <v>45</v>
      </c>
      <c r="E133" s="4" t="s">
        <v>285</v>
      </c>
      <c r="F133" s="3"/>
      <c r="G133" s="2"/>
    </row>
    <row r="134" spans="1:8" ht="27.6" hidden="1" x14ac:dyDescent="0.3">
      <c r="A134" s="13" t="s">
        <v>229</v>
      </c>
      <c r="B134" s="6">
        <v>46064</v>
      </c>
      <c r="C134" s="5" t="s">
        <v>245</v>
      </c>
      <c r="D134" s="5" t="s">
        <v>45</v>
      </c>
      <c r="E134" s="4" t="s">
        <v>286</v>
      </c>
      <c r="F134" s="3"/>
      <c r="G134" s="2"/>
    </row>
    <row r="135" spans="1:8" ht="27.6" hidden="1" x14ac:dyDescent="0.3">
      <c r="A135" s="13" t="s">
        <v>263</v>
      </c>
      <c r="B135" s="122">
        <v>46063</v>
      </c>
      <c r="C135" s="11" t="s">
        <v>23</v>
      </c>
      <c r="D135" s="5" t="s">
        <v>45</v>
      </c>
      <c r="E135" s="4" t="s">
        <v>287</v>
      </c>
      <c r="F135" s="3"/>
      <c r="G135" s="2"/>
    </row>
    <row r="136" spans="1:8" ht="41.4" hidden="1" x14ac:dyDescent="0.3">
      <c r="A136" s="13" t="s">
        <v>263</v>
      </c>
      <c r="B136" s="6">
        <v>46064</v>
      </c>
      <c r="C136" s="11" t="s">
        <v>23</v>
      </c>
      <c r="D136" s="5" t="s">
        <v>45</v>
      </c>
      <c r="E136" s="4" t="s">
        <v>288</v>
      </c>
      <c r="F136" s="3"/>
      <c r="G136" s="2"/>
    </row>
    <row r="137" spans="1:8" ht="27.6" hidden="1" x14ac:dyDescent="0.3">
      <c r="A137" s="7" t="s">
        <v>229</v>
      </c>
      <c r="B137" s="6">
        <v>46064</v>
      </c>
      <c r="C137" s="5" t="s">
        <v>245</v>
      </c>
      <c r="D137" s="5" t="s">
        <v>45</v>
      </c>
      <c r="E137" s="4" t="s">
        <v>289</v>
      </c>
      <c r="F137" s="3"/>
      <c r="G137" s="2"/>
    </row>
    <row r="138" spans="1:8" ht="41.4" hidden="1" x14ac:dyDescent="0.3">
      <c r="A138" s="7" t="s">
        <v>229</v>
      </c>
      <c r="B138" s="6">
        <v>46066</v>
      </c>
      <c r="C138" s="5" t="s">
        <v>245</v>
      </c>
      <c r="D138" s="5" t="s">
        <v>45</v>
      </c>
      <c r="E138" s="4" t="s">
        <v>290</v>
      </c>
      <c r="F138" s="3"/>
      <c r="G138" s="2"/>
    </row>
    <row r="139" spans="1:8" ht="41.4" hidden="1" x14ac:dyDescent="0.3">
      <c r="A139" s="13" t="s">
        <v>291</v>
      </c>
      <c r="B139" s="122">
        <v>46065</v>
      </c>
      <c r="C139" s="11" t="s">
        <v>23</v>
      </c>
      <c r="D139" s="5" t="s">
        <v>45</v>
      </c>
      <c r="E139" s="4" t="s">
        <v>292</v>
      </c>
      <c r="F139" s="3"/>
      <c r="G139" s="2"/>
    </row>
    <row r="140" spans="1:8" ht="41.4" hidden="1" x14ac:dyDescent="0.3">
      <c r="A140" s="13" t="s">
        <v>263</v>
      </c>
      <c r="B140" s="122">
        <v>46066</v>
      </c>
      <c r="C140" s="11" t="s">
        <v>23</v>
      </c>
      <c r="D140" s="5" t="s">
        <v>45</v>
      </c>
      <c r="E140" s="4" t="s">
        <v>293</v>
      </c>
      <c r="F140" s="3"/>
      <c r="G140" s="2"/>
    </row>
    <row r="141" spans="1:8" ht="41.4" hidden="1" x14ac:dyDescent="0.3">
      <c r="A141" s="13" t="s">
        <v>59</v>
      </c>
      <c r="B141" s="6">
        <v>46067</v>
      </c>
      <c r="C141" s="5" t="s">
        <v>245</v>
      </c>
      <c r="D141" s="5" t="s">
        <v>45</v>
      </c>
      <c r="E141" s="10" t="s">
        <v>294</v>
      </c>
      <c r="F141" s="9"/>
      <c r="G141" s="8"/>
    </row>
    <row r="142" spans="1:8" ht="41.4" hidden="1" x14ac:dyDescent="0.3">
      <c r="A142" s="13" t="s">
        <v>59</v>
      </c>
      <c r="B142" s="12">
        <v>46067</v>
      </c>
      <c r="C142" s="5" t="s">
        <v>245</v>
      </c>
      <c r="D142" s="5" t="s">
        <v>45</v>
      </c>
      <c r="E142" s="10" t="s">
        <v>295</v>
      </c>
      <c r="F142" s="9"/>
      <c r="G142" s="8"/>
    </row>
    <row r="143" spans="1:8" ht="41.4" hidden="1" x14ac:dyDescent="0.3">
      <c r="A143" s="7" t="s">
        <v>296</v>
      </c>
      <c r="B143" s="122">
        <v>46066</v>
      </c>
      <c r="C143" s="11" t="s">
        <v>23</v>
      </c>
      <c r="D143" s="5" t="s">
        <v>45</v>
      </c>
      <c r="E143" s="4" t="s">
        <v>297</v>
      </c>
      <c r="F143" s="3"/>
      <c r="G143" s="2"/>
    </row>
    <row r="144" spans="1:8" ht="69" hidden="1" x14ac:dyDescent="0.3">
      <c r="A144" s="7" t="s">
        <v>298</v>
      </c>
      <c r="B144" s="122">
        <v>46067</v>
      </c>
      <c r="C144" s="5" t="s">
        <v>245</v>
      </c>
      <c r="D144" s="5" t="s">
        <v>45</v>
      </c>
      <c r="E144" s="4" t="s">
        <v>299</v>
      </c>
      <c r="F144" s="3"/>
      <c r="G144" s="2"/>
    </row>
    <row r="145" spans="1:7" ht="41.4" hidden="1" x14ac:dyDescent="0.3">
      <c r="A145" s="7" t="s">
        <v>135</v>
      </c>
      <c r="B145" s="6">
        <v>46067</v>
      </c>
      <c r="C145" s="5" t="s">
        <v>245</v>
      </c>
      <c r="D145" s="5" t="s">
        <v>45</v>
      </c>
      <c r="E145" s="4" t="s">
        <v>300</v>
      </c>
      <c r="F145" s="3"/>
      <c r="G145" s="2"/>
    </row>
    <row r="146" spans="1:7" ht="41.4" hidden="1" x14ac:dyDescent="0.3">
      <c r="A146" s="7" t="s">
        <v>229</v>
      </c>
      <c r="B146" s="6">
        <v>46070</v>
      </c>
      <c r="C146" s="5" t="s">
        <v>245</v>
      </c>
      <c r="D146" s="5" t="s">
        <v>45</v>
      </c>
      <c r="E146" s="4" t="s">
        <v>301</v>
      </c>
      <c r="F146" s="3"/>
      <c r="G146" s="2"/>
    </row>
    <row r="147" spans="1:7" ht="41.4" hidden="1" x14ac:dyDescent="0.3">
      <c r="A147" s="7" t="s">
        <v>302</v>
      </c>
      <c r="B147" s="6">
        <v>46069</v>
      </c>
      <c r="C147" s="5" t="s">
        <v>245</v>
      </c>
      <c r="D147" s="5" t="s">
        <v>45</v>
      </c>
      <c r="E147" s="4" t="s">
        <v>303</v>
      </c>
      <c r="F147" s="3"/>
      <c r="G147" s="2"/>
    </row>
    <row r="148" spans="1:7" ht="41.4" hidden="1" x14ac:dyDescent="0.3">
      <c r="A148" s="7" t="s">
        <v>304</v>
      </c>
      <c r="B148" s="6">
        <v>46070</v>
      </c>
      <c r="C148" s="5" t="s">
        <v>23</v>
      </c>
      <c r="D148" s="5" t="s">
        <v>246</v>
      </c>
      <c r="E148" s="4" t="s">
        <v>305</v>
      </c>
      <c r="F148" s="3"/>
      <c r="G148" s="2"/>
    </row>
    <row r="149" spans="1:7" ht="41.4" hidden="1" x14ac:dyDescent="0.3">
      <c r="A149" s="7" t="s">
        <v>306</v>
      </c>
      <c r="B149" s="122">
        <v>46070</v>
      </c>
      <c r="C149" s="5" t="s">
        <v>23</v>
      </c>
      <c r="D149" s="5" t="s">
        <v>246</v>
      </c>
      <c r="E149" s="4" t="s">
        <v>307</v>
      </c>
      <c r="F149" s="3"/>
      <c r="G149" s="2"/>
    </row>
    <row r="150" spans="1:7" ht="27.6" hidden="1" x14ac:dyDescent="0.3">
      <c r="A150" s="7" t="s">
        <v>229</v>
      </c>
      <c r="B150" s="6">
        <v>46072</v>
      </c>
      <c r="C150" s="5" t="s">
        <v>245</v>
      </c>
      <c r="D150" s="5" t="s">
        <v>45</v>
      </c>
      <c r="E150" s="4" t="s">
        <v>308</v>
      </c>
      <c r="F150" s="3"/>
      <c r="G150" s="2"/>
    </row>
    <row r="151" spans="1:7" ht="41.4" hidden="1" x14ac:dyDescent="0.3">
      <c r="A151" s="7" t="s">
        <v>229</v>
      </c>
      <c r="B151" s="6">
        <v>46069</v>
      </c>
      <c r="C151" s="5" t="s">
        <v>245</v>
      </c>
      <c r="D151" s="5" t="s">
        <v>45</v>
      </c>
      <c r="E151" s="4" t="s">
        <v>309</v>
      </c>
      <c r="F151" s="3"/>
      <c r="G151" s="2"/>
    </row>
    <row r="152" spans="1:7" ht="43.2" hidden="1" x14ac:dyDescent="0.3">
      <c r="A152" s="7" t="s">
        <v>310</v>
      </c>
      <c r="B152" s="122">
        <v>46072</v>
      </c>
      <c r="C152" s="5" t="s">
        <v>245</v>
      </c>
      <c r="D152" s="5" t="s">
        <v>246</v>
      </c>
      <c r="E152" s="15" t="s">
        <v>311</v>
      </c>
      <c r="F152" s="3"/>
      <c r="G152" s="2"/>
    </row>
    <row r="153" spans="1:7" ht="27.6" hidden="1" x14ac:dyDescent="0.3">
      <c r="A153" s="7" t="s">
        <v>156</v>
      </c>
      <c r="B153" s="6">
        <v>46073</v>
      </c>
      <c r="C153" s="3" t="s">
        <v>312</v>
      </c>
      <c r="D153" s="5" t="s">
        <v>45</v>
      </c>
      <c r="E153" s="4" t="s">
        <v>313</v>
      </c>
      <c r="F153" s="3"/>
      <c r="G153" s="2"/>
    </row>
    <row r="154" spans="1:7" ht="69" hidden="1" x14ac:dyDescent="0.3">
      <c r="A154" s="7" t="s">
        <v>28</v>
      </c>
      <c r="B154" s="122">
        <v>46074</v>
      </c>
      <c r="C154" s="5" t="s">
        <v>245</v>
      </c>
      <c r="D154" s="5" t="s">
        <v>45</v>
      </c>
      <c r="E154" s="4" t="s">
        <v>314</v>
      </c>
      <c r="F154" s="3"/>
      <c r="G154" s="2"/>
    </row>
    <row r="155" spans="1:7" ht="41.4" hidden="1" x14ac:dyDescent="0.3">
      <c r="A155" s="7" t="s">
        <v>59</v>
      </c>
      <c r="B155" s="6">
        <v>46074</v>
      </c>
      <c r="C155" s="5" t="s">
        <v>245</v>
      </c>
      <c r="D155" s="5" t="s">
        <v>45</v>
      </c>
      <c r="E155" s="4" t="s">
        <v>315</v>
      </c>
      <c r="F155" s="3"/>
      <c r="G155" s="2"/>
    </row>
    <row r="156" spans="1:7" ht="27.6" hidden="1" x14ac:dyDescent="0.3">
      <c r="A156" s="7" t="s">
        <v>59</v>
      </c>
      <c r="B156" s="6">
        <v>46074</v>
      </c>
      <c r="C156" s="5" t="s">
        <v>245</v>
      </c>
      <c r="D156" s="5" t="s">
        <v>45</v>
      </c>
      <c r="E156" s="4" t="s">
        <v>316</v>
      </c>
      <c r="F156" s="3"/>
      <c r="G156" s="2"/>
    </row>
    <row r="157" spans="1:7" ht="41.4" hidden="1" x14ac:dyDescent="0.3">
      <c r="A157" s="7" t="s">
        <v>59</v>
      </c>
      <c r="B157" s="6">
        <v>46074</v>
      </c>
      <c r="C157" s="5" t="s">
        <v>245</v>
      </c>
      <c r="D157" s="5" t="s">
        <v>45</v>
      </c>
      <c r="E157" s="10" t="s">
        <v>317</v>
      </c>
      <c r="F157" s="9"/>
      <c r="G157" s="8"/>
    </row>
    <row r="158" spans="1:7" ht="27.6" hidden="1" x14ac:dyDescent="0.3">
      <c r="A158" s="7" t="s">
        <v>318</v>
      </c>
      <c r="B158" s="6">
        <v>46073</v>
      </c>
      <c r="C158" s="5" t="s">
        <v>245</v>
      </c>
      <c r="D158" s="5" t="s">
        <v>45</v>
      </c>
      <c r="E158" s="4" t="s">
        <v>319</v>
      </c>
      <c r="F158" s="3"/>
      <c r="G158" s="2"/>
    </row>
    <row r="159" spans="1:7" ht="41.4" hidden="1" x14ac:dyDescent="0.3">
      <c r="A159" s="7" t="s">
        <v>320</v>
      </c>
      <c r="B159" s="6">
        <v>46076</v>
      </c>
      <c r="C159" s="5" t="s">
        <v>245</v>
      </c>
      <c r="D159" s="5" t="s">
        <v>45</v>
      </c>
      <c r="E159" s="4" t="s">
        <v>321</v>
      </c>
      <c r="F159" s="3"/>
      <c r="G159" s="2"/>
    </row>
    <row r="160" spans="1:7" ht="66.75" hidden="1" customHeight="1" x14ac:dyDescent="0.3">
      <c r="A160" s="13" t="s">
        <v>322</v>
      </c>
      <c r="B160" s="6">
        <v>46076</v>
      </c>
      <c r="C160" s="9" t="s">
        <v>68</v>
      </c>
      <c r="D160" s="5" t="s">
        <v>45</v>
      </c>
      <c r="E160" s="20" t="s">
        <v>323</v>
      </c>
      <c r="F160" s="9"/>
      <c r="G160" s="8"/>
    </row>
    <row r="161" spans="1:8" ht="41.4" hidden="1" x14ac:dyDescent="0.3">
      <c r="A161" s="13" t="s">
        <v>208</v>
      </c>
      <c r="B161" s="6">
        <v>46077</v>
      </c>
      <c r="C161" s="5" t="s">
        <v>245</v>
      </c>
      <c r="D161" s="5" t="s">
        <v>45</v>
      </c>
      <c r="E161" s="10" t="s">
        <v>324</v>
      </c>
      <c r="F161" s="9"/>
      <c r="G161" s="8"/>
    </row>
    <row r="162" spans="1:8" ht="53.25" hidden="1" customHeight="1" x14ac:dyDescent="0.3">
      <c r="A162" s="7" t="s">
        <v>322</v>
      </c>
      <c r="B162" s="6">
        <v>46077</v>
      </c>
      <c r="C162" s="5" t="s">
        <v>68</v>
      </c>
      <c r="D162" s="5" t="s">
        <v>45</v>
      </c>
      <c r="E162" s="14" t="s">
        <v>325</v>
      </c>
      <c r="F162" s="3"/>
      <c r="G162" s="2"/>
    </row>
    <row r="163" spans="1:8" ht="55.2" hidden="1" x14ac:dyDescent="0.3">
      <c r="A163" s="7" t="s">
        <v>28</v>
      </c>
      <c r="B163" s="122">
        <v>46077</v>
      </c>
      <c r="C163" s="5" t="s">
        <v>245</v>
      </c>
      <c r="D163" s="5" t="s">
        <v>45</v>
      </c>
      <c r="E163" s="14" t="s">
        <v>326</v>
      </c>
      <c r="F163" s="3"/>
      <c r="G163" s="2"/>
    </row>
    <row r="164" spans="1:8" ht="41.4" hidden="1" x14ac:dyDescent="0.3">
      <c r="A164" s="96" t="s">
        <v>17</v>
      </c>
      <c r="B164" s="6">
        <v>46077</v>
      </c>
      <c r="C164" s="5" t="s">
        <v>245</v>
      </c>
      <c r="D164" s="5" t="s">
        <v>45</v>
      </c>
      <c r="E164" s="4" t="s">
        <v>327</v>
      </c>
      <c r="F164" s="3"/>
      <c r="G164" s="2"/>
    </row>
    <row r="165" spans="1:8" ht="41.4" hidden="1" x14ac:dyDescent="0.3">
      <c r="A165" s="7" t="s">
        <v>229</v>
      </c>
      <c r="B165" s="6">
        <v>46079</v>
      </c>
      <c r="C165" s="5" t="s">
        <v>245</v>
      </c>
      <c r="D165" s="5" t="s">
        <v>45</v>
      </c>
      <c r="E165" s="4" t="s">
        <v>328</v>
      </c>
      <c r="F165" s="3"/>
      <c r="G165" s="2"/>
    </row>
    <row r="166" spans="1:8" ht="55.2" hidden="1" x14ac:dyDescent="0.3">
      <c r="A166" s="7" t="s">
        <v>257</v>
      </c>
      <c r="B166" s="122">
        <v>46077</v>
      </c>
      <c r="C166" s="5" t="s">
        <v>245</v>
      </c>
      <c r="D166" s="5" t="s">
        <v>45</v>
      </c>
      <c r="E166" s="4" t="s">
        <v>329</v>
      </c>
      <c r="F166" s="3"/>
      <c r="G166" s="2"/>
    </row>
    <row r="167" spans="1:8" ht="41.4" hidden="1" x14ac:dyDescent="0.3">
      <c r="A167" s="7" t="s">
        <v>229</v>
      </c>
      <c r="B167" s="6">
        <v>46072</v>
      </c>
      <c r="C167" s="5" t="s">
        <v>245</v>
      </c>
      <c r="D167" s="5" t="s">
        <v>45</v>
      </c>
      <c r="E167" s="4" t="s">
        <v>330</v>
      </c>
      <c r="F167" s="3"/>
      <c r="G167" s="2"/>
    </row>
    <row r="168" spans="1:8" ht="55.2" hidden="1" x14ac:dyDescent="0.3">
      <c r="A168" s="7" t="s">
        <v>93</v>
      </c>
      <c r="B168" s="122">
        <v>46080</v>
      </c>
      <c r="C168" s="5" t="s">
        <v>245</v>
      </c>
      <c r="D168" s="5" t="s">
        <v>45</v>
      </c>
      <c r="E168" s="4" t="s">
        <v>331</v>
      </c>
      <c r="F168" s="3"/>
      <c r="G168" s="2"/>
    </row>
    <row r="169" spans="1:8" ht="41.4" hidden="1" x14ac:dyDescent="0.3">
      <c r="A169" s="7" t="s">
        <v>229</v>
      </c>
      <c r="B169" s="6">
        <v>46081</v>
      </c>
      <c r="C169" s="5" t="s">
        <v>245</v>
      </c>
      <c r="D169" s="5" t="s">
        <v>45</v>
      </c>
      <c r="E169" s="4" t="s">
        <v>332</v>
      </c>
      <c r="F169" s="3"/>
      <c r="G169" s="2"/>
    </row>
    <row r="170" spans="1:8" ht="55.2" hidden="1" x14ac:dyDescent="0.3">
      <c r="A170" s="7" t="s">
        <v>333</v>
      </c>
      <c r="B170" s="6">
        <v>46081</v>
      </c>
      <c r="C170" s="5" t="s">
        <v>245</v>
      </c>
      <c r="D170" s="5" t="s">
        <v>45</v>
      </c>
      <c r="E170" s="4" t="s">
        <v>334</v>
      </c>
      <c r="F170" s="3"/>
      <c r="G170" s="2"/>
    </row>
    <row r="171" spans="1:8" ht="41.4" hidden="1" x14ac:dyDescent="0.3">
      <c r="A171" s="7" t="s">
        <v>59</v>
      </c>
      <c r="B171" s="6">
        <v>46086</v>
      </c>
      <c r="C171" s="5" t="s">
        <v>245</v>
      </c>
      <c r="D171" s="5" t="s">
        <v>45</v>
      </c>
      <c r="E171" s="4" t="s">
        <v>335</v>
      </c>
      <c r="F171" s="3"/>
      <c r="G171" s="2"/>
    </row>
    <row r="172" spans="1:8" ht="41.4" hidden="1" x14ac:dyDescent="0.3">
      <c r="A172" s="13" t="s">
        <v>336</v>
      </c>
      <c r="B172" s="12">
        <v>46085</v>
      </c>
      <c r="C172" s="5" t="s">
        <v>245</v>
      </c>
      <c r="D172" s="11" t="s">
        <v>50</v>
      </c>
      <c r="E172" s="10" t="s">
        <v>337</v>
      </c>
      <c r="F172" s="9"/>
      <c r="G172" s="8"/>
      <c r="H172" s="126" t="s">
        <v>256</v>
      </c>
    </row>
    <row r="173" spans="1:8" ht="41.4" hidden="1" x14ac:dyDescent="0.3">
      <c r="A173" s="13" t="s">
        <v>67</v>
      </c>
      <c r="B173" s="12">
        <v>46086</v>
      </c>
      <c r="C173" s="5" t="s">
        <v>245</v>
      </c>
      <c r="D173" s="11" t="s">
        <v>50</v>
      </c>
      <c r="E173" s="10" t="s">
        <v>338</v>
      </c>
      <c r="F173" s="9"/>
      <c r="G173" s="8"/>
      <c r="H173" s="125" t="s">
        <v>256</v>
      </c>
    </row>
    <row r="174" spans="1:8" ht="44.85" hidden="1" customHeight="1" x14ac:dyDescent="0.3">
      <c r="A174" s="7" t="s">
        <v>81</v>
      </c>
      <c r="B174" s="6">
        <v>46086</v>
      </c>
      <c r="C174" s="5" t="s">
        <v>23</v>
      </c>
      <c r="D174" s="5" t="s">
        <v>45</v>
      </c>
      <c r="E174" s="4" t="s">
        <v>339</v>
      </c>
      <c r="F174" s="3"/>
      <c r="G174" s="2"/>
    </row>
    <row r="175" spans="1:8" ht="55.2" hidden="1" x14ac:dyDescent="0.3">
      <c r="A175" s="7" t="s">
        <v>306</v>
      </c>
      <c r="B175" s="6">
        <v>46084</v>
      </c>
      <c r="C175" s="5" t="s">
        <v>23</v>
      </c>
      <c r="D175" s="5" t="s">
        <v>50</v>
      </c>
      <c r="E175" s="4" t="s">
        <v>340</v>
      </c>
      <c r="F175" s="3"/>
      <c r="G175" s="2"/>
      <c r="H175" s="126" t="s">
        <v>256</v>
      </c>
    </row>
    <row r="176" spans="1:8" ht="48" hidden="1" customHeight="1" x14ac:dyDescent="0.3">
      <c r="A176" s="7" t="s">
        <v>59</v>
      </c>
      <c r="B176" s="6">
        <v>46087</v>
      </c>
      <c r="C176" s="5" t="s">
        <v>245</v>
      </c>
      <c r="D176" s="5" t="s">
        <v>45</v>
      </c>
      <c r="E176" s="4" t="s">
        <v>341</v>
      </c>
      <c r="F176" s="3"/>
      <c r="G176" s="2"/>
    </row>
    <row r="177" spans="1:8" ht="55.2" hidden="1" x14ac:dyDescent="0.3">
      <c r="A177" s="7" t="s">
        <v>184</v>
      </c>
      <c r="B177" s="6">
        <v>46087</v>
      </c>
      <c r="C177" s="5" t="s">
        <v>23</v>
      </c>
      <c r="D177" s="5" t="s">
        <v>45</v>
      </c>
      <c r="E177" s="4" t="s">
        <v>342</v>
      </c>
      <c r="F177" s="3"/>
      <c r="G177" s="2"/>
    </row>
    <row r="178" spans="1:8" ht="83.85" hidden="1" customHeight="1" x14ac:dyDescent="0.3">
      <c r="A178" s="7" t="s">
        <v>93</v>
      </c>
      <c r="B178" s="6">
        <v>46088</v>
      </c>
      <c r="C178" s="5" t="s">
        <v>245</v>
      </c>
      <c r="D178" s="5" t="s">
        <v>50</v>
      </c>
      <c r="E178" s="4" t="s">
        <v>343</v>
      </c>
      <c r="F178" s="3"/>
      <c r="G178" s="2"/>
      <c r="H178" s="125" t="s">
        <v>256</v>
      </c>
    </row>
    <row r="179" spans="1:8" ht="41.4" hidden="1" x14ac:dyDescent="0.3">
      <c r="A179" s="102" t="s">
        <v>306</v>
      </c>
      <c r="B179" s="122">
        <v>46090</v>
      </c>
      <c r="C179" s="5" t="s">
        <v>23</v>
      </c>
      <c r="D179" s="5" t="s">
        <v>45</v>
      </c>
      <c r="E179" s="4" t="s">
        <v>344</v>
      </c>
      <c r="F179" s="3"/>
      <c r="G179" s="2"/>
    </row>
    <row r="180" spans="1:8" ht="69.599999999999994" hidden="1" customHeight="1" x14ac:dyDescent="0.3">
      <c r="A180" s="7" t="s">
        <v>93</v>
      </c>
      <c r="B180" s="6">
        <v>46091</v>
      </c>
      <c r="C180" s="5" t="s">
        <v>245</v>
      </c>
      <c r="D180" s="5" t="s">
        <v>45</v>
      </c>
      <c r="E180" s="4" t="s">
        <v>345</v>
      </c>
      <c r="F180" s="3"/>
      <c r="G180" s="2"/>
    </row>
    <row r="181" spans="1:8" ht="31.35" hidden="1" customHeight="1" x14ac:dyDescent="0.3">
      <c r="A181" s="7" t="s">
        <v>59</v>
      </c>
      <c r="B181" s="6">
        <v>46091</v>
      </c>
      <c r="C181" s="5" t="s">
        <v>245</v>
      </c>
      <c r="D181" s="5" t="s">
        <v>45</v>
      </c>
      <c r="E181" s="4" t="s">
        <v>346</v>
      </c>
      <c r="F181" s="3"/>
      <c r="G181" s="2"/>
    </row>
    <row r="182" spans="1:8" ht="41.4" hidden="1" x14ac:dyDescent="0.3">
      <c r="A182" s="7" t="s">
        <v>81</v>
      </c>
      <c r="B182" s="6">
        <v>46090</v>
      </c>
      <c r="C182" s="5" t="s">
        <v>23</v>
      </c>
      <c r="D182" s="5" t="s">
        <v>45</v>
      </c>
      <c r="E182" s="4" t="s">
        <v>347</v>
      </c>
      <c r="F182" s="3"/>
      <c r="G182" s="2"/>
    </row>
    <row r="183" spans="1:8" ht="52.5" hidden="1" customHeight="1" x14ac:dyDescent="0.3">
      <c r="A183" s="7" t="s">
        <v>348</v>
      </c>
      <c r="B183" s="6">
        <v>46091</v>
      </c>
      <c r="C183" s="5" t="s">
        <v>68</v>
      </c>
      <c r="D183" s="5" t="s">
        <v>50</v>
      </c>
      <c r="E183" s="14" t="s">
        <v>349</v>
      </c>
      <c r="F183" s="3"/>
      <c r="G183" s="2"/>
      <c r="H183" s="125" t="s">
        <v>256</v>
      </c>
    </row>
    <row r="184" spans="1:8" ht="41.4" hidden="1" x14ac:dyDescent="0.3">
      <c r="A184" s="7" t="s">
        <v>22</v>
      </c>
      <c r="B184" s="6">
        <v>46092</v>
      </c>
      <c r="C184" s="5" t="s">
        <v>23</v>
      </c>
      <c r="D184" s="5" t="s">
        <v>45</v>
      </c>
      <c r="E184" s="4" t="s">
        <v>350</v>
      </c>
      <c r="F184" s="3"/>
      <c r="G184" s="2"/>
    </row>
    <row r="185" spans="1:8" ht="41.4" hidden="1" x14ac:dyDescent="0.3">
      <c r="A185" s="7" t="s">
        <v>59</v>
      </c>
      <c r="B185" s="6">
        <v>46093</v>
      </c>
      <c r="C185" s="5" t="s">
        <v>245</v>
      </c>
      <c r="D185" s="5" t="s">
        <v>45</v>
      </c>
      <c r="E185" s="4" t="s">
        <v>351</v>
      </c>
      <c r="F185" s="3"/>
      <c r="G185" s="2"/>
    </row>
    <row r="186" spans="1:8" ht="74.099999999999994" hidden="1" customHeight="1" x14ac:dyDescent="0.3">
      <c r="A186" s="7" t="s">
        <v>257</v>
      </c>
      <c r="B186" s="6">
        <v>71</v>
      </c>
      <c r="C186" s="5" t="s">
        <v>9</v>
      </c>
      <c r="D186" s="11" t="s">
        <v>45</v>
      </c>
      <c r="E186" s="4" t="s">
        <v>352</v>
      </c>
      <c r="F186" s="3"/>
      <c r="G186" s="2"/>
    </row>
    <row r="187" spans="1:8" ht="42.6" hidden="1" customHeight="1" x14ac:dyDescent="0.3">
      <c r="A187" s="7" t="s">
        <v>59</v>
      </c>
      <c r="B187" s="6">
        <v>46093</v>
      </c>
      <c r="C187" s="5" t="s">
        <v>245</v>
      </c>
      <c r="D187" s="5" t="s">
        <v>45</v>
      </c>
      <c r="E187" s="4" t="s">
        <v>353</v>
      </c>
      <c r="F187" s="3"/>
      <c r="G187" s="2"/>
    </row>
    <row r="188" spans="1:8" ht="55.2" hidden="1" x14ac:dyDescent="0.3">
      <c r="A188" s="7" t="s">
        <v>59</v>
      </c>
      <c r="B188" s="6">
        <v>46092</v>
      </c>
      <c r="C188" s="5" t="s">
        <v>245</v>
      </c>
      <c r="D188" s="5" t="s">
        <v>45</v>
      </c>
      <c r="E188" s="4" t="s">
        <v>354</v>
      </c>
      <c r="F188" s="3"/>
      <c r="G188" s="2"/>
    </row>
    <row r="189" spans="1:8" ht="45.6" hidden="1" customHeight="1" x14ac:dyDescent="0.3">
      <c r="A189" s="7" t="s">
        <v>333</v>
      </c>
      <c r="B189" s="6">
        <v>46094</v>
      </c>
      <c r="C189" s="5" t="s">
        <v>245</v>
      </c>
      <c r="D189" s="5" t="s">
        <v>45</v>
      </c>
      <c r="E189" s="4" t="s">
        <v>355</v>
      </c>
      <c r="F189" s="3"/>
      <c r="G189" s="2"/>
    </row>
    <row r="190" spans="1:8" ht="41.4" hidden="1" x14ac:dyDescent="0.3">
      <c r="A190" s="7" t="s">
        <v>59</v>
      </c>
      <c r="B190" s="6">
        <v>46095</v>
      </c>
      <c r="C190" s="5" t="s">
        <v>245</v>
      </c>
      <c r="D190" s="5" t="s">
        <v>45</v>
      </c>
      <c r="E190" s="4" t="s">
        <v>356</v>
      </c>
      <c r="F190" s="3"/>
      <c r="G190" s="2"/>
    </row>
    <row r="191" spans="1:8" ht="27.6" hidden="1" x14ac:dyDescent="0.3">
      <c r="A191" s="7" t="s">
        <v>357</v>
      </c>
      <c r="B191" s="6">
        <v>46096</v>
      </c>
      <c r="C191" s="5" t="s">
        <v>245</v>
      </c>
      <c r="D191" s="5" t="s">
        <v>45</v>
      </c>
      <c r="E191" s="4" t="s">
        <v>358</v>
      </c>
      <c r="F191" s="3"/>
      <c r="G191" s="2"/>
    </row>
    <row r="192" spans="1:8" ht="69" hidden="1" x14ac:dyDescent="0.3">
      <c r="A192" s="7" t="s">
        <v>333</v>
      </c>
      <c r="B192" s="6">
        <v>46095</v>
      </c>
      <c r="C192" s="5" t="s">
        <v>245</v>
      </c>
      <c r="D192" s="5" t="s">
        <v>45</v>
      </c>
      <c r="E192" s="4" t="s">
        <v>359</v>
      </c>
      <c r="F192" s="3"/>
      <c r="G192" s="2"/>
    </row>
    <row r="193" spans="1:7" ht="41.4" hidden="1" x14ac:dyDescent="0.3">
      <c r="A193" s="102" t="s">
        <v>74</v>
      </c>
      <c r="B193" s="122">
        <v>46095</v>
      </c>
      <c r="C193" s="3" t="s">
        <v>245</v>
      </c>
      <c r="D193" s="5" t="s">
        <v>45</v>
      </c>
      <c r="E193" s="4" t="s">
        <v>360</v>
      </c>
      <c r="F193" s="3"/>
      <c r="G193" s="2"/>
    </row>
    <row r="194" spans="1:7" ht="27.6" hidden="1" x14ac:dyDescent="0.3">
      <c r="A194" s="7" t="s">
        <v>357</v>
      </c>
      <c r="B194" s="6">
        <v>46096</v>
      </c>
      <c r="C194" s="5" t="s">
        <v>245</v>
      </c>
      <c r="D194" s="5" t="s">
        <v>45</v>
      </c>
      <c r="E194" s="4" t="s">
        <v>358</v>
      </c>
      <c r="F194" s="3"/>
      <c r="G194" s="2"/>
    </row>
    <row r="195" spans="1:7" ht="41.4" hidden="1" x14ac:dyDescent="0.3">
      <c r="A195" s="7" t="s">
        <v>59</v>
      </c>
      <c r="B195" s="6">
        <v>46096</v>
      </c>
      <c r="C195" s="5" t="s">
        <v>245</v>
      </c>
      <c r="D195" s="5" t="s">
        <v>45</v>
      </c>
      <c r="E195" s="4" t="s">
        <v>361</v>
      </c>
      <c r="F195" s="3"/>
      <c r="G195" s="2"/>
    </row>
    <row r="196" spans="1:7" ht="45" hidden="1" customHeight="1" x14ac:dyDescent="0.3">
      <c r="A196" s="7" t="s">
        <v>336</v>
      </c>
      <c r="B196" s="6">
        <v>46096</v>
      </c>
      <c r="C196" s="5" t="s">
        <v>245</v>
      </c>
      <c r="D196" s="5" t="s">
        <v>45</v>
      </c>
      <c r="E196" s="4" t="s">
        <v>362</v>
      </c>
      <c r="F196" s="3"/>
      <c r="G196" s="2"/>
    </row>
    <row r="197" spans="1:7" ht="55.2" hidden="1" x14ac:dyDescent="0.3">
      <c r="A197" s="7" t="s">
        <v>59</v>
      </c>
      <c r="B197" s="6">
        <v>46098</v>
      </c>
      <c r="C197" s="5" t="s">
        <v>245</v>
      </c>
      <c r="D197" s="5" t="s">
        <v>45</v>
      </c>
      <c r="E197" s="4" t="s">
        <v>363</v>
      </c>
      <c r="F197" s="3"/>
      <c r="G197" s="2"/>
    </row>
    <row r="198" spans="1:7" ht="55.2" hidden="1" x14ac:dyDescent="0.3">
      <c r="A198" s="7" t="s">
        <v>208</v>
      </c>
      <c r="B198" s="6">
        <v>46097</v>
      </c>
      <c r="C198" s="5" t="s">
        <v>245</v>
      </c>
      <c r="D198" s="5" t="s">
        <v>45</v>
      </c>
      <c r="E198" s="4" t="s">
        <v>364</v>
      </c>
      <c r="F198" s="3"/>
      <c r="G198" s="2"/>
    </row>
    <row r="199" spans="1:7" ht="41.4" hidden="1" x14ac:dyDescent="0.3">
      <c r="A199" s="13" t="s">
        <v>184</v>
      </c>
      <c r="B199" s="12">
        <v>46094</v>
      </c>
      <c r="C199" s="5" t="s">
        <v>23</v>
      </c>
      <c r="D199" s="5" t="s">
        <v>45</v>
      </c>
      <c r="E199" s="10" t="s">
        <v>365</v>
      </c>
      <c r="F199" s="9"/>
      <c r="G199" s="8"/>
    </row>
    <row r="200" spans="1:7" ht="27.6" hidden="1" x14ac:dyDescent="0.3">
      <c r="A200" s="13" t="s">
        <v>59</v>
      </c>
      <c r="B200" s="12">
        <v>46099</v>
      </c>
      <c r="C200" s="5" t="s">
        <v>245</v>
      </c>
      <c r="D200" s="5" t="s">
        <v>45</v>
      </c>
      <c r="E200" s="10" t="s">
        <v>366</v>
      </c>
      <c r="F200" s="9"/>
      <c r="G200" s="8"/>
    </row>
    <row r="201" spans="1:7" ht="41.4" hidden="1" x14ac:dyDescent="0.3">
      <c r="A201" s="7" t="s">
        <v>59</v>
      </c>
      <c r="B201" s="6">
        <v>46099</v>
      </c>
      <c r="C201" s="5" t="s">
        <v>245</v>
      </c>
      <c r="D201" s="5" t="s">
        <v>45</v>
      </c>
      <c r="E201" s="4" t="s">
        <v>367</v>
      </c>
      <c r="F201" s="3"/>
      <c r="G201" s="2"/>
    </row>
    <row r="202" spans="1:7" ht="41.4" hidden="1" x14ac:dyDescent="0.3">
      <c r="A202" s="7" t="s">
        <v>59</v>
      </c>
      <c r="B202" s="6">
        <v>46099</v>
      </c>
      <c r="C202" s="5" t="s">
        <v>245</v>
      </c>
      <c r="D202" s="5" t="s">
        <v>45</v>
      </c>
      <c r="E202" s="4" t="s">
        <v>368</v>
      </c>
      <c r="F202" s="3"/>
      <c r="G202" s="2"/>
    </row>
    <row r="203" spans="1:7" ht="41.4" hidden="1" x14ac:dyDescent="0.3">
      <c r="A203" s="7" t="s">
        <v>59</v>
      </c>
      <c r="B203" s="6">
        <v>46099</v>
      </c>
      <c r="C203" s="5" t="s">
        <v>245</v>
      </c>
      <c r="D203" s="5" t="s">
        <v>45</v>
      </c>
      <c r="E203" s="4" t="s">
        <v>369</v>
      </c>
      <c r="F203" s="3"/>
      <c r="G203" s="2"/>
    </row>
    <row r="204" spans="1:7" ht="41.4" hidden="1" x14ac:dyDescent="0.3">
      <c r="A204" s="7" t="s">
        <v>59</v>
      </c>
      <c r="B204" s="6">
        <v>46099</v>
      </c>
      <c r="C204" s="5" t="s">
        <v>245</v>
      </c>
      <c r="D204" s="5" t="s">
        <v>45</v>
      </c>
      <c r="E204" s="4" t="s">
        <v>370</v>
      </c>
      <c r="F204" s="3"/>
      <c r="G204" s="2"/>
    </row>
    <row r="205" spans="1:7" ht="55.35" hidden="1" customHeight="1" x14ac:dyDescent="0.3">
      <c r="A205" s="102" t="s">
        <v>371</v>
      </c>
      <c r="B205" s="122">
        <v>46098</v>
      </c>
      <c r="C205" s="5" t="s">
        <v>23</v>
      </c>
      <c r="D205" s="5" t="s">
        <v>45</v>
      </c>
      <c r="E205" s="4" t="s">
        <v>372</v>
      </c>
      <c r="F205" s="3"/>
      <c r="G205" s="2"/>
    </row>
    <row r="206" spans="1:7" ht="41.4" hidden="1" x14ac:dyDescent="0.3">
      <c r="A206" s="7" t="s">
        <v>135</v>
      </c>
      <c r="B206" s="6">
        <v>46100</v>
      </c>
      <c r="C206" s="5" t="s">
        <v>245</v>
      </c>
      <c r="D206" s="5" t="s">
        <v>45</v>
      </c>
      <c r="E206" s="4" t="s">
        <v>373</v>
      </c>
      <c r="F206" s="3"/>
      <c r="G206" s="2"/>
    </row>
    <row r="207" spans="1:7" ht="41.4" hidden="1" x14ac:dyDescent="0.3">
      <c r="A207" s="102" t="s">
        <v>374</v>
      </c>
      <c r="B207" s="6">
        <v>46102</v>
      </c>
      <c r="C207" s="5" t="s">
        <v>245</v>
      </c>
      <c r="D207" s="5" t="s">
        <v>45</v>
      </c>
      <c r="E207" s="4" t="s">
        <v>375</v>
      </c>
      <c r="F207" s="3"/>
      <c r="G207" s="2"/>
    </row>
    <row r="208" spans="1:7" ht="26.85" hidden="1" customHeight="1" x14ac:dyDescent="0.3">
      <c r="A208" s="102" t="s">
        <v>374</v>
      </c>
      <c r="B208" s="12">
        <v>46101</v>
      </c>
      <c r="C208" s="5" t="s">
        <v>245</v>
      </c>
      <c r="D208" s="5" t="s">
        <v>246</v>
      </c>
      <c r="E208" s="10" t="s">
        <v>376</v>
      </c>
      <c r="F208" s="9"/>
      <c r="G208" s="8"/>
    </row>
    <row r="209" spans="1:8" ht="41.4" hidden="1" x14ac:dyDescent="0.3">
      <c r="A209" s="7" t="s">
        <v>93</v>
      </c>
      <c r="B209" s="6">
        <v>46102</v>
      </c>
      <c r="C209" s="5" t="s">
        <v>245</v>
      </c>
      <c r="D209" s="5" t="s">
        <v>45</v>
      </c>
      <c r="E209" s="4" t="s">
        <v>377</v>
      </c>
      <c r="F209" s="3"/>
      <c r="G209" s="2"/>
    </row>
    <row r="210" spans="1:8" ht="29.1" hidden="1" customHeight="1" x14ac:dyDescent="0.3">
      <c r="A210" s="7" t="s">
        <v>59</v>
      </c>
      <c r="B210" s="6">
        <v>46101</v>
      </c>
      <c r="C210" s="5" t="s">
        <v>245</v>
      </c>
      <c r="D210" s="5" t="s">
        <v>45</v>
      </c>
      <c r="E210" s="4" t="s">
        <v>378</v>
      </c>
      <c r="F210" s="3"/>
      <c r="G210" s="2"/>
    </row>
    <row r="211" spans="1:8" ht="69" hidden="1" x14ac:dyDescent="0.3">
      <c r="A211" s="102" t="s">
        <v>371</v>
      </c>
      <c r="B211" s="6">
        <v>46100</v>
      </c>
      <c r="C211" s="5" t="s">
        <v>245</v>
      </c>
      <c r="D211" s="5" t="s">
        <v>45</v>
      </c>
      <c r="E211" s="4" t="s">
        <v>379</v>
      </c>
      <c r="F211" s="3"/>
      <c r="G211" s="2"/>
    </row>
    <row r="212" spans="1:8" ht="27.6" hidden="1" x14ac:dyDescent="0.3">
      <c r="A212" s="7" t="s">
        <v>59</v>
      </c>
      <c r="B212" s="6">
        <v>46102</v>
      </c>
      <c r="C212" s="5" t="s">
        <v>245</v>
      </c>
      <c r="D212" s="5" t="s">
        <v>45</v>
      </c>
      <c r="E212" s="4" t="s">
        <v>380</v>
      </c>
      <c r="F212" s="3"/>
      <c r="G212" s="2"/>
    </row>
    <row r="213" spans="1:8" ht="55.2" hidden="1" x14ac:dyDescent="0.3">
      <c r="A213" s="7" t="s">
        <v>156</v>
      </c>
      <c r="B213" s="6">
        <v>46098</v>
      </c>
      <c r="C213" s="3" t="s">
        <v>312</v>
      </c>
      <c r="D213" s="5" t="s">
        <v>45</v>
      </c>
      <c r="E213" s="4" t="s">
        <v>381</v>
      </c>
      <c r="F213" s="3"/>
      <c r="G213" s="2"/>
    </row>
    <row r="214" spans="1:8" ht="55.2" hidden="1" x14ac:dyDescent="0.3">
      <c r="A214" s="105" t="s">
        <v>382</v>
      </c>
      <c r="B214" s="6">
        <v>46104</v>
      </c>
      <c r="C214" s="5" t="s">
        <v>245</v>
      </c>
      <c r="D214" s="5" t="s">
        <v>45</v>
      </c>
      <c r="E214" s="4" t="s">
        <v>383</v>
      </c>
      <c r="F214" s="3"/>
      <c r="G214" s="2"/>
    </row>
    <row r="215" spans="1:8" ht="47.25" hidden="1" customHeight="1" x14ac:dyDescent="0.3">
      <c r="A215" s="7" t="s">
        <v>103</v>
      </c>
      <c r="B215" s="6">
        <v>46102</v>
      </c>
      <c r="C215" s="5" t="s">
        <v>68</v>
      </c>
      <c r="D215" s="5" t="s">
        <v>45</v>
      </c>
      <c r="E215" s="14" t="s">
        <v>384</v>
      </c>
      <c r="F215" s="3"/>
      <c r="G215" s="2"/>
    </row>
    <row r="216" spans="1:8" ht="41.4" hidden="1" x14ac:dyDescent="0.3">
      <c r="A216" s="102" t="s">
        <v>310</v>
      </c>
      <c r="B216" s="6">
        <v>46106</v>
      </c>
      <c r="C216" s="5" t="s">
        <v>245</v>
      </c>
      <c r="D216" s="5" t="s">
        <v>246</v>
      </c>
      <c r="E216" s="4" t="s">
        <v>385</v>
      </c>
      <c r="F216" s="3"/>
      <c r="G216" s="2"/>
    </row>
    <row r="217" spans="1:8" ht="41.4" hidden="1" x14ac:dyDescent="0.3">
      <c r="A217" s="7" t="s">
        <v>17</v>
      </c>
      <c r="B217" s="6">
        <v>46105</v>
      </c>
      <c r="C217" s="5" t="s">
        <v>245</v>
      </c>
      <c r="D217" s="5" t="s">
        <v>45</v>
      </c>
      <c r="E217" s="4" t="s">
        <v>386</v>
      </c>
      <c r="F217" s="3"/>
      <c r="G217" s="2"/>
    </row>
    <row r="218" spans="1:8" ht="43.35" hidden="1" customHeight="1" x14ac:dyDescent="0.3">
      <c r="A218" s="7" t="s">
        <v>59</v>
      </c>
      <c r="B218" s="6">
        <v>46106</v>
      </c>
      <c r="C218" s="5" t="s">
        <v>245</v>
      </c>
      <c r="D218" s="5" t="s">
        <v>45</v>
      </c>
      <c r="E218" s="4" t="s">
        <v>387</v>
      </c>
      <c r="F218" s="3"/>
      <c r="G218" s="2"/>
    </row>
    <row r="219" spans="1:8" ht="27.6" hidden="1" x14ac:dyDescent="0.3">
      <c r="A219" s="103" t="s">
        <v>388</v>
      </c>
      <c r="B219" s="6">
        <v>46107</v>
      </c>
      <c r="C219" s="5" t="s">
        <v>23</v>
      </c>
      <c r="D219" s="5" t="s">
        <v>45</v>
      </c>
      <c r="E219" s="4" t="s">
        <v>389</v>
      </c>
      <c r="F219" s="3"/>
      <c r="G219" s="2"/>
    </row>
    <row r="220" spans="1:8" ht="55.2" hidden="1" x14ac:dyDescent="0.3">
      <c r="A220" s="102" t="s">
        <v>388</v>
      </c>
      <c r="B220" s="12">
        <v>46108</v>
      </c>
      <c r="C220" s="5" t="s">
        <v>23</v>
      </c>
      <c r="D220" s="5" t="s">
        <v>45</v>
      </c>
      <c r="E220" s="10" t="s">
        <v>390</v>
      </c>
      <c r="F220" s="9"/>
      <c r="G220" s="8"/>
    </row>
    <row r="221" spans="1:8" ht="55.2" hidden="1" x14ac:dyDescent="0.3">
      <c r="A221" s="7" t="s">
        <v>59</v>
      </c>
      <c r="B221" s="6">
        <v>46110</v>
      </c>
      <c r="C221" s="5" t="s">
        <v>245</v>
      </c>
      <c r="D221" s="5" t="s">
        <v>45</v>
      </c>
      <c r="E221" s="4" t="s">
        <v>391</v>
      </c>
      <c r="F221" s="3"/>
      <c r="G221" s="2"/>
    </row>
    <row r="222" spans="1:8" ht="44.1" hidden="1" customHeight="1" x14ac:dyDescent="0.3">
      <c r="A222" s="7" t="s">
        <v>59</v>
      </c>
      <c r="B222" s="6">
        <v>46111</v>
      </c>
      <c r="C222" s="5" t="s">
        <v>245</v>
      </c>
      <c r="D222" s="5" t="s">
        <v>45</v>
      </c>
      <c r="E222" s="4" t="s">
        <v>392</v>
      </c>
      <c r="F222" s="3"/>
      <c r="G222" s="2"/>
    </row>
    <row r="223" spans="1:8" ht="27.6" hidden="1" x14ac:dyDescent="0.3">
      <c r="A223" s="7" t="s">
        <v>184</v>
      </c>
      <c r="B223" s="6">
        <v>46110</v>
      </c>
      <c r="C223" s="5" t="s">
        <v>23</v>
      </c>
      <c r="D223" s="5" t="s">
        <v>50</v>
      </c>
      <c r="E223" s="4" t="s">
        <v>393</v>
      </c>
      <c r="F223" s="3"/>
      <c r="G223" s="2"/>
      <c r="H223" s="126" t="s">
        <v>256</v>
      </c>
    </row>
    <row r="224" spans="1:8" ht="41.4" hidden="1" x14ac:dyDescent="0.3">
      <c r="A224" s="7" t="s">
        <v>306</v>
      </c>
      <c r="B224" s="6">
        <v>46107</v>
      </c>
      <c r="C224" s="5" t="s">
        <v>23</v>
      </c>
      <c r="D224" s="5" t="s">
        <v>45</v>
      </c>
      <c r="E224" s="4" t="s">
        <v>394</v>
      </c>
      <c r="F224" s="3"/>
      <c r="G224" s="2"/>
    </row>
    <row r="225" spans="1:7" ht="55.2" hidden="1" x14ac:dyDescent="0.3">
      <c r="A225" s="104" t="s">
        <v>388</v>
      </c>
      <c r="B225" s="6">
        <v>46108</v>
      </c>
      <c r="C225" s="5" t="s">
        <v>23</v>
      </c>
      <c r="D225" s="5" t="s">
        <v>45</v>
      </c>
      <c r="E225" s="4" t="s">
        <v>390</v>
      </c>
      <c r="F225" s="3"/>
      <c r="G225" s="2"/>
    </row>
    <row r="226" spans="1:7" ht="55.2" hidden="1" x14ac:dyDescent="0.3">
      <c r="A226" s="7" t="s">
        <v>59</v>
      </c>
      <c r="B226" s="6">
        <v>46110</v>
      </c>
      <c r="C226" s="5" t="s">
        <v>245</v>
      </c>
      <c r="D226" s="5" t="s">
        <v>45</v>
      </c>
      <c r="E226" s="4" t="s">
        <v>391</v>
      </c>
      <c r="F226" s="3"/>
      <c r="G226" s="2"/>
    </row>
    <row r="227" spans="1:7" ht="27.6" hidden="1" x14ac:dyDescent="0.3">
      <c r="A227" s="7" t="s">
        <v>388</v>
      </c>
      <c r="B227" s="6">
        <v>46110</v>
      </c>
      <c r="C227" s="5" t="s">
        <v>23</v>
      </c>
      <c r="D227" s="5" t="s">
        <v>45</v>
      </c>
      <c r="E227" s="4" t="s">
        <v>393</v>
      </c>
      <c r="F227" s="3"/>
      <c r="G227" s="2"/>
    </row>
    <row r="228" spans="1:7" ht="27.6" hidden="1" x14ac:dyDescent="0.3">
      <c r="A228" s="104" t="s">
        <v>388</v>
      </c>
      <c r="B228" s="12">
        <v>46107</v>
      </c>
      <c r="C228" s="11" t="s">
        <v>23</v>
      </c>
      <c r="D228" s="5" t="s">
        <v>45</v>
      </c>
      <c r="E228" s="10" t="s">
        <v>389</v>
      </c>
      <c r="F228" s="9"/>
      <c r="G228" s="8"/>
    </row>
    <row r="229" spans="1:7" ht="41.4" hidden="1" x14ac:dyDescent="0.3">
      <c r="A229" s="7" t="s">
        <v>306</v>
      </c>
      <c r="B229" s="6">
        <v>46111</v>
      </c>
      <c r="C229" s="5" t="s">
        <v>23</v>
      </c>
      <c r="D229" s="5" t="s">
        <v>45</v>
      </c>
      <c r="E229" s="4" t="s">
        <v>394</v>
      </c>
      <c r="F229" s="3"/>
      <c r="G229" s="2"/>
    </row>
    <row r="230" spans="1:7" ht="55.2" hidden="1" x14ac:dyDescent="0.3">
      <c r="A230" s="7" t="s">
        <v>59</v>
      </c>
      <c r="B230" s="115">
        <v>46113</v>
      </c>
      <c r="C230" s="5" t="s">
        <v>245</v>
      </c>
      <c r="D230" s="5" t="s">
        <v>45</v>
      </c>
      <c r="E230" s="4" t="s">
        <v>395</v>
      </c>
      <c r="F230" s="3"/>
      <c r="G230" s="2"/>
    </row>
    <row r="231" spans="1:7" ht="41.4" hidden="1" x14ac:dyDescent="0.3">
      <c r="A231" s="7" t="s">
        <v>59</v>
      </c>
      <c r="B231" s="115">
        <v>46113</v>
      </c>
      <c r="C231" s="5" t="s">
        <v>245</v>
      </c>
      <c r="D231" s="5" t="s">
        <v>45</v>
      </c>
      <c r="E231" s="4" t="s">
        <v>396</v>
      </c>
      <c r="F231" s="3"/>
      <c r="G231" s="2"/>
    </row>
    <row r="232" spans="1:7" ht="55.2" hidden="1" x14ac:dyDescent="0.3">
      <c r="A232" s="7" t="s">
        <v>397</v>
      </c>
      <c r="B232" s="115">
        <v>46114</v>
      </c>
      <c r="C232" s="3" t="s">
        <v>312</v>
      </c>
      <c r="D232" s="5" t="s">
        <v>246</v>
      </c>
      <c r="E232" s="4" t="s">
        <v>398</v>
      </c>
      <c r="F232" s="3"/>
      <c r="G232" s="2"/>
    </row>
    <row r="233" spans="1:7" ht="55.2" hidden="1" x14ac:dyDescent="0.3">
      <c r="A233" s="7" t="s">
        <v>59</v>
      </c>
      <c r="B233" s="115">
        <v>46114</v>
      </c>
      <c r="C233" s="5" t="s">
        <v>245</v>
      </c>
      <c r="D233" s="5" t="s">
        <v>45</v>
      </c>
      <c r="E233" s="4" t="s">
        <v>399</v>
      </c>
      <c r="F233" s="3"/>
      <c r="G233" s="2"/>
    </row>
    <row r="234" spans="1:7" ht="55.2" hidden="1" x14ac:dyDescent="0.3">
      <c r="A234" s="7" t="s">
        <v>59</v>
      </c>
      <c r="B234" s="115">
        <v>46116</v>
      </c>
      <c r="C234" s="5" t="s">
        <v>245</v>
      </c>
      <c r="D234" s="5" t="s">
        <v>45</v>
      </c>
      <c r="E234" s="4" t="s">
        <v>400</v>
      </c>
      <c r="F234" s="3"/>
      <c r="G234" s="2"/>
    </row>
    <row r="235" spans="1:7" ht="55.2" hidden="1" x14ac:dyDescent="0.3">
      <c r="A235" s="7" t="s">
        <v>103</v>
      </c>
      <c r="B235" s="118">
        <v>46116</v>
      </c>
      <c r="C235" s="5" t="s">
        <v>68</v>
      </c>
      <c r="D235" s="5" t="s">
        <v>246</v>
      </c>
      <c r="E235" s="4" t="s">
        <v>401</v>
      </c>
      <c r="F235" s="3"/>
      <c r="G235" s="2"/>
    </row>
    <row r="236" spans="1:7" ht="43.65" hidden="1" customHeight="1" x14ac:dyDescent="0.3">
      <c r="A236" s="7" t="s">
        <v>28</v>
      </c>
      <c r="B236" s="118">
        <v>46116</v>
      </c>
      <c r="C236" s="5" t="s">
        <v>245</v>
      </c>
      <c r="D236" s="5" t="s">
        <v>246</v>
      </c>
      <c r="E236" s="4" t="s">
        <v>402</v>
      </c>
      <c r="F236" s="3"/>
      <c r="G236" s="2"/>
    </row>
    <row r="237" spans="1:7" ht="27.6" hidden="1" x14ac:dyDescent="0.3">
      <c r="A237" s="7" t="s">
        <v>17</v>
      </c>
      <c r="B237" s="115">
        <v>46118</v>
      </c>
      <c r="C237" s="5" t="s">
        <v>245</v>
      </c>
      <c r="D237" s="5" t="s">
        <v>45</v>
      </c>
      <c r="E237" s="4" t="s">
        <v>403</v>
      </c>
      <c r="F237" s="3"/>
      <c r="G237" s="2"/>
    </row>
    <row r="238" spans="1:7" ht="55.2" hidden="1" x14ac:dyDescent="0.3">
      <c r="A238" s="7" t="s">
        <v>59</v>
      </c>
      <c r="B238" s="115">
        <v>46119</v>
      </c>
      <c r="C238" s="5" t="s">
        <v>245</v>
      </c>
      <c r="D238" s="5" t="s">
        <v>45</v>
      </c>
      <c r="E238" s="4" t="s">
        <v>404</v>
      </c>
      <c r="F238" s="3"/>
      <c r="G238" s="2"/>
    </row>
    <row r="239" spans="1:7" ht="41.4" hidden="1" x14ac:dyDescent="0.3">
      <c r="A239" s="7" t="s">
        <v>74</v>
      </c>
      <c r="B239" s="118">
        <v>46120</v>
      </c>
      <c r="C239" s="5" t="s">
        <v>245</v>
      </c>
      <c r="D239" s="5" t="s">
        <v>45</v>
      </c>
      <c r="E239" s="4" t="s">
        <v>405</v>
      </c>
      <c r="F239" s="3"/>
      <c r="G239" s="2"/>
    </row>
    <row r="240" spans="1:7" ht="69" hidden="1" x14ac:dyDescent="0.3">
      <c r="A240" s="7" t="s">
        <v>93</v>
      </c>
      <c r="B240" s="115">
        <v>46123</v>
      </c>
      <c r="C240" s="5" t="s">
        <v>245</v>
      </c>
      <c r="D240" s="5" t="s">
        <v>45</v>
      </c>
      <c r="E240" s="4" t="s">
        <v>406</v>
      </c>
      <c r="F240" s="3"/>
      <c r="G240" s="2"/>
    </row>
    <row r="241" spans="1:8" ht="82.8" hidden="1" x14ac:dyDescent="0.3">
      <c r="A241" s="7" t="s">
        <v>103</v>
      </c>
      <c r="B241" s="115">
        <v>46124</v>
      </c>
      <c r="C241" s="5" t="s">
        <v>68</v>
      </c>
      <c r="D241" s="5" t="s">
        <v>50</v>
      </c>
      <c r="E241" s="4" t="s">
        <v>407</v>
      </c>
      <c r="F241" s="3"/>
      <c r="G241" s="2"/>
      <c r="H241" s="125" t="s">
        <v>256</v>
      </c>
    </row>
    <row r="242" spans="1:8" ht="41.4" hidden="1" x14ac:dyDescent="0.3">
      <c r="A242" s="7" t="s">
        <v>59</v>
      </c>
      <c r="B242" s="115">
        <v>46125</v>
      </c>
      <c r="C242" s="5" t="s">
        <v>245</v>
      </c>
      <c r="D242" s="5" t="s">
        <v>45</v>
      </c>
      <c r="E242" s="4" t="s">
        <v>408</v>
      </c>
      <c r="F242" s="3"/>
      <c r="G242" s="2"/>
    </row>
    <row r="243" spans="1:8" ht="55.2" hidden="1" x14ac:dyDescent="0.3">
      <c r="A243" s="7" t="s">
        <v>397</v>
      </c>
      <c r="B243" s="115">
        <v>46125</v>
      </c>
      <c r="C243" s="3" t="s">
        <v>312</v>
      </c>
      <c r="D243" s="5" t="s">
        <v>50</v>
      </c>
      <c r="E243" s="4" t="s">
        <v>409</v>
      </c>
      <c r="F243" s="3"/>
      <c r="G243" s="2"/>
      <c r="H243" s="125" t="s">
        <v>410</v>
      </c>
    </row>
    <row r="244" spans="1:8" ht="69" hidden="1" x14ac:dyDescent="0.3">
      <c r="A244" s="7" t="s">
        <v>17</v>
      </c>
      <c r="B244" s="115">
        <v>46125</v>
      </c>
      <c r="C244" s="5" t="s">
        <v>245</v>
      </c>
      <c r="D244" s="5" t="s">
        <v>45</v>
      </c>
      <c r="E244" s="4" t="s">
        <v>411</v>
      </c>
      <c r="F244" s="3"/>
      <c r="G244" s="2"/>
    </row>
    <row r="245" spans="1:8" ht="27.6" hidden="1" x14ac:dyDescent="0.3">
      <c r="A245" s="7" t="s">
        <v>59</v>
      </c>
      <c r="B245" s="115">
        <v>46127</v>
      </c>
      <c r="C245" s="5" t="s">
        <v>245</v>
      </c>
      <c r="D245" s="5" t="s">
        <v>45</v>
      </c>
      <c r="E245" s="4" t="s">
        <v>412</v>
      </c>
      <c r="F245" s="3"/>
      <c r="G245" s="2"/>
    </row>
    <row r="246" spans="1:8" ht="27.6" hidden="1" x14ac:dyDescent="0.3">
      <c r="A246" s="7" t="s">
        <v>59</v>
      </c>
      <c r="B246" s="115">
        <v>46128</v>
      </c>
      <c r="C246" s="5" t="s">
        <v>245</v>
      </c>
      <c r="D246" s="5" t="s">
        <v>45</v>
      </c>
      <c r="E246" s="4" t="s">
        <v>413</v>
      </c>
      <c r="F246" s="3"/>
      <c r="G246" s="2"/>
    </row>
    <row r="247" spans="1:8" ht="41.4" hidden="1" x14ac:dyDescent="0.3">
      <c r="A247" s="7" t="s">
        <v>414</v>
      </c>
      <c r="B247" s="117">
        <v>46128</v>
      </c>
      <c r="C247" s="5" t="s">
        <v>245</v>
      </c>
      <c r="D247" s="5" t="s">
        <v>246</v>
      </c>
      <c r="E247" s="4" t="s">
        <v>415</v>
      </c>
      <c r="F247" s="3"/>
      <c r="G247" s="2"/>
    </row>
    <row r="248" spans="1:8" ht="41.4" hidden="1" x14ac:dyDescent="0.3">
      <c r="A248" s="7" t="s">
        <v>59</v>
      </c>
      <c r="B248" s="115">
        <v>46128</v>
      </c>
      <c r="C248" s="5" t="s">
        <v>245</v>
      </c>
      <c r="D248" s="5" t="s">
        <v>45</v>
      </c>
      <c r="E248" s="4" t="s">
        <v>416</v>
      </c>
      <c r="F248" s="3"/>
      <c r="G248" s="2"/>
    </row>
    <row r="249" spans="1:8" ht="69" hidden="1" x14ac:dyDescent="0.3">
      <c r="A249" s="7" t="s">
        <v>103</v>
      </c>
      <c r="B249" s="115">
        <v>46129</v>
      </c>
      <c r="C249" s="5" t="s">
        <v>68</v>
      </c>
      <c r="D249" s="5" t="s">
        <v>45</v>
      </c>
      <c r="E249" s="4" t="s">
        <v>417</v>
      </c>
      <c r="F249" s="3"/>
      <c r="G249" s="2"/>
    </row>
    <row r="250" spans="1:8" ht="41.4" hidden="1" x14ac:dyDescent="0.3">
      <c r="A250" s="7" t="s">
        <v>418</v>
      </c>
      <c r="B250" s="115">
        <v>46130</v>
      </c>
      <c r="C250" s="3" t="s">
        <v>312</v>
      </c>
      <c r="D250" s="5" t="s">
        <v>246</v>
      </c>
      <c r="E250" s="4" t="s">
        <v>419</v>
      </c>
      <c r="F250" s="3"/>
      <c r="G250" s="2"/>
    </row>
    <row r="251" spans="1:8" ht="41.4" hidden="1" x14ac:dyDescent="0.3">
      <c r="A251" s="13" t="s">
        <v>59</v>
      </c>
      <c r="B251" s="114">
        <v>46131</v>
      </c>
      <c r="C251" s="5" t="s">
        <v>245</v>
      </c>
      <c r="D251" s="5" t="s">
        <v>45</v>
      </c>
      <c r="E251" s="10" t="s">
        <v>420</v>
      </c>
      <c r="F251" s="9"/>
      <c r="G251" s="8"/>
    </row>
    <row r="252" spans="1:8" ht="55.2" hidden="1" x14ac:dyDescent="0.3">
      <c r="A252" s="7" t="s">
        <v>59</v>
      </c>
      <c r="B252" s="115">
        <v>46133</v>
      </c>
      <c r="C252" s="5" t="s">
        <v>245</v>
      </c>
      <c r="D252" s="5" t="s">
        <v>45</v>
      </c>
      <c r="E252" s="4" t="s">
        <v>421</v>
      </c>
      <c r="F252" s="3"/>
      <c r="G252" s="2"/>
    </row>
    <row r="253" spans="1:8" ht="41.4" hidden="1" x14ac:dyDescent="0.3">
      <c r="A253" s="7" t="s">
        <v>422</v>
      </c>
      <c r="B253" s="119">
        <v>46134</v>
      </c>
      <c r="C253" s="5" t="s">
        <v>23</v>
      </c>
      <c r="D253" s="5" t="s">
        <v>45</v>
      </c>
      <c r="E253" s="4" t="s">
        <v>423</v>
      </c>
      <c r="F253" s="3"/>
      <c r="G253" s="2"/>
    </row>
    <row r="254" spans="1:8" ht="41.4" hidden="1" x14ac:dyDescent="0.3">
      <c r="A254" s="7" t="s">
        <v>159</v>
      </c>
      <c r="B254" s="115">
        <v>46134</v>
      </c>
      <c r="C254" s="5" t="s">
        <v>23</v>
      </c>
      <c r="D254" s="5" t="s">
        <v>45</v>
      </c>
      <c r="E254" s="4" t="s">
        <v>424</v>
      </c>
      <c r="F254" s="3"/>
      <c r="G254" s="2"/>
    </row>
    <row r="255" spans="1:8" ht="55.2" hidden="1" x14ac:dyDescent="0.3">
      <c r="A255" s="7" t="s">
        <v>28</v>
      </c>
      <c r="B255" s="120">
        <v>46136</v>
      </c>
      <c r="C255" s="5" t="s">
        <v>245</v>
      </c>
      <c r="D255" s="5" t="s">
        <v>246</v>
      </c>
      <c r="E255" s="10" t="s">
        <v>425</v>
      </c>
      <c r="F255" s="9"/>
      <c r="G255" s="8"/>
    </row>
    <row r="256" spans="1:8" ht="55.2" hidden="1" x14ac:dyDescent="0.3">
      <c r="A256" s="7" t="s">
        <v>59</v>
      </c>
      <c r="B256" s="114">
        <v>46136</v>
      </c>
      <c r="C256" s="5" t="s">
        <v>245</v>
      </c>
      <c r="D256" s="5" t="s">
        <v>45</v>
      </c>
      <c r="E256" s="10" t="s">
        <v>426</v>
      </c>
      <c r="F256" s="9"/>
      <c r="G256" s="8"/>
    </row>
    <row r="257" spans="1:7" ht="71.400000000000006" hidden="1" customHeight="1" x14ac:dyDescent="0.3">
      <c r="A257" s="7" t="s">
        <v>17</v>
      </c>
      <c r="B257" s="115">
        <v>46137</v>
      </c>
      <c r="C257" s="5" t="s">
        <v>245</v>
      </c>
      <c r="D257" s="5" t="s">
        <v>45</v>
      </c>
      <c r="E257" s="4" t="s">
        <v>427</v>
      </c>
      <c r="F257" s="3"/>
      <c r="G257" s="2"/>
    </row>
    <row r="258" spans="1:7" ht="31.65" hidden="1" customHeight="1" x14ac:dyDescent="0.3">
      <c r="A258" s="7" t="s">
        <v>59</v>
      </c>
      <c r="B258" s="115">
        <v>46138</v>
      </c>
      <c r="C258" s="5" t="s">
        <v>245</v>
      </c>
      <c r="D258" s="5" t="s">
        <v>45</v>
      </c>
      <c r="E258" s="4" t="s">
        <v>428</v>
      </c>
      <c r="F258" s="3"/>
      <c r="G258" s="2"/>
    </row>
    <row r="259" spans="1:7" ht="41.4" hidden="1" x14ac:dyDescent="0.3">
      <c r="A259" s="7" t="s">
        <v>59</v>
      </c>
      <c r="B259" s="115">
        <v>46142</v>
      </c>
      <c r="C259" s="5" t="s">
        <v>245</v>
      </c>
      <c r="D259" s="5" t="s">
        <v>45</v>
      </c>
      <c r="E259" s="4" t="s">
        <v>429</v>
      </c>
      <c r="F259" s="3"/>
      <c r="G259" s="2"/>
    </row>
    <row r="260" spans="1:7" ht="42.6" hidden="1" customHeight="1" x14ac:dyDescent="0.3">
      <c r="A260" s="7" t="s">
        <v>28</v>
      </c>
      <c r="B260" s="115">
        <v>46146</v>
      </c>
      <c r="C260" s="5" t="s">
        <v>245</v>
      </c>
      <c r="D260" s="5" t="s">
        <v>246</v>
      </c>
      <c r="E260" s="4" t="s">
        <v>402</v>
      </c>
      <c r="F260" s="3"/>
      <c r="G260" s="2"/>
    </row>
    <row r="261" spans="1:7" ht="41.4" hidden="1" x14ac:dyDescent="0.3">
      <c r="A261" s="7" t="s">
        <v>59</v>
      </c>
      <c r="B261" s="115">
        <v>46147</v>
      </c>
      <c r="C261" s="5" t="s">
        <v>245</v>
      </c>
      <c r="D261" s="5" t="s">
        <v>45</v>
      </c>
      <c r="E261" s="4" t="s">
        <v>430</v>
      </c>
      <c r="F261" s="3"/>
      <c r="G261" s="2"/>
    </row>
    <row r="262" spans="1:7" ht="79.349999999999994" hidden="1" customHeight="1" x14ac:dyDescent="0.3">
      <c r="A262" s="7" t="s">
        <v>28</v>
      </c>
      <c r="B262" s="115">
        <v>46148</v>
      </c>
      <c r="C262" s="5" t="s">
        <v>245</v>
      </c>
      <c r="D262" s="5" t="s">
        <v>45</v>
      </c>
      <c r="E262" s="10" t="s">
        <v>431</v>
      </c>
      <c r="F262" s="9"/>
      <c r="G262" s="8"/>
    </row>
    <row r="263" spans="1:7" ht="82.8" hidden="1" x14ac:dyDescent="0.3">
      <c r="A263" s="7" t="s">
        <v>432</v>
      </c>
      <c r="B263" s="115">
        <v>46147</v>
      </c>
      <c r="C263" s="5" t="s">
        <v>245</v>
      </c>
      <c r="D263" s="5" t="s">
        <v>45</v>
      </c>
      <c r="E263" s="4" t="s">
        <v>433</v>
      </c>
      <c r="F263" s="3"/>
      <c r="G263" s="2"/>
    </row>
    <row r="264" spans="1:7" ht="55.2" hidden="1" x14ac:dyDescent="0.3">
      <c r="A264" s="7" t="s">
        <v>59</v>
      </c>
      <c r="B264" s="115">
        <v>46148</v>
      </c>
      <c r="C264" s="5" t="s">
        <v>245</v>
      </c>
      <c r="D264" s="5" t="s">
        <v>45</v>
      </c>
      <c r="E264" s="4" t="s">
        <v>434</v>
      </c>
      <c r="F264" s="3"/>
      <c r="G264" s="2"/>
    </row>
    <row r="265" spans="1:7" ht="42.6" hidden="1" customHeight="1" x14ac:dyDescent="0.3">
      <c r="A265" s="7" t="s">
        <v>435</v>
      </c>
      <c r="B265" s="115">
        <v>46149</v>
      </c>
      <c r="C265" s="5" t="s">
        <v>68</v>
      </c>
      <c r="D265" s="5" t="s">
        <v>246</v>
      </c>
      <c r="E265" s="4" t="s">
        <v>436</v>
      </c>
      <c r="F265" s="3"/>
      <c r="G265" s="2"/>
    </row>
    <row r="266" spans="1:7" ht="56.4" hidden="1" customHeight="1" x14ac:dyDescent="0.3">
      <c r="A266" s="7" t="s">
        <v>59</v>
      </c>
      <c r="B266" s="115">
        <v>46149</v>
      </c>
      <c r="C266" s="5" t="s">
        <v>245</v>
      </c>
      <c r="D266" s="5" t="s">
        <v>45</v>
      </c>
      <c r="E266" s="4" t="s">
        <v>437</v>
      </c>
      <c r="F266" s="3"/>
      <c r="G266" s="2"/>
    </row>
    <row r="267" spans="1:7" ht="41.4" hidden="1" x14ac:dyDescent="0.3">
      <c r="A267" s="13" t="s">
        <v>59</v>
      </c>
      <c r="B267" s="115">
        <v>46149</v>
      </c>
      <c r="C267" s="5" t="s">
        <v>245</v>
      </c>
      <c r="D267" s="11" t="s">
        <v>50</v>
      </c>
      <c r="E267" s="10" t="s">
        <v>438</v>
      </c>
      <c r="F267" s="9"/>
      <c r="G267" s="8"/>
    </row>
    <row r="268" spans="1:7" ht="41.4" hidden="1" x14ac:dyDescent="0.3">
      <c r="A268" s="13" t="s">
        <v>59</v>
      </c>
      <c r="B268" s="114">
        <v>46150</v>
      </c>
      <c r="C268" s="5" t="s">
        <v>245</v>
      </c>
      <c r="D268" s="5" t="s">
        <v>45</v>
      </c>
      <c r="E268" s="10" t="s">
        <v>439</v>
      </c>
      <c r="F268" s="9"/>
      <c r="G268" s="8"/>
    </row>
    <row r="269" spans="1:7" ht="86.1" hidden="1" customHeight="1" x14ac:dyDescent="0.3">
      <c r="A269" s="7" t="s">
        <v>28</v>
      </c>
      <c r="B269" s="114">
        <v>46150</v>
      </c>
      <c r="C269" s="5" t="s">
        <v>245</v>
      </c>
      <c r="D269" s="5" t="s">
        <v>246</v>
      </c>
      <c r="E269" s="10" t="s">
        <v>440</v>
      </c>
      <c r="F269" s="9"/>
      <c r="G269" s="8"/>
    </row>
    <row r="270" spans="1:7" ht="27.6" hidden="1" x14ac:dyDescent="0.3">
      <c r="A270" s="13" t="s">
        <v>59</v>
      </c>
      <c r="B270" s="115">
        <v>46151</v>
      </c>
      <c r="C270" s="5" t="s">
        <v>245</v>
      </c>
      <c r="D270" s="5" t="s">
        <v>45</v>
      </c>
      <c r="E270" s="4" t="s">
        <v>441</v>
      </c>
      <c r="F270" s="3"/>
      <c r="G270" s="2"/>
    </row>
    <row r="271" spans="1:7" ht="41.4" hidden="1" x14ac:dyDescent="0.3">
      <c r="A271" s="13" t="s">
        <v>59</v>
      </c>
      <c r="B271" s="114">
        <v>46151</v>
      </c>
      <c r="C271" s="5" t="s">
        <v>245</v>
      </c>
      <c r="D271" s="5" t="s">
        <v>45</v>
      </c>
      <c r="E271" s="10" t="s">
        <v>442</v>
      </c>
      <c r="F271" s="9"/>
      <c r="G271" s="8"/>
    </row>
    <row r="272" spans="1:7" ht="55.2" hidden="1" x14ac:dyDescent="0.3">
      <c r="A272" s="13" t="s">
        <v>59</v>
      </c>
      <c r="B272" s="114">
        <v>46154</v>
      </c>
      <c r="C272" s="5" t="s">
        <v>245</v>
      </c>
      <c r="D272" s="5" t="s">
        <v>45</v>
      </c>
      <c r="E272" s="10" t="s">
        <v>443</v>
      </c>
      <c r="F272" s="9"/>
      <c r="G272" s="8"/>
    </row>
    <row r="273" spans="1:7" ht="54.6" hidden="1" customHeight="1" x14ac:dyDescent="0.3">
      <c r="A273" s="13" t="s">
        <v>59</v>
      </c>
      <c r="B273" s="115">
        <v>46154</v>
      </c>
      <c r="C273" s="5" t="s">
        <v>245</v>
      </c>
      <c r="D273" s="5" t="s">
        <v>45</v>
      </c>
      <c r="E273" s="4" t="s">
        <v>444</v>
      </c>
      <c r="F273" s="3"/>
      <c r="G273" s="2"/>
    </row>
    <row r="274" spans="1:7" ht="41.4" hidden="1" x14ac:dyDescent="0.3">
      <c r="A274" s="13" t="s">
        <v>59</v>
      </c>
      <c r="B274" s="115">
        <v>46155</v>
      </c>
      <c r="C274" s="5" t="s">
        <v>245</v>
      </c>
      <c r="D274" s="5" t="s">
        <v>45</v>
      </c>
      <c r="E274" s="4" t="s">
        <v>445</v>
      </c>
      <c r="F274" s="3"/>
      <c r="G274" s="2"/>
    </row>
    <row r="275" spans="1:7" ht="27.6" hidden="1" x14ac:dyDescent="0.3">
      <c r="A275" s="13" t="s">
        <v>59</v>
      </c>
      <c r="B275" s="114">
        <v>46154</v>
      </c>
      <c r="C275" s="5" t="s">
        <v>245</v>
      </c>
      <c r="D275" s="5" t="s">
        <v>45</v>
      </c>
      <c r="E275" s="10" t="s">
        <v>446</v>
      </c>
      <c r="F275" s="9"/>
      <c r="G275" s="8"/>
    </row>
    <row r="276" spans="1:7" ht="41.4" hidden="1" x14ac:dyDescent="0.3">
      <c r="A276" s="7" t="s">
        <v>93</v>
      </c>
      <c r="B276" s="115">
        <v>46153</v>
      </c>
      <c r="C276" s="5" t="s">
        <v>245</v>
      </c>
      <c r="D276" s="5" t="s">
        <v>50</v>
      </c>
      <c r="E276" s="4" t="s">
        <v>447</v>
      </c>
      <c r="F276" s="3"/>
      <c r="G276" s="2"/>
    </row>
    <row r="277" spans="1:7" ht="27.6" hidden="1" x14ac:dyDescent="0.3">
      <c r="A277" s="7" t="s">
        <v>59</v>
      </c>
      <c r="B277" s="115">
        <v>46156</v>
      </c>
      <c r="C277" s="5" t="s">
        <v>245</v>
      </c>
      <c r="D277" s="5" t="s">
        <v>45</v>
      </c>
      <c r="E277" s="4" t="s">
        <v>448</v>
      </c>
      <c r="F277" s="3"/>
      <c r="G277" s="2"/>
    </row>
    <row r="278" spans="1:7" ht="41.4" hidden="1" x14ac:dyDescent="0.3">
      <c r="A278" s="7" t="s">
        <v>67</v>
      </c>
      <c r="B278" s="115">
        <v>46153</v>
      </c>
      <c r="C278" s="5" t="s">
        <v>245</v>
      </c>
      <c r="D278" s="5" t="s">
        <v>45</v>
      </c>
      <c r="E278" s="4" t="s">
        <v>449</v>
      </c>
      <c r="F278" s="3"/>
      <c r="G278" s="2"/>
    </row>
    <row r="279" spans="1:7" ht="55.2" hidden="1" x14ac:dyDescent="0.3">
      <c r="A279" s="7" t="s">
        <v>208</v>
      </c>
      <c r="B279" s="115">
        <v>46157</v>
      </c>
      <c r="C279" s="5" t="s">
        <v>245</v>
      </c>
      <c r="D279" s="5" t="s">
        <v>45</v>
      </c>
      <c r="E279" s="4" t="s">
        <v>450</v>
      </c>
      <c r="F279" s="3"/>
      <c r="G279" s="2"/>
    </row>
    <row r="280" spans="1:7" ht="41.4" hidden="1" x14ac:dyDescent="0.3">
      <c r="A280" s="7" t="s">
        <v>59</v>
      </c>
      <c r="B280" s="115">
        <v>46158</v>
      </c>
      <c r="C280" s="5" t="s">
        <v>245</v>
      </c>
      <c r="D280" s="5" t="s">
        <v>45</v>
      </c>
      <c r="E280" s="4" t="s">
        <v>451</v>
      </c>
      <c r="F280" s="3"/>
      <c r="G280" s="2"/>
    </row>
    <row r="281" spans="1:7" ht="41.4" hidden="1" x14ac:dyDescent="0.3">
      <c r="A281" s="7" t="s">
        <v>59</v>
      </c>
      <c r="B281" s="115">
        <v>46158</v>
      </c>
      <c r="C281" s="5" t="s">
        <v>245</v>
      </c>
      <c r="D281" s="5" t="s">
        <v>45</v>
      </c>
      <c r="E281" s="4" t="s">
        <v>452</v>
      </c>
      <c r="F281" s="3"/>
      <c r="G281" s="2"/>
    </row>
    <row r="282" spans="1:7" ht="41.4" hidden="1" x14ac:dyDescent="0.3">
      <c r="A282" s="7" t="s">
        <v>59</v>
      </c>
      <c r="B282" s="115">
        <v>46158</v>
      </c>
      <c r="C282" s="5" t="s">
        <v>245</v>
      </c>
      <c r="D282" s="5" t="s">
        <v>45</v>
      </c>
      <c r="E282" s="4" t="s">
        <v>453</v>
      </c>
      <c r="F282" s="3"/>
      <c r="G282" s="2"/>
    </row>
    <row r="283" spans="1:7" ht="41.4" hidden="1" x14ac:dyDescent="0.3">
      <c r="A283" s="7" t="s">
        <v>103</v>
      </c>
      <c r="B283" s="115">
        <v>46160</v>
      </c>
      <c r="C283" s="5" t="s">
        <v>245</v>
      </c>
      <c r="D283" s="5" t="s">
        <v>45</v>
      </c>
      <c r="E283" s="4" t="s">
        <v>454</v>
      </c>
      <c r="F283" s="3"/>
      <c r="G283" s="2"/>
    </row>
    <row r="284" spans="1:7" ht="72.599999999999994" hidden="1" customHeight="1" x14ac:dyDescent="0.3">
      <c r="A284" s="7" t="s">
        <v>455</v>
      </c>
      <c r="B284" s="115">
        <v>46158</v>
      </c>
      <c r="C284" s="5" t="s">
        <v>23</v>
      </c>
      <c r="D284" s="5" t="s">
        <v>50</v>
      </c>
      <c r="E284" s="4" t="s">
        <v>456</v>
      </c>
      <c r="F284" s="3"/>
      <c r="G284" s="2"/>
    </row>
    <row r="285" spans="1:7" ht="69" hidden="1" x14ac:dyDescent="0.3">
      <c r="A285" s="7" t="s">
        <v>318</v>
      </c>
      <c r="B285" s="115">
        <v>46156</v>
      </c>
      <c r="C285" s="5" t="s">
        <v>245</v>
      </c>
      <c r="D285" s="5" t="s">
        <v>45</v>
      </c>
      <c r="E285" s="4" t="s">
        <v>457</v>
      </c>
      <c r="F285" s="3"/>
      <c r="G285" s="2"/>
    </row>
    <row r="286" spans="1:7" ht="45.6" hidden="1" customHeight="1" x14ac:dyDescent="0.3">
      <c r="A286" s="7" t="s">
        <v>455</v>
      </c>
      <c r="B286" s="115">
        <v>46162</v>
      </c>
      <c r="C286" s="5" t="s">
        <v>23</v>
      </c>
      <c r="D286" s="5" t="s">
        <v>45</v>
      </c>
      <c r="E286" s="4" t="s">
        <v>458</v>
      </c>
      <c r="F286" s="3"/>
      <c r="G286" s="2"/>
    </row>
    <row r="287" spans="1:7" ht="41.4" hidden="1" x14ac:dyDescent="0.3">
      <c r="A287" s="7" t="s">
        <v>59</v>
      </c>
      <c r="B287" s="115">
        <v>46162</v>
      </c>
      <c r="C287" s="5" t="s">
        <v>245</v>
      </c>
      <c r="D287" s="5" t="s">
        <v>45</v>
      </c>
      <c r="E287" s="4" t="s">
        <v>459</v>
      </c>
      <c r="F287" s="3"/>
      <c r="G287" s="2"/>
    </row>
    <row r="288" spans="1:7" ht="55.2" hidden="1" x14ac:dyDescent="0.3">
      <c r="A288" s="115" t="s">
        <v>28</v>
      </c>
      <c r="B288" s="115">
        <v>46146</v>
      </c>
      <c r="C288" s="5" t="s">
        <v>245</v>
      </c>
      <c r="D288" s="5" t="s">
        <v>246</v>
      </c>
      <c r="E288" s="4" t="s">
        <v>402</v>
      </c>
      <c r="F288" s="3"/>
      <c r="G288" s="2"/>
    </row>
    <row r="289" spans="1:7" ht="55.2" hidden="1" x14ac:dyDescent="0.3">
      <c r="A289" s="7" t="s">
        <v>59</v>
      </c>
      <c r="B289" s="115">
        <v>46147</v>
      </c>
      <c r="C289" s="5" t="s">
        <v>245</v>
      </c>
      <c r="D289" s="5" t="s">
        <v>45</v>
      </c>
      <c r="E289" s="4" t="s">
        <v>460</v>
      </c>
      <c r="F289" s="3"/>
      <c r="G289" s="2"/>
    </row>
    <row r="290" spans="1:7" hidden="1" x14ac:dyDescent="0.3">
      <c r="A290" s="7"/>
      <c r="B290" s="114"/>
      <c r="C290" s="5"/>
      <c r="D290" s="11"/>
      <c r="E290" s="10"/>
      <c r="F290" s="9"/>
      <c r="G290" s="8"/>
    </row>
    <row r="291" spans="1:7" ht="96.6" hidden="1" x14ac:dyDescent="0.3">
      <c r="A291" s="138" t="s">
        <v>28</v>
      </c>
      <c r="B291" s="115">
        <v>46150</v>
      </c>
      <c r="C291" s="5" t="s">
        <v>245</v>
      </c>
      <c r="D291" s="5" t="s">
        <v>50</v>
      </c>
      <c r="E291" s="4" t="s">
        <v>461</v>
      </c>
      <c r="F291" s="3"/>
      <c r="G291" s="2"/>
    </row>
    <row r="292" spans="1:7" hidden="1" x14ac:dyDescent="0.3">
      <c r="A292" s="7"/>
      <c r="B292" s="115"/>
      <c r="C292" s="5"/>
      <c r="D292" s="5"/>
      <c r="E292" s="4"/>
      <c r="F292" s="3"/>
      <c r="G292" s="2"/>
    </row>
    <row r="293" spans="1:7" ht="113.4" hidden="1" customHeight="1" x14ac:dyDescent="0.3">
      <c r="A293" s="7" t="s">
        <v>67</v>
      </c>
      <c r="B293" s="115">
        <v>46163</v>
      </c>
      <c r="C293" s="5" t="s">
        <v>245</v>
      </c>
      <c r="D293" s="5" t="s">
        <v>45</v>
      </c>
      <c r="E293" s="4" t="s">
        <v>462</v>
      </c>
      <c r="F293" s="3"/>
      <c r="G293" s="2"/>
    </row>
    <row r="294" spans="1:7" hidden="1" x14ac:dyDescent="0.3">
      <c r="A294" s="7"/>
      <c r="B294" s="115"/>
      <c r="C294" s="5"/>
      <c r="D294" s="5"/>
      <c r="E294" s="4"/>
      <c r="F294" s="3"/>
      <c r="G294" s="2"/>
    </row>
    <row r="295" spans="1:7" ht="55.2" hidden="1" x14ac:dyDescent="0.3">
      <c r="A295" s="7" t="s">
        <v>93</v>
      </c>
      <c r="B295" s="115">
        <v>46163</v>
      </c>
      <c r="C295" s="5" t="s">
        <v>245</v>
      </c>
      <c r="D295" s="5" t="s">
        <v>45</v>
      </c>
      <c r="E295" s="4" t="s">
        <v>463</v>
      </c>
      <c r="F295" s="3"/>
      <c r="G295" s="2"/>
    </row>
    <row r="296" spans="1:7" ht="69" hidden="1" x14ac:dyDescent="0.3">
      <c r="A296" s="138" t="s">
        <v>28</v>
      </c>
      <c r="B296" s="115">
        <v>46163</v>
      </c>
      <c r="C296" s="5" t="s">
        <v>245</v>
      </c>
      <c r="D296" s="5" t="s">
        <v>45</v>
      </c>
      <c r="E296" s="4" t="s">
        <v>464</v>
      </c>
      <c r="F296" s="3"/>
      <c r="G296" s="2"/>
    </row>
    <row r="297" spans="1:7" ht="27.6" hidden="1" x14ac:dyDescent="0.3">
      <c r="A297" s="7" t="s">
        <v>59</v>
      </c>
      <c r="B297" s="115">
        <v>46164</v>
      </c>
      <c r="C297" s="5" t="s">
        <v>245</v>
      </c>
      <c r="D297" s="5" t="s">
        <v>45</v>
      </c>
      <c r="E297" s="4" t="s">
        <v>465</v>
      </c>
      <c r="F297" s="3"/>
      <c r="G297" s="2"/>
    </row>
    <row r="298" spans="1:7" ht="41.4" hidden="1" x14ac:dyDescent="0.3">
      <c r="A298" s="13" t="s">
        <v>59</v>
      </c>
      <c r="B298" s="114">
        <v>46168</v>
      </c>
      <c r="C298" s="5" t="s">
        <v>245</v>
      </c>
      <c r="D298" s="5" t="s">
        <v>45</v>
      </c>
      <c r="E298" s="10" t="s">
        <v>466</v>
      </c>
      <c r="F298" s="9"/>
      <c r="G298" s="8"/>
    </row>
    <row r="299" spans="1:7" ht="55.2" hidden="1" x14ac:dyDescent="0.3">
      <c r="A299" s="13" t="s">
        <v>59</v>
      </c>
      <c r="B299" s="114">
        <v>46168</v>
      </c>
      <c r="C299" s="5" t="s">
        <v>245</v>
      </c>
      <c r="D299" s="5" t="s">
        <v>45</v>
      </c>
      <c r="E299" s="10" t="s">
        <v>467</v>
      </c>
      <c r="F299" s="9"/>
      <c r="G299" s="8"/>
    </row>
    <row r="300" spans="1:7" ht="69" hidden="1" x14ac:dyDescent="0.3">
      <c r="A300" s="13" t="s">
        <v>59</v>
      </c>
      <c r="B300" s="114">
        <v>46168</v>
      </c>
      <c r="C300" s="5" t="s">
        <v>245</v>
      </c>
      <c r="D300" s="5" t="s">
        <v>45</v>
      </c>
      <c r="E300" s="10" t="s">
        <v>468</v>
      </c>
      <c r="F300" s="9"/>
      <c r="G300" s="8"/>
    </row>
    <row r="301" spans="1:7" ht="55.2" hidden="1" x14ac:dyDescent="0.3">
      <c r="A301" s="7" t="s">
        <v>74</v>
      </c>
      <c r="B301" s="115">
        <v>46161</v>
      </c>
      <c r="C301" s="5" t="s">
        <v>245</v>
      </c>
      <c r="D301" s="5" t="s">
        <v>45</v>
      </c>
      <c r="E301" s="4" t="s">
        <v>469</v>
      </c>
      <c r="F301" s="3"/>
      <c r="G301" s="2"/>
    </row>
    <row r="302" spans="1:7" ht="55.2" hidden="1" x14ac:dyDescent="0.3">
      <c r="A302" s="7" t="s">
        <v>470</v>
      </c>
      <c r="B302" s="115">
        <v>46156</v>
      </c>
      <c r="C302" s="5" t="s">
        <v>245</v>
      </c>
      <c r="D302" s="5" t="s">
        <v>246</v>
      </c>
      <c r="E302" s="4" t="s">
        <v>471</v>
      </c>
      <c r="F302" s="3"/>
      <c r="G302" s="2"/>
    </row>
    <row r="303" spans="1:7" ht="69" hidden="1" x14ac:dyDescent="0.3">
      <c r="A303" s="7" t="s">
        <v>472</v>
      </c>
      <c r="B303" s="115">
        <v>46168</v>
      </c>
      <c r="C303" s="5" t="s">
        <v>245</v>
      </c>
      <c r="D303" s="5" t="s">
        <v>246</v>
      </c>
      <c r="E303" s="4" t="s">
        <v>473</v>
      </c>
      <c r="F303" s="3"/>
      <c r="G303" s="2"/>
    </row>
    <row r="304" spans="1:7" ht="55.2" hidden="1" x14ac:dyDescent="0.3">
      <c r="A304" s="7" t="s">
        <v>17</v>
      </c>
      <c r="B304" s="115">
        <v>46168</v>
      </c>
      <c r="C304" s="5" t="s">
        <v>245</v>
      </c>
      <c r="D304" s="5" t="s">
        <v>45</v>
      </c>
      <c r="E304" s="4" t="s">
        <v>474</v>
      </c>
      <c r="F304" s="3"/>
      <c r="G304" s="2"/>
    </row>
    <row r="305" spans="1:7" ht="55.2" hidden="1" x14ac:dyDescent="0.3">
      <c r="A305" s="7" t="s">
        <v>59</v>
      </c>
      <c r="B305" s="115">
        <v>46169</v>
      </c>
      <c r="C305" s="5" t="s">
        <v>245</v>
      </c>
      <c r="D305" s="5" t="s">
        <v>45</v>
      </c>
      <c r="E305" s="4" t="s">
        <v>475</v>
      </c>
      <c r="F305" s="3"/>
      <c r="G305" s="2"/>
    </row>
    <row r="306" spans="1:7" ht="55.2" hidden="1" x14ac:dyDescent="0.3">
      <c r="A306" s="7" t="s">
        <v>119</v>
      </c>
      <c r="B306" s="115">
        <v>46169</v>
      </c>
      <c r="C306" s="5" t="s">
        <v>245</v>
      </c>
      <c r="D306" s="5" t="s">
        <v>50</v>
      </c>
      <c r="E306" s="4" t="s">
        <v>476</v>
      </c>
      <c r="F306" s="3"/>
      <c r="G306" s="2"/>
    </row>
    <row r="307" spans="1:7" ht="55.2" hidden="1" x14ac:dyDescent="0.3">
      <c r="A307" s="7" t="s">
        <v>59</v>
      </c>
      <c r="B307" s="115">
        <v>46170</v>
      </c>
      <c r="C307" s="5" t="s">
        <v>245</v>
      </c>
      <c r="D307" s="5" t="s">
        <v>45</v>
      </c>
      <c r="E307" s="4" t="s">
        <v>477</v>
      </c>
      <c r="F307" s="3"/>
      <c r="G307" s="2"/>
    </row>
    <row r="308" spans="1:7" ht="41.4" hidden="1" x14ac:dyDescent="0.3">
      <c r="A308" s="7" t="s">
        <v>59</v>
      </c>
      <c r="B308" s="115">
        <v>46171</v>
      </c>
      <c r="C308" s="5" t="s">
        <v>245</v>
      </c>
      <c r="D308" s="5" t="s">
        <v>45</v>
      </c>
      <c r="E308" s="4" t="s">
        <v>478</v>
      </c>
      <c r="F308" s="3"/>
      <c r="G308" s="2"/>
    </row>
    <row r="309" spans="1:7" ht="27.6" hidden="1" x14ac:dyDescent="0.3">
      <c r="A309" s="7" t="s">
        <v>59</v>
      </c>
      <c r="B309" s="115">
        <v>46171</v>
      </c>
      <c r="C309" s="5" t="s">
        <v>245</v>
      </c>
      <c r="D309" s="5" t="s">
        <v>45</v>
      </c>
      <c r="E309" s="10" t="s">
        <v>479</v>
      </c>
      <c r="F309" s="9"/>
      <c r="G309" s="8"/>
    </row>
    <row r="310" spans="1:7" ht="55.2" hidden="1" x14ac:dyDescent="0.3">
      <c r="A310" s="7" t="s">
        <v>59</v>
      </c>
      <c r="B310" s="115">
        <v>46172</v>
      </c>
      <c r="C310" s="5" t="s">
        <v>245</v>
      </c>
      <c r="D310" s="5" t="s">
        <v>45</v>
      </c>
      <c r="E310" s="4" t="s">
        <v>480</v>
      </c>
      <c r="F310" s="3"/>
      <c r="G310" s="2"/>
    </row>
    <row r="311" spans="1:7" ht="41.4" hidden="1" x14ac:dyDescent="0.3">
      <c r="A311" s="13" t="s">
        <v>59</v>
      </c>
      <c r="B311" s="114">
        <v>46172</v>
      </c>
      <c r="C311" s="11" t="s">
        <v>245</v>
      </c>
      <c r="D311" s="11" t="s">
        <v>45</v>
      </c>
      <c r="E311" s="10" t="s">
        <v>481</v>
      </c>
      <c r="F311" s="9"/>
      <c r="G311" s="8"/>
    </row>
    <row r="312" spans="1:7" ht="55.2" hidden="1" x14ac:dyDescent="0.3">
      <c r="A312" s="13" t="s">
        <v>59</v>
      </c>
      <c r="B312" s="114">
        <v>46173</v>
      </c>
      <c r="C312" s="11" t="s">
        <v>245</v>
      </c>
      <c r="D312" s="11" t="s">
        <v>45</v>
      </c>
      <c r="E312" s="10" t="s">
        <v>482</v>
      </c>
      <c r="F312" s="9"/>
      <c r="G312" s="8"/>
    </row>
    <row r="313" spans="1:7" ht="41.4" hidden="1" x14ac:dyDescent="0.3">
      <c r="A313" s="7" t="s">
        <v>483</v>
      </c>
      <c r="B313" s="115">
        <v>46199</v>
      </c>
      <c r="C313" s="11" t="s">
        <v>245</v>
      </c>
      <c r="D313" s="11" t="s">
        <v>45</v>
      </c>
      <c r="E313" s="4" t="s">
        <v>484</v>
      </c>
      <c r="F313" s="3"/>
      <c r="G313" s="2"/>
    </row>
    <row r="314" spans="1:7" ht="69" hidden="1" x14ac:dyDescent="0.3">
      <c r="A314" s="7" t="s">
        <v>122</v>
      </c>
      <c r="B314" s="115">
        <v>46203</v>
      </c>
      <c r="C314" s="11" t="s">
        <v>245</v>
      </c>
      <c r="D314" s="11" t="s">
        <v>45</v>
      </c>
      <c r="E314" s="4" t="s">
        <v>485</v>
      </c>
      <c r="F314" s="3"/>
      <c r="G314" s="2"/>
    </row>
    <row r="315" spans="1:7" ht="55.2" hidden="1" x14ac:dyDescent="0.3">
      <c r="A315" s="13" t="s">
        <v>388</v>
      </c>
      <c r="B315" s="114">
        <v>46203</v>
      </c>
      <c r="C315" s="11" t="s">
        <v>245</v>
      </c>
      <c r="D315" s="11" t="s">
        <v>50</v>
      </c>
      <c r="E315" s="10" t="s">
        <v>486</v>
      </c>
      <c r="F315" s="9"/>
      <c r="G315" s="8"/>
    </row>
    <row r="316" spans="1:7" ht="41.4" hidden="1" x14ac:dyDescent="0.3">
      <c r="A316" s="7" t="s">
        <v>487</v>
      </c>
      <c r="B316" s="115">
        <v>46204</v>
      </c>
      <c r="C316" s="9" t="s">
        <v>312</v>
      </c>
      <c r="D316" s="5" t="s">
        <v>246</v>
      </c>
      <c r="E316" s="4" t="s">
        <v>488</v>
      </c>
      <c r="F316" s="3"/>
      <c r="G316" s="2"/>
    </row>
    <row r="317" spans="1:7" ht="41.4" hidden="1" x14ac:dyDescent="0.3">
      <c r="A317" s="7" t="s">
        <v>59</v>
      </c>
      <c r="B317" s="115">
        <v>46205</v>
      </c>
      <c r="C317" s="11" t="s">
        <v>245</v>
      </c>
      <c r="D317" s="11" t="s">
        <v>45</v>
      </c>
      <c r="E317" s="4" t="s">
        <v>489</v>
      </c>
      <c r="F317" s="3"/>
      <c r="G317" s="2"/>
    </row>
    <row r="318" spans="1:7" ht="55.2" hidden="1" x14ac:dyDescent="0.3">
      <c r="A318" s="7" t="s">
        <v>119</v>
      </c>
      <c r="B318" s="115">
        <v>46205</v>
      </c>
      <c r="C318" s="11" t="s">
        <v>245</v>
      </c>
      <c r="D318" s="11" t="s">
        <v>45</v>
      </c>
      <c r="E318" s="4" t="s">
        <v>490</v>
      </c>
      <c r="F318" s="3"/>
      <c r="G318" s="2"/>
    </row>
    <row r="319" spans="1:7" ht="55.2" hidden="1" x14ac:dyDescent="0.3">
      <c r="A319" s="7" t="s">
        <v>93</v>
      </c>
      <c r="B319" s="115">
        <v>46209</v>
      </c>
      <c r="C319" s="11" t="s">
        <v>245</v>
      </c>
      <c r="D319" s="11" t="s">
        <v>45</v>
      </c>
      <c r="E319" s="4" t="s">
        <v>491</v>
      </c>
      <c r="F319" s="3"/>
      <c r="G319" s="2"/>
    </row>
    <row r="320" spans="1:7" ht="82.8" hidden="1" x14ac:dyDescent="0.3">
      <c r="A320" s="7" t="s">
        <v>492</v>
      </c>
      <c r="B320" s="115">
        <v>46209</v>
      </c>
      <c r="C320" s="11" t="s">
        <v>245</v>
      </c>
      <c r="D320" s="11" t="s">
        <v>45</v>
      </c>
      <c r="E320" s="4" t="s">
        <v>493</v>
      </c>
      <c r="F320" s="3"/>
      <c r="G320" s="2"/>
    </row>
    <row r="321" spans="1:7" ht="55.2" hidden="1" x14ac:dyDescent="0.3">
      <c r="A321" s="7" t="s">
        <v>304</v>
      </c>
      <c r="B321" s="115">
        <v>46211</v>
      </c>
      <c r="C321" s="11" t="s">
        <v>245</v>
      </c>
      <c r="D321" s="11" t="s">
        <v>45</v>
      </c>
      <c r="E321" s="4" t="s">
        <v>494</v>
      </c>
      <c r="F321" s="3"/>
      <c r="G321" s="2"/>
    </row>
    <row r="322" spans="1:7" ht="41.4" hidden="1" x14ac:dyDescent="0.3">
      <c r="A322" s="7" t="s">
        <v>59</v>
      </c>
      <c r="B322" s="115">
        <v>46213</v>
      </c>
      <c r="C322" s="11" t="s">
        <v>245</v>
      </c>
      <c r="D322" s="11" t="s">
        <v>45</v>
      </c>
      <c r="E322" s="4" t="s">
        <v>495</v>
      </c>
      <c r="F322" s="3"/>
      <c r="G322" s="2"/>
    </row>
    <row r="323" spans="1:7" ht="41.4" x14ac:dyDescent="0.3">
      <c r="A323" s="7" t="s">
        <v>496</v>
      </c>
      <c r="B323" s="115">
        <v>46212</v>
      </c>
      <c r="C323" s="11" t="s">
        <v>245</v>
      </c>
      <c r="D323" s="5" t="s">
        <v>50</v>
      </c>
      <c r="E323" s="4" t="s">
        <v>497</v>
      </c>
      <c r="F323" s="3"/>
      <c r="G323" s="2"/>
    </row>
    <row r="324" spans="1:7" ht="55.2" hidden="1" x14ac:dyDescent="0.3">
      <c r="A324" s="7" t="s">
        <v>498</v>
      </c>
      <c r="B324" s="115">
        <v>46214</v>
      </c>
      <c r="C324" s="11" t="s">
        <v>245</v>
      </c>
      <c r="D324" s="11" t="s">
        <v>45</v>
      </c>
      <c r="E324" s="4" t="s">
        <v>499</v>
      </c>
      <c r="F324" s="3"/>
      <c r="G324" s="2"/>
    </row>
    <row r="325" spans="1:7" ht="27.6" hidden="1" x14ac:dyDescent="0.3">
      <c r="A325" s="7" t="s">
        <v>59</v>
      </c>
      <c r="B325" s="115">
        <v>46214</v>
      </c>
      <c r="C325" s="11" t="s">
        <v>245</v>
      </c>
      <c r="D325" s="11" t="s">
        <v>45</v>
      </c>
      <c r="E325" s="4" t="s">
        <v>500</v>
      </c>
      <c r="F325" s="3"/>
      <c r="G325" s="2"/>
    </row>
    <row r="326" spans="1:7" ht="41.4" hidden="1" x14ac:dyDescent="0.3">
      <c r="A326" s="7" t="s">
        <v>59</v>
      </c>
      <c r="B326" s="115">
        <v>46213</v>
      </c>
      <c r="C326" s="11" t="s">
        <v>245</v>
      </c>
      <c r="D326" s="11" t="s">
        <v>45</v>
      </c>
      <c r="E326" s="4" t="s">
        <v>501</v>
      </c>
      <c r="F326" s="3"/>
      <c r="G326" s="2"/>
    </row>
    <row r="327" spans="1:7" ht="69" hidden="1" x14ac:dyDescent="0.3">
      <c r="A327" s="7" t="s">
        <v>122</v>
      </c>
      <c r="B327" s="166" t="s">
        <v>502</v>
      </c>
      <c r="C327" s="11" t="s">
        <v>245</v>
      </c>
      <c r="D327" s="5" t="s">
        <v>50</v>
      </c>
      <c r="E327" s="4" t="s">
        <v>503</v>
      </c>
      <c r="F327" s="3"/>
      <c r="G327" s="2"/>
    </row>
    <row r="328" spans="1:7" ht="27.6" hidden="1" x14ac:dyDescent="0.3">
      <c r="A328" s="7" t="s">
        <v>504</v>
      </c>
      <c r="B328" s="115">
        <v>46216</v>
      </c>
      <c r="C328" s="11" t="s">
        <v>245</v>
      </c>
      <c r="D328" s="11" t="s">
        <v>45</v>
      </c>
      <c r="E328" s="4" t="s">
        <v>505</v>
      </c>
      <c r="F328" s="3"/>
      <c r="G328" s="2"/>
    </row>
    <row r="329" spans="1:7" ht="27.6" hidden="1" x14ac:dyDescent="0.3">
      <c r="A329" s="7" t="s">
        <v>506</v>
      </c>
      <c r="B329" s="115">
        <v>46216</v>
      </c>
      <c r="C329" s="11" t="s">
        <v>245</v>
      </c>
      <c r="D329" s="11" t="s">
        <v>45</v>
      </c>
      <c r="E329" s="4" t="s">
        <v>507</v>
      </c>
      <c r="F329" s="3"/>
      <c r="G329" s="2"/>
    </row>
    <row r="330" spans="1:7" ht="41.4" hidden="1" x14ac:dyDescent="0.3">
      <c r="A330" s="13" t="s">
        <v>93</v>
      </c>
      <c r="B330" s="115">
        <v>46216</v>
      </c>
      <c r="C330" s="11" t="s">
        <v>245</v>
      </c>
      <c r="D330" s="11" t="s">
        <v>45</v>
      </c>
      <c r="E330" s="10" t="s">
        <v>508</v>
      </c>
      <c r="F330" s="9"/>
      <c r="G330" s="8"/>
    </row>
    <row r="331" spans="1:7" ht="27.6" hidden="1" x14ac:dyDescent="0.3">
      <c r="A331" s="7" t="s">
        <v>348</v>
      </c>
      <c r="B331" s="115">
        <v>46219</v>
      </c>
      <c r="C331" s="11" t="s">
        <v>245</v>
      </c>
      <c r="D331" s="11" t="s">
        <v>45</v>
      </c>
      <c r="E331" s="4" t="s">
        <v>509</v>
      </c>
      <c r="F331" s="3"/>
      <c r="G331" s="2"/>
    </row>
    <row r="332" spans="1:7" ht="41.4" hidden="1" x14ac:dyDescent="0.3">
      <c r="A332" s="7" t="s">
        <v>59</v>
      </c>
      <c r="B332" s="115">
        <v>46219</v>
      </c>
      <c r="C332" s="11" t="s">
        <v>245</v>
      </c>
      <c r="D332" s="11" t="s">
        <v>45</v>
      </c>
      <c r="E332" s="4" t="s">
        <v>510</v>
      </c>
      <c r="F332" s="3"/>
      <c r="G332" s="2"/>
    </row>
    <row r="333" spans="1:7" ht="55.2" hidden="1" x14ac:dyDescent="0.3">
      <c r="A333" s="7" t="s">
        <v>93</v>
      </c>
      <c r="B333" s="115">
        <v>46218</v>
      </c>
      <c r="C333" s="5" t="s">
        <v>245</v>
      </c>
      <c r="D333" s="5" t="s">
        <v>45</v>
      </c>
      <c r="E333" s="4" t="s">
        <v>511</v>
      </c>
      <c r="F333" s="3"/>
      <c r="G333" s="2"/>
    </row>
    <row r="334" spans="1:7" ht="55.2" hidden="1" x14ac:dyDescent="0.3">
      <c r="A334" s="13" t="s">
        <v>93</v>
      </c>
      <c r="B334" s="114">
        <v>46220</v>
      </c>
      <c r="C334" s="11" t="s">
        <v>245</v>
      </c>
      <c r="D334" s="11" t="s">
        <v>45</v>
      </c>
      <c r="E334" s="10" t="s">
        <v>512</v>
      </c>
      <c r="F334" s="9"/>
      <c r="G334" s="8"/>
    </row>
    <row r="335" spans="1:7" ht="41.4" hidden="1" x14ac:dyDescent="0.3">
      <c r="A335" s="7" t="s">
        <v>17</v>
      </c>
      <c r="B335" s="115">
        <v>46220</v>
      </c>
      <c r="C335" s="11" t="s">
        <v>245</v>
      </c>
      <c r="D335" s="11" t="s">
        <v>45</v>
      </c>
      <c r="E335" s="4" t="s">
        <v>513</v>
      </c>
      <c r="F335" s="3"/>
      <c r="G335" s="2"/>
    </row>
    <row r="336" spans="1:7" ht="41.4" hidden="1" x14ac:dyDescent="0.3">
      <c r="A336" s="7" t="s">
        <v>59</v>
      </c>
      <c r="B336" s="115">
        <v>46220</v>
      </c>
      <c r="C336" s="11" t="s">
        <v>245</v>
      </c>
      <c r="D336" s="11" t="s">
        <v>45</v>
      </c>
      <c r="E336" s="4" t="s">
        <v>514</v>
      </c>
      <c r="F336" s="3"/>
      <c r="G336" s="2"/>
    </row>
    <row r="337" spans="1:7" ht="41.4" hidden="1" x14ac:dyDescent="0.3">
      <c r="A337" s="7" t="s">
        <v>515</v>
      </c>
      <c r="B337" s="166" t="s">
        <v>516</v>
      </c>
      <c r="C337" s="11" t="s">
        <v>245</v>
      </c>
      <c r="D337" s="11" t="s">
        <v>45</v>
      </c>
      <c r="E337" s="4" t="s">
        <v>517</v>
      </c>
      <c r="F337" s="3"/>
      <c r="G337" s="2"/>
    </row>
    <row r="338" spans="1:7" ht="27.6" hidden="1" x14ac:dyDescent="0.3">
      <c r="A338" s="7" t="s">
        <v>518</v>
      </c>
      <c r="B338" s="166" t="s">
        <v>519</v>
      </c>
      <c r="C338" s="11" t="s">
        <v>245</v>
      </c>
      <c r="D338" s="11" t="s">
        <v>45</v>
      </c>
      <c r="E338" s="4" t="s">
        <v>520</v>
      </c>
      <c r="F338" s="3"/>
      <c r="G338" s="2"/>
    </row>
    <row r="339" spans="1:7" ht="41.4" hidden="1" x14ac:dyDescent="0.3">
      <c r="A339" s="7" t="s">
        <v>521</v>
      </c>
      <c r="B339" s="166" t="s">
        <v>519</v>
      </c>
      <c r="C339" s="11" t="s">
        <v>245</v>
      </c>
      <c r="D339" s="11" t="s">
        <v>45</v>
      </c>
      <c r="E339" s="4" t="s">
        <v>522</v>
      </c>
      <c r="F339" s="3"/>
      <c r="G339" s="2"/>
    </row>
    <row r="340" spans="1:7" ht="69" x14ac:dyDescent="0.3">
      <c r="A340" s="7" t="s">
        <v>523</v>
      </c>
      <c r="B340" s="115">
        <v>46228</v>
      </c>
      <c r="C340" s="11" t="s">
        <v>245</v>
      </c>
      <c r="D340" s="5" t="s">
        <v>50</v>
      </c>
      <c r="E340" s="4" t="s">
        <v>524</v>
      </c>
      <c r="F340" s="3"/>
      <c r="G340" s="2"/>
    </row>
    <row r="341" spans="1:7" ht="27.6" hidden="1" x14ac:dyDescent="0.3">
      <c r="A341" s="7" t="s">
        <v>521</v>
      </c>
      <c r="B341" s="115">
        <v>46221</v>
      </c>
      <c r="C341" s="11" t="s">
        <v>245</v>
      </c>
      <c r="D341" s="11" t="s">
        <v>45</v>
      </c>
      <c r="E341" s="4" t="s">
        <v>525</v>
      </c>
      <c r="F341" s="3"/>
      <c r="G341" s="2"/>
    </row>
    <row r="342" spans="1:7" ht="55.2" hidden="1" x14ac:dyDescent="0.3">
      <c r="A342" s="7" t="s">
        <v>248</v>
      </c>
      <c r="B342" s="115">
        <v>46227</v>
      </c>
      <c r="C342" s="11" t="s">
        <v>245</v>
      </c>
      <c r="D342" s="11" t="s">
        <v>45</v>
      </c>
      <c r="E342" s="4" t="s">
        <v>526</v>
      </c>
      <c r="F342" s="3"/>
      <c r="G342" s="2"/>
    </row>
    <row r="343" spans="1:7" ht="41.4" hidden="1" x14ac:dyDescent="0.3">
      <c r="A343" s="7" t="s">
        <v>248</v>
      </c>
      <c r="B343" s="115">
        <v>46223</v>
      </c>
      <c r="C343" s="11" t="s">
        <v>245</v>
      </c>
      <c r="D343" s="11" t="s">
        <v>45</v>
      </c>
      <c r="E343" s="4" t="s">
        <v>527</v>
      </c>
      <c r="F343" s="3"/>
      <c r="G343" s="2"/>
    </row>
    <row r="344" spans="1:7" ht="41.4" hidden="1" x14ac:dyDescent="0.3">
      <c r="A344" s="7" t="s">
        <v>59</v>
      </c>
      <c r="B344" s="115">
        <v>46234</v>
      </c>
      <c r="C344" s="5" t="s">
        <v>245</v>
      </c>
      <c r="D344" s="5" t="s">
        <v>45</v>
      </c>
      <c r="E344" s="4" t="s">
        <v>528</v>
      </c>
      <c r="F344" s="3"/>
      <c r="G344" s="2"/>
    </row>
    <row r="345" spans="1:7" ht="41.4" hidden="1" x14ac:dyDescent="0.3">
      <c r="A345" s="13" t="s">
        <v>59</v>
      </c>
      <c r="B345" s="114">
        <v>46234</v>
      </c>
      <c r="C345" s="11" t="s">
        <v>245</v>
      </c>
      <c r="D345" s="11" t="s">
        <v>45</v>
      </c>
      <c r="E345" s="10" t="s">
        <v>529</v>
      </c>
      <c r="F345" s="9"/>
      <c r="G345" s="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AC51-6465-4DA3-8744-06CC720A415D}">
  <dimension ref="A2:GV154"/>
  <sheetViews>
    <sheetView tabSelected="1" topLeftCell="N1" zoomScale="63" zoomScaleNormal="63" workbookViewId="0">
      <selection activeCell="V79" sqref="V79:V153"/>
    </sheetView>
  </sheetViews>
  <sheetFormatPr baseColWidth="10" defaultColWidth="11.5546875" defaultRowHeight="14.25" customHeight="1" x14ac:dyDescent="0.25"/>
  <cols>
    <col min="1" max="1" width="6.44140625" style="39" customWidth="1"/>
    <col min="2" max="2" width="27.109375" style="39" customWidth="1"/>
    <col min="3" max="5" width="23" style="39" customWidth="1"/>
    <col min="6" max="6" width="27.88671875" style="39" customWidth="1"/>
    <col min="7" max="7" width="25.5546875" style="39" customWidth="1"/>
    <col min="8" max="8" width="29.109375" style="39" customWidth="1"/>
    <col min="9" max="10" width="20.5546875" style="39" customWidth="1"/>
    <col min="11" max="13" width="20.88671875" style="39" customWidth="1"/>
    <col min="14" max="14" width="23.109375" style="39" customWidth="1"/>
    <col min="15" max="15" width="25.109375" style="39" customWidth="1"/>
    <col min="16" max="16" width="27.88671875" style="39" customWidth="1"/>
    <col min="17" max="17" width="34.88671875" style="39" customWidth="1"/>
    <col min="18" max="18" width="30.88671875" style="39" customWidth="1"/>
    <col min="19" max="19" width="24" style="39" hidden="1" customWidth="1"/>
    <col min="20" max="20" width="25.88671875" style="39" customWidth="1"/>
    <col min="21" max="21" width="29.88671875" style="39" customWidth="1"/>
    <col min="22" max="22" width="18.44140625" style="39" customWidth="1"/>
    <col min="23" max="23" width="143.109375" style="39" customWidth="1"/>
    <col min="24" max="24" width="19.44140625" style="39" customWidth="1"/>
    <col min="25" max="25" width="18.109375" style="39" customWidth="1"/>
    <col min="26" max="26" width="34.44140625" style="39" customWidth="1"/>
    <col min="27" max="27" width="28.88671875" style="39" customWidth="1"/>
    <col min="28" max="28" width="31.109375" style="39" customWidth="1"/>
    <col min="29" max="29" width="20.44140625" style="39" customWidth="1"/>
    <col min="30" max="30" width="23.44140625" style="39" customWidth="1"/>
    <col min="31" max="31" width="13.88671875" style="39" customWidth="1"/>
    <col min="32" max="35" width="11.5546875" style="39" bestFit="1" customWidth="1"/>
    <col min="36" max="37" width="11.5546875" style="39"/>
    <col min="38" max="41" width="11.5546875" style="128"/>
    <col min="42" max="16384" width="11.5546875" style="39"/>
  </cols>
  <sheetData>
    <row r="2" spans="2:44" ht="82.8" x14ac:dyDescent="0.25">
      <c r="B2" s="83" t="s">
        <v>530</v>
      </c>
      <c r="C2" s="85" t="s">
        <v>531</v>
      </c>
      <c r="D2" s="85" t="s">
        <v>532</v>
      </c>
      <c r="E2" s="85" t="s">
        <v>533</v>
      </c>
      <c r="F2" s="85" t="s">
        <v>534</v>
      </c>
      <c r="G2" s="156" t="s">
        <v>535</v>
      </c>
      <c r="H2" s="83" t="s">
        <v>536</v>
      </c>
      <c r="I2" s="83" t="s">
        <v>537</v>
      </c>
      <c r="J2" s="83" t="s">
        <v>538</v>
      </c>
      <c r="K2" s="83" t="s">
        <v>539</v>
      </c>
      <c r="L2" s="83" t="s">
        <v>540</v>
      </c>
      <c r="M2" s="83" t="s">
        <v>541</v>
      </c>
      <c r="N2" s="83" t="s">
        <v>542</v>
      </c>
      <c r="O2" s="83" t="s">
        <v>543</v>
      </c>
      <c r="P2" s="83" t="s">
        <v>544</v>
      </c>
      <c r="Q2" s="83" t="s">
        <v>545</v>
      </c>
      <c r="R2" s="83" t="s">
        <v>546</v>
      </c>
      <c r="S2" s="83" t="s">
        <v>547</v>
      </c>
      <c r="T2" s="83" t="s">
        <v>548</v>
      </c>
      <c r="U2" s="83" t="s">
        <v>2</v>
      </c>
      <c r="V2" s="83" t="s">
        <v>549</v>
      </c>
      <c r="W2" s="83" t="s">
        <v>550</v>
      </c>
      <c r="X2" s="83" t="s">
        <v>551</v>
      </c>
      <c r="Y2" s="83" t="s">
        <v>552</v>
      </c>
      <c r="Z2" s="86" t="s">
        <v>553</v>
      </c>
      <c r="AA2" s="86" t="s">
        <v>554</v>
      </c>
      <c r="AB2" s="86" t="s">
        <v>555</v>
      </c>
      <c r="AC2" s="84" t="s">
        <v>556</v>
      </c>
      <c r="AD2" s="83" t="s">
        <v>557</v>
      </c>
      <c r="AE2" s="83" t="s">
        <v>558</v>
      </c>
      <c r="AF2" s="39" t="s">
        <v>559</v>
      </c>
      <c r="AH2" s="39" t="s">
        <v>560</v>
      </c>
      <c r="AI2" s="39" t="s">
        <v>560</v>
      </c>
      <c r="AJ2" s="39" t="s">
        <v>561</v>
      </c>
      <c r="AK2" s="39" t="s">
        <v>561</v>
      </c>
      <c r="AL2" s="127" t="s">
        <v>562</v>
      </c>
      <c r="AM2" s="127" t="s">
        <v>563</v>
      </c>
      <c r="AN2" s="127" t="s">
        <v>564</v>
      </c>
      <c r="AO2" s="127" t="s">
        <v>565</v>
      </c>
      <c r="AP2" s="127" t="s">
        <v>566</v>
      </c>
      <c r="AQ2" s="128"/>
    </row>
    <row r="3" spans="2:44" ht="60" hidden="1" x14ac:dyDescent="0.25">
      <c r="B3" s="60"/>
      <c r="C3" s="44" t="s">
        <v>567</v>
      </c>
      <c r="D3" s="44" t="s">
        <v>568</v>
      </c>
      <c r="E3" s="44" t="s">
        <v>569</v>
      </c>
      <c r="F3" s="44" t="s">
        <v>570</v>
      </c>
      <c r="G3" s="42" t="s">
        <v>571</v>
      </c>
      <c r="H3" s="44" t="s">
        <v>571</v>
      </c>
      <c r="I3" s="82">
        <v>45665</v>
      </c>
      <c r="J3" s="82"/>
      <c r="K3" s="54" t="s">
        <v>572</v>
      </c>
      <c r="L3" s="54" t="str">
        <f>TEXT(LTI_5[[#This Row],[FECHA]],"dddd")</f>
        <v>miércoles</v>
      </c>
      <c r="M3" s="54"/>
      <c r="N3" s="54"/>
      <c r="O3" s="54"/>
      <c r="P3" s="54"/>
      <c r="Q3" s="54"/>
      <c r="R3" s="54"/>
      <c r="S3" s="63"/>
      <c r="T3" s="47"/>
      <c r="U3" s="44" t="s">
        <v>573</v>
      </c>
      <c r="V3" s="54" t="s">
        <v>574</v>
      </c>
      <c r="W3" s="79" t="s">
        <v>575</v>
      </c>
      <c r="X3" s="44" t="s">
        <v>576</v>
      </c>
      <c r="Y3" s="44">
        <v>49</v>
      </c>
      <c r="Z3" s="44" t="s">
        <v>577</v>
      </c>
      <c r="AA3" s="44"/>
      <c r="AB3" s="44" t="s">
        <v>578</v>
      </c>
      <c r="AC3" s="66" t="s">
        <v>579</v>
      </c>
      <c r="AD3" s="51" t="str">
        <f>"T"&amp;INT((MONTH(LTI_5[[#This Row],[FECHA]])-1)/3)+1</f>
        <v>T1</v>
      </c>
      <c r="AE3" s="50"/>
      <c r="AF3" s="39">
        <v>1</v>
      </c>
      <c r="AG3" s="73">
        <v>0.40972222222222221</v>
      </c>
      <c r="AH3" s="72">
        <v>45658</v>
      </c>
      <c r="AI3" s="72">
        <v>45747</v>
      </c>
      <c r="AJ3" s="72"/>
      <c r="AK3" s="72"/>
      <c r="AL3" s="129">
        <f>AI3-LTI_5[[#This Row],[FECHA]]</f>
        <v>82</v>
      </c>
      <c r="AM3" s="129"/>
      <c r="AN3" s="129"/>
    </row>
    <row r="4" spans="2:44" ht="75" hidden="1" x14ac:dyDescent="0.25">
      <c r="B4" s="60"/>
      <c r="C4" s="44" t="s">
        <v>580</v>
      </c>
      <c r="D4" s="44" t="s">
        <v>568</v>
      </c>
      <c r="E4" s="44" t="s">
        <v>581</v>
      </c>
      <c r="F4" s="44" t="s">
        <v>582</v>
      </c>
      <c r="G4" s="44" t="s">
        <v>583</v>
      </c>
      <c r="H4" s="44" t="s">
        <v>584</v>
      </c>
      <c r="I4" s="82">
        <v>45667</v>
      </c>
      <c r="J4" s="82"/>
      <c r="K4" s="54" t="s">
        <v>572</v>
      </c>
      <c r="L4" s="54" t="str">
        <f>TEXT(LTI_5[[#This Row],[FECHA]],"dddd")</f>
        <v>viernes</v>
      </c>
      <c r="M4" s="54"/>
      <c r="N4" s="54"/>
      <c r="O4" s="54"/>
      <c r="P4" s="54"/>
      <c r="Q4" s="54"/>
      <c r="R4" s="54"/>
      <c r="S4" s="63"/>
      <c r="T4" s="47"/>
      <c r="U4" s="44" t="s">
        <v>585</v>
      </c>
      <c r="V4" s="54" t="s">
        <v>574</v>
      </c>
      <c r="W4" s="79" t="s">
        <v>586</v>
      </c>
      <c r="X4" s="44" t="s">
        <v>587</v>
      </c>
      <c r="Y4" s="44">
        <v>291</v>
      </c>
      <c r="Z4" s="44" t="s">
        <v>588</v>
      </c>
      <c r="AA4" s="44"/>
      <c r="AB4" s="44" t="s">
        <v>589</v>
      </c>
      <c r="AC4" s="66" t="s">
        <v>579</v>
      </c>
      <c r="AD4" s="51" t="str">
        <f>"T"&amp;INT((MONTH(LTI_5[[#This Row],[FECHA]])-1)/3)+1</f>
        <v>T1</v>
      </c>
      <c r="AE4" s="50"/>
      <c r="AF4" s="39">
        <v>1</v>
      </c>
      <c r="AG4" s="73">
        <v>0.4861111111111111</v>
      </c>
      <c r="AH4" s="72">
        <v>45658</v>
      </c>
      <c r="AI4" s="72">
        <v>45747</v>
      </c>
      <c r="AJ4" s="72"/>
      <c r="AK4" s="72"/>
      <c r="AL4" s="129">
        <f>AI4-LTI_5[[#This Row],[FECHA]]</f>
        <v>80</v>
      </c>
      <c r="AM4" s="129"/>
      <c r="AN4" s="129"/>
      <c r="AP4" s="39" t="str">
        <f>"T"&amp;TRUNC((MONTH(LTI_5[[#This Row],[FECHA]]-1)/3)+1)</f>
        <v>T1</v>
      </c>
      <c r="AR4" s="65">
        <f>LTI_5[[#This Row],[FECHA]]-I3</f>
        <v>2</v>
      </c>
    </row>
    <row r="5" spans="2:44" ht="60" hidden="1" x14ac:dyDescent="0.25">
      <c r="B5" s="60"/>
      <c r="C5" s="44" t="s">
        <v>580</v>
      </c>
      <c r="D5" s="44" t="s">
        <v>568</v>
      </c>
      <c r="E5" s="44" t="s">
        <v>581</v>
      </c>
      <c r="F5" s="44" t="s">
        <v>582</v>
      </c>
      <c r="G5" s="44" t="s">
        <v>583</v>
      </c>
      <c r="H5" s="44" t="s">
        <v>584</v>
      </c>
      <c r="I5" s="82">
        <v>45668</v>
      </c>
      <c r="J5" s="82"/>
      <c r="K5" s="54" t="s">
        <v>572</v>
      </c>
      <c r="L5" s="54" t="str">
        <f>TEXT(LTI_5[[#This Row],[FECHA]],"dddd")</f>
        <v>sábado</v>
      </c>
      <c r="M5" s="54"/>
      <c r="N5" s="54"/>
      <c r="O5" s="54"/>
      <c r="P5" s="54"/>
      <c r="Q5" s="54"/>
      <c r="R5" s="54"/>
      <c r="S5" s="63"/>
      <c r="T5" s="47"/>
      <c r="U5" s="44" t="s">
        <v>590</v>
      </c>
      <c r="V5" s="54" t="s">
        <v>591</v>
      </c>
      <c r="W5" s="79" t="s">
        <v>592</v>
      </c>
      <c r="X5" s="44" t="s">
        <v>593</v>
      </c>
      <c r="Y5" s="44">
        <v>9</v>
      </c>
      <c r="Z5" s="44" t="s">
        <v>594</v>
      </c>
      <c r="AA5" s="44"/>
      <c r="AB5" s="44" t="s">
        <v>589</v>
      </c>
      <c r="AC5" s="66" t="s">
        <v>579</v>
      </c>
      <c r="AD5" s="51" t="str">
        <f>"T"&amp;INT((MONTH(LTI_5[[#This Row],[FECHA]])-1)/3)+1</f>
        <v>T1</v>
      </c>
      <c r="AE5" s="50"/>
      <c r="AF5" s="39">
        <v>1</v>
      </c>
      <c r="AG5" s="73">
        <v>0.42708333333333331</v>
      </c>
      <c r="AH5" s="72">
        <v>45658</v>
      </c>
      <c r="AI5" s="72">
        <v>45747</v>
      </c>
      <c r="AJ5" s="72"/>
      <c r="AK5" s="72"/>
      <c r="AL5" s="129">
        <f>AI5-LTI_5[[#This Row],[FECHA]]</f>
        <v>79</v>
      </c>
      <c r="AM5" s="129"/>
      <c r="AN5" s="129"/>
      <c r="AP5" s="39" t="str">
        <f>"T"&amp;TRUNC((MONTH(LTI_5[[#This Row],[FECHA]]-1)/3)+1)</f>
        <v>T1</v>
      </c>
      <c r="AR5" s="65">
        <f>LTI_5[[#This Row],[FECHA]]-I4</f>
        <v>1</v>
      </c>
    </row>
    <row r="6" spans="2:44" ht="45" hidden="1" x14ac:dyDescent="0.25">
      <c r="B6" s="60"/>
      <c r="C6" s="44" t="s">
        <v>567</v>
      </c>
      <c r="D6" s="44" t="s">
        <v>568</v>
      </c>
      <c r="E6" s="44" t="s">
        <v>595</v>
      </c>
      <c r="F6" s="44" t="s">
        <v>596</v>
      </c>
      <c r="G6" s="44" t="s">
        <v>596</v>
      </c>
      <c r="H6" s="44" t="s">
        <v>595</v>
      </c>
      <c r="I6" s="82">
        <v>45678</v>
      </c>
      <c r="J6" s="82"/>
      <c r="K6" s="54" t="s">
        <v>597</v>
      </c>
      <c r="L6" s="54" t="str">
        <f>TEXT(LTI_5[[#This Row],[FECHA]],"dddd")</f>
        <v>martes</v>
      </c>
      <c r="M6" s="54"/>
      <c r="N6" s="54"/>
      <c r="O6" s="54"/>
      <c r="P6" s="54"/>
      <c r="Q6" s="54"/>
      <c r="R6" s="54"/>
      <c r="S6" s="63"/>
      <c r="T6" s="47"/>
      <c r="U6" s="44" t="s">
        <v>598</v>
      </c>
      <c r="V6" s="54" t="s">
        <v>599</v>
      </c>
      <c r="W6" s="79" t="s">
        <v>600</v>
      </c>
      <c r="X6" s="44" t="s">
        <v>601</v>
      </c>
      <c r="Y6" s="44">
        <v>14</v>
      </c>
      <c r="Z6" s="44" t="s">
        <v>602</v>
      </c>
      <c r="AA6" s="44"/>
      <c r="AB6" s="44" t="s">
        <v>603</v>
      </c>
      <c r="AC6" s="66" t="s">
        <v>579</v>
      </c>
      <c r="AD6" s="51" t="str">
        <f>"T"&amp;INT((MONTH(LTI_5[[#This Row],[FECHA]])-1)/3)+1</f>
        <v>T1</v>
      </c>
      <c r="AE6" s="50"/>
      <c r="AF6" s="39">
        <v>2</v>
      </c>
      <c r="AG6" s="73">
        <v>0.65277777777777779</v>
      </c>
      <c r="AH6" s="72">
        <v>45658</v>
      </c>
      <c r="AI6" s="72">
        <v>45747</v>
      </c>
      <c r="AJ6" s="72"/>
      <c r="AK6" s="72"/>
      <c r="AL6" s="129">
        <f>AI6-LTI_5[[#This Row],[FECHA]]</f>
        <v>69</v>
      </c>
      <c r="AM6" s="129"/>
      <c r="AN6" s="129"/>
      <c r="AP6" s="39" t="str">
        <f>"T"&amp;TRUNC((MONTH(LTI_5[[#This Row],[FECHA]]-1)/3)+1)</f>
        <v>T1</v>
      </c>
      <c r="AR6" s="65">
        <f>LTI_5[[#This Row],[FECHA]]-I5</f>
        <v>10</v>
      </c>
    </row>
    <row r="7" spans="2:44" ht="90" hidden="1" x14ac:dyDescent="0.25">
      <c r="B7" s="60"/>
      <c r="C7" s="44" t="s">
        <v>567</v>
      </c>
      <c r="D7" s="44" t="s">
        <v>568</v>
      </c>
      <c r="E7" s="44" t="s">
        <v>569</v>
      </c>
      <c r="F7" s="44" t="s">
        <v>570</v>
      </c>
      <c r="G7" s="42" t="s">
        <v>604</v>
      </c>
      <c r="H7" s="42" t="s">
        <v>604</v>
      </c>
      <c r="I7" s="82">
        <v>45682</v>
      </c>
      <c r="J7" s="82"/>
      <c r="K7" s="54" t="s">
        <v>597</v>
      </c>
      <c r="L7" s="54" t="str">
        <f>TEXT(LTI_5[[#This Row],[FECHA]],"dddd")</f>
        <v>sábado</v>
      </c>
      <c r="M7" s="54"/>
      <c r="N7" s="54"/>
      <c r="O7" s="54"/>
      <c r="P7" s="54"/>
      <c r="Q7" s="54"/>
      <c r="R7" s="54"/>
      <c r="S7" s="63"/>
      <c r="T7" s="47"/>
      <c r="U7" s="44" t="s">
        <v>598</v>
      </c>
      <c r="V7" s="54" t="s">
        <v>599</v>
      </c>
      <c r="W7" s="79" t="s">
        <v>605</v>
      </c>
      <c r="X7" s="44" t="s">
        <v>601</v>
      </c>
      <c r="Y7" s="44">
        <v>59</v>
      </c>
      <c r="Z7" s="44" t="s">
        <v>606</v>
      </c>
      <c r="AA7" s="44"/>
      <c r="AB7" s="44" t="s">
        <v>606</v>
      </c>
      <c r="AC7" s="44" t="s">
        <v>607</v>
      </c>
      <c r="AD7" s="51" t="str">
        <f>"T"&amp;INT((MONTH(LTI_5[[#This Row],[FECHA]])-1)/3)+1</f>
        <v>T1</v>
      </c>
      <c r="AE7" s="50"/>
      <c r="AF7" s="39">
        <v>2</v>
      </c>
      <c r="AG7" s="73">
        <v>0.93055555555555558</v>
      </c>
      <c r="AH7" s="72">
        <v>45658</v>
      </c>
      <c r="AI7" s="72">
        <v>45747</v>
      </c>
      <c r="AJ7" s="72"/>
      <c r="AK7" s="72"/>
      <c r="AL7" s="129">
        <f>AI7-LTI_5[[#This Row],[FECHA]]</f>
        <v>65</v>
      </c>
      <c r="AM7" s="129"/>
      <c r="AN7" s="129"/>
      <c r="AP7" s="39" t="str">
        <f>"T"&amp;TRUNC((MONTH(LTI_5[[#This Row],[FECHA]]-1)/3)+1)</f>
        <v>T1</v>
      </c>
      <c r="AR7" s="65">
        <f>LTI_5[[#This Row],[FECHA]]-I6</f>
        <v>4</v>
      </c>
    </row>
    <row r="8" spans="2:44" ht="60" hidden="1" x14ac:dyDescent="0.25">
      <c r="B8" s="60"/>
      <c r="C8" s="44" t="s">
        <v>580</v>
      </c>
      <c r="D8" s="44" t="s">
        <v>568</v>
      </c>
      <c r="E8" s="44" t="s">
        <v>569</v>
      </c>
      <c r="F8" s="44" t="s">
        <v>608</v>
      </c>
      <c r="G8" s="44" t="s">
        <v>609</v>
      </c>
      <c r="H8" s="44" t="s">
        <v>609</v>
      </c>
      <c r="I8" s="82">
        <v>45687</v>
      </c>
      <c r="J8" s="82"/>
      <c r="K8" s="54" t="s">
        <v>572</v>
      </c>
      <c r="L8" s="54" t="str">
        <f>TEXT(LTI_5[[#This Row],[FECHA]],"dddd")</f>
        <v>jueves</v>
      </c>
      <c r="M8" s="54"/>
      <c r="N8" s="54"/>
      <c r="O8" s="54"/>
      <c r="P8" s="54"/>
      <c r="Q8" s="54"/>
      <c r="R8" s="54"/>
      <c r="S8" s="63"/>
      <c r="T8" s="47"/>
      <c r="U8" s="44" t="s">
        <v>23</v>
      </c>
      <c r="V8" s="54" t="s">
        <v>599</v>
      </c>
      <c r="W8" s="79" t="s">
        <v>610</v>
      </c>
      <c r="X8" s="44" t="s">
        <v>611</v>
      </c>
      <c r="Y8" s="44">
        <v>37</v>
      </c>
      <c r="Z8" s="44" t="s">
        <v>612</v>
      </c>
      <c r="AA8" s="44"/>
      <c r="AB8" s="44" t="s">
        <v>613</v>
      </c>
      <c r="AC8" s="44" t="s">
        <v>607</v>
      </c>
      <c r="AD8" s="51" t="str">
        <f>"T"&amp;INT((MONTH(LTI_5[[#This Row],[FECHA]])-1)/3)+1</f>
        <v>T1</v>
      </c>
      <c r="AE8" s="50"/>
      <c r="AF8" s="39">
        <v>1</v>
      </c>
      <c r="AG8" s="73">
        <v>0.375</v>
      </c>
      <c r="AH8" s="72">
        <v>45658</v>
      </c>
      <c r="AI8" s="72">
        <v>45747</v>
      </c>
      <c r="AJ8" s="72"/>
      <c r="AK8" s="72"/>
      <c r="AL8" s="129">
        <f>AI8-LTI_5[[#This Row],[FECHA]]</f>
        <v>60</v>
      </c>
      <c r="AM8" s="129"/>
      <c r="AN8" s="129"/>
      <c r="AP8" s="39" t="str">
        <f>"T"&amp;TRUNC((MONTH(LTI_5[[#This Row],[FECHA]]-1)/3)+1)</f>
        <v>T1</v>
      </c>
      <c r="AR8" s="65">
        <f>LTI_5[[#This Row],[FECHA]]-I7</f>
        <v>5</v>
      </c>
    </row>
    <row r="9" spans="2:44" ht="60" hidden="1" x14ac:dyDescent="0.25">
      <c r="B9" s="60"/>
      <c r="C9" s="44" t="s">
        <v>567</v>
      </c>
      <c r="D9" s="44" t="s">
        <v>568</v>
      </c>
      <c r="E9" s="44" t="s">
        <v>569</v>
      </c>
      <c r="F9" s="44" t="s">
        <v>614</v>
      </c>
      <c r="G9" s="51" t="s">
        <v>333</v>
      </c>
      <c r="H9" s="51" t="s">
        <v>615</v>
      </c>
      <c r="I9" s="68">
        <v>45689</v>
      </c>
      <c r="J9" s="68"/>
      <c r="K9" s="54" t="s">
        <v>572</v>
      </c>
      <c r="L9" s="54" t="str">
        <f>TEXT(LTI_5[[#This Row],[FECHA]],"dddd")</f>
        <v>sábado</v>
      </c>
      <c r="M9" s="54"/>
      <c r="N9" s="54"/>
      <c r="O9" s="54"/>
      <c r="P9" s="54"/>
      <c r="Q9" s="54"/>
      <c r="R9" s="54"/>
      <c r="S9" s="63"/>
      <c r="T9" s="47"/>
      <c r="U9" s="51" t="s">
        <v>616</v>
      </c>
      <c r="V9" s="71" t="s">
        <v>574</v>
      </c>
      <c r="W9" s="79" t="s">
        <v>617</v>
      </c>
      <c r="X9" s="66" t="s">
        <v>618</v>
      </c>
      <c r="Y9" s="51">
        <v>17</v>
      </c>
      <c r="Z9" s="78" t="s">
        <v>619</v>
      </c>
      <c r="AA9" s="78"/>
      <c r="AB9" s="66" t="s">
        <v>620</v>
      </c>
      <c r="AC9" s="66" t="s">
        <v>579</v>
      </c>
      <c r="AD9" s="51" t="str">
        <f>"T"&amp;INT((MONTH(LTI_5[[#This Row],[FECHA]])-1)/3)+1</f>
        <v>T1</v>
      </c>
      <c r="AE9" s="50"/>
      <c r="AF9" s="39">
        <v>1</v>
      </c>
      <c r="AG9" s="73">
        <v>0.625</v>
      </c>
      <c r="AH9" s="72">
        <v>45658</v>
      </c>
      <c r="AI9" s="72">
        <v>45747</v>
      </c>
      <c r="AJ9" s="72"/>
      <c r="AK9" s="72"/>
      <c r="AL9" s="129">
        <f>AI9-LTI_5[[#This Row],[FECHA]]</f>
        <v>58</v>
      </c>
      <c r="AM9" s="129"/>
      <c r="AN9" s="129"/>
      <c r="AP9" s="39" t="str">
        <f>"T"&amp;TRUNC((MONTH(LTI_5[[#This Row],[FECHA]]-1)/3)+1)</f>
        <v>T1</v>
      </c>
      <c r="AR9" s="65">
        <f>LTI_5[[#This Row],[FECHA]]-I8</f>
        <v>2</v>
      </c>
    </row>
    <row r="10" spans="2:44" ht="45" hidden="1" x14ac:dyDescent="0.25">
      <c r="B10" s="60"/>
      <c r="C10" s="44" t="s">
        <v>580</v>
      </c>
      <c r="D10" s="44" t="s">
        <v>568</v>
      </c>
      <c r="E10" s="44" t="s">
        <v>569</v>
      </c>
      <c r="F10" s="44" t="s">
        <v>608</v>
      </c>
      <c r="G10" s="44" t="s">
        <v>455</v>
      </c>
      <c r="H10" s="51" t="s">
        <v>621</v>
      </c>
      <c r="I10" s="68">
        <v>45692</v>
      </c>
      <c r="J10" s="68"/>
      <c r="K10" s="54" t="s">
        <v>572</v>
      </c>
      <c r="L10" s="54" t="str">
        <f>TEXT(LTI_5[[#This Row],[FECHA]],"dddd")</f>
        <v>martes</v>
      </c>
      <c r="M10" s="54"/>
      <c r="N10" s="54"/>
      <c r="O10" s="54"/>
      <c r="P10" s="54"/>
      <c r="Q10" s="54"/>
      <c r="R10" s="54"/>
      <c r="S10" s="63"/>
      <c r="T10" s="47"/>
      <c r="U10" s="51" t="s">
        <v>622</v>
      </c>
      <c r="V10" s="71" t="s">
        <v>623</v>
      </c>
      <c r="W10" s="79" t="s">
        <v>624</v>
      </c>
      <c r="X10" s="44" t="s">
        <v>611</v>
      </c>
      <c r="Y10" s="51">
        <v>69</v>
      </c>
      <c r="Z10" s="79" t="s">
        <v>625</v>
      </c>
      <c r="AA10" s="79"/>
      <c r="AB10" s="44" t="s">
        <v>603</v>
      </c>
      <c r="AC10" s="44" t="s">
        <v>579</v>
      </c>
      <c r="AD10" s="51" t="str">
        <f>"T"&amp;INT((MONTH(LTI_5[[#This Row],[FECHA]])-1)/3)+1</f>
        <v>T1</v>
      </c>
      <c r="AE10" s="50"/>
      <c r="AF10" s="81">
        <v>1</v>
      </c>
      <c r="AG10" s="81"/>
      <c r="AH10" s="72">
        <v>45658</v>
      </c>
      <c r="AI10" s="72">
        <v>45747</v>
      </c>
      <c r="AJ10" s="72"/>
      <c r="AK10" s="72"/>
      <c r="AL10" s="129">
        <f>AI10-LTI_5[[#This Row],[FECHA]]</f>
        <v>55</v>
      </c>
      <c r="AM10" s="129"/>
      <c r="AN10" s="129"/>
      <c r="AP10" s="39" t="str">
        <f>"T"&amp;TRUNC((MONTH(LTI_5[[#This Row],[FECHA]]-1)/3)+1)</f>
        <v>T1</v>
      </c>
      <c r="AR10" s="65">
        <f>LTI_5[[#This Row],[FECHA]]-I9</f>
        <v>3</v>
      </c>
    </row>
    <row r="11" spans="2:44" ht="45" hidden="1" x14ac:dyDescent="0.25">
      <c r="B11" s="60"/>
      <c r="C11" s="44" t="s">
        <v>580</v>
      </c>
      <c r="D11" s="44" t="s">
        <v>568</v>
      </c>
      <c r="E11" s="44" t="s">
        <v>569</v>
      </c>
      <c r="F11" s="44" t="s">
        <v>608</v>
      </c>
      <c r="G11" s="51" t="s">
        <v>626</v>
      </c>
      <c r="H11" s="51" t="s">
        <v>626</v>
      </c>
      <c r="I11" s="68">
        <v>45694</v>
      </c>
      <c r="J11" s="68"/>
      <c r="K11" s="54" t="s">
        <v>597</v>
      </c>
      <c r="L11" s="54" t="str">
        <f>TEXT(LTI_5[[#This Row],[FECHA]],"dddd")</f>
        <v>jueves</v>
      </c>
      <c r="M11" s="54"/>
      <c r="N11" s="54"/>
      <c r="O11" s="54"/>
      <c r="P11" s="54"/>
      <c r="Q11" s="54"/>
      <c r="R11" s="54"/>
      <c r="S11" s="63"/>
      <c r="T11" s="47"/>
      <c r="U11" s="51" t="s">
        <v>627</v>
      </c>
      <c r="V11" s="71" t="s">
        <v>623</v>
      </c>
      <c r="W11" s="79" t="s">
        <v>628</v>
      </c>
      <c r="X11" s="66" t="s">
        <v>611</v>
      </c>
      <c r="Y11" s="51">
        <v>4</v>
      </c>
      <c r="Z11" s="78" t="s">
        <v>629</v>
      </c>
      <c r="AA11" s="78"/>
      <c r="AB11" s="66" t="s">
        <v>578</v>
      </c>
      <c r="AC11" s="66" t="s">
        <v>579</v>
      </c>
      <c r="AD11" s="51" t="str">
        <f>"T"&amp;INT((MONTH(LTI_5[[#This Row],[FECHA]])-1)/3)+1</f>
        <v>T1</v>
      </c>
      <c r="AE11" s="50"/>
      <c r="AF11" s="39">
        <v>1</v>
      </c>
      <c r="AG11" s="73">
        <v>0.3611111111111111</v>
      </c>
      <c r="AH11" s="72">
        <v>45658</v>
      </c>
      <c r="AI11" s="72">
        <v>45747</v>
      </c>
      <c r="AJ11" s="72"/>
      <c r="AK11" s="72"/>
      <c r="AL11" s="129">
        <f>AI11-LTI_5[[#This Row],[FECHA]]</f>
        <v>53</v>
      </c>
      <c r="AM11" s="129"/>
      <c r="AN11" s="129"/>
      <c r="AP11" s="39" t="str">
        <f>"T"&amp;TRUNC((MONTH(LTI_5[[#This Row],[FECHA]]-1)/3)+1)</f>
        <v>T1</v>
      </c>
      <c r="AR11" s="65">
        <f>LTI_5[[#This Row],[FECHA]]-I10</f>
        <v>2</v>
      </c>
    </row>
    <row r="12" spans="2:44" ht="60" hidden="1" x14ac:dyDescent="0.25">
      <c r="B12" s="60"/>
      <c r="C12" s="44" t="s">
        <v>567</v>
      </c>
      <c r="D12" s="44" t="s">
        <v>568</v>
      </c>
      <c r="E12" s="44" t="s">
        <v>569</v>
      </c>
      <c r="F12" s="44" t="s">
        <v>614</v>
      </c>
      <c r="G12" s="51" t="s">
        <v>333</v>
      </c>
      <c r="H12" s="51" t="s">
        <v>111</v>
      </c>
      <c r="I12" s="68">
        <v>45694</v>
      </c>
      <c r="J12" s="68"/>
      <c r="K12" s="54" t="s">
        <v>572</v>
      </c>
      <c r="L12" s="54" t="str">
        <f>TEXT(LTI_5[[#This Row],[FECHA]],"dddd")</f>
        <v>jueves</v>
      </c>
      <c r="M12" s="54"/>
      <c r="N12" s="54"/>
      <c r="O12" s="54"/>
      <c r="P12" s="54"/>
      <c r="Q12" s="54"/>
      <c r="R12" s="54"/>
      <c r="S12" s="63"/>
      <c r="T12" s="47"/>
      <c r="U12" s="66" t="s">
        <v>630</v>
      </c>
      <c r="V12" s="71" t="s">
        <v>574</v>
      </c>
      <c r="W12" s="79" t="s">
        <v>631</v>
      </c>
      <c r="X12" s="66" t="s">
        <v>611</v>
      </c>
      <c r="Y12" s="51">
        <v>40</v>
      </c>
      <c r="Z12" s="78" t="s">
        <v>632</v>
      </c>
      <c r="AA12" s="78"/>
      <c r="AB12" s="66" t="s">
        <v>633</v>
      </c>
      <c r="AC12" s="66" t="s">
        <v>607</v>
      </c>
      <c r="AD12" s="51" t="str">
        <f>"T"&amp;INT((MONTH(LTI_5[[#This Row],[FECHA]])-1)/3)+1</f>
        <v>T1</v>
      </c>
      <c r="AE12" s="50"/>
      <c r="AF12" s="39">
        <v>2</v>
      </c>
      <c r="AG12" s="73">
        <v>0.9375</v>
      </c>
      <c r="AH12" s="72">
        <v>45658</v>
      </c>
      <c r="AI12" s="72">
        <v>45747</v>
      </c>
      <c r="AJ12" s="72"/>
      <c r="AK12" s="72"/>
      <c r="AL12" s="129">
        <f>AI12-LTI_5[[#This Row],[FECHA]]</f>
        <v>53</v>
      </c>
      <c r="AM12" s="129"/>
      <c r="AN12" s="129"/>
      <c r="AP12" s="39" t="str">
        <f>"T"&amp;TRUNC((MONTH(LTI_5[[#This Row],[FECHA]]-1)/3)+1)</f>
        <v>T1</v>
      </c>
      <c r="AR12" s="65">
        <f>LTI_5[[#This Row],[FECHA]]-I11</f>
        <v>0</v>
      </c>
    </row>
    <row r="13" spans="2:44" ht="45" hidden="1" x14ac:dyDescent="0.25">
      <c r="B13" s="60"/>
      <c r="C13" s="44" t="s">
        <v>567</v>
      </c>
      <c r="D13" s="44" t="s">
        <v>568</v>
      </c>
      <c r="E13" s="44" t="s">
        <v>581</v>
      </c>
      <c r="F13" s="44" t="s">
        <v>634</v>
      </c>
      <c r="G13" s="51" t="s">
        <v>635</v>
      </c>
      <c r="H13" s="51" t="s">
        <v>635</v>
      </c>
      <c r="I13" s="68">
        <v>45699</v>
      </c>
      <c r="J13" s="68"/>
      <c r="K13" s="54" t="s">
        <v>597</v>
      </c>
      <c r="L13" s="54" t="str">
        <f>TEXT(LTI_5[[#This Row],[FECHA]],"dddd")</f>
        <v>martes</v>
      </c>
      <c r="M13" s="54"/>
      <c r="N13" s="54"/>
      <c r="O13" s="54"/>
      <c r="P13" s="54"/>
      <c r="Q13" s="54"/>
      <c r="R13" s="54"/>
      <c r="S13" s="63"/>
      <c r="T13" s="47"/>
      <c r="U13" s="146" t="s">
        <v>598</v>
      </c>
      <c r="V13" s="71" t="s">
        <v>599</v>
      </c>
      <c r="W13" s="79" t="s">
        <v>636</v>
      </c>
      <c r="X13" s="66" t="s">
        <v>637</v>
      </c>
      <c r="Y13" s="51">
        <v>41</v>
      </c>
      <c r="Z13" s="78" t="s">
        <v>638</v>
      </c>
      <c r="AA13" s="78"/>
      <c r="AB13" s="66" t="s">
        <v>639</v>
      </c>
      <c r="AC13" s="66" t="s">
        <v>607</v>
      </c>
      <c r="AD13" s="51" t="str">
        <f>"T"&amp;INT((MONTH(LTI_5[[#This Row],[FECHA]])-1)/3)+1</f>
        <v>T1</v>
      </c>
      <c r="AE13" s="50"/>
      <c r="AF13" s="81">
        <v>2</v>
      </c>
      <c r="AG13" s="81"/>
      <c r="AH13" s="72">
        <v>45658</v>
      </c>
      <c r="AI13" s="72">
        <v>45747</v>
      </c>
      <c r="AJ13" s="72"/>
      <c r="AK13" s="72"/>
      <c r="AL13" s="129">
        <f>AI13-LTI_5[[#This Row],[FECHA]]</f>
        <v>48</v>
      </c>
      <c r="AM13" s="129"/>
      <c r="AN13" s="129"/>
      <c r="AP13" s="39" t="str">
        <f>"T"&amp;TRUNC((MONTH(LTI_5[[#This Row],[FECHA]]-1)/3)+1)</f>
        <v>T1</v>
      </c>
      <c r="AR13" s="65">
        <f>LTI_5[[#This Row],[FECHA]]-I12</f>
        <v>5</v>
      </c>
    </row>
    <row r="14" spans="2:44" ht="60" hidden="1" x14ac:dyDescent="0.25">
      <c r="B14" s="60"/>
      <c r="C14" s="44" t="s">
        <v>567</v>
      </c>
      <c r="D14" s="44" t="s">
        <v>640</v>
      </c>
      <c r="E14" s="44" t="s">
        <v>595</v>
      </c>
      <c r="F14" s="44" t="s">
        <v>641</v>
      </c>
      <c r="G14" s="51" t="s">
        <v>333</v>
      </c>
      <c r="H14" s="44" t="s">
        <v>595</v>
      </c>
      <c r="I14" s="68">
        <v>45701</v>
      </c>
      <c r="J14" s="68"/>
      <c r="K14" s="54" t="s">
        <v>572</v>
      </c>
      <c r="L14" s="54" t="str">
        <f>TEXT(LTI_5[[#This Row],[FECHA]],"dddd")</f>
        <v>jueves</v>
      </c>
      <c r="M14" s="54"/>
      <c r="N14" s="54"/>
      <c r="O14" s="54"/>
      <c r="P14" s="54"/>
      <c r="Q14" s="54"/>
      <c r="R14" s="54"/>
      <c r="S14" s="63"/>
      <c r="T14" s="47"/>
      <c r="U14" s="51" t="s">
        <v>642</v>
      </c>
      <c r="V14" s="71" t="s">
        <v>574</v>
      </c>
      <c r="W14" s="79" t="s">
        <v>643</v>
      </c>
      <c r="X14" s="66" t="s">
        <v>644</v>
      </c>
      <c r="Y14" s="51">
        <v>6</v>
      </c>
      <c r="Z14" s="78" t="s">
        <v>606</v>
      </c>
      <c r="AA14" s="78"/>
      <c r="AB14" s="66" t="s">
        <v>645</v>
      </c>
      <c r="AC14" s="66" t="s">
        <v>607</v>
      </c>
      <c r="AD14" s="51" t="str">
        <f>"T"&amp;INT((MONTH(LTI_5[[#This Row],[FECHA]])-1)/3)+1</f>
        <v>T1</v>
      </c>
      <c r="AE14" s="50"/>
      <c r="AF14" s="39">
        <v>1</v>
      </c>
      <c r="AG14" s="73">
        <v>0.67361111111111116</v>
      </c>
      <c r="AH14" s="72">
        <v>45658</v>
      </c>
      <c r="AI14" s="72">
        <v>45747</v>
      </c>
      <c r="AJ14" s="72"/>
      <c r="AK14" s="72"/>
      <c r="AL14" s="129">
        <f>AI14-LTI_5[[#This Row],[FECHA]]</f>
        <v>46</v>
      </c>
      <c r="AM14" s="129"/>
      <c r="AN14" s="129">
        <f t="shared" ref="AN14:AN25" si="0">AL14-AM14</f>
        <v>46</v>
      </c>
      <c r="AP14" s="39" t="str">
        <f>"T"&amp;TRUNC((MONTH(LTI_5[[#This Row],[FECHA]]-1)/3)+1)</f>
        <v>T1</v>
      </c>
      <c r="AR14" s="65">
        <f>LTI_5[[#This Row],[FECHA]]-I13</f>
        <v>2</v>
      </c>
    </row>
    <row r="15" spans="2:44" ht="60" hidden="1" x14ac:dyDescent="0.25">
      <c r="B15" s="60"/>
      <c r="C15" s="44" t="s">
        <v>567</v>
      </c>
      <c r="D15" s="44" t="s">
        <v>568</v>
      </c>
      <c r="E15" s="44" t="s">
        <v>569</v>
      </c>
      <c r="F15" s="44" t="s">
        <v>646</v>
      </c>
      <c r="G15" s="44" t="s">
        <v>647</v>
      </c>
      <c r="H15" s="51" t="s">
        <v>648</v>
      </c>
      <c r="I15" s="68">
        <v>45703</v>
      </c>
      <c r="J15" s="68"/>
      <c r="K15" s="54" t="s">
        <v>572</v>
      </c>
      <c r="L15" s="54" t="str">
        <f>TEXT(LTI_5[[#This Row],[FECHA]],"dddd")</f>
        <v>sábado</v>
      </c>
      <c r="M15" s="54"/>
      <c r="N15" s="54"/>
      <c r="O15" s="54"/>
      <c r="P15" s="54"/>
      <c r="Q15" s="54"/>
      <c r="R15" s="54"/>
      <c r="S15" s="63"/>
      <c r="T15" s="47"/>
      <c r="U15" s="146" t="s">
        <v>598</v>
      </c>
      <c r="V15" s="71" t="s">
        <v>599</v>
      </c>
      <c r="W15" s="79" t="s">
        <v>649</v>
      </c>
      <c r="X15" s="66" t="s">
        <v>611</v>
      </c>
      <c r="Y15" s="51">
        <v>7</v>
      </c>
      <c r="Z15" s="78" t="s">
        <v>638</v>
      </c>
      <c r="AA15" s="78"/>
      <c r="AB15" s="66" t="s">
        <v>578</v>
      </c>
      <c r="AC15" s="66" t="s">
        <v>579</v>
      </c>
      <c r="AD15" s="51" t="str">
        <f>"T"&amp;INT((MONTH(LTI_5[[#This Row],[FECHA]])-1)/3)+1</f>
        <v>T1</v>
      </c>
      <c r="AE15" s="50"/>
      <c r="AF15" s="39">
        <v>1</v>
      </c>
      <c r="AG15" s="73">
        <v>0.33333333333333331</v>
      </c>
      <c r="AH15" s="72">
        <v>45658</v>
      </c>
      <c r="AI15" s="72">
        <v>45747</v>
      </c>
      <c r="AJ15" s="72"/>
      <c r="AK15" s="72"/>
      <c r="AL15" s="129"/>
      <c r="AM15" s="129">
        <f>LTI_5[[#This Row],[FECHA]]-AH15</f>
        <v>45</v>
      </c>
      <c r="AN15" s="129">
        <f t="shared" si="0"/>
        <v>-45</v>
      </c>
      <c r="AP15" s="39" t="str">
        <f>"T"&amp;TRUNC((MONTH(LTI_5[[#This Row],[FECHA]]-1)/3)+1)</f>
        <v>T1</v>
      </c>
      <c r="AR15" s="65">
        <f>LTI_5[[#This Row],[FECHA]]-I14</f>
        <v>2</v>
      </c>
    </row>
    <row r="16" spans="2:44" ht="45" hidden="1" x14ac:dyDescent="0.25">
      <c r="B16" s="60"/>
      <c r="C16" s="44" t="s">
        <v>567</v>
      </c>
      <c r="D16" s="44" t="s">
        <v>568</v>
      </c>
      <c r="E16" s="44" t="s">
        <v>595</v>
      </c>
      <c r="F16" s="44" t="s">
        <v>596</v>
      </c>
      <c r="G16" s="51" t="s">
        <v>650</v>
      </c>
      <c r="H16" s="51" t="s">
        <v>650</v>
      </c>
      <c r="I16" s="80">
        <v>45708</v>
      </c>
      <c r="J16" s="80"/>
      <c r="K16" s="54" t="s">
        <v>572</v>
      </c>
      <c r="L16" s="54" t="str">
        <f>TEXT(LTI_5[[#This Row],[FECHA]],"dddd")</f>
        <v>jueves</v>
      </c>
      <c r="M16" s="54"/>
      <c r="N16" s="54"/>
      <c r="O16" s="54"/>
      <c r="P16" s="54"/>
      <c r="Q16" s="54"/>
      <c r="R16" s="54"/>
      <c r="S16" s="63"/>
      <c r="T16" s="47"/>
      <c r="U16" s="51" t="s">
        <v>651</v>
      </c>
      <c r="V16" s="71" t="s">
        <v>574</v>
      </c>
      <c r="W16" s="79" t="s">
        <v>652</v>
      </c>
      <c r="X16" s="66" t="s">
        <v>653</v>
      </c>
      <c r="Y16" s="51">
        <v>31</v>
      </c>
      <c r="Z16" s="78" t="s">
        <v>654</v>
      </c>
      <c r="AA16" s="78"/>
      <c r="AB16" s="66" t="s">
        <v>578</v>
      </c>
      <c r="AC16" s="66" t="s">
        <v>579</v>
      </c>
      <c r="AD16" s="51" t="str">
        <f>"T"&amp;INT((MONTH(LTI_5[[#This Row],[FECHA]])-1)/3)+1</f>
        <v>T1</v>
      </c>
      <c r="AE16" s="50"/>
      <c r="AF16" s="39">
        <v>1</v>
      </c>
      <c r="AG16" s="73">
        <v>0.4861111111111111</v>
      </c>
      <c r="AH16" s="72">
        <v>45658</v>
      </c>
      <c r="AI16" s="72">
        <v>45747</v>
      </c>
      <c r="AJ16" s="72"/>
      <c r="AK16" s="72"/>
      <c r="AL16" s="129"/>
      <c r="AM16" s="129">
        <f>LTI_5[[#This Row],[FECHA]]-AH16</f>
        <v>50</v>
      </c>
      <c r="AN16" s="129">
        <f t="shared" si="0"/>
        <v>-50</v>
      </c>
      <c r="AP16" s="39" t="str">
        <f>"T"&amp;TRUNC((MONTH(LTI_5[[#This Row],[FECHA]]-1)/3)+1)</f>
        <v>T1</v>
      </c>
      <c r="AR16" s="65">
        <f>LTI_5[[#This Row],[FECHA]]-I15</f>
        <v>5</v>
      </c>
    </row>
    <row r="17" spans="2:44" ht="45" hidden="1" x14ac:dyDescent="0.25">
      <c r="B17" s="60"/>
      <c r="C17" s="44" t="s">
        <v>580</v>
      </c>
      <c r="D17" s="44" t="s">
        <v>568</v>
      </c>
      <c r="E17" s="44" t="s">
        <v>569</v>
      </c>
      <c r="F17" s="44" t="s">
        <v>608</v>
      </c>
      <c r="G17" s="44" t="s">
        <v>455</v>
      </c>
      <c r="H17" s="51" t="s">
        <v>621</v>
      </c>
      <c r="I17" s="80">
        <v>45716</v>
      </c>
      <c r="J17" s="80"/>
      <c r="K17" s="54" t="s">
        <v>572</v>
      </c>
      <c r="L17" s="54" t="str">
        <f>TEXT(LTI_5[[#This Row],[FECHA]],"dddd")</f>
        <v>viernes</v>
      </c>
      <c r="M17" s="54"/>
      <c r="N17" s="54"/>
      <c r="O17" s="54"/>
      <c r="P17" s="54"/>
      <c r="Q17" s="54"/>
      <c r="R17" s="54"/>
      <c r="S17" s="63"/>
      <c r="T17" s="47"/>
      <c r="U17" s="51" t="s">
        <v>23</v>
      </c>
      <c r="V17" s="71" t="s">
        <v>599</v>
      </c>
      <c r="W17" s="79" t="s">
        <v>655</v>
      </c>
      <c r="X17" s="66" t="s">
        <v>611</v>
      </c>
      <c r="Y17" s="51">
        <v>17</v>
      </c>
      <c r="Z17" s="78" t="s">
        <v>656</v>
      </c>
      <c r="AA17" s="78"/>
      <c r="AB17" s="66" t="s">
        <v>657</v>
      </c>
      <c r="AC17" s="66" t="s">
        <v>607</v>
      </c>
      <c r="AD17" s="51" t="str">
        <f>"T"&amp;INT((MONTH(LTI_5[[#This Row],[FECHA]])-1)/3)+1</f>
        <v>T1</v>
      </c>
      <c r="AE17" s="50"/>
      <c r="AF17" s="39">
        <v>2</v>
      </c>
      <c r="AG17" s="73">
        <v>0.67361111111111116</v>
      </c>
      <c r="AH17" s="72">
        <v>45658</v>
      </c>
      <c r="AI17" s="72">
        <v>45747</v>
      </c>
      <c r="AJ17" s="72"/>
      <c r="AK17" s="72"/>
      <c r="AL17" s="129"/>
      <c r="AM17" s="129">
        <f>LTI_5[[#This Row],[FECHA]]-AH17</f>
        <v>58</v>
      </c>
      <c r="AN17" s="129">
        <f t="shared" si="0"/>
        <v>-58</v>
      </c>
      <c r="AP17" s="39" t="str">
        <f>"T"&amp;TRUNC((MONTH(LTI_5[[#This Row],[FECHA]]-1)/3)+1)</f>
        <v>T1</v>
      </c>
      <c r="AR17" s="65">
        <f>LTI_5[[#This Row],[FECHA]]-I16</f>
        <v>8</v>
      </c>
    </row>
    <row r="18" spans="2:44" ht="75" hidden="1" x14ac:dyDescent="0.25">
      <c r="B18" s="60"/>
      <c r="C18" s="44" t="s">
        <v>567</v>
      </c>
      <c r="D18" s="44" t="s">
        <v>568</v>
      </c>
      <c r="E18" s="44" t="s">
        <v>569</v>
      </c>
      <c r="F18" s="44" t="s">
        <v>646</v>
      </c>
      <c r="G18" s="44" t="s">
        <v>647</v>
      </c>
      <c r="H18" s="51" t="s">
        <v>648</v>
      </c>
      <c r="I18" s="80">
        <v>45716</v>
      </c>
      <c r="J18" s="80"/>
      <c r="K18" s="54" t="s">
        <v>597</v>
      </c>
      <c r="L18" s="54" t="str">
        <f>TEXT(LTI_5[[#This Row],[FECHA]],"dddd")</f>
        <v>viernes</v>
      </c>
      <c r="M18" s="54"/>
      <c r="N18" s="54"/>
      <c r="O18" s="54"/>
      <c r="P18" s="54"/>
      <c r="Q18" s="54"/>
      <c r="R18" s="54"/>
      <c r="S18" s="63"/>
      <c r="T18" s="47"/>
      <c r="U18" s="146" t="s">
        <v>598</v>
      </c>
      <c r="V18" s="71" t="s">
        <v>599</v>
      </c>
      <c r="W18" s="79" t="s">
        <v>658</v>
      </c>
      <c r="X18" s="66" t="s">
        <v>611</v>
      </c>
      <c r="Y18" s="51">
        <v>2</v>
      </c>
      <c r="Z18" s="78" t="s">
        <v>659</v>
      </c>
      <c r="AA18" s="78"/>
      <c r="AB18" s="66" t="s">
        <v>657</v>
      </c>
      <c r="AC18" s="66" t="s">
        <v>607</v>
      </c>
      <c r="AD18" s="51" t="str">
        <f>"T"&amp;INT((MONTH(LTI_5[[#This Row],[FECHA]])-1)/3)+1</f>
        <v>T1</v>
      </c>
      <c r="AE18" s="50"/>
      <c r="AF18" s="39">
        <v>1</v>
      </c>
      <c r="AG18" s="73">
        <v>0.57638888888888884</v>
      </c>
      <c r="AH18" s="72">
        <v>45658</v>
      </c>
      <c r="AI18" s="72">
        <v>45747</v>
      </c>
      <c r="AJ18" s="72"/>
      <c r="AK18" s="72"/>
      <c r="AL18" s="129"/>
      <c r="AM18" s="129">
        <f>LTI_5[[#This Row],[FECHA]]-AH18</f>
        <v>58</v>
      </c>
      <c r="AN18" s="129">
        <f t="shared" si="0"/>
        <v>-58</v>
      </c>
      <c r="AP18" s="39" t="str">
        <f>"T"&amp;TRUNC((MONTH(LTI_5[[#This Row],[FECHA]]-1)/3)+1)</f>
        <v>T1</v>
      </c>
      <c r="AR18" s="65">
        <f>LTI_5[[#This Row],[FECHA]]-I17</f>
        <v>0</v>
      </c>
    </row>
    <row r="19" spans="2:44" ht="110.1" hidden="1" customHeight="1" x14ac:dyDescent="0.25">
      <c r="B19" s="60"/>
      <c r="C19" s="44" t="s">
        <v>580</v>
      </c>
      <c r="D19" s="44" t="s">
        <v>568</v>
      </c>
      <c r="E19" s="44" t="s">
        <v>569</v>
      </c>
      <c r="F19" s="44" t="s">
        <v>608</v>
      </c>
      <c r="G19" s="44" t="s">
        <v>609</v>
      </c>
      <c r="H19" s="44" t="s">
        <v>609</v>
      </c>
      <c r="I19" s="77">
        <v>45721</v>
      </c>
      <c r="J19" s="77"/>
      <c r="K19" s="54" t="s">
        <v>572</v>
      </c>
      <c r="L19" s="54" t="str">
        <f>TEXT(LTI_5[[#This Row],[FECHA]],"dddd")</f>
        <v>miércoles</v>
      </c>
      <c r="M19" s="54"/>
      <c r="N19" s="54"/>
      <c r="O19" s="54"/>
      <c r="P19" s="54"/>
      <c r="Q19" s="54"/>
      <c r="R19" s="54"/>
      <c r="S19" s="63"/>
      <c r="T19" s="47"/>
      <c r="U19" s="44" t="s">
        <v>627</v>
      </c>
      <c r="V19" s="54" t="s">
        <v>623</v>
      </c>
      <c r="W19" s="53" t="s">
        <v>660</v>
      </c>
      <c r="X19" s="44" t="s">
        <v>661</v>
      </c>
      <c r="Y19" s="51">
        <v>45</v>
      </c>
      <c r="Z19" s="66" t="s">
        <v>619</v>
      </c>
      <c r="AA19" s="66"/>
      <c r="AB19" s="44" t="s">
        <v>589</v>
      </c>
      <c r="AC19" s="66" t="s">
        <v>579</v>
      </c>
      <c r="AD19" s="51" t="str">
        <f>"T"&amp;INT((MONTH(LTI_5[[#This Row],[FECHA]])-1)/3)+1</f>
        <v>T1</v>
      </c>
      <c r="AE19" s="50"/>
      <c r="AF19" s="39">
        <v>1</v>
      </c>
      <c r="AG19" s="73">
        <v>0.42708333333333331</v>
      </c>
      <c r="AH19" s="72">
        <v>45658</v>
      </c>
      <c r="AI19" s="72">
        <v>45747</v>
      </c>
      <c r="AJ19" s="72"/>
      <c r="AK19" s="72"/>
      <c r="AL19" s="129"/>
      <c r="AM19" s="129">
        <f>LTI_5[[#This Row],[FECHA]]-AH19</f>
        <v>63</v>
      </c>
      <c r="AN19" s="129">
        <f t="shared" si="0"/>
        <v>-63</v>
      </c>
      <c r="AP19" s="39" t="str">
        <f>"T"&amp;TRUNC((MONTH(LTI_5[[#This Row],[FECHA]]-1)/3)+1)</f>
        <v>T2</v>
      </c>
      <c r="AR19" s="65">
        <f>LTI_5[[#This Row],[FECHA]]-I18</f>
        <v>5</v>
      </c>
    </row>
    <row r="20" spans="2:44" ht="114" hidden="1" customHeight="1" x14ac:dyDescent="0.25">
      <c r="B20" s="60"/>
      <c r="C20" s="44" t="s">
        <v>662</v>
      </c>
      <c r="D20" s="44" t="s">
        <v>568</v>
      </c>
      <c r="E20" s="44" t="s">
        <v>581</v>
      </c>
      <c r="F20" s="44" t="s">
        <v>581</v>
      </c>
      <c r="G20" s="44" t="s">
        <v>663</v>
      </c>
      <c r="H20" s="44" t="s">
        <v>664</v>
      </c>
      <c r="I20" s="77">
        <v>45729</v>
      </c>
      <c r="J20" s="77"/>
      <c r="K20" s="54" t="s">
        <v>572</v>
      </c>
      <c r="L20" s="54" t="str">
        <f>TEXT(LTI_5[[#This Row],[FECHA]],"dddd")</f>
        <v>jueves</v>
      </c>
      <c r="M20" s="54"/>
      <c r="N20" s="54"/>
      <c r="O20" s="54"/>
      <c r="P20" s="54"/>
      <c r="Q20" s="54"/>
      <c r="R20" s="54"/>
      <c r="S20" s="63"/>
      <c r="T20" s="47"/>
      <c r="U20" s="44" t="s">
        <v>665</v>
      </c>
      <c r="V20" s="71" t="s">
        <v>574</v>
      </c>
      <c r="W20" s="53" t="s">
        <v>666</v>
      </c>
      <c r="X20" s="44" t="s">
        <v>667</v>
      </c>
      <c r="Y20" s="51">
        <v>30</v>
      </c>
      <c r="Z20" s="66" t="s">
        <v>668</v>
      </c>
      <c r="AA20" s="66"/>
      <c r="AB20" s="66" t="s">
        <v>657</v>
      </c>
      <c r="AC20" s="44" t="s">
        <v>607</v>
      </c>
      <c r="AD20" s="51" t="str">
        <f>"T"&amp;INT((MONTH(LTI_5[[#This Row],[FECHA]])-1)/3)+1</f>
        <v>T1</v>
      </c>
      <c r="AE20" s="50"/>
      <c r="AF20" s="39">
        <v>1</v>
      </c>
      <c r="AG20" s="73">
        <v>0.42430555555555555</v>
      </c>
      <c r="AH20" s="72">
        <v>45658</v>
      </c>
      <c r="AI20" s="72">
        <v>45747</v>
      </c>
      <c r="AJ20" s="72"/>
      <c r="AK20" s="72"/>
      <c r="AL20" s="129"/>
      <c r="AM20" s="129">
        <f>LTI_5[[#This Row],[FECHA]]-AH20</f>
        <v>71</v>
      </c>
      <c r="AN20" s="129">
        <f t="shared" si="0"/>
        <v>-71</v>
      </c>
      <c r="AP20" s="39" t="str">
        <f>"T"&amp;TRUNC((MONTH(LTI_5[[#This Row],[FECHA]]-1)/3)+1)</f>
        <v>T2</v>
      </c>
      <c r="AR20" s="65">
        <f>LTI_5[[#This Row],[FECHA]]-I19</f>
        <v>8</v>
      </c>
    </row>
    <row r="21" spans="2:44" ht="77.099999999999994" hidden="1" customHeight="1" x14ac:dyDescent="0.25">
      <c r="B21" s="60"/>
      <c r="C21" s="44" t="s">
        <v>580</v>
      </c>
      <c r="D21" s="44" t="s">
        <v>568</v>
      </c>
      <c r="E21" s="44" t="s">
        <v>569</v>
      </c>
      <c r="F21" s="44" t="s">
        <v>608</v>
      </c>
      <c r="G21" s="44" t="s">
        <v>626</v>
      </c>
      <c r="H21" s="44" t="s">
        <v>626</v>
      </c>
      <c r="I21" s="77">
        <v>45736</v>
      </c>
      <c r="J21" s="77"/>
      <c r="K21" s="54" t="s">
        <v>572</v>
      </c>
      <c r="L21" s="54" t="str">
        <f>TEXT(LTI_5[[#This Row],[FECHA]],"dddd")</f>
        <v>jueves</v>
      </c>
      <c r="M21" s="54"/>
      <c r="N21" s="54"/>
      <c r="O21" s="54"/>
      <c r="P21" s="54"/>
      <c r="Q21" s="54"/>
      <c r="R21" s="54"/>
      <c r="S21" s="63"/>
      <c r="T21" s="47"/>
      <c r="U21" s="44" t="s">
        <v>627</v>
      </c>
      <c r="V21" s="54" t="s">
        <v>623</v>
      </c>
      <c r="W21" s="53" t="s">
        <v>669</v>
      </c>
      <c r="X21" s="44" t="s">
        <v>667</v>
      </c>
      <c r="Y21" s="51">
        <v>32</v>
      </c>
      <c r="Z21" s="44" t="s">
        <v>577</v>
      </c>
      <c r="AA21" s="44"/>
      <c r="AB21" s="66" t="s">
        <v>633</v>
      </c>
      <c r="AC21" s="44" t="s">
        <v>607</v>
      </c>
      <c r="AD21" s="51" t="str">
        <f>"T"&amp;INT((MONTH(LTI_5[[#This Row],[FECHA]])-1)/3)+1</f>
        <v>T1</v>
      </c>
      <c r="AE21" s="50"/>
      <c r="AF21" s="39">
        <v>2</v>
      </c>
      <c r="AG21" s="73">
        <v>0.66666666666666663</v>
      </c>
      <c r="AH21" s="72">
        <v>45658</v>
      </c>
      <c r="AI21" s="72">
        <v>45747</v>
      </c>
      <c r="AJ21" s="72"/>
      <c r="AK21" s="72"/>
      <c r="AL21" s="129"/>
      <c r="AM21" s="129">
        <f>LTI_5[[#This Row],[FECHA]]-AH21</f>
        <v>78</v>
      </c>
      <c r="AN21" s="129">
        <f t="shared" si="0"/>
        <v>-78</v>
      </c>
      <c r="AP21" s="39" t="str">
        <f>"T"&amp;TRUNC((MONTH(LTI_5[[#This Row],[FECHA]]-1)/3)+1)</f>
        <v>T2</v>
      </c>
      <c r="AR21" s="65">
        <f>LTI_5[[#This Row],[FECHA]]-I20</f>
        <v>7</v>
      </c>
    </row>
    <row r="22" spans="2:44" ht="135.6" hidden="1" customHeight="1" x14ac:dyDescent="0.25">
      <c r="B22" s="60"/>
      <c r="C22" s="44" t="s">
        <v>580</v>
      </c>
      <c r="D22" s="44" t="s">
        <v>568</v>
      </c>
      <c r="E22" s="44" t="s">
        <v>569</v>
      </c>
      <c r="F22" s="44" t="s">
        <v>608</v>
      </c>
      <c r="G22" s="44" t="s">
        <v>670</v>
      </c>
      <c r="H22" s="44" t="s">
        <v>670</v>
      </c>
      <c r="I22" s="77">
        <v>45736</v>
      </c>
      <c r="J22" s="77"/>
      <c r="K22" s="54" t="s">
        <v>597</v>
      </c>
      <c r="L22" s="54" t="str">
        <f>TEXT(LTI_5[[#This Row],[FECHA]],"dddd")</f>
        <v>jueves</v>
      </c>
      <c r="M22" s="54"/>
      <c r="N22" s="54"/>
      <c r="O22" s="54"/>
      <c r="P22" s="54"/>
      <c r="Q22" s="54"/>
      <c r="R22" s="54"/>
      <c r="S22" s="63"/>
      <c r="T22" s="47"/>
      <c r="U22" s="44" t="s">
        <v>23</v>
      </c>
      <c r="V22" s="54" t="s">
        <v>599</v>
      </c>
      <c r="W22" s="53" t="s">
        <v>671</v>
      </c>
      <c r="X22" s="44" t="s">
        <v>26</v>
      </c>
      <c r="Y22" s="51">
        <v>10</v>
      </c>
      <c r="Z22" s="66" t="s">
        <v>619</v>
      </c>
      <c r="AA22" s="66"/>
      <c r="AB22" s="66" t="s">
        <v>672</v>
      </c>
      <c r="AC22" s="44" t="s">
        <v>607</v>
      </c>
      <c r="AD22" s="51" t="str">
        <f>"T"&amp;INT((MONTH(LTI_5[[#This Row],[FECHA]])-1)/3)+1</f>
        <v>T1</v>
      </c>
      <c r="AE22" s="50"/>
      <c r="AF22" s="39">
        <v>2</v>
      </c>
      <c r="AG22" s="73">
        <v>0.66666666666666663</v>
      </c>
      <c r="AH22" s="72">
        <v>45658</v>
      </c>
      <c r="AI22" s="72">
        <v>45747</v>
      </c>
      <c r="AJ22" s="72"/>
      <c r="AK22" s="72"/>
      <c r="AL22" s="129"/>
      <c r="AM22" s="129">
        <f>LTI_5[[#This Row],[FECHA]]-AH22</f>
        <v>78</v>
      </c>
      <c r="AN22" s="129">
        <f t="shared" si="0"/>
        <v>-78</v>
      </c>
      <c r="AP22" s="39" t="str">
        <f>"T"&amp;TRUNC((MONTH(LTI_5[[#This Row],[FECHA]]-1)/3)+1)</f>
        <v>T2</v>
      </c>
      <c r="AR22" s="65">
        <f>LTI_5[[#This Row],[FECHA]]-I21</f>
        <v>0</v>
      </c>
    </row>
    <row r="23" spans="2:44" ht="81.599999999999994" hidden="1" customHeight="1" x14ac:dyDescent="0.25">
      <c r="B23" s="60"/>
      <c r="C23" s="44" t="s">
        <v>580</v>
      </c>
      <c r="D23" s="44" t="s">
        <v>568</v>
      </c>
      <c r="E23" s="44" t="s">
        <v>569</v>
      </c>
      <c r="F23" s="44" t="s">
        <v>608</v>
      </c>
      <c r="G23" s="44" t="s">
        <v>670</v>
      </c>
      <c r="H23" s="44" t="s">
        <v>670</v>
      </c>
      <c r="I23" s="77">
        <v>45736</v>
      </c>
      <c r="J23" s="77"/>
      <c r="K23" s="54" t="s">
        <v>597</v>
      </c>
      <c r="L23" s="54" t="str">
        <f>TEXT(LTI_5[[#This Row],[FECHA]],"dddd")</f>
        <v>jueves</v>
      </c>
      <c r="M23" s="54"/>
      <c r="N23" s="54"/>
      <c r="O23" s="54"/>
      <c r="P23" s="54"/>
      <c r="Q23" s="54"/>
      <c r="R23" s="54"/>
      <c r="S23" s="63"/>
      <c r="T23" s="47"/>
      <c r="U23" s="44" t="s">
        <v>23</v>
      </c>
      <c r="V23" s="54" t="s">
        <v>599</v>
      </c>
      <c r="W23" s="53" t="s">
        <v>671</v>
      </c>
      <c r="X23" s="44" t="s">
        <v>26</v>
      </c>
      <c r="Y23" s="51">
        <v>5</v>
      </c>
      <c r="Z23" s="66" t="s">
        <v>619</v>
      </c>
      <c r="AA23" s="66"/>
      <c r="AB23" s="66" t="s">
        <v>672</v>
      </c>
      <c r="AC23" s="44" t="s">
        <v>607</v>
      </c>
      <c r="AD23" s="51" t="str">
        <f>"T"&amp;INT((MONTH(LTI_5[[#This Row],[FECHA]])-1)/3)+1</f>
        <v>T1</v>
      </c>
      <c r="AE23" s="50"/>
      <c r="AF23" s="39">
        <v>1</v>
      </c>
      <c r="AG23" s="73">
        <v>0.625</v>
      </c>
      <c r="AH23" s="72">
        <v>45658</v>
      </c>
      <c r="AI23" s="72">
        <v>45747</v>
      </c>
      <c r="AJ23" s="72"/>
      <c r="AK23" s="72"/>
      <c r="AL23" s="129"/>
      <c r="AM23" s="129">
        <f>LTI_5[[#This Row],[FECHA]]-AH23</f>
        <v>78</v>
      </c>
      <c r="AN23" s="129">
        <f t="shared" si="0"/>
        <v>-78</v>
      </c>
      <c r="AP23" s="39" t="str">
        <f>"T"&amp;TRUNC((MONTH(LTI_5[[#This Row],[FECHA]]-1)/3)+1)</f>
        <v>T2</v>
      </c>
      <c r="AR23" s="65">
        <f>LTI_5[[#This Row],[FECHA]]-I22</f>
        <v>0</v>
      </c>
    </row>
    <row r="24" spans="2:44" ht="92.1" hidden="1" customHeight="1" x14ac:dyDescent="0.25">
      <c r="B24" s="60"/>
      <c r="C24" s="44" t="s">
        <v>68</v>
      </c>
      <c r="D24" s="44" t="s">
        <v>568</v>
      </c>
      <c r="E24" s="44" t="s">
        <v>569</v>
      </c>
      <c r="F24" s="44" t="s">
        <v>570</v>
      </c>
      <c r="G24" s="44" t="s">
        <v>498</v>
      </c>
      <c r="H24" s="44" t="s">
        <v>673</v>
      </c>
      <c r="I24" s="77">
        <v>45737</v>
      </c>
      <c r="J24" s="77"/>
      <c r="K24" s="54" t="s">
        <v>572</v>
      </c>
      <c r="L24" s="54" t="str">
        <f>TEXT(LTI_5[[#This Row],[FECHA]],"dddd")</f>
        <v>viernes</v>
      </c>
      <c r="M24" s="54"/>
      <c r="N24" s="54"/>
      <c r="O24" s="54"/>
      <c r="P24" s="54"/>
      <c r="Q24" s="54"/>
      <c r="R24" s="54"/>
      <c r="S24" s="63"/>
      <c r="T24" s="47"/>
      <c r="U24" s="44" t="s">
        <v>674</v>
      </c>
      <c r="V24" s="54" t="s">
        <v>599</v>
      </c>
      <c r="W24" s="53" t="s">
        <v>675</v>
      </c>
      <c r="X24" s="44" t="s">
        <v>576</v>
      </c>
      <c r="Y24" s="51">
        <v>67</v>
      </c>
      <c r="Z24" s="44" t="s">
        <v>676</v>
      </c>
      <c r="AA24" s="44"/>
      <c r="AB24" s="66" t="s">
        <v>633</v>
      </c>
      <c r="AC24" s="66" t="s">
        <v>579</v>
      </c>
      <c r="AD24" s="51" t="str">
        <f>"T"&amp;INT((MONTH(LTI_5[[#This Row],[FECHA]])-1)/3)+1</f>
        <v>T1</v>
      </c>
      <c r="AE24" s="50"/>
      <c r="AF24" s="39">
        <v>1</v>
      </c>
      <c r="AG24" s="73">
        <v>0.56944444444444442</v>
      </c>
      <c r="AH24" s="72">
        <v>45658</v>
      </c>
      <c r="AI24" s="72">
        <v>45747</v>
      </c>
      <c r="AJ24" s="72"/>
      <c r="AK24" s="72"/>
      <c r="AL24" s="129"/>
      <c r="AM24" s="129">
        <f>LTI_5[[#This Row],[FECHA]]-AH24</f>
        <v>79</v>
      </c>
      <c r="AN24" s="129">
        <f t="shared" si="0"/>
        <v>-79</v>
      </c>
      <c r="AP24" s="39" t="str">
        <f>"T"&amp;TRUNC((MONTH(LTI_5[[#This Row],[FECHA]]-1)/3)+1)</f>
        <v>T2</v>
      </c>
      <c r="AR24" s="65">
        <f>LTI_5[[#This Row],[FECHA]]-I23</f>
        <v>1</v>
      </c>
    </row>
    <row r="25" spans="2:44" ht="76.349999999999994" hidden="1" customHeight="1" x14ac:dyDescent="0.25">
      <c r="B25" s="60"/>
      <c r="C25" s="44" t="s">
        <v>580</v>
      </c>
      <c r="D25" s="44" t="s">
        <v>568</v>
      </c>
      <c r="E25" s="44" t="s">
        <v>569</v>
      </c>
      <c r="F25" s="44" t="s">
        <v>608</v>
      </c>
      <c r="G25" s="44" t="s">
        <v>677</v>
      </c>
      <c r="H25" s="44" t="s">
        <v>677</v>
      </c>
      <c r="I25" s="77">
        <v>45743</v>
      </c>
      <c r="J25" s="77"/>
      <c r="K25" s="54" t="s">
        <v>572</v>
      </c>
      <c r="L25" s="54" t="str">
        <f>TEXT(LTI_5[[#This Row],[FECHA]],"dddd")</f>
        <v>jueves</v>
      </c>
      <c r="M25" s="54"/>
      <c r="N25" s="54"/>
      <c r="O25" s="54"/>
      <c r="P25" s="54"/>
      <c r="Q25" s="54"/>
      <c r="R25" s="54"/>
      <c r="S25" s="63"/>
      <c r="T25" s="47"/>
      <c r="U25" s="44" t="s">
        <v>627</v>
      </c>
      <c r="V25" s="54" t="s">
        <v>623</v>
      </c>
      <c r="W25" s="53" t="s">
        <v>678</v>
      </c>
      <c r="X25" s="44" t="s">
        <v>611</v>
      </c>
      <c r="Y25" s="51">
        <v>13</v>
      </c>
      <c r="Z25" s="44" t="s">
        <v>625</v>
      </c>
      <c r="AA25" s="44"/>
      <c r="AB25" s="44" t="s">
        <v>613</v>
      </c>
      <c r="AC25" s="44" t="s">
        <v>607</v>
      </c>
      <c r="AD25" s="51" t="str">
        <f>"T"&amp;INT((MONTH(LTI_5[[#This Row],[FECHA]])-1)/3)+1</f>
        <v>T1</v>
      </c>
      <c r="AE25" s="50"/>
      <c r="AF25" s="39">
        <v>1</v>
      </c>
      <c r="AG25" s="73">
        <v>0.61805555555555558</v>
      </c>
      <c r="AH25" s="72">
        <v>45658</v>
      </c>
      <c r="AI25" s="72">
        <v>45747</v>
      </c>
      <c r="AJ25" s="72"/>
      <c r="AK25" s="72"/>
      <c r="AL25" s="129"/>
      <c r="AM25" s="129">
        <f>LTI_5[[#This Row],[FECHA]]-AH25</f>
        <v>85</v>
      </c>
      <c r="AN25" s="129">
        <f t="shared" si="0"/>
        <v>-85</v>
      </c>
      <c r="AP25" s="39" t="str">
        <f>"T"&amp;TRUNC((MONTH(LTI_5[[#This Row],[FECHA]]-1)/3)+1)</f>
        <v>T2</v>
      </c>
      <c r="AR25" s="65">
        <f>LTI_5[[#This Row],[FECHA]]-I24</f>
        <v>6</v>
      </c>
    </row>
    <row r="26" spans="2:44" ht="90.6" hidden="1" customHeight="1" x14ac:dyDescent="0.25">
      <c r="B26" s="60"/>
      <c r="C26" s="44" t="s">
        <v>580</v>
      </c>
      <c r="D26" s="44" t="s">
        <v>568</v>
      </c>
      <c r="E26" s="44" t="s">
        <v>569</v>
      </c>
      <c r="F26" s="44" t="s">
        <v>608</v>
      </c>
      <c r="G26" s="44" t="s">
        <v>609</v>
      </c>
      <c r="H26" s="44" t="s">
        <v>609</v>
      </c>
      <c r="I26" s="47">
        <v>45751</v>
      </c>
      <c r="J26" s="47"/>
      <c r="K26" s="54" t="s">
        <v>572</v>
      </c>
      <c r="L26" s="54" t="str">
        <f>TEXT(LTI_5[[#This Row],[FECHA]],"dddd")</f>
        <v>viernes</v>
      </c>
      <c r="M26" s="54"/>
      <c r="N26" s="54"/>
      <c r="O26" s="54"/>
      <c r="P26" s="54"/>
      <c r="Q26" s="54"/>
      <c r="R26" s="54"/>
      <c r="S26" s="63"/>
      <c r="T26" s="47"/>
      <c r="U26" s="44" t="s">
        <v>23</v>
      </c>
      <c r="V26" s="54" t="s">
        <v>599</v>
      </c>
      <c r="W26" s="75" t="s">
        <v>679</v>
      </c>
      <c r="X26" s="44" t="s">
        <v>637</v>
      </c>
      <c r="Y26" s="51">
        <v>7</v>
      </c>
      <c r="Z26" s="66" t="s">
        <v>638</v>
      </c>
      <c r="AA26" s="66"/>
      <c r="AB26" s="66" t="s">
        <v>578</v>
      </c>
      <c r="AC26" s="66" t="s">
        <v>579</v>
      </c>
      <c r="AD26" s="51" t="str">
        <f>"T"&amp;INT((MONTH(LTI_5[[#This Row],[FECHA]])-1)/3)+1</f>
        <v>T2</v>
      </c>
      <c r="AE26" s="50"/>
      <c r="AF26" s="39">
        <v>1</v>
      </c>
      <c r="AG26" s="73">
        <v>0.59375</v>
      </c>
      <c r="AH26" s="72">
        <v>45658</v>
      </c>
      <c r="AI26" s="72">
        <v>45747</v>
      </c>
      <c r="AJ26" s="72">
        <v>45748</v>
      </c>
      <c r="AK26" s="72">
        <v>45838</v>
      </c>
      <c r="AM26" s="129">
        <f>AK26-LTI_5[[#This Row],[FECHA]]</f>
        <v>87</v>
      </c>
      <c r="AP26" s="39" t="str">
        <f>"T"&amp;TRUNC((MONTH(LTI_5[[#This Row],[FECHA]]-1)/3)+1)</f>
        <v>T2</v>
      </c>
      <c r="AR26" s="65">
        <f>LTI_5[[#This Row],[FECHA]]-I25</f>
        <v>8</v>
      </c>
    </row>
    <row r="27" spans="2:44" ht="104.85" hidden="1" customHeight="1" x14ac:dyDescent="0.25">
      <c r="B27" s="60"/>
      <c r="C27" s="44" t="s">
        <v>580</v>
      </c>
      <c r="D27" s="44" t="s">
        <v>568</v>
      </c>
      <c r="E27" s="44" t="s">
        <v>595</v>
      </c>
      <c r="F27" s="44" t="s">
        <v>680</v>
      </c>
      <c r="G27" s="44" t="s">
        <v>609</v>
      </c>
      <c r="H27" s="44" t="s">
        <v>609</v>
      </c>
      <c r="I27" s="47">
        <v>45754</v>
      </c>
      <c r="J27" s="47"/>
      <c r="K27" s="54" t="s">
        <v>572</v>
      </c>
      <c r="L27" s="54" t="str">
        <f>TEXT(LTI_5[[#This Row],[FECHA]],"dddd")</f>
        <v>lunes</v>
      </c>
      <c r="M27" s="54"/>
      <c r="N27" s="54"/>
      <c r="O27" s="54"/>
      <c r="P27" s="54"/>
      <c r="Q27" s="54"/>
      <c r="R27" s="54"/>
      <c r="S27" s="63"/>
      <c r="T27" s="47"/>
      <c r="U27" s="44" t="s">
        <v>590</v>
      </c>
      <c r="V27" s="54" t="s">
        <v>591</v>
      </c>
      <c r="W27" s="75" t="s">
        <v>681</v>
      </c>
      <c r="X27" s="66" t="s">
        <v>644</v>
      </c>
      <c r="Y27" s="51">
        <v>87</v>
      </c>
      <c r="Z27" s="66" t="s">
        <v>682</v>
      </c>
      <c r="AA27" s="66"/>
      <c r="AB27" s="66" t="s">
        <v>578</v>
      </c>
      <c r="AC27" s="66" t="s">
        <v>579</v>
      </c>
      <c r="AD27" s="51" t="str">
        <f>"T"&amp;INT((MONTH(LTI_5[[#This Row],[FECHA]])-1)/3)+1</f>
        <v>T2</v>
      </c>
      <c r="AE27" s="50"/>
      <c r="AF27" s="76">
        <v>1</v>
      </c>
      <c r="AG27" s="76"/>
      <c r="AH27" s="72">
        <v>45658</v>
      </c>
      <c r="AI27" s="72">
        <v>45747</v>
      </c>
      <c r="AJ27" s="72">
        <v>45748</v>
      </c>
      <c r="AK27" s="72">
        <v>45838</v>
      </c>
      <c r="AM27" s="129">
        <f>AK27-LTI_5[[#This Row],[FECHA]]</f>
        <v>84</v>
      </c>
      <c r="AP27" s="39" t="str">
        <f>"T"&amp;TRUNC((MONTH(LTI_5[[#This Row],[FECHA]]-1)/3)+1)</f>
        <v>T2</v>
      </c>
      <c r="AR27" s="65">
        <f>LTI_5[[#This Row],[FECHA]]-I26</f>
        <v>3</v>
      </c>
    </row>
    <row r="28" spans="2:44" ht="111.6" hidden="1" customHeight="1" x14ac:dyDescent="0.25">
      <c r="B28" s="60"/>
      <c r="C28" s="44" t="s">
        <v>580</v>
      </c>
      <c r="D28" s="44" t="s">
        <v>568</v>
      </c>
      <c r="E28" s="44" t="s">
        <v>569</v>
      </c>
      <c r="F28" s="44" t="s">
        <v>608</v>
      </c>
      <c r="G28" s="44" t="s">
        <v>609</v>
      </c>
      <c r="H28" s="44" t="s">
        <v>609</v>
      </c>
      <c r="I28" s="47">
        <v>45756</v>
      </c>
      <c r="J28" s="47"/>
      <c r="K28" s="54" t="s">
        <v>572</v>
      </c>
      <c r="L28" s="54" t="str">
        <f>TEXT(LTI_5[[#This Row],[FECHA]],"dddd")</f>
        <v>miércoles</v>
      </c>
      <c r="M28" s="54"/>
      <c r="N28" s="54"/>
      <c r="O28" s="54"/>
      <c r="P28" s="54"/>
      <c r="Q28" s="54"/>
      <c r="R28" s="54"/>
      <c r="S28" s="63"/>
      <c r="T28" s="47"/>
      <c r="U28" s="44" t="s">
        <v>23</v>
      </c>
      <c r="V28" s="54" t="s">
        <v>599</v>
      </c>
      <c r="W28" s="53" t="s">
        <v>683</v>
      </c>
      <c r="X28" s="44" t="s">
        <v>618</v>
      </c>
      <c r="Y28" s="51">
        <v>30</v>
      </c>
      <c r="Z28" s="66" t="s">
        <v>619</v>
      </c>
      <c r="AA28" s="66"/>
      <c r="AB28" s="66" t="s">
        <v>684</v>
      </c>
      <c r="AC28" s="44" t="s">
        <v>607</v>
      </c>
      <c r="AD28" s="51" t="str">
        <f>"T"&amp;INT((MONTH(LTI_5[[#This Row],[FECHA]])-1)/3)+1</f>
        <v>T2</v>
      </c>
      <c r="AE28" s="50"/>
      <c r="AF28" s="39">
        <v>1</v>
      </c>
      <c r="AG28" s="73">
        <v>0.33680555555555558</v>
      </c>
      <c r="AH28" s="72">
        <v>45658</v>
      </c>
      <c r="AI28" s="72">
        <v>45747</v>
      </c>
      <c r="AJ28" s="72">
        <v>45748</v>
      </c>
      <c r="AK28" s="72">
        <v>45838</v>
      </c>
      <c r="AM28" s="129">
        <f>AK28-LTI_5[[#This Row],[FECHA]]</f>
        <v>82</v>
      </c>
      <c r="AP28" s="39" t="str">
        <f>"T"&amp;TRUNC((MONTH(LTI_5[[#This Row],[FECHA]]-1)/3)+1)</f>
        <v>T2</v>
      </c>
      <c r="AR28" s="65">
        <f>LTI_5[[#This Row],[FECHA]]-I27</f>
        <v>2</v>
      </c>
    </row>
    <row r="29" spans="2:44" ht="107.85" hidden="1" customHeight="1" x14ac:dyDescent="0.25">
      <c r="B29" s="60"/>
      <c r="C29" s="44" t="s">
        <v>580</v>
      </c>
      <c r="D29" s="44" t="s">
        <v>568</v>
      </c>
      <c r="E29" s="44" t="s">
        <v>569</v>
      </c>
      <c r="F29" s="44" t="s">
        <v>608</v>
      </c>
      <c r="G29" s="44" t="s">
        <v>609</v>
      </c>
      <c r="H29" s="44" t="s">
        <v>609</v>
      </c>
      <c r="I29" s="47">
        <v>45756</v>
      </c>
      <c r="J29" s="47"/>
      <c r="K29" s="54" t="s">
        <v>572</v>
      </c>
      <c r="L29" s="54" t="str">
        <f>TEXT(LTI_5[[#This Row],[FECHA]],"dddd")</f>
        <v>miércoles</v>
      </c>
      <c r="M29" s="54"/>
      <c r="N29" s="54"/>
      <c r="O29" s="54"/>
      <c r="P29" s="54"/>
      <c r="Q29" s="54"/>
      <c r="R29" s="54"/>
      <c r="S29" s="63"/>
      <c r="T29" s="47"/>
      <c r="U29" s="44" t="s">
        <v>23</v>
      </c>
      <c r="V29" s="54" t="s">
        <v>599</v>
      </c>
      <c r="W29" s="75" t="s">
        <v>683</v>
      </c>
      <c r="X29" s="66" t="s">
        <v>618</v>
      </c>
      <c r="Y29" s="51">
        <v>16</v>
      </c>
      <c r="Z29" s="66" t="s">
        <v>619</v>
      </c>
      <c r="AA29" s="66"/>
      <c r="AB29" s="66" t="s">
        <v>684</v>
      </c>
      <c r="AC29" s="44" t="s">
        <v>607</v>
      </c>
      <c r="AD29" s="51" t="str">
        <f>"T"&amp;INT((MONTH(LTI_5[[#This Row],[FECHA]])-1)/3)+1</f>
        <v>T2</v>
      </c>
      <c r="AE29" s="50"/>
      <c r="AF29" s="39">
        <v>1</v>
      </c>
      <c r="AG29" s="73">
        <v>0.33680555555555558</v>
      </c>
      <c r="AH29" s="72">
        <v>45658</v>
      </c>
      <c r="AI29" s="72">
        <v>45747</v>
      </c>
      <c r="AJ29" s="72">
        <v>45748</v>
      </c>
      <c r="AK29" s="72">
        <v>45838</v>
      </c>
      <c r="AM29" s="129">
        <f>AK29-LTI_5[[#This Row],[FECHA]]</f>
        <v>82</v>
      </c>
      <c r="AP29" s="39" t="str">
        <f>"T"&amp;TRUNC((MONTH(LTI_5[[#This Row],[FECHA]]-1)/3)+1)</f>
        <v>T2</v>
      </c>
      <c r="AR29" s="65">
        <f>LTI_5[[#This Row],[FECHA]]-I28</f>
        <v>0</v>
      </c>
    </row>
    <row r="30" spans="2:44" ht="84" hidden="1" customHeight="1" x14ac:dyDescent="0.25">
      <c r="B30" s="60"/>
      <c r="C30" s="44" t="s">
        <v>580</v>
      </c>
      <c r="D30" s="44" t="s">
        <v>568</v>
      </c>
      <c r="E30" s="44" t="s">
        <v>569</v>
      </c>
      <c r="F30" s="44" t="s">
        <v>608</v>
      </c>
      <c r="G30" s="44" t="s">
        <v>455</v>
      </c>
      <c r="H30" s="44" t="s">
        <v>621</v>
      </c>
      <c r="I30" s="47">
        <v>45764</v>
      </c>
      <c r="J30" s="47"/>
      <c r="K30" s="54" t="s">
        <v>597</v>
      </c>
      <c r="L30" s="54" t="str">
        <f>TEXT(LTI_5[[#This Row],[FECHA]],"dddd")</f>
        <v>jueves</v>
      </c>
      <c r="M30" s="54"/>
      <c r="N30" s="54"/>
      <c r="O30" s="54"/>
      <c r="P30" s="54"/>
      <c r="Q30" s="54"/>
      <c r="R30" s="54"/>
      <c r="S30" s="63"/>
      <c r="T30" s="47"/>
      <c r="U30" s="44" t="s">
        <v>627</v>
      </c>
      <c r="V30" s="54" t="s">
        <v>623</v>
      </c>
      <c r="W30" s="53" t="s">
        <v>685</v>
      </c>
      <c r="X30" s="44" t="s">
        <v>601</v>
      </c>
      <c r="Y30" s="51">
        <v>13</v>
      </c>
      <c r="Z30" s="66" t="s">
        <v>686</v>
      </c>
      <c r="AA30" s="66"/>
      <c r="AB30" s="66" t="s">
        <v>578</v>
      </c>
      <c r="AC30" s="44" t="s">
        <v>579</v>
      </c>
      <c r="AD30" s="51" t="str">
        <f>"T"&amp;INT((MONTH(LTI_5[[#This Row],[FECHA]])-1)/3)+1</f>
        <v>T2</v>
      </c>
      <c r="AE30" s="50"/>
      <c r="AF30" s="39">
        <v>2</v>
      </c>
      <c r="AG30" s="73">
        <v>0.82291666666666663</v>
      </c>
      <c r="AH30" s="72">
        <v>45658</v>
      </c>
      <c r="AI30" s="72">
        <v>45747</v>
      </c>
      <c r="AJ30" s="72">
        <v>45748</v>
      </c>
      <c r="AK30" s="72">
        <v>45838</v>
      </c>
      <c r="AM30" s="129">
        <f>AK30-LTI_5[[#This Row],[FECHA]]</f>
        <v>74</v>
      </c>
      <c r="AP30" s="39" t="str">
        <f>"T"&amp;TRUNC((MONTH(LTI_5[[#This Row],[FECHA]]-1)/3)+1)</f>
        <v>T2</v>
      </c>
      <c r="AR30" s="65">
        <f>LTI_5[[#This Row],[FECHA]]-I29</f>
        <v>8</v>
      </c>
    </row>
    <row r="31" spans="2:44" ht="90" hidden="1" x14ac:dyDescent="0.25">
      <c r="B31" s="60"/>
      <c r="C31" s="44" t="s">
        <v>567</v>
      </c>
      <c r="D31" s="44" t="s">
        <v>568</v>
      </c>
      <c r="E31" s="44" t="s">
        <v>569</v>
      </c>
      <c r="F31" s="44" t="s">
        <v>646</v>
      </c>
      <c r="G31" s="44" t="s">
        <v>647</v>
      </c>
      <c r="H31" s="44" t="s">
        <v>648</v>
      </c>
      <c r="I31" s="47">
        <v>45783</v>
      </c>
      <c r="J31" s="47"/>
      <c r="K31" s="54" t="s">
        <v>572</v>
      </c>
      <c r="L31" s="54" t="str">
        <f>TEXT(LTI_5[[#This Row],[FECHA]],"dddd")</f>
        <v>martes</v>
      </c>
      <c r="M31" s="54"/>
      <c r="N31" s="54"/>
      <c r="O31" s="54"/>
      <c r="P31" s="54"/>
      <c r="Q31" s="54"/>
      <c r="R31" s="54"/>
      <c r="S31" s="63"/>
      <c r="T31" s="47"/>
      <c r="U31" s="44" t="s">
        <v>598</v>
      </c>
      <c r="V31" s="54" t="s">
        <v>599</v>
      </c>
      <c r="W31" s="53" t="s">
        <v>687</v>
      </c>
      <c r="X31" s="44" t="s">
        <v>637</v>
      </c>
      <c r="Y31" s="51">
        <v>12</v>
      </c>
      <c r="Z31" s="66" t="s">
        <v>638</v>
      </c>
      <c r="AA31" s="66"/>
      <c r="AB31" s="66" t="s">
        <v>589</v>
      </c>
      <c r="AC31" s="44" t="s">
        <v>579</v>
      </c>
      <c r="AD31" s="51" t="str">
        <f>"T"&amp;INT((MONTH(LTI_5[[#This Row],[FECHA]])-1)/3)+1</f>
        <v>T2</v>
      </c>
      <c r="AE31" s="50"/>
      <c r="AF31" s="39">
        <v>1</v>
      </c>
      <c r="AG31" s="73">
        <v>0.44791666666666669</v>
      </c>
      <c r="AH31" s="72">
        <v>45658</v>
      </c>
      <c r="AI31" s="72">
        <v>45747</v>
      </c>
      <c r="AJ31" s="72">
        <v>45748</v>
      </c>
      <c r="AK31" s="72">
        <v>45838</v>
      </c>
      <c r="AM31" s="129">
        <f>AK31-LTI_5[[#This Row],[FECHA]]</f>
        <v>55</v>
      </c>
      <c r="AP31" s="39" t="str">
        <f>"T"&amp;TRUNC((MONTH(LTI_5[[#This Row],[FECHA]]-1)/3)+1)</f>
        <v>T2</v>
      </c>
      <c r="AR31" s="70">
        <f>LTI_5[[#This Row],[FECHA]]-I30</f>
        <v>19</v>
      </c>
    </row>
    <row r="32" spans="2:44" ht="90" hidden="1" x14ac:dyDescent="0.25">
      <c r="B32" s="60"/>
      <c r="C32" s="44" t="s">
        <v>567</v>
      </c>
      <c r="D32" s="44" t="s">
        <v>568</v>
      </c>
      <c r="E32" s="44" t="s">
        <v>595</v>
      </c>
      <c r="F32" s="44" t="s">
        <v>688</v>
      </c>
      <c r="G32" s="44" t="s">
        <v>689</v>
      </c>
      <c r="H32" s="44" t="s">
        <v>689</v>
      </c>
      <c r="I32" s="47">
        <v>45784</v>
      </c>
      <c r="J32" s="47"/>
      <c r="K32" s="54" t="s">
        <v>572</v>
      </c>
      <c r="L32" s="54" t="str">
        <f>TEXT(LTI_5[[#This Row],[FECHA]],"dddd")</f>
        <v>miércoles</v>
      </c>
      <c r="M32" s="54"/>
      <c r="N32" s="54"/>
      <c r="O32" s="54"/>
      <c r="P32" s="54"/>
      <c r="Q32" s="54"/>
      <c r="R32" s="54"/>
      <c r="S32" s="63"/>
      <c r="T32" s="47"/>
      <c r="U32" s="44" t="s">
        <v>690</v>
      </c>
      <c r="V32" s="54" t="s">
        <v>574</v>
      </c>
      <c r="W32" s="53" t="s">
        <v>691</v>
      </c>
      <c r="X32" s="44" t="s">
        <v>692</v>
      </c>
      <c r="Y32" s="51">
        <v>1</v>
      </c>
      <c r="Z32" s="66" t="s">
        <v>693</v>
      </c>
      <c r="AA32" s="66"/>
      <c r="AB32" s="66" t="s">
        <v>578</v>
      </c>
      <c r="AC32" s="44" t="s">
        <v>579</v>
      </c>
      <c r="AD32" s="51" t="str">
        <f>"T"&amp;INT((MONTH(LTI_5[[#This Row],[FECHA]])-1)/3)+1</f>
        <v>T2</v>
      </c>
      <c r="AE32" s="50"/>
      <c r="AF32" s="39">
        <v>1</v>
      </c>
      <c r="AG32" s="73">
        <v>0.4861111111111111</v>
      </c>
      <c r="AH32" s="72">
        <v>45658</v>
      </c>
      <c r="AI32" s="72">
        <v>45747</v>
      </c>
      <c r="AJ32" s="72">
        <v>45748</v>
      </c>
      <c r="AK32" s="72">
        <v>45838</v>
      </c>
      <c r="AM32" s="129">
        <f>AK32-LTI_5[[#This Row],[FECHA]]</f>
        <v>54</v>
      </c>
      <c r="AP32" s="39" t="str">
        <f>"T"&amp;TRUNC((MONTH(LTI_5[[#This Row],[FECHA]]-1)/3)+1)</f>
        <v>T2</v>
      </c>
      <c r="AR32" s="65">
        <f>LTI_5[[#This Row],[FECHA]]-I31</f>
        <v>1</v>
      </c>
    </row>
    <row r="33" spans="2:44" ht="209.1" hidden="1" customHeight="1" x14ac:dyDescent="0.25">
      <c r="B33" s="60"/>
      <c r="C33" s="44" t="s">
        <v>567</v>
      </c>
      <c r="D33" s="44" t="s">
        <v>568</v>
      </c>
      <c r="E33" s="44" t="s">
        <v>581</v>
      </c>
      <c r="F33" s="44" t="s">
        <v>694</v>
      </c>
      <c r="G33" s="44" t="s">
        <v>694</v>
      </c>
      <c r="H33" s="44" t="s">
        <v>695</v>
      </c>
      <c r="I33" s="47">
        <v>45785</v>
      </c>
      <c r="J33" s="47"/>
      <c r="K33" s="54" t="s">
        <v>572</v>
      </c>
      <c r="L33" s="54" t="str">
        <f>TEXT(LTI_5[[#This Row],[FECHA]],"dddd")</f>
        <v>jueves</v>
      </c>
      <c r="M33" s="54"/>
      <c r="N33" s="54"/>
      <c r="O33" s="54"/>
      <c r="P33" s="54"/>
      <c r="Q33" s="54"/>
      <c r="R33" s="54"/>
      <c r="S33" s="63"/>
      <c r="T33" s="47"/>
      <c r="U33" s="44" t="s">
        <v>696</v>
      </c>
      <c r="V33" s="71" t="s">
        <v>574</v>
      </c>
      <c r="W33" s="53" t="s">
        <v>697</v>
      </c>
      <c r="X33" s="44" t="s">
        <v>661</v>
      </c>
      <c r="Y33" s="51">
        <v>17</v>
      </c>
      <c r="Z33" s="66" t="s">
        <v>668</v>
      </c>
      <c r="AA33" s="66"/>
      <c r="AB33" s="66" t="s">
        <v>698</v>
      </c>
      <c r="AC33" s="44" t="s">
        <v>579</v>
      </c>
      <c r="AD33" s="51" t="str">
        <f>"T"&amp;INT((MONTH(LTI_5[[#This Row],[FECHA]])-1)/3)+1</f>
        <v>T2</v>
      </c>
      <c r="AE33" s="50"/>
      <c r="AF33" s="39">
        <v>1</v>
      </c>
      <c r="AG33" s="73">
        <v>0.4152777777777778</v>
      </c>
      <c r="AH33" s="72">
        <v>45658</v>
      </c>
      <c r="AI33" s="72">
        <v>45747</v>
      </c>
      <c r="AJ33" s="72">
        <v>45748</v>
      </c>
      <c r="AK33" s="72">
        <v>45838</v>
      </c>
      <c r="AM33" s="129">
        <f>AK33-LTI_5[[#This Row],[FECHA]]</f>
        <v>53</v>
      </c>
      <c r="AP33" s="39" t="str">
        <f>"T"&amp;TRUNC((MONTH(LTI_5[[#This Row],[FECHA]]-1)/3)+1)</f>
        <v>T2</v>
      </c>
      <c r="AR33" s="65">
        <f>LTI_5[[#This Row],[FECHA]]-I32</f>
        <v>1</v>
      </c>
    </row>
    <row r="34" spans="2:44" ht="159.6" hidden="1" customHeight="1" x14ac:dyDescent="0.25">
      <c r="B34" s="60"/>
      <c r="C34" s="44" t="s">
        <v>68</v>
      </c>
      <c r="D34" s="44" t="s">
        <v>568</v>
      </c>
      <c r="E34" s="44" t="s">
        <v>569</v>
      </c>
      <c r="F34" s="44" t="s">
        <v>570</v>
      </c>
      <c r="G34" s="44" t="s">
        <v>699</v>
      </c>
      <c r="H34" s="44" t="s">
        <v>673</v>
      </c>
      <c r="I34" s="47">
        <v>45785</v>
      </c>
      <c r="J34" s="47"/>
      <c r="K34" s="54" t="s">
        <v>597</v>
      </c>
      <c r="L34" s="54" t="str">
        <f>TEXT(LTI_5[[#This Row],[FECHA]],"dddd")</f>
        <v>jueves</v>
      </c>
      <c r="M34" s="54"/>
      <c r="N34" s="54"/>
      <c r="O34" s="54"/>
      <c r="P34" s="54"/>
      <c r="Q34" s="54"/>
      <c r="R34" s="54"/>
      <c r="S34" s="63"/>
      <c r="T34" s="47"/>
      <c r="U34" s="44" t="s">
        <v>68</v>
      </c>
      <c r="V34" s="54" t="s">
        <v>599</v>
      </c>
      <c r="W34" s="53" t="s">
        <v>700</v>
      </c>
      <c r="X34" s="44" t="s">
        <v>701</v>
      </c>
      <c r="Y34" s="51">
        <v>4</v>
      </c>
      <c r="Z34" s="51" t="s">
        <v>702</v>
      </c>
      <c r="AA34" s="51"/>
      <c r="AB34" s="66" t="s">
        <v>578</v>
      </c>
      <c r="AC34" s="44" t="s">
        <v>579</v>
      </c>
      <c r="AD34" s="51" t="str">
        <f>"T"&amp;INT((MONTH(LTI_5[[#This Row],[FECHA]])-1)/3)+1</f>
        <v>T2</v>
      </c>
      <c r="AE34" s="50"/>
      <c r="AF34" s="39">
        <v>2</v>
      </c>
      <c r="AG34" s="73">
        <v>0.69444444444444442</v>
      </c>
      <c r="AH34" s="72">
        <v>45658</v>
      </c>
      <c r="AI34" s="72">
        <v>45747</v>
      </c>
      <c r="AJ34" s="72">
        <v>45748</v>
      </c>
      <c r="AK34" s="72">
        <v>45838</v>
      </c>
      <c r="AM34" s="129">
        <f>AK34-LTI_5[[#This Row],[FECHA]]</f>
        <v>53</v>
      </c>
      <c r="AP34" s="39" t="str">
        <f>"T"&amp;TRUNC((MONTH(LTI_5[[#This Row],[FECHA]]-1)/3)+1)</f>
        <v>T2</v>
      </c>
      <c r="AR34" s="65">
        <f>LTI_5[[#This Row],[FECHA]]-I33</f>
        <v>0</v>
      </c>
    </row>
    <row r="35" spans="2:44" ht="90" hidden="1" x14ac:dyDescent="0.25">
      <c r="B35" s="60"/>
      <c r="C35" s="44" t="s">
        <v>580</v>
      </c>
      <c r="D35" s="44" t="s">
        <v>568</v>
      </c>
      <c r="E35" s="44" t="s">
        <v>569</v>
      </c>
      <c r="F35" s="44" t="s">
        <v>608</v>
      </c>
      <c r="G35" s="44" t="s">
        <v>626</v>
      </c>
      <c r="H35" s="44" t="s">
        <v>626</v>
      </c>
      <c r="I35" s="47">
        <v>45786</v>
      </c>
      <c r="J35" s="47"/>
      <c r="K35" s="54" t="s">
        <v>572</v>
      </c>
      <c r="L35" s="54" t="str">
        <f>TEXT(LTI_5[[#This Row],[FECHA]],"dddd")</f>
        <v>viernes</v>
      </c>
      <c r="M35" s="54"/>
      <c r="N35" s="54"/>
      <c r="O35" s="54"/>
      <c r="P35" s="54"/>
      <c r="Q35" s="54"/>
      <c r="R35" s="54"/>
      <c r="S35" s="63"/>
      <c r="T35" s="47"/>
      <c r="U35" s="44" t="s">
        <v>23</v>
      </c>
      <c r="V35" s="54" t="s">
        <v>599</v>
      </c>
      <c r="W35" s="53" t="s">
        <v>703</v>
      </c>
      <c r="X35" s="44" t="s">
        <v>637</v>
      </c>
      <c r="Y35" s="51">
        <v>54</v>
      </c>
      <c r="Z35" s="66" t="s">
        <v>577</v>
      </c>
      <c r="AA35" s="66"/>
      <c r="AB35" s="66" t="s">
        <v>633</v>
      </c>
      <c r="AC35" s="44" t="s">
        <v>579</v>
      </c>
      <c r="AD35" s="51" t="str">
        <f>"T"&amp;INT((MONTH(LTI_5[[#This Row],[FECHA]])-1)/3)+1</f>
        <v>T2</v>
      </c>
      <c r="AE35" s="50"/>
      <c r="AF35" s="39">
        <v>1</v>
      </c>
      <c r="AG35" s="73">
        <v>0.44791666666666669</v>
      </c>
      <c r="AH35" s="72">
        <v>45658</v>
      </c>
      <c r="AI35" s="72">
        <v>45747</v>
      </c>
      <c r="AJ35" s="72">
        <v>45748</v>
      </c>
      <c r="AK35" s="72">
        <v>45838</v>
      </c>
      <c r="AM35" s="129">
        <f>AK35-LTI_5[[#This Row],[FECHA]]</f>
        <v>52</v>
      </c>
      <c r="AP35" s="39" t="str">
        <f>"T"&amp;TRUNC((MONTH(LTI_5[[#This Row],[FECHA]]-1)/3)+1)</f>
        <v>T2</v>
      </c>
      <c r="AR35" s="65">
        <f>LTI_5[[#This Row],[FECHA]]-I34</f>
        <v>1</v>
      </c>
    </row>
    <row r="36" spans="2:44" ht="60" hidden="1" x14ac:dyDescent="0.25">
      <c r="B36" s="60"/>
      <c r="C36" s="44" t="s">
        <v>567</v>
      </c>
      <c r="D36" s="44" t="s">
        <v>568</v>
      </c>
      <c r="E36" s="44" t="s">
        <v>581</v>
      </c>
      <c r="F36" s="44" t="s">
        <v>634</v>
      </c>
      <c r="G36" s="44" t="s">
        <v>635</v>
      </c>
      <c r="H36" s="44" t="s">
        <v>635</v>
      </c>
      <c r="I36" s="47">
        <v>45792</v>
      </c>
      <c r="J36" s="47"/>
      <c r="K36" s="71" t="s">
        <v>572</v>
      </c>
      <c r="L36" s="71" t="str">
        <f>TEXT(LTI_5[[#This Row],[FECHA]],"dddd")</f>
        <v>jueves</v>
      </c>
      <c r="M36" s="71"/>
      <c r="N36" s="71"/>
      <c r="O36" s="71"/>
      <c r="P36" s="71"/>
      <c r="Q36" s="71"/>
      <c r="R36" s="71"/>
      <c r="S36" s="63"/>
      <c r="T36" s="47"/>
      <c r="U36" s="44" t="s">
        <v>598</v>
      </c>
      <c r="V36" s="71" t="s">
        <v>599</v>
      </c>
      <c r="W36" s="53" t="s">
        <v>704</v>
      </c>
      <c r="X36" s="44" t="s">
        <v>637</v>
      </c>
      <c r="Y36" s="51">
        <v>1</v>
      </c>
      <c r="Z36" s="51" t="s">
        <v>638</v>
      </c>
      <c r="AA36" s="51"/>
      <c r="AB36" s="66" t="s">
        <v>705</v>
      </c>
      <c r="AC36" s="44" t="s">
        <v>607</v>
      </c>
      <c r="AD36" s="51" t="str">
        <f>"T"&amp;INT((MONTH(LTI_5[[#This Row],[FECHA]])-1)/3)+1</f>
        <v>T2</v>
      </c>
      <c r="AE36" s="50"/>
      <c r="AH36" s="72">
        <v>45658</v>
      </c>
      <c r="AI36" s="72">
        <v>45747</v>
      </c>
      <c r="AJ36" s="72">
        <v>45748</v>
      </c>
      <c r="AK36" s="72">
        <v>45838</v>
      </c>
      <c r="AM36" s="129">
        <f>AK36-LTI_5[[#This Row],[FECHA]]</f>
        <v>46</v>
      </c>
      <c r="AN36" s="129"/>
      <c r="AP36" s="39" t="str">
        <f>"T"&amp;TRUNC((MONTH(LTI_5[[#This Row],[FECHA]]-1)/3)+1)</f>
        <v>T2</v>
      </c>
      <c r="AR36" s="65">
        <f>LTI_5[[#This Row],[FECHA]]-I35</f>
        <v>6</v>
      </c>
    </row>
    <row r="37" spans="2:44" ht="75" hidden="1" x14ac:dyDescent="0.25">
      <c r="B37" s="60"/>
      <c r="C37" s="44" t="s">
        <v>567</v>
      </c>
      <c r="D37" s="44" t="s">
        <v>568</v>
      </c>
      <c r="E37" s="44" t="s">
        <v>569</v>
      </c>
      <c r="F37" s="44" t="s">
        <v>614</v>
      </c>
      <c r="G37" s="44" t="s">
        <v>333</v>
      </c>
      <c r="H37" s="44" t="s">
        <v>111</v>
      </c>
      <c r="I37" s="47">
        <v>45794</v>
      </c>
      <c r="J37" s="47"/>
      <c r="K37" s="54" t="s">
        <v>597</v>
      </c>
      <c r="L37" s="54" t="str">
        <f>TEXT(LTI_5[[#This Row],[FECHA]],"dddd")</f>
        <v>sábado</v>
      </c>
      <c r="M37" s="54"/>
      <c r="N37" s="54"/>
      <c r="O37" s="54"/>
      <c r="P37" s="54"/>
      <c r="Q37" s="54"/>
      <c r="R37" s="54"/>
      <c r="S37" s="63"/>
      <c r="T37" s="47"/>
      <c r="U37" s="44" t="s">
        <v>598</v>
      </c>
      <c r="V37" s="54" t="s">
        <v>599</v>
      </c>
      <c r="W37" s="53" t="s">
        <v>706</v>
      </c>
      <c r="X37" s="44" t="s">
        <v>661</v>
      </c>
      <c r="Y37" s="51">
        <v>16</v>
      </c>
      <c r="Z37" s="66" t="s">
        <v>707</v>
      </c>
      <c r="AA37" s="66"/>
      <c r="AB37" s="66" t="s">
        <v>708</v>
      </c>
      <c r="AC37" s="44" t="s">
        <v>607</v>
      </c>
      <c r="AD37" s="51" t="str">
        <f>"T"&amp;INT((MONTH(LTI_5[[#This Row],[FECHA]])-1)/3)+1</f>
        <v>T2</v>
      </c>
      <c r="AE37" s="50"/>
      <c r="AF37" s="39">
        <v>2</v>
      </c>
      <c r="AG37" s="73">
        <v>0.63541666666666663</v>
      </c>
      <c r="AH37" s="72">
        <v>45658</v>
      </c>
      <c r="AI37" s="72">
        <v>45747</v>
      </c>
      <c r="AJ37" s="72">
        <v>45748</v>
      </c>
      <c r="AK37" s="72">
        <v>45838</v>
      </c>
      <c r="AN37" s="129">
        <f>LTI_5[[#This Row],[FECHA]]-AJ37</f>
        <v>46</v>
      </c>
      <c r="AP37" s="39" t="str">
        <f>"T"&amp;TRUNC((MONTH(LTI_5[[#This Row],[FECHA]]-1)/3)+1)</f>
        <v>T2</v>
      </c>
      <c r="AR37" s="65">
        <f>LTI_5[[#This Row],[FECHA]]-I36</f>
        <v>2</v>
      </c>
    </row>
    <row r="38" spans="2:44" ht="75" hidden="1" x14ac:dyDescent="0.25">
      <c r="B38" s="60"/>
      <c r="C38" s="44" t="s">
        <v>567</v>
      </c>
      <c r="D38" s="44" t="s">
        <v>568</v>
      </c>
      <c r="E38" s="44" t="s">
        <v>569</v>
      </c>
      <c r="F38" s="44" t="s">
        <v>614</v>
      </c>
      <c r="G38" s="44" t="s">
        <v>333</v>
      </c>
      <c r="H38" s="44" t="s">
        <v>111</v>
      </c>
      <c r="I38" s="47">
        <v>45794</v>
      </c>
      <c r="J38" s="47"/>
      <c r="K38" s="54" t="s">
        <v>597</v>
      </c>
      <c r="L38" s="54" t="str">
        <f>TEXT(LTI_5[[#This Row],[FECHA]],"dddd")</f>
        <v>sábado</v>
      </c>
      <c r="M38" s="54"/>
      <c r="N38" s="54"/>
      <c r="O38" s="54"/>
      <c r="P38" s="54"/>
      <c r="Q38" s="54"/>
      <c r="R38" s="54"/>
      <c r="S38" s="63"/>
      <c r="T38" s="47"/>
      <c r="U38" s="44" t="s">
        <v>709</v>
      </c>
      <c r="V38" s="54" t="s">
        <v>623</v>
      </c>
      <c r="W38" s="53" t="s">
        <v>706</v>
      </c>
      <c r="X38" s="44" t="s">
        <v>661</v>
      </c>
      <c r="Y38" s="51">
        <v>2</v>
      </c>
      <c r="Z38" s="66" t="s">
        <v>707</v>
      </c>
      <c r="AA38" s="66"/>
      <c r="AB38" s="66" t="s">
        <v>708</v>
      </c>
      <c r="AC38" s="44" t="s">
        <v>607</v>
      </c>
      <c r="AD38" s="51" t="str">
        <f>"T"&amp;INT((MONTH(LTI_5[[#This Row],[FECHA]])-1)/3)+1</f>
        <v>T2</v>
      </c>
      <c r="AE38" s="50"/>
      <c r="AF38" s="39">
        <v>2</v>
      </c>
      <c r="AG38" s="73">
        <v>0.63541666666666663</v>
      </c>
      <c r="AH38" s="72">
        <v>45658</v>
      </c>
      <c r="AI38" s="72">
        <v>45747</v>
      </c>
      <c r="AJ38" s="72">
        <v>45748</v>
      </c>
      <c r="AK38" s="72">
        <v>45838</v>
      </c>
      <c r="AN38" s="129">
        <f>LTI_5[[#This Row],[FECHA]]-AJ38</f>
        <v>46</v>
      </c>
      <c r="AP38" s="39" t="str">
        <f>"T"&amp;TRUNC((MONTH(LTI_5[[#This Row],[FECHA]]-1)/3)+1)</f>
        <v>T2</v>
      </c>
      <c r="AR38" s="65">
        <f>LTI_5[[#This Row],[FECHA]]-I37</f>
        <v>0</v>
      </c>
    </row>
    <row r="39" spans="2:44" ht="30" hidden="1" x14ac:dyDescent="0.25">
      <c r="B39" s="60"/>
      <c r="C39" s="44" t="s">
        <v>567</v>
      </c>
      <c r="D39" s="44" t="s">
        <v>640</v>
      </c>
      <c r="E39" s="44" t="s">
        <v>595</v>
      </c>
      <c r="F39" s="44" t="s">
        <v>680</v>
      </c>
      <c r="G39" s="44" t="s">
        <v>710</v>
      </c>
      <c r="H39" s="44" t="s">
        <v>710</v>
      </c>
      <c r="I39" s="47">
        <v>45796</v>
      </c>
      <c r="J39" s="47"/>
      <c r="K39" s="54" t="s">
        <v>572</v>
      </c>
      <c r="L39" s="54" t="str">
        <f>TEXT(LTI_5[[#This Row],[FECHA]],"dddd")</f>
        <v>lunes</v>
      </c>
      <c r="M39" s="54"/>
      <c r="N39" s="54"/>
      <c r="O39" s="54"/>
      <c r="P39" s="54"/>
      <c r="Q39" s="54"/>
      <c r="R39" s="54"/>
      <c r="S39" s="63"/>
      <c r="T39" s="47"/>
      <c r="U39" s="44" t="s">
        <v>598</v>
      </c>
      <c r="V39" s="54" t="s">
        <v>599</v>
      </c>
      <c r="W39" s="53" t="s">
        <v>711</v>
      </c>
      <c r="X39" s="44" t="s">
        <v>601</v>
      </c>
      <c r="Y39" s="51">
        <v>42</v>
      </c>
      <c r="Z39" s="66" t="s">
        <v>712</v>
      </c>
      <c r="AA39" s="66"/>
      <c r="AB39" s="66" t="s">
        <v>578</v>
      </c>
      <c r="AC39" s="44" t="s">
        <v>579</v>
      </c>
      <c r="AD39" s="51" t="str">
        <f>"T"&amp;INT((MONTH(LTI_5[[#This Row],[FECHA]])-1)/3)+1</f>
        <v>T2</v>
      </c>
      <c r="AE39" s="50"/>
      <c r="AF39" s="39">
        <v>1</v>
      </c>
      <c r="AH39" s="72">
        <v>45658</v>
      </c>
      <c r="AI39" s="72">
        <v>45747</v>
      </c>
      <c r="AJ39" s="72">
        <v>45748</v>
      </c>
      <c r="AK39" s="72">
        <v>45838</v>
      </c>
      <c r="AN39" s="129">
        <f>LTI_5[[#This Row],[FECHA]]-AJ39</f>
        <v>48</v>
      </c>
      <c r="AP39" s="39" t="str">
        <f>"T"&amp;TRUNC((MONTH(LTI_5[[#This Row],[FECHA]]-1)/3)+1)</f>
        <v>T2</v>
      </c>
      <c r="AR39" s="65">
        <f>LTI_5[[#This Row],[FECHA]]-I38</f>
        <v>2</v>
      </c>
    </row>
    <row r="40" spans="2:44" ht="90" hidden="1" x14ac:dyDescent="0.25">
      <c r="B40" s="60"/>
      <c r="C40" s="44" t="s">
        <v>567</v>
      </c>
      <c r="D40" s="44" t="s">
        <v>568</v>
      </c>
      <c r="E40" s="44" t="s">
        <v>569</v>
      </c>
      <c r="F40" s="44" t="s">
        <v>646</v>
      </c>
      <c r="G40" s="44" t="s">
        <v>713</v>
      </c>
      <c r="H40" s="44" t="s">
        <v>714</v>
      </c>
      <c r="I40" s="47">
        <v>45796</v>
      </c>
      <c r="J40" s="47"/>
      <c r="K40" s="54" t="s">
        <v>572</v>
      </c>
      <c r="L40" s="54" t="str">
        <f>TEXT(LTI_5[[#This Row],[FECHA]],"dddd")</f>
        <v>lunes</v>
      </c>
      <c r="M40" s="54"/>
      <c r="N40" s="54"/>
      <c r="O40" s="54"/>
      <c r="P40" s="54"/>
      <c r="Q40" s="54"/>
      <c r="R40" s="54"/>
      <c r="S40" s="63"/>
      <c r="T40" s="47"/>
      <c r="U40" s="44" t="s">
        <v>598</v>
      </c>
      <c r="V40" s="54" t="s">
        <v>599</v>
      </c>
      <c r="W40" s="53" t="s">
        <v>715</v>
      </c>
      <c r="X40" s="44" t="s">
        <v>701</v>
      </c>
      <c r="Y40" s="51">
        <v>1</v>
      </c>
      <c r="Z40" s="66" t="s">
        <v>716</v>
      </c>
      <c r="AA40" s="66"/>
      <c r="AB40" s="66" t="s">
        <v>613</v>
      </c>
      <c r="AC40" s="44" t="s">
        <v>579</v>
      </c>
      <c r="AD40" s="51" t="str">
        <f>"T"&amp;INT((MONTH(LTI_5[[#This Row],[FECHA]])-1)/3)+1</f>
        <v>T2</v>
      </c>
      <c r="AE40" s="50"/>
      <c r="AF40" s="39">
        <v>1</v>
      </c>
      <c r="AG40" s="73">
        <v>0.53819444444444442</v>
      </c>
      <c r="AH40" s="72">
        <v>45658</v>
      </c>
      <c r="AI40" s="72">
        <v>45747</v>
      </c>
      <c r="AJ40" s="72">
        <v>45748</v>
      </c>
      <c r="AK40" s="72">
        <v>45838</v>
      </c>
      <c r="AN40" s="129">
        <f>LTI_5[[#This Row],[FECHA]]-AJ40</f>
        <v>48</v>
      </c>
      <c r="AP40" s="39" t="str">
        <f>"T"&amp;TRUNC((MONTH(LTI_5[[#This Row],[FECHA]]-1)/3)+1)</f>
        <v>T2</v>
      </c>
      <c r="AR40" s="65">
        <f>LTI_5[[#This Row],[FECHA]]-I39</f>
        <v>0</v>
      </c>
    </row>
    <row r="41" spans="2:44" ht="75" hidden="1" x14ac:dyDescent="0.25">
      <c r="B41" s="60"/>
      <c r="C41" s="44" t="s">
        <v>567</v>
      </c>
      <c r="D41" s="44" t="s">
        <v>568</v>
      </c>
      <c r="E41" s="44" t="s">
        <v>581</v>
      </c>
      <c r="F41" s="44" t="s">
        <v>717</v>
      </c>
      <c r="G41" s="44" t="s">
        <v>647</v>
      </c>
      <c r="H41" s="44" t="s">
        <v>523</v>
      </c>
      <c r="I41" s="47">
        <v>45804</v>
      </c>
      <c r="J41" s="47"/>
      <c r="K41" s="54" t="s">
        <v>572</v>
      </c>
      <c r="L41" s="54" t="str">
        <f>TEXT(LTI_5[[#This Row],[FECHA]],"dddd")</f>
        <v>martes</v>
      </c>
      <c r="M41" s="54"/>
      <c r="N41" s="54"/>
      <c r="O41" s="54"/>
      <c r="P41" s="54"/>
      <c r="Q41" s="54"/>
      <c r="R41" s="54"/>
      <c r="S41" s="63"/>
      <c r="T41" s="47"/>
      <c r="U41" s="44" t="s">
        <v>590</v>
      </c>
      <c r="V41" s="54" t="s">
        <v>591</v>
      </c>
      <c r="W41" s="53" t="s">
        <v>718</v>
      </c>
      <c r="X41" s="44" t="s">
        <v>701</v>
      </c>
      <c r="Y41" s="51">
        <v>8</v>
      </c>
      <c r="Z41" s="51" t="s">
        <v>625</v>
      </c>
      <c r="AA41" s="51"/>
      <c r="AB41" s="66" t="s">
        <v>578</v>
      </c>
      <c r="AC41" s="44" t="s">
        <v>579</v>
      </c>
      <c r="AD41" s="51" t="str">
        <f>"T"&amp;INT((MONTH(LTI_5[[#This Row],[FECHA]])-1)/3)+1</f>
        <v>T2</v>
      </c>
      <c r="AE41" s="50"/>
      <c r="AF41" s="39">
        <v>1</v>
      </c>
      <c r="AG41" s="73">
        <v>0.54166666666666663</v>
      </c>
      <c r="AH41" s="72">
        <v>45658</v>
      </c>
      <c r="AI41" s="72">
        <v>45747</v>
      </c>
      <c r="AJ41" s="72">
        <v>45748</v>
      </c>
      <c r="AK41" s="72">
        <v>45838</v>
      </c>
      <c r="AN41" s="129">
        <f>LTI_5[[#This Row],[FECHA]]-AJ41</f>
        <v>56</v>
      </c>
      <c r="AP41" s="39" t="str">
        <f>"T"&amp;TRUNC((MONTH(LTI_5[[#This Row],[FECHA]]-1)/3)+1)</f>
        <v>T2</v>
      </c>
      <c r="AR41" s="65">
        <f>LTI_5[[#This Row],[FECHA]]-I40</f>
        <v>8</v>
      </c>
    </row>
    <row r="42" spans="2:44" ht="75" hidden="1" x14ac:dyDescent="0.25">
      <c r="B42" s="60"/>
      <c r="C42" s="44" t="s">
        <v>580</v>
      </c>
      <c r="D42" s="44" t="s">
        <v>568</v>
      </c>
      <c r="E42" s="44" t="s">
        <v>569</v>
      </c>
      <c r="F42" s="44" t="s">
        <v>608</v>
      </c>
      <c r="G42" s="44" t="s">
        <v>455</v>
      </c>
      <c r="H42" s="44" t="s">
        <v>621</v>
      </c>
      <c r="I42" s="47">
        <v>45804</v>
      </c>
      <c r="J42" s="47"/>
      <c r="K42" s="54" t="s">
        <v>572</v>
      </c>
      <c r="L42" s="54" t="str">
        <f>TEXT(LTI_5[[#This Row],[FECHA]],"dddd")</f>
        <v>martes</v>
      </c>
      <c r="M42" s="54"/>
      <c r="N42" s="54"/>
      <c r="O42" s="54"/>
      <c r="P42" s="54"/>
      <c r="Q42" s="54"/>
      <c r="R42" s="54"/>
      <c r="S42" s="63"/>
      <c r="T42" s="47"/>
      <c r="U42" s="44" t="s">
        <v>622</v>
      </c>
      <c r="V42" s="54" t="s">
        <v>623</v>
      </c>
      <c r="W42" s="53" t="s">
        <v>719</v>
      </c>
      <c r="X42" s="44" t="s">
        <v>701</v>
      </c>
      <c r="Y42" s="51">
        <v>20</v>
      </c>
      <c r="Z42" s="74" t="s">
        <v>612</v>
      </c>
      <c r="AA42" s="74"/>
      <c r="AB42" s="66" t="s">
        <v>578</v>
      </c>
      <c r="AC42" s="44" t="s">
        <v>579</v>
      </c>
      <c r="AD42" s="51" t="str">
        <f>"T"&amp;INT((MONTH(LTI_5[[#This Row],[FECHA]])-1)/3)+1</f>
        <v>T2</v>
      </c>
      <c r="AE42" s="50"/>
      <c r="AF42" s="39">
        <v>1</v>
      </c>
      <c r="AG42" s="73">
        <v>0.61805555555555558</v>
      </c>
      <c r="AH42" s="72">
        <v>45658</v>
      </c>
      <c r="AI42" s="72">
        <v>45747</v>
      </c>
      <c r="AJ42" s="72">
        <v>45748</v>
      </c>
      <c r="AK42" s="72">
        <v>45838</v>
      </c>
      <c r="AN42" s="129">
        <f>LTI_5[[#This Row],[FECHA]]-AJ42</f>
        <v>56</v>
      </c>
      <c r="AR42" s="65">
        <f>LTI_5[[#This Row],[FECHA]]-I41</f>
        <v>0</v>
      </c>
    </row>
    <row r="43" spans="2:44" ht="75" hidden="1" x14ac:dyDescent="0.25">
      <c r="B43" s="60"/>
      <c r="C43" s="44" t="s">
        <v>567</v>
      </c>
      <c r="D43" s="44" t="s">
        <v>568</v>
      </c>
      <c r="E43" s="44" t="s">
        <v>569</v>
      </c>
      <c r="F43" s="44" t="s">
        <v>646</v>
      </c>
      <c r="G43" s="44" t="s">
        <v>647</v>
      </c>
      <c r="H43" s="44" t="s">
        <v>648</v>
      </c>
      <c r="I43" s="47">
        <v>45815</v>
      </c>
      <c r="J43" s="47"/>
      <c r="K43" s="54" t="s">
        <v>720</v>
      </c>
      <c r="L43" s="54" t="str">
        <f>TEXT(LTI_5[[#This Row],[FECHA]],"dddd")</f>
        <v>sábado</v>
      </c>
      <c r="M43" s="54"/>
      <c r="N43" s="54"/>
      <c r="O43" s="54"/>
      <c r="P43" s="54"/>
      <c r="Q43" s="54"/>
      <c r="R43" s="54"/>
      <c r="S43" s="63"/>
      <c r="T43" s="47"/>
      <c r="U43" s="44" t="s">
        <v>598</v>
      </c>
      <c r="V43" s="54" t="s">
        <v>599</v>
      </c>
      <c r="W43" s="53" t="s">
        <v>721</v>
      </c>
      <c r="X43" s="44" t="s">
        <v>26</v>
      </c>
      <c r="Y43" s="51">
        <v>13</v>
      </c>
      <c r="Z43" s="66" t="s">
        <v>619</v>
      </c>
      <c r="AA43" s="66"/>
      <c r="AB43" s="51" t="s">
        <v>722</v>
      </c>
      <c r="AC43" s="44" t="s">
        <v>607</v>
      </c>
      <c r="AD43" s="51" t="str">
        <f>"T"&amp;INT((MONTH(LTI_5[[#This Row],[FECHA]])-1)/3)+1</f>
        <v>T2</v>
      </c>
      <c r="AE43" s="50"/>
      <c r="AF43" s="39">
        <v>3</v>
      </c>
      <c r="AG43" s="73">
        <v>0.20833333333333334</v>
      </c>
      <c r="AH43" s="72">
        <v>45658</v>
      </c>
      <c r="AI43" s="72">
        <v>45747</v>
      </c>
      <c r="AJ43" s="72">
        <v>45748</v>
      </c>
      <c r="AK43" s="72">
        <v>45838</v>
      </c>
      <c r="AN43" s="129">
        <f>LTI_5[[#This Row],[FECHA]]-AJ43</f>
        <v>67</v>
      </c>
      <c r="AR43" s="65">
        <f>LTI_5[[#This Row],[FECHA]]-I42</f>
        <v>11</v>
      </c>
    </row>
    <row r="44" spans="2:44" ht="75" hidden="1" x14ac:dyDescent="0.25">
      <c r="B44" s="60"/>
      <c r="C44" s="44" t="s">
        <v>567</v>
      </c>
      <c r="D44" s="44" t="s">
        <v>568</v>
      </c>
      <c r="E44" s="44" t="s">
        <v>569</v>
      </c>
      <c r="F44" s="44" t="s">
        <v>646</v>
      </c>
      <c r="G44" s="44" t="s">
        <v>93</v>
      </c>
      <c r="H44" s="44" t="s">
        <v>714</v>
      </c>
      <c r="I44" s="47">
        <v>45817</v>
      </c>
      <c r="J44" s="47"/>
      <c r="K44" s="54" t="s">
        <v>720</v>
      </c>
      <c r="L44" s="54" t="str">
        <f>TEXT(LTI_5[[#This Row],[FECHA]],"dddd")</f>
        <v>lunes</v>
      </c>
      <c r="M44" s="54"/>
      <c r="N44" s="54"/>
      <c r="O44" s="54"/>
      <c r="P44" s="54"/>
      <c r="Q44" s="54"/>
      <c r="R44" s="54"/>
      <c r="S44" s="63"/>
      <c r="T44" s="47"/>
      <c r="U44" s="44" t="s">
        <v>598</v>
      </c>
      <c r="V44" s="54" t="s">
        <v>599</v>
      </c>
      <c r="W44" s="53" t="s">
        <v>723</v>
      </c>
      <c r="X44" s="44" t="s">
        <v>701</v>
      </c>
      <c r="Y44" s="51">
        <v>13</v>
      </c>
      <c r="Z44" s="51" t="s">
        <v>724</v>
      </c>
      <c r="AA44" s="51"/>
      <c r="AB44" s="66" t="s">
        <v>578</v>
      </c>
      <c r="AC44" s="44" t="s">
        <v>579</v>
      </c>
      <c r="AD44" s="51" t="str">
        <f>"T"&amp;INT((MONTH(LTI_5[[#This Row],[FECHA]])-1)/3)+1</f>
        <v>T2</v>
      </c>
      <c r="AE44" s="50"/>
      <c r="AF44" s="39">
        <v>3</v>
      </c>
      <c r="AH44" s="72">
        <v>45658</v>
      </c>
      <c r="AI44" s="72">
        <v>45747</v>
      </c>
      <c r="AJ44" s="72">
        <v>45748</v>
      </c>
      <c r="AK44" s="72">
        <v>45838</v>
      </c>
      <c r="AN44" s="129">
        <f>LTI_5[[#This Row],[FECHA]]-AJ44</f>
        <v>69</v>
      </c>
      <c r="AR44" s="65">
        <f>LTI_5[[#This Row],[FECHA]]-I43</f>
        <v>2</v>
      </c>
    </row>
    <row r="45" spans="2:44" ht="105" hidden="1" x14ac:dyDescent="0.25">
      <c r="B45" s="60"/>
      <c r="C45" s="44" t="s">
        <v>567</v>
      </c>
      <c r="D45" s="44" t="s">
        <v>568</v>
      </c>
      <c r="E45" s="44" t="s">
        <v>581</v>
      </c>
      <c r="F45" s="44" t="s">
        <v>634</v>
      </c>
      <c r="G45" s="44" t="s">
        <v>725</v>
      </c>
      <c r="H45" s="44" t="s">
        <v>725</v>
      </c>
      <c r="I45" s="47">
        <v>45818</v>
      </c>
      <c r="J45" s="47"/>
      <c r="K45" s="54" t="s">
        <v>572</v>
      </c>
      <c r="L45" s="54" t="str">
        <f>TEXT(LTI_5[[#This Row],[FECHA]],"dddd")</f>
        <v>martes</v>
      </c>
      <c r="M45" s="54"/>
      <c r="N45" s="54"/>
      <c r="O45" s="54"/>
      <c r="P45" s="54"/>
      <c r="Q45" s="54"/>
      <c r="R45" s="54"/>
      <c r="S45" s="63"/>
      <c r="T45" s="47"/>
      <c r="U45" s="44" t="s">
        <v>598</v>
      </c>
      <c r="V45" s="54" t="s">
        <v>599</v>
      </c>
      <c r="W45" s="53" t="s">
        <v>726</v>
      </c>
      <c r="X45" s="44" t="s">
        <v>727</v>
      </c>
      <c r="Y45" s="51">
        <v>40</v>
      </c>
      <c r="Z45" s="44" t="s">
        <v>588</v>
      </c>
      <c r="AA45" s="44"/>
      <c r="AB45" s="66" t="s">
        <v>578</v>
      </c>
      <c r="AC45" s="44" t="s">
        <v>579</v>
      </c>
      <c r="AD45" s="51" t="str">
        <f>"T"&amp;INT((MONTH(LTI_5[[#This Row],[FECHA]])-1)/3)+1</f>
        <v>T2</v>
      </c>
      <c r="AE45" s="50"/>
      <c r="AF45" s="39">
        <v>1</v>
      </c>
      <c r="AH45" s="72">
        <v>45658</v>
      </c>
      <c r="AI45" s="72">
        <v>45747</v>
      </c>
      <c r="AJ45" s="72">
        <v>45748</v>
      </c>
      <c r="AK45" s="72">
        <v>45838</v>
      </c>
      <c r="AN45" s="129">
        <f>LTI_5[[#This Row],[FECHA]]-AJ45</f>
        <v>70</v>
      </c>
      <c r="AR45" s="65">
        <f>LTI_5[[#This Row],[FECHA]]-I44</f>
        <v>1</v>
      </c>
    </row>
    <row r="46" spans="2:44" ht="90" hidden="1" x14ac:dyDescent="0.25">
      <c r="B46" s="60"/>
      <c r="C46" s="44" t="s">
        <v>567</v>
      </c>
      <c r="D46" s="44" t="s">
        <v>568</v>
      </c>
      <c r="E46" s="44" t="s">
        <v>581</v>
      </c>
      <c r="F46" s="44" t="s">
        <v>728</v>
      </c>
      <c r="G46" s="44" t="s">
        <v>333</v>
      </c>
      <c r="H46" s="44" t="s">
        <v>729</v>
      </c>
      <c r="I46" s="47">
        <v>45824</v>
      </c>
      <c r="J46" s="47"/>
      <c r="K46" s="54" t="s">
        <v>572</v>
      </c>
      <c r="L46" s="54" t="str">
        <f>TEXT(LTI_5[[#This Row],[FECHA]],"dddd")</f>
        <v>lunes</v>
      </c>
      <c r="M46" s="54"/>
      <c r="N46" s="54"/>
      <c r="O46" s="54"/>
      <c r="P46" s="54"/>
      <c r="Q46" s="54"/>
      <c r="R46" s="54"/>
      <c r="S46" s="63"/>
      <c r="T46" s="47"/>
      <c r="U46" s="44" t="s">
        <v>730</v>
      </c>
      <c r="V46" s="54" t="s">
        <v>731</v>
      </c>
      <c r="W46" s="53" t="s">
        <v>732</v>
      </c>
      <c r="X46" s="44" t="s">
        <v>701</v>
      </c>
      <c r="Y46" s="51">
        <v>1</v>
      </c>
      <c r="Z46" s="44"/>
      <c r="AA46" s="44"/>
      <c r="AB46" s="66" t="s">
        <v>578</v>
      </c>
      <c r="AC46" s="44" t="s">
        <v>579</v>
      </c>
      <c r="AD46" s="51" t="str">
        <f>"T"&amp;INT((MONTH(LTI_5[[#This Row],[FECHA]])-1)/3)+1</f>
        <v>T2</v>
      </c>
      <c r="AE46" s="50"/>
      <c r="AF46" s="39">
        <v>1</v>
      </c>
      <c r="AH46" s="72">
        <v>45658</v>
      </c>
      <c r="AI46" s="72">
        <v>45747</v>
      </c>
      <c r="AJ46" s="72">
        <v>45748</v>
      </c>
      <c r="AK46" s="72">
        <v>45838</v>
      </c>
      <c r="AN46" s="129">
        <f>LTI_5[[#This Row],[FECHA]]-AJ46</f>
        <v>76</v>
      </c>
      <c r="AR46" s="65">
        <f>LTI_5[[#This Row],[FECHA]]-I45</f>
        <v>6</v>
      </c>
    </row>
    <row r="47" spans="2:44" ht="97.35" hidden="1" customHeight="1" x14ac:dyDescent="0.25">
      <c r="B47" s="60"/>
      <c r="C47" s="44" t="s">
        <v>580</v>
      </c>
      <c r="D47" s="44" t="s">
        <v>568</v>
      </c>
      <c r="E47" s="44" t="s">
        <v>569</v>
      </c>
      <c r="F47" s="44" t="s">
        <v>608</v>
      </c>
      <c r="G47" s="44" t="s">
        <v>677</v>
      </c>
      <c r="H47" s="44" t="s">
        <v>677</v>
      </c>
      <c r="I47" s="47">
        <v>45832</v>
      </c>
      <c r="J47" s="47"/>
      <c r="K47" s="54" t="s">
        <v>597</v>
      </c>
      <c r="L47" s="54" t="str">
        <f>TEXT(LTI_5[[#This Row],[FECHA]],"dddd")</f>
        <v>martes</v>
      </c>
      <c r="M47" s="54"/>
      <c r="N47" s="54"/>
      <c r="O47" s="54"/>
      <c r="P47" s="54"/>
      <c r="Q47" s="54"/>
      <c r="R47" s="54"/>
      <c r="S47" s="63"/>
      <c r="T47" s="47"/>
      <c r="U47" s="44" t="s">
        <v>23</v>
      </c>
      <c r="V47" s="54" t="s">
        <v>599</v>
      </c>
      <c r="W47" s="53" t="s">
        <v>733</v>
      </c>
      <c r="X47" s="66" t="s">
        <v>637</v>
      </c>
      <c r="Y47" s="51">
        <v>10</v>
      </c>
      <c r="Z47" s="51" t="s">
        <v>638</v>
      </c>
      <c r="AA47" s="51"/>
      <c r="AB47" s="51" t="s">
        <v>734</v>
      </c>
      <c r="AC47" s="44" t="s">
        <v>607</v>
      </c>
      <c r="AD47" s="51" t="str">
        <f>"T"&amp;INT((MONTH(LTI_5[[#This Row],[FECHA]])-1)/3)+1</f>
        <v>T2</v>
      </c>
      <c r="AE47" s="50"/>
      <c r="AF47" s="39">
        <v>2</v>
      </c>
      <c r="AH47" s="72">
        <v>45658</v>
      </c>
      <c r="AI47" s="72">
        <v>45747</v>
      </c>
      <c r="AJ47" s="72">
        <v>45748</v>
      </c>
      <c r="AK47" s="72">
        <v>45838</v>
      </c>
      <c r="AN47" s="129">
        <f>LTI_5[[#This Row],[FECHA]]-AJ47</f>
        <v>84</v>
      </c>
      <c r="AR47" s="65">
        <f>LTI_5[[#This Row],[FECHA]]-I46</f>
        <v>8</v>
      </c>
    </row>
    <row r="48" spans="2:44" ht="120.6" hidden="1" customHeight="1" x14ac:dyDescent="0.25">
      <c r="B48" s="60"/>
      <c r="C48" s="44" t="s">
        <v>567</v>
      </c>
      <c r="D48" s="44" t="s">
        <v>568</v>
      </c>
      <c r="E48" s="44" t="s">
        <v>569</v>
      </c>
      <c r="F48" s="44" t="s">
        <v>614</v>
      </c>
      <c r="G48" s="51" t="s">
        <v>333</v>
      </c>
      <c r="H48" s="51" t="s">
        <v>615</v>
      </c>
      <c r="I48" s="47">
        <v>45836</v>
      </c>
      <c r="J48" s="47"/>
      <c r="K48" s="54" t="s">
        <v>572</v>
      </c>
      <c r="L48" s="54" t="str">
        <f>TEXT(LTI_5[[#This Row],[FECHA]],"dddd")</f>
        <v>sábado</v>
      </c>
      <c r="M48" s="54"/>
      <c r="N48" s="54"/>
      <c r="O48" s="54"/>
      <c r="P48" s="54"/>
      <c r="Q48" s="54"/>
      <c r="R48" s="54"/>
      <c r="S48" s="63"/>
      <c r="T48" s="47"/>
      <c r="U48" s="44" t="s">
        <v>616</v>
      </c>
      <c r="V48" s="71" t="s">
        <v>574</v>
      </c>
      <c r="W48" s="53" t="s">
        <v>735</v>
      </c>
      <c r="X48" s="66" t="s">
        <v>637</v>
      </c>
      <c r="Y48" s="51">
        <v>6</v>
      </c>
      <c r="Z48" s="51" t="s">
        <v>736</v>
      </c>
      <c r="AA48" s="51"/>
      <c r="AB48" s="66" t="s">
        <v>737</v>
      </c>
      <c r="AC48" s="44" t="s">
        <v>607</v>
      </c>
      <c r="AD48" s="51" t="str">
        <f>"T"&amp;INT((MONTH(LTI_5[[#This Row],[FECHA]])-1)/3)+1</f>
        <v>T2</v>
      </c>
      <c r="AE48" s="50"/>
      <c r="AF48" s="39">
        <v>1</v>
      </c>
      <c r="AH48" s="72">
        <v>45658</v>
      </c>
      <c r="AI48" s="72">
        <v>45747</v>
      </c>
      <c r="AJ48" s="72">
        <v>45748</v>
      </c>
      <c r="AK48" s="72">
        <v>45838</v>
      </c>
      <c r="AN48" s="129">
        <f>LTI_5[[#This Row],[FECHA]]-AJ48</f>
        <v>88</v>
      </c>
      <c r="AR48" s="65">
        <f>LTI_5[[#This Row],[FECHA]]-I47</f>
        <v>4</v>
      </c>
    </row>
    <row r="49" spans="2:44" ht="65.099999999999994" hidden="1" customHeight="1" x14ac:dyDescent="0.25">
      <c r="B49" s="60"/>
      <c r="C49" s="44" t="s">
        <v>567</v>
      </c>
      <c r="D49" s="44" t="s">
        <v>568</v>
      </c>
      <c r="E49" s="44" t="s">
        <v>569</v>
      </c>
      <c r="F49" s="44" t="s">
        <v>570</v>
      </c>
      <c r="G49" s="44" t="s">
        <v>689</v>
      </c>
      <c r="H49" s="44" t="s">
        <v>689</v>
      </c>
      <c r="I49" s="47">
        <v>45838</v>
      </c>
      <c r="J49" s="47"/>
      <c r="K49" s="54" t="s">
        <v>572</v>
      </c>
      <c r="L49" s="54" t="str">
        <f>TEXT(LTI_5[[#This Row],[FECHA]],"dddd")</f>
        <v>lunes</v>
      </c>
      <c r="M49" s="54"/>
      <c r="N49" s="54"/>
      <c r="O49" s="54"/>
      <c r="P49" s="54"/>
      <c r="Q49" s="54"/>
      <c r="R49" s="54"/>
      <c r="S49" s="63"/>
      <c r="T49" s="47"/>
      <c r="U49" s="44" t="s">
        <v>598</v>
      </c>
      <c r="V49" s="54" t="s">
        <v>599</v>
      </c>
      <c r="W49" s="53" t="s">
        <v>738</v>
      </c>
      <c r="X49" s="44" t="s">
        <v>601</v>
      </c>
      <c r="Y49" s="51">
        <v>15</v>
      </c>
      <c r="Z49" s="51" t="s">
        <v>612</v>
      </c>
      <c r="AA49" s="51"/>
      <c r="AB49" s="66" t="s">
        <v>739</v>
      </c>
      <c r="AC49" s="44" t="s">
        <v>579</v>
      </c>
      <c r="AD49" s="51" t="str">
        <f>"T"&amp;INT((MONTH(LTI_5[[#This Row],[FECHA]])-1)/3)+1</f>
        <v>T2</v>
      </c>
      <c r="AE49" s="50"/>
      <c r="AF49" s="39">
        <v>1</v>
      </c>
      <c r="AH49" s="72">
        <v>45658</v>
      </c>
      <c r="AI49" s="72">
        <v>45747</v>
      </c>
      <c r="AJ49" s="72">
        <v>45748</v>
      </c>
      <c r="AK49" s="72">
        <v>45838</v>
      </c>
      <c r="AN49" s="129">
        <f>LTI_5[[#This Row],[FECHA]]-AJ49</f>
        <v>90</v>
      </c>
      <c r="AR49" s="65">
        <f>LTI_5[[#This Row],[FECHA]]-I48</f>
        <v>2</v>
      </c>
    </row>
    <row r="50" spans="2:44" ht="180" hidden="1" x14ac:dyDescent="0.25">
      <c r="B50" s="60"/>
      <c r="C50" s="44" t="s">
        <v>662</v>
      </c>
      <c r="D50" s="44" t="s">
        <v>568</v>
      </c>
      <c r="E50" s="44" t="s">
        <v>581</v>
      </c>
      <c r="F50" s="44" t="s">
        <v>581</v>
      </c>
      <c r="G50" s="44" t="s">
        <v>740</v>
      </c>
      <c r="H50" s="44" t="s">
        <v>664</v>
      </c>
      <c r="I50" s="47">
        <v>45843</v>
      </c>
      <c r="J50" s="47"/>
      <c r="K50" s="54" t="s">
        <v>572</v>
      </c>
      <c r="L50" s="54" t="str">
        <f>TEXT(LTI_5[[#This Row],[FECHA]],"dddd")</f>
        <v>sábado</v>
      </c>
      <c r="M50" s="54"/>
      <c r="N50" s="54"/>
      <c r="O50" s="54"/>
      <c r="P50" s="54"/>
      <c r="Q50" s="54"/>
      <c r="R50" s="54"/>
      <c r="S50" s="63"/>
      <c r="T50" s="47"/>
      <c r="U50" s="44" t="s">
        <v>662</v>
      </c>
      <c r="V50" s="54" t="s">
        <v>599</v>
      </c>
      <c r="W50" s="53" t="s">
        <v>741</v>
      </c>
      <c r="X50" s="44" t="s">
        <v>742</v>
      </c>
      <c r="Y50" s="51">
        <v>3</v>
      </c>
      <c r="Z50" s="66" t="s">
        <v>668</v>
      </c>
      <c r="AA50" s="66"/>
      <c r="AB50" s="66" t="s">
        <v>657</v>
      </c>
      <c r="AC50" s="44" t="s">
        <v>607</v>
      </c>
      <c r="AD50" s="51" t="str">
        <f>"T"&amp;INT((MONTH(LTI_5[[#This Row],[FECHA]])-1)/3)+1</f>
        <v>T3</v>
      </c>
      <c r="AE50" s="50"/>
      <c r="AF50" s="39">
        <v>1</v>
      </c>
      <c r="AH50" s="72">
        <v>45658</v>
      </c>
      <c r="AI50" s="72">
        <v>45747</v>
      </c>
      <c r="AJ50" s="72">
        <v>45748</v>
      </c>
      <c r="AK50" s="72">
        <v>45838</v>
      </c>
      <c r="AN50" s="129">
        <f>LTI_5[[#This Row],[FECHA]]-AJ50</f>
        <v>95</v>
      </c>
      <c r="AR50" s="65">
        <f>LTI_5[[#This Row],[FECHA]]-I49</f>
        <v>5</v>
      </c>
    </row>
    <row r="51" spans="2:44" ht="75" hidden="1" x14ac:dyDescent="0.25">
      <c r="B51" s="60"/>
      <c r="C51" s="44" t="s">
        <v>580</v>
      </c>
      <c r="D51" s="44" t="s">
        <v>568</v>
      </c>
      <c r="E51" s="44" t="s">
        <v>569</v>
      </c>
      <c r="F51" s="44" t="s">
        <v>608</v>
      </c>
      <c r="G51" s="44" t="s">
        <v>609</v>
      </c>
      <c r="H51" s="44" t="s">
        <v>609</v>
      </c>
      <c r="I51" s="47">
        <v>45855</v>
      </c>
      <c r="J51" s="47"/>
      <c r="K51" s="54" t="s">
        <v>572</v>
      </c>
      <c r="L51" s="54" t="str">
        <f>TEXT(LTI_5[[#This Row],[FECHA]],"dddd")</f>
        <v>jueves</v>
      </c>
      <c r="M51" s="54"/>
      <c r="N51" s="54"/>
      <c r="O51" s="54"/>
      <c r="P51" s="54"/>
      <c r="Q51" s="54"/>
      <c r="R51" s="54"/>
      <c r="S51" s="63"/>
      <c r="T51" s="47"/>
      <c r="U51" s="44" t="s">
        <v>23</v>
      </c>
      <c r="V51" s="54" t="s">
        <v>599</v>
      </c>
      <c r="W51" s="53" t="s">
        <v>743</v>
      </c>
      <c r="X51" s="44" t="s">
        <v>744</v>
      </c>
      <c r="Y51" s="51">
        <v>7</v>
      </c>
      <c r="Z51" s="44" t="s">
        <v>594</v>
      </c>
      <c r="AA51" s="44"/>
      <c r="AB51" s="66" t="s">
        <v>737</v>
      </c>
      <c r="AC51" s="44" t="s">
        <v>579</v>
      </c>
      <c r="AD51" s="51" t="str">
        <f>"T"&amp;INT((MONTH(LTI_5[[#This Row],[FECHA]])-1)/3)+1</f>
        <v>T3</v>
      </c>
      <c r="AE51" s="50"/>
      <c r="AF51" s="39">
        <v>1</v>
      </c>
      <c r="AH51" s="72">
        <v>45658</v>
      </c>
      <c r="AI51" s="72">
        <v>45747</v>
      </c>
      <c r="AJ51" s="72">
        <v>45748</v>
      </c>
      <c r="AK51" s="72">
        <v>45838</v>
      </c>
      <c r="AN51" s="129">
        <f>LTI_5[[#This Row],[FECHA]]-AJ51</f>
        <v>107</v>
      </c>
      <c r="AR51" s="65">
        <f>LTI_5[[#This Row],[FECHA]]-I50</f>
        <v>12</v>
      </c>
    </row>
    <row r="52" spans="2:44" ht="60" hidden="1" x14ac:dyDescent="0.25">
      <c r="B52" s="60"/>
      <c r="C52" s="44" t="s">
        <v>580</v>
      </c>
      <c r="D52" s="44" t="s">
        <v>640</v>
      </c>
      <c r="E52" s="44" t="s">
        <v>595</v>
      </c>
      <c r="F52" s="44" t="s">
        <v>680</v>
      </c>
      <c r="G52" s="44" t="s">
        <v>455</v>
      </c>
      <c r="H52" s="44" t="s">
        <v>455</v>
      </c>
      <c r="I52" s="47">
        <v>45859</v>
      </c>
      <c r="J52" s="47"/>
      <c r="K52" s="54" t="s">
        <v>572</v>
      </c>
      <c r="L52" s="54" t="str">
        <f>TEXT(LTI_5[[#This Row],[FECHA]],"dddd")</f>
        <v>lunes</v>
      </c>
      <c r="M52" s="54"/>
      <c r="N52" s="54"/>
      <c r="O52" s="54"/>
      <c r="P52" s="54"/>
      <c r="Q52" s="54"/>
      <c r="R52" s="54"/>
      <c r="S52" s="63"/>
      <c r="T52" s="47"/>
      <c r="U52" s="44" t="s">
        <v>590</v>
      </c>
      <c r="V52" s="54" t="s">
        <v>591</v>
      </c>
      <c r="W52" s="53" t="s">
        <v>745</v>
      </c>
      <c r="X52" s="44" t="s">
        <v>701</v>
      </c>
      <c r="Y52" s="51">
        <v>3</v>
      </c>
      <c r="Z52" s="51" t="s">
        <v>746</v>
      </c>
      <c r="AA52" s="51"/>
      <c r="AB52" s="59"/>
      <c r="AC52" s="44" t="s">
        <v>607</v>
      </c>
      <c r="AD52" s="51" t="str">
        <f>"T"&amp;INT((MONTH(LTI_5[[#This Row],[FECHA]])-1)/3)+1</f>
        <v>T3</v>
      </c>
      <c r="AE52" s="50"/>
      <c r="AF52" s="39">
        <v>1</v>
      </c>
      <c r="AH52" s="72">
        <v>45658</v>
      </c>
      <c r="AI52" s="72">
        <v>45747</v>
      </c>
      <c r="AJ52" s="72">
        <v>45748</v>
      </c>
      <c r="AK52" s="72">
        <v>45838</v>
      </c>
      <c r="AN52" s="129">
        <f>LTI_5[[#This Row],[FECHA]]-AJ52</f>
        <v>111</v>
      </c>
      <c r="AR52" s="65">
        <f>LTI_5[[#This Row],[FECHA]]-I51</f>
        <v>4</v>
      </c>
    </row>
    <row r="53" spans="2:44" ht="75" hidden="1" x14ac:dyDescent="0.25">
      <c r="B53" s="60"/>
      <c r="C53" s="44" t="s">
        <v>567</v>
      </c>
      <c r="D53" s="44" t="s">
        <v>568</v>
      </c>
      <c r="E53" s="44" t="s">
        <v>581</v>
      </c>
      <c r="F53" s="44" t="s">
        <v>717</v>
      </c>
      <c r="G53" s="44" t="s">
        <v>523</v>
      </c>
      <c r="H53" s="44" t="s">
        <v>648</v>
      </c>
      <c r="I53" s="47">
        <v>45874</v>
      </c>
      <c r="J53" s="47"/>
      <c r="K53" s="54" t="s">
        <v>572</v>
      </c>
      <c r="L53" s="54" t="str">
        <f>TEXT(LTI_5[[#This Row],[FECHA]],"dddd")</f>
        <v>martes</v>
      </c>
      <c r="M53" s="54"/>
      <c r="N53" s="54"/>
      <c r="O53" s="54"/>
      <c r="P53" s="54"/>
      <c r="Q53" s="54"/>
      <c r="R53" s="54"/>
      <c r="S53" s="63"/>
      <c r="T53" s="47"/>
      <c r="U53" s="44" t="s">
        <v>747</v>
      </c>
      <c r="V53" s="54" t="s">
        <v>574</v>
      </c>
      <c r="W53" s="53" t="s">
        <v>748</v>
      </c>
      <c r="X53" s="66" t="s">
        <v>637</v>
      </c>
      <c r="Y53" s="51">
        <v>18</v>
      </c>
      <c r="Z53" s="51" t="s">
        <v>638</v>
      </c>
      <c r="AA53" s="51"/>
      <c r="AB53" s="51" t="s">
        <v>749</v>
      </c>
      <c r="AC53" s="44" t="s">
        <v>607</v>
      </c>
      <c r="AD53" s="51" t="str">
        <f>"T"&amp;INT((MONTH(LTI_5[[#This Row],[FECHA]])-1)/3)+1</f>
        <v>T3</v>
      </c>
      <c r="AE53" s="50"/>
      <c r="AR53" s="65">
        <f>LTI_5[[#This Row],[FECHA]]-I52</f>
        <v>15</v>
      </c>
    </row>
    <row r="54" spans="2:44" ht="60" hidden="1" x14ac:dyDescent="0.25">
      <c r="B54" s="60"/>
      <c r="C54" s="44" t="s">
        <v>567</v>
      </c>
      <c r="D54" s="44" t="s">
        <v>568</v>
      </c>
      <c r="E54" s="44" t="s">
        <v>595</v>
      </c>
      <c r="F54" s="44" t="s">
        <v>596</v>
      </c>
      <c r="G54" s="51" t="s">
        <v>650</v>
      </c>
      <c r="H54" s="51" t="s">
        <v>650</v>
      </c>
      <c r="I54" s="47">
        <v>45878</v>
      </c>
      <c r="J54" s="47"/>
      <c r="K54" s="54" t="s">
        <v>572</v>
      </c>
      <c r="L54" s="54" t="str">
        <f>TEXT(LTI_5[[#This Row],[FECHA]],"dddd")</f>
        <v>sábado</v>
      </c>
      <c r="M54" s="54"/>
      <c r="N54" s="54"/>
      <c r="O54" s="54"/>
      <c r="P54" s="54"/>
      <c r="Q54" s="54"/>
      <c r="R54" s="54"/>
      <c r="S54" s="63"/>
      <c r="T54" s="47"/>
      <c r="U54" s="44" t="s">
        <v>750</v>
      </c>
      <c r="V54" s="71" t="s">
        <v>574</v>
      </c>
      <c r="W54" s="53" t="s">
        <v>751</v>
      </c>
      <c r="X54" s="44" t="s">
        <v>667</v>
      </c>
      <c r="Y54" s="51">
        <v>47</v>
      </c>
      <c r="Z54" s="66" t="s">
        <v>612</v>
      </c>
      <c r="AA54" s="66"/>
      <c r="AB54" s="66" t="s">
        <v>578</v>
      </c>
      <c r="AC54" s="44" t="s">
        <v>579</v>
      </c>
      <c r="AD54" s="51" t="str">
        <f>"T"&amp;INT((MONTH(LTI_5[[#This Row],[FECHA]])-1)/3)+1</f>
        <v>T3</v>
      </c>
      <c r="AE54" s="50"/>
      <c r="AR54" s="65">
        <f>LTI_5[[#This Row],[FECHA]]-I53</f>
        <v>4</v>
      </c>
    </row>
    <row r="55" spans="2:44" ht="150" hidden="1" x14ac:dyDescent="0.25">
      <c r="B55" s="60"/>
      <c r="C55" s="44" t="s">
        <v>567</v>
      </c>
      <c r="D55" s="44" t="s">
        <v>568</v>
      </c>
      <c r="E55" s="44" t="s">
        <v>569</v>
      </c>
      <c r="F55" s="44" t="s">
        <v>646</v>
      </c>
      <c r="G55" s="44" t="s">
        <v>93</v>
      </c>
      <c r="H55" s="44" t="s">
        <v>714</v>
      </c>
      <c r="I55" s="47">
        <v>45881</v>
      </c>
      <c r="J55" s="47"/>
      <c r="K55" s="54" t="s">
        <v>572</v>
      </c>
      <c r="L55" s="54" t="str">
        <f>TEXT(LTI_5[[#This Row],[FECHA]],"dddd")</f>
        <v>martes</v>
      </c>
      <c r="M55" s="54"/>
      <c r="N55" s="54"/>
      <c r="O55" s="54"/>
      <c r="P55" s="54"/>
      <c r="Q55" s="54"/>
      <c r="R55" s="54"/>
      <c r="S55" s="63"/>
      <c r="T55" s="47"/>
      <c r="U55" s="44" t="s">
        <v>598</v>
      </c>
      <c r="V55" s="54" t="s">
        <v>599</v>
      </c>
      <c r="W55" s="53" t="s">
        <v>752</v>
      </c>
      <c r="X55" s="66" t="s">
        <v>637</v>
      </c>
      <c r="Y55" s="51">
        <v>2</v>
      </c>
      <c r="Z55" s="51" t="s">
        <v>753</v>
      </c>
      <c r="AA55" s="51"/>
      <c r="AB55" s="66" t="s">
        <v>737</v>
      </c>
      <c r="AC55" s="44" t="s">
        <v>579</v>
      </c>
      <c r="AD55" s="51" t="str">
        <f>"T"&amp;INT((MONTH(LTI_5[[#This Row],[FECHA]])-1)/3)+1</f>
        <v>T3</v>
      </c>
      <c r="AE55" s="50"/>
      <c r="AR55" s="65">
        <f>LTI_5[[#This Row],[FECHA]]-I54</f>
        <v>3</v>
      </c>
    </row>
    <row r="56" spans="2:44" ht="90" hidden="1" x14ac:dyDescent="0.25">
      <c r="B56" s="60"/>
      <c r="C56" s="44" t="s">
        <v>580</v>
      </c>
      <c r="D56" s="44" t="s">
        <v>568</v>
      </c>
      <c r="E56" s="44" t="s">
        <v>569</v>
      </c>
      <c r="F56" s="44" t="s">
        <v>608</v>
      </c>
      <c r="G56" s="44" t="s">
        <v>626</v>
      </c>
      <c r="H56" s="44" t="s">
        <v>626</v>
      </c>
      <c r="I56" s="47">
        <v>45896</v>
      </c>
      <c r="J56" s="47"/>
      <c r="K56" s="54" t="s">
        <v>572</v>
      </c>
      <c r="L56" s="54" t="str">
        <f>TEXT(LTI_5[[#This Row],[FECHA]],"dddd")</f>
        <v>miércoles</v>
      </c>
      <c r="M56" s="54"/>
      <c r="N56" s="54"/>
      <c r="O56" s="54"/>
      <c r="P56" s="54"/>
      <c r="Q56" s="54"/>
      <c r="R56" s="54"/>
      <c r="S56" s="63"/>
      <c r="T56" s="47"/>
      <c r="U56" s="44" t="s">
        <v>23</v>
      </c>
      <c r="V56" s="54" t="s">
        <v>599</v>
      </c>
      <c r="W56" s="53" t="s">
        <v>754</v>
      </c>
      <c r="X56" s="44" t="s">
        <v>744</v>
      </c>
      <c r="Y56" s="51">
        <v>7</v>
      </c>
      <c r="Z56" s="51" t="s">
        <v>682</v>
      </c>
      <c r="AA56" s="51"/>
      <c r="AB56" s="66" t="s">
        <v>739</v>
      </c>
      <c r="AC56" s="44" t="s">
        <v>579</v>
      </c>
      <c r="AD56" s="51" t="str">
        <f>"T"&amp;INT((MONTH(LTI_5[[#This Row],[FECHA]])-1)/3)+1</f>
        <v>T3</v>
      </c>
      <c r="AE56" s="50"/>
      <c r="AR56" s="65">
        <f>LTI_5[[#This Row],[FECHA]]-I55</f>
        <v>15</v>
      </c>
    </row>
    <row r="57" spans="2:44" ht="60" hidden="1" x14ac:dyDescent="0.25">
      <c r="B57" s="60"/>
      <c r="C57" s="44" t="s">
        <v>567</v>
      </c>
      <c r="D57" s="44" t="s">
        <v>568</v>
      </c>
      <c r="E57" s="44" t="s">
        <v>569</v>
      </c>
      <c r="F57" s="44" t="s">
        <v>646</v>
      </c>
      <c r="G57" s="44" t="s">
        <v>755</v>
      </c>
      <c r="H57" s="44" t="s">
        <v>755</v>
      </c>
      <c r="I57" s="47">
        <v>45902</v>
      </c>
      <c r="J57" s="47"/>
      <c r="K57" s="54" t="s">
        <v>572</v>
      </c>
      <c r="L57" s="54" t="str">
        <f>TEXT(LTI_5[[#This Row],[FECHA]],"dddd")</f>
        <v>martes</v>
      </c>
      <c r="M57" s="54"/>
      <c r="N57" s="54"/>
      <c r="O57" s="54"/>
      <c r="P57" s="54"/>
      <c r="Q57" s="54"/>
      <c r="R57" s="54"/>
      <c r="S57" s="63"/>
      <c r="T57" s="47"/>
      <c r="U57" s="44" t="s">
        <v>756</v>
      </c>
      <c r="V57" s="54" t="s">
        <v>574</v>
      </c>
      <c r="W57" s="53" t="s">
        <v>757</v>
      </c>
      <c r="X57" s="44" t="s">
        <v>758</v>
      </c>
      <c r="Y57" s="51">
        <v>1140</v>
      </c>
      <c r="Z57" s="59" t="s">
        <v>759</v>
      </c>
      <c r="AA57" s="59"/>
      <c r="AB57" s="66" t="s">
        <v>737</v>
      </c>
      <c r="AC57" s="44" t="s">
        <v>579</v>
      </c>
      <c r="AD57" s="51" t="str">
        <f>"T"&amp;INT((MONTH(LTI_5[[#This Row],[FECHA]])-1)/3)+1</f>
        <v>T3</v>
      </c>
      <c r="AE57" s="50"/>
      <c r="AR57" s="65">
        <f>LTI_5[[#This Row],[FECHA]]-I56</f>
        <v>6</v>
      </c>
    </row>
    <row r="58" spans="2:44" ht="90" hidden="1" x14ac:dyDescent="0.25">
      <c r="B58" s="60"/>
      <c r="C58" s="44" t="s">
        <v>567</v>
      </c>
      <c r="D58" s="44" t="s">
        <v>568</v>
      </c>
      <c r="E58" s="44" t="s">
        <v>569</v>
      </c>
      <c r="F58" s="44" t="s">
        <v>614</v>
      </c>
      <c r="G58" s="51" t="s">
        <v>333</v>
      </c>
      <c r="H58" s="51" t="s">
        <v>615</v>
      </c>
      <c r="I58" s="47">
        <v>45922</v>
      </c>
      <c r="J58" s="47"/>
      <c r="K58" s="54" t="s">
        <v>572</v>
      </c>
      <c r="L58" s="54" t="str">
        <f>TEXT(LTI_5[[#This Row],[FECHA]],"dddd")</f>
        <v>lunes</v>
      </c>
      <c r="M58" s="54"/>
      <c r="N58" s="54"/>
      <c r="O58" s="54"/>
      <c r="P58" s="54"/>
      <c r="Q58" s="54"/>
      <c r="R58" s="54"/>
      <c r="S58" s="63"/>
      <c r="T58" s="47"/>
      <c r="U58" s="44" t="s">
        <v>616</v>
      </c>
      <c r="V58" s="71" t="s">
        <v>574</v>
      </c>
      <c r="W58" s="53" t="s">
        <v>760</v>
      </c>
      <c r="X58" s="44" t="s">
        <v>761</v>
      </c>
      <c r="Y58" s="51">
        <v>3</v>
      </c>
      <c r="Z58" s="59" t="s">
        <v>762</v>
      </c>
      <c r="AA58" s="59"/>
      <c r="AB58" s="66" t="s">
        <v>737</v>
      </c>
      <c r="AC58" s="44" t="s">
        <v>607</v>
      </c>
      <c r="AD58" s="51" t="str">
        <f>"T"&amp;INT((MONTH(LTI_5[[#This Row],[FECHA]])-1)/3)+1</f>
        <v>T3</v>
      </c>
      <c r="AE58" s="50"/>
      <c r="AR58" s="70">
        <f>LTI_5[[#This Row],[FECHA]]-I57</f>
        <v>20</v>
      </c>
    </row>
    <row r="59" spans="2:44" ht="30" hidden="1" x14ac:dyDescent="0.25">
      <c r="B59" s="60"/>
      <c r="C59" s="44" t="s">
        <v>567</v>
      </c>
      <c r="D59" s="44" t="s">
        <v>568</v>
      </c>
      <c r="E59" s="44" t="s">
        <v>581</v>
      </c>
      <c r="F59" s="44" t="s">
        <v>582</v>
      </c>
      <c r="G59" s="44" t="s">
        <v>763</v>
      </c>
      <c r="H59" s="44" t="s">
        <v>763</v>
      </c>
      <c r="I59" s="47">
        <v>45925</v>
      </c>
      <c r="J59" s="47"/>
      <c r="K59" s="54" t="s">
        <v>572</v>
      </c>
      <c r="L59" s="54" t="str">
        <f>TEXT(LTI_5[[#This Row],[FECHA]],"dddd")</f>
        <v>jueves</v>
      </c>
      <c r="M59" s="54"/>
      <c r="N59" s="54"/>
      <c r="O59" s="54"/>
      <c r="P59" s="54"/>
      <c r="Q59" s="54"/>
      <c r="R59" s="54"/>
      <c r="S59" s="63"/>
      <c r="T59" s="47"/>
      <c r="U59" s="44" t="s">
        <v>598</v>
      </c>
      <c r="V59" s="54" t="s">
        <v>599</v>
      </c>
      <c r="W59" s="53" t="s">
        <v>764</v>
      </c>
      <c r="X59" s="44" t="s">
        <v>765</v>
      </c>
      <c r="Y59" s="51">
        <v>2</v>
      </c>
      <c r="Z59" s="59" t="s">
        <v>766</v>
      </c>
      <c r="AA59" s="59"/>
      <c r="AB59" s="66" t="s">
        <v>737</v>
      </c>
      <c r="AC59" s="44" t="s">
        <v>579</v>
      </c>
      <c r="AD59" s="51" t="str">
        <f>"T"&amp;INT((MONTH(LTI_5[[#This Row],[FECHA]])-1)/3)+1</f>
        <v>T3</v>
      </c>
      <c r="AE59" s="50"/>
      <c r="AR59" s="65">
        <f>LTI_5[[#This Row],[FECHA]]-I58</f>
        <v>3</v>
      </c>
    </row>
    <row r="60" spans="2:44" ht="90" hidden="1" x14ac:dyDescent="0.25">
      <c r="B60" s="60"/>
      <c r="C60" s="44" t="s">
        <v>580</v>
      </c>
      <c r="D60" s="44" t="s">
        <v>568</v>
      </c>
      <c r="E60" s="44" t="s">
        <v>595</v>
      </c>
      <c r="F60" s="44" t="s">
        <v>688</v>
      </c>
      <c r="G60" s="44" t="s">
        <v>455</v>
      </c>
      <c r="H60" s="44" t="s">
        <v>621</v>
      </c>
      <c r="I60" s="47">
        <v>45930</v>
      </c>
      <c r="J60" s="47"/>
      <c r="K60" s="54" t="s">
        <v>572</v>
      </c>
      <c r="L60" s="54" t="str">
        <f>TEXT(LTI_5[[#This Row],[FECHA]],"dddd")</f>
        <v>martes</v>
      </c>
      <c r="M60" s="54"/>
      <c r="N60" s="54"/>
      <c r="O60" s="54"/>
      <c r="P60" s="54"/>
      <c r="Q60" s="54"/>
      <c r="R60" s="54"/>
      <c r="S60" s="63"/>
      <c r="T60" s="47"/>
      <c r="U60" s="44" t="s">
        <v>627</v>
      </c>
      <c r="V60" s="54" t="s">
        <v>623</v>
      </c>
      <c r="W60" s="53" t="s">
        <v>767</v>
      </c>
      <c r="X60" s="44" t="s">
        <v>765</v>
      </c>
      <c r="Y60" s="51">
        <v>12</v>
      </c>
      <c r="Z60" s="59" t="s">
        <v>768</v>
      </c>
      <c r="AA60" s="59"/>
      <c r="AB60" s="66" t="s">
        <v>737</v>
      </c>
      <c r="AC60" s="44" t="s">
        <v>607</v>
      </c>
      <c r="AD60" s="51" t="str">
        <f>"T"&amp;INT((MONTH(LTI_5[[#This Row],[FECHA]])-1)/3)+1</f>
        <v>T3</v>
      </c>
      <c r="AE60" s="50"/>
      <c r="AR60" s="65">
        <f>LTI_5[[#This Row],[FECHA]]-I59</f>
        <v>5</v>
      </c>
    </row>
    <row r="61" spans="2:44" ht="60" hidden="1" x14ac:dyDescent="0.25">
      <c r="B61" s="60"/>
      <c r="C61" s="44" t="s">
        <v>662</v>
      </c>
      <c r="D61" s="44" t="s">
        <v>568</v>
      </c>
      <c r="E61" s="44" t="s">
        <v>569</v>
      </c>
      <c r="F61" s="44" t="s">
        <v>614</v>
      </c>
      <c r="G61" s="44" t="s">
        <v>740</v>
      </c>
      <c r="H61" s="44" t="s">
        <v>664</v>
      </c>
      <c r="I61" s="47">
        <v>45936</v>
      </c>
      <c r="J61" s="47"/>
      <c r="K61" s="54" t="s">
        <v>572</v>
      </c>
      <c r="L61" s="54" t="str">
        <f>TEXT(LTI_5[[#This Row],[FECHA]],"dddd")</f>
        <v>lunes</v>
      </c>
      <c r="M61" s="54"/>
      <c r="N61" s="54"/>
      <c r="O61" s="54"/>
      <c r="P61" s="54"/>
      <c r="Q61" s="54"/>
      <c r="R61" s="54"/>
      <c r="S61" s="63"/>
      <c r="T61" s="47"/>
      <c r="U61" s="44" t="s">
        <v>662</v>
      </c>
      <c r="V61" s="54" t="s">
        <v>599</v>
      </c>
      <c r="W61" s="53" t="s">
        <v>769</v>
      </c>
      <c r="X61" s="44" t="s">
        <v>770</v>
      </c>
      <c r="Y61" s="51">
        <v>6</v>
      </c>
      <c r="Z61" s="66"/>
      <c r="AA61" s="66"/>
      <c r="AB61" s="66"/>
      <c r="AC61" s="44"/>
      <c r="AD61" s="51" t="str">
        <f>"T"&amp;INT((MONTH(LTI_5[[#This Row],[FECHA]])-1)/3)+1</f>
        <v>T4</v>
      </c>
      <c r="AE61" s="50"/>
      <c r="AR61" s="65">
        <f>LTI_5[[#This Row],[FECHA]]-I60</f>
        <v>6</v>
      </c>
    </row>
    <row r="62" spans="2:44" ht="105" hidden="1" x14ac:dyDescent="0.25">
      <c r="B62" s="60"/>
      <c r="C62" s="44" t="s">
        <v>580</v>
      </c>
      <c r="D62" s="44" t="s">
        <v>640</v>
      </c>
      <c r="E62" s="44" t="s">
        <v>595</v>
      </c>
      <c r="F62" s="44" t="s">
        <v>680</v>
      </c>
      <c r="G62" s="44" t="s">
        <v>455</v>
      </c>
      <c r="H62" s="44"/>
      <c r="I62" s="47">
        <v>45940</v>
      </c>
      <c r="J62" s="47"/>
      <c r="K62" s="54"/>
      <c r="L62" s="54" t="str">
        <f>TEXT(LTI_5[[#This Row],[FECHA]],"dddd")</f>
        <v>viernes</v>
      </c>
      <c r="M62" s="54"/>
      <c r="N62" s="54"/>
      <c r="O62" s="54"/>
      <c r="P62" s="54"/>
      <c r="Q62" s="54"/>
      <c r="R62" s="54"/>
      <c r="S62" s="63"/>
      <c r="T62" s="47"/>
      <c r="U62" s="44" t="s">
        <v>590</v>
      </c>
      <c r="V62" s="54" t="s">
        <v>771</v>
      </c>
      <c r="W62" s="53" t="s">
        <v>772</v>
      </c>
      <c r="X62" s="44" t="s">
        <v>773</v>
      </c>
      <c r="Y62" s="69">
        <v>17</v>
      </c>
      <c r="Z62" s="59" t="s">
        <v>774</v>
      </c>
      <c r="AA62" s="59"/>
      <c r="AB62" s="66" t="s">
        <v>578</v>
      </c>
      <c r="AC62" s="44" t="s">
        <v>579</v>
      </c>
      <c r="AD62" s="51" t="str">
        <f>"T"&amp;INT((MONTH(LTI_5[[#This Row],[FECHA]])-1)/3)+1</f>
        <v>T4</v>
      </c>
      <c r="AE62" s="50"/>
      <c r="AR62" s="65">
        <f>LTI_5[[#This Row],[FECHA]]-I61</f>
        <v>4</v>
      </c>
    </row>
    <row r="63" spans="2:44" ht="141" hidden="1" customHeight="1" x14ac:dyDescent="0.25">
      <c r="B63" s="60"/>
      <c r="C63" s="44" t="s">
        <v>567</v>
      </c>
      <c r="D63" s="44" t="s">
        <v>568</v>
      </c>
      <c r="E63" s="44" t="s">
        <v>581</v>
      </c>
      <c r="F63" s="44" t="s">
        <v>582</v>
      </c>
      <c r="G63" s="44" t="s">
        <v>48</v>
      </c>
      <c r="H63" s="44" t="s">
        <v>48</v>
      </c>
      <c r="I63" s="47">
        <v>45941</v>
      </c>
      <c r="J63" s="47"/>
      <c r="K63" s="54"/>
      <c r="L63" s="54" t="str">
        <f>TEXT(LTI_5[[#This Row],[FECHA]],"dddd")</f>
        <v>sábado</v>
      </c>
      <c r="M63" s="54"/>
      <c r="N63" s="54"/>
      <c r="O63" s="54"/>
      <c r="P63" s="54"/>
      <c r="Q63" s="54"/>
      <c r="R63" s="54"/>
      <c r="S63" s="63"/>
      <c r="T63" s="47"/>
      <c r="U63" s="44" t="s">
        <v>598</v>
      </c>
      <c r="V63" s="54" t="s">
        <v>599</v>
      </c>
      <c r="W63" s="53" t="s">
        <v>775</v>
      </c>
      <c r="X63" s="44" t="s">
        <v>776</v>
      </c>
      <c r="Y63" s="69">
        <v>34</v>
      </c>
      <c r="Z63" s="59" t="s">
        <v>588</v>
      </c>
      <c r="AA63" s="59"/>
      <c r="AB63" s="66" t="s">
        <v>578</v>
      </c>
      <c r="AC63" s="44" t="s">
        <v>579</v>
      </c>
      <c r="AD63" s="51" t="str">
        <f>"T"&amp;INT((MONTH(LTI_5[[#This Row],[FECHA]])-1)/3)+1</f>
        <v>T4</v>
      </c>
      <c r="AE63" s="50"/>
      <c r="AR63" s="65">
        <f>LTI_5[[#This Row],[FECHA]]-I62</f>
        <v>1</v>
      </c>
    </row>
    <row r="64" spans="2:44" ht="120.6" hidden="1" customHeight="1" x14ac:dyDescent="0.25">
      <c r="B64" s="60"/>
      <c r="C64" s="44" t="s">
        <v>567</v>
      </c>
      <c r="D64" s="44" t="s">
        <v>568</v>
      </c>
      <c r="E64" s="44" t="s">
        <v>569</v>
      </c>
      <c r="F64" s="44" t="s">
        <v>570</v>
      </c>
      <c r="G64" s="42" t="s">
        <v>604</v>
      </c>
      <c r="H64" s="44"/>
      <c r="I64" s="47">
        <v>45943</v>
      </c>
      <c r="J64" s="47"/>
      <c r="K64" s="54"/>
      <c r="L64" s="54" t="str">
        <f>TEXT(LTI_5[[#This Row],[FECHA]],"dddd")</f>
        <v>lunes</v>
      </c>
      <c r="M64" s="54"/>
      <c r="N64" s="54"/>
      <c r="O64" s="54"/>
      <c r="P64" s="54"/>
      <c r="Q64" s="54"/>
      <c r="R64" s="54"/>
      <c r="S64" s="63"/>
      <c r="T64" s="47"/>
      <c r="U64" s="44" t="s">
        <v>709</v>
      </c>
      <c r="V64" s="54" t="s">
        <v>623</v>
      </c>
      <c r="W64" s="53" t="s">
        <v>777</v>
      </c>
      <c r="X64" s="44" t="s">
        <v>778</v>
      </c>
      <c r="Y64" s="69">
        <v>7</v>
      </c>
      <c r="Z64" s="59" t="s">
        <v>779</v>
      </c>
      <c r="AA64" s="59"/>
      <c r="AB64" s="66" t="s">
        <v>578</v>
      </c>
      <c r="AC64" s="44" t="s">
        <v>579</v>
      </c>
      <c r="AD64" s="51" t="str">
        <f>"T"&amp;INT((MONTH(LTI_5[[#This Row],[FECHA]])-1)/3)+1</f>
        <v>T4</v>
      </c>
      <c r="AE64" s="50"/>
      <c r="AR64" s="65">
        <f>LTI_5[[#This Row],[FECHA]]-I63</f>
        <v>2</v>
      </c>
    </row>
    <row r="65" spans="2:44" ht="60" hidden="1" x14ac:dyDescent="0.25">
      <c r="B65" s="60"/>
      <c r="C65" s="44" t="s">
        <v>567</v>
      </c>
      <c r="D65" s="44" t="s">
        <v>568</v>
      </c>
      <c r="E65" s="44" t="s">
        <v>569</v>
      </c>
      <c r="F65" s="44" t="s">
        <v>646</v>
      </c>
      <c r="G65" s="44" t="s">
        <v>93</v>
      </c>
      <c r="H65" s="44"/>
      <c r="I65" s="47">
        <v>45946</v>
      </c>
      <c r="J65" s="47"/>
      <c r="K65" s="54"/>
      <c r="L65" s="54" t="str">
        <f>TEXT(LTI_5[[#This Row],[FECHA]],"dddd")</f>
        <v>jueves</v>
      </c>
      <c r="M65" s="54"/>
      <c r="N65" s="54"/>
      <c r="O65" s="54"/>
      <c r="P65" s="54"/>
      <c r="Q65" s="54"/>
      <c r="R65" s="54"/>
      <c r="S65" s="63"/>
      <c r="T65" s="47"/>
      <c r="U65" s="44" t="s">
        <v>598</v>
      </c>
      <c r="V65" s="54" t="s">
        <v>599</v>
      </c>
      <c r="W65" s="53" t="s">
        <v>780</v>
      </c>
      <c r="X65" s="44" t="s">
        <v>781</v>
      </c>
      <c r="Y65" s="69">
        <v>2</v>
      </c>
      <c r="Z65" s="59" t="s">
        <v>782</v>
      </c>
      <c r="AA65" s="59"/>
      <c r="AB65" s="66" t="s">
        <v>739</v>
      </c>
      <c r="AC65" s="44" t="s">
        <v>579</v>
      </c>
      <c r="AD65" s="51" t="str">
        <f>"T"&amp;INT((MONTH(LTI_5[[#This Row],[FECHA]])-1)/3)+1</f>
        <v>T4</v>
      </c>
      <c r="AE65" s="50"/>
      <c r="AR65" s="65">
        <f>LTI_5[[#This Row],[FECHA]]-I64</f>
        <v>3</v>
      </c>
    </row>
    <row r="66" spans="2:44" ht="60" hidden="1" x14ac:dyDescent="0.25">
      <c r="B66" s="60"/>
      <c r="C66" s="44" t="s">
        <v>567</v>
      </c>
      <c r="D66" s="44" t="s">
        <v>568</v>
      </c>
      <c r="E66" s="44" t="s">
        <v>569</v>
      </c>
      <c r="F66" s="44" t="s">
        <v>570</v>
      </c>
      <c r="G66" s="42" t="s">
        <v>604</v>
      </c>
      <c r="H66" s="44"/>
      <c r="I66" s="47">
        <v>45950</v>
      </c>
      <c r="J66" s="47"/>
      <c r="K66" s="54"/>
      <c r="L66" s="54" t="str">
        <f>TEXT(LTI_5[[#This Row],[FECHA]],"dddd")</f>
        <v>lunes</v>
      </c>
      <c r="M66" s="54"/>
      <c r="N66" s="54"/>
      <c r="O66" s="54"/>
      <c r="P66" s="54"/>
      <c r="Q66" s="54"/>
      <c r="R66" s="54"/>
      <c r="S66" s="63"/>
      <c r="T66" s="47"/>
      <c r="U66" s="44" t="s">
        <v>598</v>
      </c>
      <c r="V66" s="54" t="s">
        <v>599</v>
      </c>
      <c r="W66" s="53" t="s">
        <v>783</v>
      </c>
      <c r="X66" s="44" t="s">
        <v>784</v>
      </c>
      <c r="Y66" s="69">
        <v>43</v>
      </c>
      <c r="Z66" s="59" t="s">
        <v>785</v>
      </c>
      <c r="AA66" s="59"/>
      <c r="AB66" s="66" t="s">
        <v>737</v>
      </c>
      <c r="AC66" s="44" t="s">
        <v>607</v>
      </c>
      <c r="AD66" s="51" t="str">
        <f>"T"&amp;INT((MONTH(LTI_5[[#This Row],[FECHA]])-1)/3)+1</f>
        <v>T4</v>
      </c>
      <c r="AE66" s="50"/>
      <c r="AR66" s="65">
        <f>LTI_5[[#This Row],[FECHA]]-I65</f>
        <v>4</v>
      </c>
    </row>
    <row r="67" spans="2:44" ht="120" hidden="1" x14ac:dyDescent="0.25">
      <c r="B67" s="60"/>
      <c r="C67" s="44" t="s">
        <v>567</v>
      </c>
      <c r="D67" s="44" t="s">
        <v>568</v>
      </c>
      <c r="E67" s="44" t="s">
        <v>581</v>
      </c>
      <c r="F67" s="44" t="s">
        <v>582</v>
      </c>
      <c r="G67" s="44" t="s">
        <v>647</v>
      </c>
      <c r="H67" s="44"/>
      <c r="I67" s="47">
        <v>45952</v>
      </c>
      <c r="J67" s="47"/>
      <c r="K67" s="54"/>
      <c r="L67" s="54" t="str">
        <f>TEXT(LTI_5[[#This Row],[FECHA]],"dddd")</f>
        <v>miércoles</v>
      </c>
      <c r="M67" s="54"/>
      <c r="N67" s="54"/>
      <c r="O67" s="54"/>
      <c r="P67" s="54"/>
      <c r="Q67" s="54"/>
      <c r="R67" s="54"/>
      <c r="S67" s="63"/>
      <c r="T67" s="47"/>
      <c r="U67" s="44" t="s">
        <v>598</v>
      </c>
      <c r="V67" s="54" t="s">
        <v>599</v>
      </c>
      <c r="W67" s="53" t="s">
        <v>786</v>
      </c>
      <c r="X67" s="44" t="s">
        <v>787</v>
      </c>
      <c r="Y67" s="69">
        <v>1</v>
      </c>
      <c r="Z67" s="59" t="s">
        <v>788</v>
      </c>
      <c r="AA67" s="59"/>
      <c r="AB67" s="66" t="s">
        <v>737</v>
      </c>
      <c r="AC67" s="44" t="s">
        <v>607</v>
      </c>
      <c r="AD67" s="51" t="str">
        <f>"T"&amp;INT((MONTH(LTI_5[[#This Row],[FECHA]])-1)/3)+1</f>
        <v>T4</v>
      </c>
      <c r="AE67" s="50"/>
      <c r="AR67" s="65">
        <f>LTI_5[[#This Row],[FECHA]]-I66</f>
        <v>2</v>
      </c>
    </row>
    <row r="68" spans="2:44" ht="45" hidden="1" x14ac:dyDescent="0.25">
      <c r="B68" s="60"/>
      <c r="C68" s="44" t="s">
        <v>567</v>
      </c>
      <c r="D68" s="44" t="s">
        <v>568</v>
      </c>
      <c r="E68" s="44" t="s">
        <v>581</v>
      </c>
      <c r="F68" s="44" t="s">
        <v>634</v>
      </c>
      <c r="G68" s="44" t="s">
        <v>93</v>
      </c>
      <c r="H68" s="44"/>
      <c r="I68" s="47">
        <v>45957</v>
      </c>
      <c r="J68" s="47"/>
      <c r="K68" s="54"/>
      <c r="L68" s="54" t="str">
        <f>TEXT(LTI_5[[#This Row],[FECHA]],"dddd")</f>
        <v>lunes</v>
      </c>
      <c r="M68" s="54"/>
      <c r="N68" s="54"/>
      <c r="O68" s="54"/>
      <c r="P68" s="54"/>
      <c r="Q68" s="54"/>
      <c r="R68" s="54"/>
      <c r="S68" s="63"/>
      <c r="T68" s="47"/>
      <c r="U68" s="44" t="s">
        <v>789</v>
      </c>
      <c r="V68" s="54" t="s">
        <v>771</v>
      </c>
      <c r="W68" s="53" t="s">
        <v>790</v>
      </c>
      <c r="X68" s="44" t="s">
        <v>791</v>
      </c>
      <c r="Y68" s="69">
        <v>1</v>
      </c>
      <c r="Z68" s="59" t="s">
        <v>792</v>
      </c>
      <c r="AA68" s="59"/>
      <c r="AB68" s="66" t="s">
        <v>737</v>
      </c>
      <c r="AC68" s="44" t="s">
        <v>607</v>
      </c>
      <c r="AD68" s="51" t="str">
        <f>"T"&amp;INT((MONTH(LTI_5[[#This Row],[FECHA]])-1)/3)+1</f>
        <v>T4</v>
      </c>
      <c r="AE68" s="50"/>
      <c r="AR68" s="65">
        <f>LTI_5[[#This Row],[FECHA]]-I67</f>
        <v>5</v>
      </c>
    </row>
    <row r="69" spans="2:44" ht="75" hidden="1" x14ac:dyDescent="0.25">
      <c r="B69" s="60"/>
      <c r="C69" s="44" t="s">
        <v>567</v>
      </c>
      <c r="D69" s="44" t="s">
        <v>568</v>
      </c>
      <c r="E69" s="44" t="s">
        <v>569</v>
      </c>
      <c r="F69" s="44" t="s">
        <v>646</v>
      </c>
      <c r="G69" s="44" t="s">
        <v>93</v>
      </c>
      <c r="H69" s="44"/>
      <c r="I69" s="47">
        <v>45959</v>
      </c>
      <c r="J69" s="47"/>
      <c r="K69" s="54"/>
      <c r="L69" s="54" t="str">
        <f>TEXT(LTI_5[[#This Row],[FECHA]],"dddd")</f>
        <v>miércoles</v>
      </c>
      <c r="M69" s="54"/>
      <c r="N69" s="54"/>
      <c r="O69" s="54"/>
      <c r="P69" s="54"/>
      <c r="Q69" s="54"/>
      <c r="R69" s="54"/>
      <c r="S69" s="63"/>
      <c r="T69" s="47"/>
      <c r="U69" s="44" t="s">
        <v>598</v>
      </c>
      <c r="V69" s="54" t="s">
        <v>599</v>
      </c>
      <c r="W69" s="53" t="s">
        <v>793</v>
      </c>
      <c r="X69" s="44" t="s">
        <v>794</v>
      </c>
      <c r="Y69" s="69">
        <v>3</v>
      </c>
      <c r="Z69" s="59" t="s">
        <v>795</v>
      </c>
      <c r="AA69" s="59"/>
      <c r="AB69" s="66" t="s">
        <v>737</v>
      </c>
      <c r="AC69" s="44" t="s">
        <v>607</v>
      </c>
      <c r="AD69" s="51" t="str">
        <f>"T"&amp;INT((MONTH(LTI_5[[#This Row],[FECHA]])-1)/3)+1</f>
        <v>T4</v>
      </c>
      <c r="AE69" s="50"/>
      <c r="AR69" s="65">
        <f>LTI_5[[#This Row],[FECHA]]-I68</f>
        <v>2</v>
      </c>
    </row>
    <row r="70" spans="2:44" ht="120" hidden="1" x14ac:dyDescent="0.25">
      <c r="B70" s="60"/>
      <c r="C70" s="44" t="s">
        <v>567</v>
      </c>
      <c r="D70" s="44" t="s">
        <v>568</v>
      </c>
      <c r="E70" s="44" t="s">
        <v>569</v>
      </c>
      <c r="F70" s="44" t="s">
        <v>570</v>
      </c>
      <c r="G70" s="42" t="s">
        <v>604</v>
      </c>
      <c r="H70" s="44"/>
      <c r="I70" s="47">
        <v>45961</v>
      </c>
      <c r="J70" s="47"/>
      <c r="K70" s="54"/>
      <c r="L70" s="54" t="str">
        <f>TEXT(LTI_5[[#This Row],[FECHA]],"dddd")</f>
        <v>viernes</v>
      </c>
      <c r="M70" s="54"/>
      <c r="N70" s="54"/>
      <c r="O70" s="54"/>
      <c r="P70" s="54"/>
      <c r="Q70" s="54"/>
      <c r="R70" s="54"/>
      <c r="S70" s="63"/>
      <c r="T70" s="47"/>
      <c r="U70" s="44" t="s">
        <v>598</v>
      </c>
      <c r="V70" s="54" t="s">
        <v>599</v>
      </c>
      <c r="W70" s="53" t="s">
        <v>796</v>
      </c>
      <c r="X70" s="44" t="s">
        <v>797</v>
      </c>
      <c r="Y70" s="69">
        <v>5</v>
      </c>
      <c r="Z70" s="148" t="s">
        <v>798</v>
      </c>
      <c r="AA70" s="148"/>
      <c r="AB70" s="148" t="s">
        <v>799</v>
      </c>
      <c r="AC70" s="44" t="s">
        <v>607</v>
      </c>
      <c r="AD70" s="51" t="str">
        <f>"T"&amp;INT((MONTH(LTI_5[[#This Row],[FECHA]])-1)/3)+1</f>
        <v>T4</v>
      </c>
      <c r="AE70" s="50"/>
      <c r="AR70" s="65">
        <f>LTI_5[[#This Row],[FECHA]]-I69</f>
        <v>2</v>
      </c>
    </row>
    <row r="71" spans="2:44" ht="90" hidden="1" x14ac:dyDescent="0.25">
      <c r="B71" s="60"/>
      <c r="C71" s="44" t="s">
        <v>580</v>
      </c>
      <c r="D71" s="44" t="s">
        <v>568</v>
      </c>
      <c r="E71" s="44" t="s">
        <v>569</v>
      </c>
      <c r="F71" s="44" t="s">
        <v>608</v>
      </c>
      <c r="G71" s="44" t="s">
        <v>455</v>
      </c>
      <c r="H71" s="68"/>
      <c r="I71" s="47">
        <v>45969</v>
      </c>
      <c r="J71" s="47"/>
      <c r="K71" s="54"/>
      <c r="L71" s="54" t="str">
        <f>TEXT(LTI_5[[#This Row],[FECHA]],"dddd")</f>
        <v>sábado</v>
      </c>
      <c r="M71" s="54"/>
      <c r="N71" s="54"/>
      <c r="O71" s="54"/>
      <c r="P71" s="54"/>
      <c r="Q71" s="54"/>
      <c r="R71" s="54"/>
      <c r="S71" s="63"/>
      <c r="T71" s="47"/>
      <c r="U71" s="51" t="s">
        <v>622</v>
      </c>
      <c r="V71" s="54" t="s">
        <v>771</v>
      </c>
      <c r="W71" s="53" t="s">
        <v>800</v>
      </c>
      <c r="X71" s="44" t="s">
        <v>801</v>
      </c>
      <c r="Y71" s="51">
        <v>14</v>
      </c>
      <c r="Z71" s="148" t="s">
        <v>802</v>
      </c>
      <c r="AA71" s="148"/>
      <c r="AB71" s="148" t="s">
        <v>799</v>
      </c>
      <c r="AC71" s="44" t="s">
        <v>607</v>
      </c>
      <c r="AD71" s="51" t="str">
        <f>"T"&amp;INT((MONTH(LTI_5[[#This Row],[FECHA]])-1)/3)+1</f>
        <v>T4</v>
      </c>
      <c r="AE71" s="50"/>
      <c r="AR71" s="65">
        <f>LTI_5[[#This Row],[FECHA]]-I70</f>
        <v>8</v>
      </c>
    </row>
    <row r="72" spans="2:44" ht="62.4" hidden="1" customHeight="1" x14ac:dyDescent="0.3">
      <c r="B72" s="60"/>
      <c r="C72" s="44" t="s">
        <v>580</v>
      </c>
      <c r="D72" s="44" t="s">
        <v>568</v>
      </c>
      <c r="E72" s="44" t="s">
        <v>595</v>
      </c>
      <c r="F72" s="44" t="s">
        <v>688</v>
      </c>
      <c r="G72" s="44" t="s">
        <v>455</v>
      </c>
      <c r="H72" s="68"/>
      <c r="I72" s="47">
        <v>45979</v>
      </c>
      <c r="J72" s="47"/>
      <c r="K72" s="54"/>
      <c r="L72" s="54" t="str">
        <f>TEXT(LTI_5[[#This Row],[FECHA]],"dddd")</f>
        <v>martes</v>
      </c>
      <c r="M72" s="54"/>
      <c r="N72" s="54"/>
      <c r="O72" s="54"/>
      <c r="P72" s="54"/>
      <c r="Q72" s="54"/>
      <c r="R72" s="54"/>
      <c r="S72" s="63"/>
      <c r="T72" s="47"/>
      <c r="U72" s="51" t="s">
        <v>622</v>
      </c>
      <c r="V72" s="54" t="s">
        <v>771</v>
      </c>
      <c r="W72" s="67" t="s">
        <v>803</v>
      </c>
      <c r="X72" s="44" t="s">
        <v>804</v>
      </c>
      <c r="Y72" s="51">
        <v>4</v>
      </c>
      <c r="Z72" s="148" t="s">
        <v>805</v>
      </c>
      <c r="AA72" s="148"/>
      <c r="AB72" s="148" t="s">
        <v>737</v>
      </c>
      <c r="AC72" s="44" t="s">
        <v>607</v>
      </c>
      <c r="AD72" s="51" t="str">
        <f>"T"&amp;INT((MONTH(LTI_5[[#This Row],[FECHA]])-1)/3)+1</f>
        <v>T4</v>
      </c>
      <c r="AE72" s="50"/>
      <c r="AR72" s="65">
        <f>LTI_5[[#This Row],[FECHA]]-I71</f>
        <v>10</v>
      </c>
    </row>
    <row r="73" spans="2:44" ht="60" hidden="1" x14ac:dyDescent="0.25">
      <c r="B73" s="60"/>
      <c r="C73" s="44" t="s">
        <v>68</v>
      </c>
      <c r="D73" s="44" t="s">
        <v>568</v>
      </c>
      <c r="E73" s="44" t="s">
        <v>569</v>
      </c>
      <c r="F73" s="44" t="s">
        <v>570</v>
      </c>
      <c r="G73" s="44" t="s">
        <v>699</v>
      </c>
      <c r="H73" s="44"/>
      <c r="I73" s="47">
        <v>45988</v>
      </c>
      <c r="J73" s="47"/>
      <c r="K73" s="54"/>
      <c r="L73" s="54" t="str">
        <f>TEXT(LTI_5[[#This Row],[FECHA]],"dddd")</f>
        <v>jueves</v>
      </c>
      <c r="M73" s="54"/>
      <c r="N73" s="54"/>
      <c r="O73" s="54"/>
      <c r="P73" s="54"/>
      <c r="Q73" s="54"/>
      <c r="R73" s="54"/>
      <c r="S73" s="63"/>
      <c r="T73" s="47"/>
      <c r="U73" s="44" t="s">
        <v>806</v>
      </c>
      <c r="V73" s="54" t="s">
        <v>591</v>
      </c>
      <c r="W73" s="53" t="s">
        <v>807</v>
      </c>
      <c r="X73" s="44" t="s">
        <v>808</v>
      </c>
      <c r="Y73" s="51">
        <v>4</v>
      </c>
      <c r="Z73" s="148" t="s">
        <v>619</v>
      </c>
      <c r="AA73" s="148"/>
      <c r="AB73" s="148" t="s">
        <v>737</v>
      </c>
      <c r="AC73" s="44" t="s">
        <v>607</v>
      </c>
      <c r="AD73" s="51" t="str">
        <f>"T"&amp;INT((MONTH(LTI_5[[#This Row],[FECHA]])-1)/3)+1</f>
        <v>T4</v>
      </c>
      <c r="AE73" s="50"/>
      <c r="AR73" s="65">
        <f>LTI_5[[#This Row],[FECHA]]-I72</f>
        <v>9</v>
      </c>
    </row>
    <row r="74" spans="2:44" ht="75" hidden="1" x14ac:dyDescent="0.25">
      <c r="B74" s="60"/>
      <c r="C74" s="44" t="s">
        <v>567</v>
      </c>
      <c r="D74" s="44" t="s">
        <v>568</v>
      </c>
      <c r="E74" s="44" t="s">
        <v>569</v>
      </c>
      <c r="F74" s="44" t="s">
        <v>570</v>
      </c>
      <c r="G74" s="42" t="s">
        <v>604</v>
      </c>
      <c r="H74" s="44"/>
      <c r="I74" s="47">
        <v>45993</v>
      </c>
      <c r="J74" s="47"/>
      <c r="K74" s="54"/>
      <c r="L74" s="54" t="str">
        <f>TEXT(LTI_5[[#This Row],[FECHA]],"dddd")</f>
        <v>martes</v>
      </c>
      <c r="M74" s="54"/>
      <c r="N74" s="54"/>
      <c r="O74" s="54"/>
      <c r="P74" s="54"/>
      <c r="Q74" s="54"/>
      <c r="R74" s="54"/>
      <c r="S74" s="63"/>
      <c r="T74" s="47"/>
      <c r="U74" s="44" t="s">
        <v>598</v>
      </c>
      <c r="V74" s="54" t="s">
        <v>599</v>
      </c>
      <c r="W74" s="53" t="s">
        <v>809</v>
      </c>
      <c r="X74" s="44"/>
      <c r="Y74" s="51">
        <v>17</v>
      </c>
      <c r="Z74" s="59"/>
      <c r="AA74" s="59"/>
      <c r="AB74" s="59"/>
      <c r="AC74" s="44"/>
      <c r="AD74" s="51" t="str">
        <f>"T"&amp;INT((MONTH(LTI_5[[#This Row],[FECHA]])-1)/3)+1</f>
        <v>T4</v>
      </c>
      <c r="AE74" s="50"/>
      <c r="AR74" s="65">
        <f>LTI_5[[#This Row],[FECHA]]-I73</f>
        <v>5</v>
      </c>
    </row>
    <row r="75" spans="2:44" ht="90" hidden="1" x14ac:dyDescent="0.25">
      <c r="B75" s="60"/>
      <c r="C75" s="44" t="s">
        <v>580</v>
      </c>
      <c r="D75" s="44" t="s">
        <v>568</v>
      </c>
      <c r="E75" s="44" t="s">
        <v>569</v>
      </c>
      <c r="F75" s="44" t="s">
        <v>608</v>
      </c>
      <c r="G75" s="44" t="s">
        <v>455</v>
      </c>
      <c r="H75" s="44"/>
      <c r="I75" s="47">
        <v>46001</v>
      </c>
      <c r="J75" s="47"/>
      <c r="K75" s="54"/>
      <c r="L75" s="54" t="str">
        <f>TEXT(LTI_5[[#This Row],[FECHA]],"dddd")</f>
        <v>miércoles</v>
      </c>
      <c r="M75" s="54"/>
      <c r="N75" s="54"/>
      <c r="O75" s="54"/>
      <c r="P75" s="54"/>
      <c r="Q75" s="54"/>
      <c r="R75" s="54"/>
      <c r="S75" s="63"/>
      <c r="T75" s="47"/>
      <c r="U75" s="44" t="s">
        <v>622</v>
      </c>
      <c r="V75" s="54" t="s">
        <v>771</v>
      </c>
      <c r="W75" s="53" t="s">
        <v>810</v>
      </c>
      <c r="X75" s="44"/>
      <c r="Y75" s="51">
        <v>6</v>
      </c>
      <c r="Z75" s="59"/>
      <c r="AA75" s="59"/>
      <c r="AB75" s="59"/>
      <c r="AC75" s="44"/>
      <c r="AD75" s="51" t="str">
        <f>"T"&amp;INT((MONTH(LTI_5[[#This Row],[FECHA]])-1)/3)+1</f>
        <v>T4</v>
      </c>
      <c r="AE75" s="50"/>
      <c r="AR75" s="65">
        <f>LTI_5[[#This Row],[FECHA]]-I74</f>
        <v>8</v>
      </c>
    </row>
    <row r="76" spans="2:44" ht="90" hidden="1" x14ac:dyDescent="0.25">
      <c r="B76" s="60"/>
      <c r="C76" s="44" t="s">
        <v>580</v>
      </c>
      <c r="D76" s="44" t="s">
        <v>568</v>
      </c>
      <c r="E76" s="44" t="s">
        <v>569</v>
      </c>
      <c r="F76" s="44" t="s">
        <v>608</v>
      </c>
      <c r="G76" s="42" t="s">
        <v>670</v>
      </c>
      <c r="H76" s="42"/>
      <c r="I76" s="58">
        <v>46002</v>
      </c>
      <c r="J76" s="58"/>
      <c r="K76" s="46"/>
      <c r="L76" s="46" t="str">
        <f>TEXT(LTI_5[[#This Row],[FECHA]],"dddd")</f>
        <v>jueves</v>
      </c>
      <c r="M76" s="46"/>
      <c r="N76" s="46"/>
      <c r="O76" s="46"/>
      <c r="P76" s="46"/>
      <c r="Q76" s="46"/>
      <c r="R76" s="46"/>
      <c r="S76" s="63"/>
      <c r="T76" s="58"/>
      <c r="U76" s="42"/>
      <c r="V76" s="46" t="s">
        <v>599</v>
      </c>
      <c r="W76" s="53" t="s">
        <v>810</v>
      </c>
      <c r="X76" s="42"/>
      <c r="Y76" s="41">
        <v>4</v>
      </c>
      <c r="Z76" s="57"/>
      <c r="AA76" s="57"/>
      <c r="AB76" s="57"/>
      <c r="AC76" s="42"/>
      <c r="AD76" s="41" t="str">
        <f>"T"&amp;INT((MONTH(LTI_5[[#This Row],[FECHA]])-1)/3)+1</f>
        <v>T4</v>
      </c>
      <c r="AE76" s="40"/>
      <c r="AR76" s="65">
        <f>LTI_5[[#This Row],[FECHA]]-I75</f>
        <v>1</v>
      </c>
    </row>
    <row r="77" spans="2:44" ht="75" hidden="1" x14ac:dyDescent="0.25">
      <c r="B77" s="112"/>
      <c r="C77" s="44" t="s">
        <v>811</v>
      </c>
      <c r="D77" s="44" t="s">
        <v>568</v>
      </c>
      <c r="E77" s="44" t="s">
        <v>569</v>
      </c>
      <c r="F77" s="42" t="s">
        <v>614</v>
      </c>
      <c r="G77" s="42" t="s">
        <v>812</v>
      </c>
      <c r="H77" s="42" t="s">
        <v>812</v>
      </c>
      <c r="I77" s="58">
        <v>46029</v>
      </c>
      <c r="J77" s="49">
        <v>0.47222222222222221</v>
      </c>
      <c r="K77" s="46" t="s">
        <v>813</v>
      </c>
      <c r="L77" s="46" t="str">
        <f>TEXT(LTI_5[[#This Row],[FECHA]],"dddd")</f>
        <v>miércoles</v>
      </c>
      <c r="M77" s="46" t="s">
        <v>814</v>
      </c>
      <c r="N77" s="46" t="s">
        <v>815</v>
      </c>
      <c r="O77" s="46">
        <v>73304218</v>
      </c>
      <c r="P77" s="46">
        <v>30</v>
      </c>
      <c r="Q77" s="46">
        <f>LTI_5[[#This Row],[TIEMPO EN LA EMPRESA (años)]]*12</f>
        <v>84</v>
      </c>
      <c r="R77" s="46">
        <v>7</v>
      </c>
      <c r="S77" s="63"/>
      <c r="T77" s="47" t="s">
        <v>816</v>
      </c>
      <c r="U77" s="44" t="s">
        <v>811</v>
      </c>
      <c r="V77" s="46" t="s">
        <v>599</v>
      </c>
      <c r="W77" s="45" t="s">
        <v>817</v>
      </c>
      <c r="X77" s="42" t="s">
        <v>818</v>
      </c>
      <c r="Y77" s="41">
        <v>16</v>
      </c>
      <c r="Z77" s="52" t="s">
        <v>819</v>
      </c>
      <c r="AA77" s="64" t="s">
        <v>820</v>
      </c>
      <c r="AB77" s="64" t="s">
        <v>739</v>
      </c>
      <c r="AC77" s="42" t="s">
        <v>821</v>
      </c>
      <c r="AD77" s="41" t="str">
        <f>"T"&amp;INT((MONTH(LTI_5[[#This Row],[FECHA]])-1)/3)+1</f>
        <v>T1</v>
      </c>
      <c r="AE77" s="40"/>
      <c r="AL77" s="128" t="s">
        <v>410</v>
      </c>
      <c r="AM77" s="128" t="s">
        <v>410</v>
      </c>
      <c r="AN77" s="128" t="s">
        <v>410</v>
      </c>
      <c r="AO77" s="128" t="s">
        <v>410</v>
      </c>
      <c r="AP77" s="128" t="s">
        <v>410</v>
      </c>
    </row>
    <row r="78" spans="2:44" ht="75" hidden="1" x14ac:dyDescent="0.25">
      <c r="B78" s="42" t="s">
        <v>822</v>
      </c>
      <c r="C78" s="44" t="s">
        <v>567</v>
      </c>
      <c r="D78" s="44" t="s">
        <v>568</v>
      </c>
      <c r="E78" s="44" t="s">
        <v>569</v>
      </c>
      <c r="F78" s="44" t="s">
        <v>614</v>
      </c>
      <c r="G78" s="44" t="s">
        <v>823</v>
      </c>
      <c r="H78" s="44" t="s">
        <v>823</v>
      </c>
      <c r="I78" s="58">
        <v>46038</v>
      </c>
      <c r="J78" s="56">
        <v>0.5625</v>
      </c>
      <c r="K78" s="54" t="s">
        <v>813</v>
      </c>
      <c r="L78" s="54" t="str">
        <f>TEXT(LTI_5[[#This Row],[FECHA]],"dddd")</f>
        <v>viernes</v>
      </c>
      <c r="M78" s="54" t="s">
        <v>824</v>
      </c>
      <c r="N78" s="54" t="s">
        <v>825</v>
      </c>
      <c r="O78" s="54">
        <v>45038698</v>
      </c>
      <c r="P78" s="54">
        <v>38</v>
      </c>
      <c r="Q78" s="46">
        <v>4</v>
      </c>
      <c r="R78" s="54">
        <v>0</v>
      </c>
      <c r="S78" s="139"/>
      <c r="T78" s="58" t="s">
        <v>826</v>
      </c>
      <c r="U78" s="44" t="s">
        <v>598</v>
      </c>
      <c r="V78" s="54" t="s">
        <v>599</v>
      </c>
      <c r="W78" s="53" t="s">
        <v>827</v>
      </c>
      <c r="X78" s="44" t="s">
        <v>828</v>
      </c>
      <c r="Y78" s="51">
        <v>32</v>
      </c>
      <c r="Z78" s="61" t="s">
        <v>829</v>
      </c>
      <c r="AA78" s="61" t="s">
        <v>830</v>
      </c>
      <c r="AB78" s="61" t="s">
        <v>737</v>
      </c>
      <c r="AC78" s="44" t="s">
        <v>831</v>
      </c>
      <c r="AD78" s="51" t="str">
        <f>"T"&amp;INT((MONTH(LTI_5[[#This Row],[FECHA]])-1)/3)+1</f>
        <v>T1</v>
      </c>
      <c r="AE78" s="50"/>
      <c r="AL78" s="128" t="s">
        <v>410</v>
      </c>
      <c r="AM78" s="128" t="s">
        <v>410</v>
      </c>
      <c r="AN78" s="128" t="s">
        <v>410</v>
      </c>
      <c r="AO78" s="128" t="s">
        <v>410</v>
      </c>
      <c r="AP78" s="128" t="s">
        <v>410</v>
      </c>
    </row>
    <row r="79" spans="2:44" ht="75" hidden="1" x14ac:dyDescent="0.25">
      <c r="B79" s="42" t="s">
        <v>832</v>
      </c>
      <c r="C79" s="44" t="s">
        <v>68</v>
      </c>
      <c r="D79" s="44" t="s">
        <v>568</v>
      </c>
      <c r="E79" s="44" t="s">
        <v>569</v>
      </c>
      <c r="F79" s="44" t="s">
        <v>570</v>
      </c>
      <c r="G79" s="44" t="s">
        <v>699</v>
      </c>
      <c r="H79" s="44" t="s">
        <v>103</v>
      </c>
      <c r="I79" s="47">
        <v>46045</v>
      </c>
      <c r="J79" s="56">
        <v>0.14583333333333334</v>
      </c>
      <c r="K79" s="54" t="s">
        <v>813</v>
      </c>
      <c r="L79" s="54" t="str">
        <f>TEXT(LTI_5[[#This Row],[FECHA]],"dddd")</f>
        <v>viernes</v>
      </c>
      <c r="M79" s="54" t="s">
        <v>833</v>
      </c>
      <c r="N79" s="54" t="s">
        <v>834</v>
      </c>
      <c r="O79" s="54">
        <v>75539617</v>
      </c>
      <c r="P79" s="54">
        <v>28</v>
      </c>
      <c r="Q79" s="46">
        <f>LTI_5[[#This Row],[TIEMPO EN LA EMPRESA (años)]]*12</f>
        <v>24</v>
      </c>
      <c r="R79" s="54">
        <v>2</v>
      </c>
      <c r="S79" s="63"/>
      <c r="T79" s="47" t="s">
        <v>816</v>
      </c>
      <c r="U79" s="44" t="s">
        <v>835</v>
      </c>
      <c r="V79" s="54" t="s">
        <v>591</v>
      </c>
      <c r="W79" s="53" t="s">
        <v>836</v>
      </c>
      <c r="X79" s="44" t="s">
        <v>837</v>
      </c>
      <c r="Y79" s="51">
        <v>24</v>
      </c>
      <c r="Z79" s="52" t="s">
        <v>838</v>
      </c>
      <c r="AA79" s="61" t="s">
        <v>839</v>
      </c>
      <c r="AB79" s="61" t="s">
        <v>840</v>
      </c>
      <c r="AC79" s="44" t="s">
        <v>821</v>
      </c>
      <c r="AD79" s="51" t="str">
        <f>"T"&amp;INT((MONTH(LTI_5[[#This Row],[FECHA]])-1)/3)+1</f>
        <v>T1</v>
      </c>
      <c r="AE79" s="50"/>
      <c r="AL79" s="128" t="s">
        <v>410</v>
      </c>
      <c r="AM79" s="128" t="s">
        <v>410</v>
      </c>
      <c r="AN79" s="128" t="s">
        <v>410</v>
      </c>
      <c r="AO79" s="128" t="s">
        <v>410</v>
      </c>
      <c r="AP79" s="128" t="s">
        <v>410</v>
      </c>
    </row>
    <row r="80" spans="2:44" ht="120" hidden="1" x14ac:dyDescent="0.25">
      <c r="B80" s="42" t="s">
        <v>841</v>
      </c>
      <c r="C80" s="44" t="s">
        <v>567</v>
      </c>
      <c r="D80" s="42" t="s">
        <v>568</v>
      </c>
      <c r="E80" s="42" t="s">
        <v>569</v>
      </c>
      <c r="F80" s="42" t="s">
        <v>646</v>
      </c>
      <c r="G80" s="44" t="s">
        <v>647</v>
      </c>
      <c r="H80" s="42" t="s">
        <v>648</v>
      </c>
      <c r="I80" s="47">
        <v>46048</v>
      </c>
      <c r="J80" s="49">
        <v>0.52777777777777779</v>
      </c>
      <c r="K80" s="46" t="s">
        <v>813</v>
      </c>
      <c r="L80" s="46" t="str">
        <f>TEXT(LTI_5[[#This Row],[FECHA]],"dddd")</f>
        <v>lunes</v>
      </c>
      <c r="M80" s="46" t="s">
        <v>842</v>
      </c>
      <c r="N80" s="46" t="s">
        <v>843</v>
      </c>
      <c r="O80" s="46">
        <v>47380476</v>
      </c>
      <c r="P80" s="46">
        <v>38</v>
      </c>
      <c r="Q80" s="46">
        <f>LTI_5[[#This Row],[TIEMPO EN LA EMPRESA (años)]]*12</f>
        <v>12</v>
      </c>
      <c r="R80" s="46">
        <v>1</v>
      </c>
      <c r="S80" s="63"/>
      <c r="T80" s="47" t="s">
        <v>816</v>
      </c>
      <c r="U80" s="146" t="s">
        <v>598</v>
      </c>
      <c r="V80" s="46" t="s">
        <v>599</v>
      </c>
      <c r="W80" s="45" t="s">
        <v>844</v>
      </c>
      <c r="X80" s="42" t="s">
        <v>845</v>
      </c>
      <c r="Y80" s="41">
        <v>7</v>
      </c>
      <c r="Z80" s="43" t="s">
        <v>846</v>
      </c>
      <c r="AA80" s="64" t="s">
        <v>847</v>
      </c>
      <c r="AB80" s="64" t="s">
        <v>734</v>
      </c>
      <c r="AC80" s="42" t="s">
        <v>848</v>
      </c>
      <c r="AD80" s="41" t="str">
        <f>"T"&amp;INT((MONTH(LTI_5[[#This Row],[FECHA]])-1)/3)+1</f>
        <v>T1</v>
      </c>
      <c r="AE80" s="40"/>
      <c r="AL80" s="128" t="s">
        <v>410</v>
      </c>
      <c r="AM80" s="128" t="s">
        <v>410</v>
      </c>
      <c r="AN80" s="128" t="s">
        <v>410</v>
      </c>
      <c r="AO80" s="128" t="s">
        <v>410</v>
      </c>
      <c r="AP80" s="128" t="s">
        <v>410</v>
      </c>
    </row>
    <row r="81" spans="2:42" ht="75" hidden="1" x14ac:dyDescent="0.25">
      <c r="B81" s="42" t="s">
        <v>849</v>
      </c>
      <c r="C81" s="44" t="s">
        <v>567</v>
      </c>
      <c r="D81" s="42" t="s">
        <v>568</v>
      </c>
      <c r="E81" s="42" t="s">
        <v>595</v>
      </c>
      <c r="F81" s="42" t="s">
        <v>850</v>
      </c>
      <c r="G81" s="42" t="s">
        <v>851</v>
      </c>
      <c r="H81" s="42" t="s">
        <v>852</v>
      </c>
      <c r="I81" s="58">
        <v>46050</v>
      </c>
      <c r="J81" s="49">
        <v>0.1076388888888889</v>
      </c>
      <c r="K81" s="46" t="s">
        <v>813</v>
      </c>
      <c r="L81" s="46" t="str">
        <f>TEXT(LTI_5[[#This Row],[FECHA]],"dddd")</f>
        <v>miércoles</v>
      </c>
      <c r="M81" s="46" t="s">
        <v>853</v>
      </c>
      <c r="N81" s="46" t="s">
        <v>854</v>
      </c>
      <c r="O81" s="46">
        <v>40458995</v>
      </c>
      <c r="P81" s="46">
        <v>47</v>
      </c>
      <c r="Q81" s="46">
        <f>LTI_5[[#This Row],[TIEMPO EN LA EMPRESA (años)]]*12</f>
        <v>72</v>
      </c>
      <c r="R81" s="46">
        <v>6</v>
      </c>
      <c r="S81" s="63"/>
      <c r="T81" s="47" t="s">
        <v>816</v>
      </c>
      <c r="U81" s="42" t="s">
        <v>855</v>
      </c>
      <c r="V81" s="46" t="s">
        <v>591</v>
      </c>
      <c r="W81" s="45" t="s">
        <v>856</v>
      </c>
      <c r="X81" s="42" t="s">
        <v>857</v>
      </c>
      <c r="Y81" s="41">
        <v>8</v>
      </c>
      <c r="Z81" s="64" t="s">
        <v>858</v>
      </c>
      <c r="AA81" s="61" t="s">
        <v>839</v>
      </c>
      <c r="AB81" s="91" t="s">
        <v>859</v>
      </c>
      <c r="AC81" s="42" t="s">
        <v>831</v>
      </c>
      <c r="AD81" s="41" t="str">
        <f>"T"&amp;INT((MONTH(LTI_5[[#This Row],[FECHA]])-1)/3)+1</f>
        <v>T1</v>
      </c>
      <c r="AE81" s="40"/>
      <c r="AL81" s="128" t="s">
        <v>410</v>
      </c>
      <c r="AM81" s="128" t="s">
        <v>410</v>
      </c>
      <c r="AN81" s="128" t="s">
        <v>410</v>
      </c>
      <c r="AO81" s="128" t="s">
        <v>410</v>
      </c>
      <c r="AP81" s="128" t="s">
        <v>410</v>
      </c>
    </row>
    <row r="82" spans="2:42" ht="99" hidden="1" customHeight="1" x14ac:dyDescent="0.25">
      <c r="B82" s="42" t="s">
        <v>860</v>
      </c>
      <c r="C82" s="42" t="s">
        <v>68</v>
      </c>
      <c r="D82" s="42" t="s">
        <v>568</v>
      </c>
      <c r="E82" s="44" t="s">
        <v>569</v>
      </c>
      <c r="F82" s="44" t="s">
        <v>570</v>
      </c>
      <c r="G82" s="44" t="s">
        <v>699</v>
      </c>
      <c r="H82" s="44" t="s">
        <v>103</v>
      </c>
      <c r="I82" s="58">
        <v>46055</v>
      </c>
      <c r="J82" s="49">
        <v>0.3611111111111111</v>
      </c>
      <c r="K82" s="46" t="s">
        <v>861</v>
      </c>
      <c r="L82" s="46" t="str">
        <f>TEXT(LTI_5[[#This Row],[FECHA]],"dddd")</f>
        <v>lunes</v>
      </c>
      <c r="M82" s="46" t="s">
        <v>862</v>
      </c>
      <c r="N82" s="46" t="s">
        <v>863</v>
      </c>
      <c r="O82" s="46" t="s">
        <v>864</v>
      </c>
      <c r="P82" s="46">
        <v>41</v>
      </c>
      <c r="Q82" s="46">
        <f>LTI_5[[#This Row],[TIEMPO EN LA EMPRESA (años)]]*12</f>
        <v>108</v>
      </c>
      <c r="R82" s="46">
        <v>9</v>
      </c>
      <c r="S82" s="63"/>
      <c r="T82" s="47" t="s">
        <v>816</v>
      </c>
      <c r="U82" s="42" t="s">
        <v>68</v>
      </c>
      <c r="V82" s="46" t="s">
        <v>599</v>
      </c>
      <c r="W82" s="45" t="s">
        <v>865</v>
      </c>
      <c r="X82" s="42" t="s">
        <v>866</v>
      </c>
      <c r="Y82" s="41">
        <v>1</v>
      </c>
      <c r="Z82" s="64" t="s">
        <v>867</v>
      </c>
      <c r="AA82" s="92" t="s">
        <v>868</v>
      </c>
      <c r="AB82" s="91" t="s">
        <v>734</v>
      </c>
      <c r="AC82" s="42" t="s">
        <v>869</v>
      </c>
      <c r="AD82" s="41" t="str">
        <f>"T"&amp;INT((MONTH(LTI_5[[#This Row],[FECHA]])-1)/3)+1</f>
        <v>T1</v>
      </c>
      <c r="AE82" s="40"/>
      <c r="AL82" s="128" t="s">
        <v>410</v>
      </c>
      <c r="AM82" s="128" t="s">
        <v>410</v>
      </c>
      <c r="AN82" s="128" t="s">
        <v>410</v>
      </c>
      <c r="AO82" s="128" t="s">
        <v>410</v>
      </c>
      <c r="AP82" s="128" t="s">
        <v>410</v>
      </c>
    </row>
    <row r="83" spans="2:42" ht="58.35" hidden="1" customHeight="1" x14ac:dyDescent="0.25">
      <c r="B83" s="42" t="s">
        <v>870</v>
      </c>
      <c r="C83" s="42" t="s">
        <v>580</v>
      </c>
      <c r="D83" s="42" t="s">
        <v>568</v>
      </c>
      <c r="E83" s="44" t="s">
        <v>569</v>
      </c>
      <c r="F83" s="44" t="s">
        <v>608</v>
      </c>
      <c r="G83" s="42" t="s">
        <v>626</v>
      </c>
      <c r="H83" s="42" t="s">
        <v>626</v>
      </c>
      <c r="I83" s="58">
        <v>46057</v>
      </c>
      <c r="J83" s="49">
        <v>6.25E-2</v>
      </c>
      <c r="K83" s="46" t="s">
        <v>813</v>
      </c>
      <c r="L83" s="46" t="str">
        <f>TEXT(LTI_5[[#This Row],[FECHA]],"dddd")</f>
        <v>miércoles</v>
      </c>
      <c r="M83" s="46" t="s">
        <v>871</v>
      </c>
      <c r="N83" s="46" t="s">
        <v>872</v>
      </c>
      <c r="O83" s="46" t="s">
        <v>873</v>
      </c>
      <c r="P83" s="46">
        <v>42</v>
      </c>
      <c r="Q83" s="46">
        <f>LTI_5[[#This Row],[TIEMPO EN LA EMPRESA (años)]]*12</f>
        <v>156</v>
      </c>
      <c r="R83" s="46">
        <v>13</v>
      </c>
      <c r="S83" s="63"/>
      <c r="T83" s="47" t="s">
        <v>816</v>
      </c>
      <c r="U83" s="146" t="s">
        <v>811</v>
      </c>
      <c r="V83" s="46" t="s">
        <v>599</v>
      </c>
      <c r="W83" s="45" t="s">
        <v>874</v>
      </c>
      <c r="X83" s="42" t="s">
        <v>875</v>
      </c>
      <c r="Y83" s="41">
        <v>6</v>
      </c>
      <c r="Z83" s="43" t="s">
        <v>876</v>
      </c>
      <c r="AA83" s="92" t="s">
        <v>877</v>
      </c>
      <c r="AB83" s="91" t="s">
        <v>859</v>
      </c>
      <c r="AC83" s="42" t="s">
        <v>869</v>
      </c>
      <c r="AD83" s="41" t="str">
        <f>"T"&amp;INT((MONTH(LTI_5[[#This Row],[FECHA]])-1)/3)+1</f>
        <v>T1</v>
      </c>
      <c r="AE83" s="40"/>
      <c r="AL83" s="128" t="s">
        <v>410</v>
      </c>
      <c r="AM83" s="128" t="s">
        <v>410</v>
      </c>
      <c r="AN83" s="128" t="s">
        <v>410</v>
      </c>
      <c r="AO83" s="128" t="s">
        <v>410</v>
      </c>
      <c r="AP83" s="128" t="s">
        <v>410</v>
      </c>
    </row>
    <row r="84" spans="2:42" ht="74.849999999999994" hidden="1" customHeight="1" x14ac:dyDescent="0.25">
      <c r="B84" s="42" t="s">
        <v>878</v>
      </c>
      <c r="C84" s="44" t="s">
        <v>567</v>
      </c>
      <c r="D84" s="42" t="s">
        <v>568</v>
      </c>
      <c r="E84" s="44" t="s">
        <v>569</v>
      </c>
      <c r="F84" s="44" t="s">
        <v>646</v>
      </c>
      <c r="G84" s="44" t="s">
        <v>93</v>
      </c>
      <c r="H84" s="44" t="s">
        <v>93</v>
      </c>
      <c r="I84" s="58">
        <v>46060</v>
      </c>
      <c r="J84" s="49">
        <v>0.4861111111111111</v>
      </c>
      <c r="K84" s="46" t="s">
        <v>813</v>
      </c>
      <c r="L84" s="46" t="str">
        <f>TEXT(LTI_5[[#This Row],[FECHA]],"dddd")</f>
        <v>sábado</v>
      </c>
      <c r="M84" s="46" t="s">
        <v>879</v>
      </c>
      <c r="N84" s="46" t="s">
        <v>880</v>
      </c>
      <c r="O84" s="46" t="s">
        <v>881</v>
      </c>
      <c r="P84" s="46">
        <v>49</v>
      </c>
      <c r="Q84" s="46">
        <f>LTI_5[[#This Row],[TIEMPO EN LA EMPRESA (años)]]*12</f>
        <v>276</v>
      </c>
      <c r="R84" s="46">
        <v>23</v>
      </c>
      <c r="S84" s="63"/>
      <c r="T84" s="47" t="s">
        <v>816</v>
      </c>
      <c r="U84" s="146" t="s">
        <v>598</v>
      </c>
      <c r="V84" s="46" t="s">
        <v>599</v>
      </c>
      <c r="W84" s="45" t="s">
        <v>882</v>
      </c>
      <c r="X84" s="42" t="s">
        <v>701</v>
      </c>
      <c r="Y84" s="41">
        <v>64</v>
      </c>
      <c r="Z84" s="64" t="s">
        <v>819</v>
      </c>
      <c r="AA84" s="64" t="s">
        <v>883</v>
      </c>
      <c r="AB84" s="64" t="s">
        <v>734</v>
      </c>
      <c r="AC84" s="42" t="s">
        <v>869</v>
      </c>
      <c r="AD84" s="41" t="str">
        <f>"T"&amp;INT((MONTH(LTI_5[[#This Row],[FECHA]])-1)/3)+1</f>
        <v>T1</v>
      </c>
      <c r="AE84" s="40"/>
      <c r="AL84" s="128" t="s">
        <v>410</v>
      </c>
      <c r="AM84" s="128" t="s">
        <v>410</v>
      </c>
      <c r="AN84" s="128" t="s">
        <v>410</v>
      </c>
      <c r="AO84" s="128" t="s">
        <v>410</v>
      </c>
      <c r="AP84" s="128" t="s">
        <v>410</v>
      </c>
    </row>
    <row r="85" spans="2:42" ht="143.1" hidden="1" customHeight="1" x14ac:dyDescent="0.25">
      <c r="B85" s="42" t="s">
        <v>884</v>
      </c>
      <c r="C85" s="42" t="s">
        <v>580</v>
      </c>
      <c r="D85" s="42" t="s">
        <v>568</v>
      </c>
      <c r="E85" s="44" t="s">
        <v>595</v>
      </c>
      <c r="F85" s="44" t="s">
        <v>608</v>
      </c>
      <c r="G85" s="42" t="s">
        <v>626</v>
      </c>
      <c r="H85" s="42" t="s">
        <v>852</v>
      </c>
      <c r="I85" s="58">
        <v>46063</v>
      </c>
      <c r="J85" s="49">
        <v>0.375</v>
      </c>
      <c r="K85" s="46" t="s">
        <v>813</v>
      </c>
      <c r="L85" s="46" t="str">
        <f>TEXT(LTI_5[[#This Row],[FECHA]],"dddd")</f>
        <v>martes</v>
      </c>
      <c r="M85" s="46" t="s">
        <v>885</v>
      </c>
      <c r="N85" s="46" t="s">
        <v>886</v>
      </c>
      <c r="O85" s="46">
        <v>7262551</v>
      </c>
      <c r="P85" s="46">
        <v>47</v>
      </c>
      <c r="Q85" s="46">
        <f>LTI_5[[#This Row],[TIEMPO EN LA EMPRESA (años)]]*12</f>
        <v>36</v>
      </c>
      <c r="R85" s="46">
        <v>3</v>
      </c>
      <c r="S85" s="63"/>
      <c r="T85" s="47" t="s">
        <v>887</v>
      </c>
      <c r="U85" s="42" t="s">
        <v>855</v>
      </c>
      <c r="V85" s="46" t="s">
        <v>591</v>
      </c>
      <c r="W85" s="45" t="s">
        <v>888</v>
      </c>
      <c r="X85" s="42" t="s">
        <v>889</v>
      </c>
      <c r="Y85" s="41">
        <v>6</v>
      </c>
      <c r="Z85" s="43" t="s">
        <v>890</v>
      </c>
      <c r="AA85" s="64" t="s">
        <v>891</v>
      </c>
      <c r="AB85" s="64" t="s">
        <v>859</v>
      </c>
      <c r="AC85" s="42" t="s">
        <v>821</v>
      </c>
      <c r="AD85" s="41" t="str">
        <f>"T"&amp;INT((MONTH(LTI_5[[#This Row],[FECHA]])-1)/3)+1</f>
        <v>T1</v>
      </c>
      <c r="AE85" s="40"/>
      <c r="AL85" s="128" t="s">
        <v>410</v>
      </c>
      <c r="AM85" s="128" t="s">
        <v>410</v>
      </c>
      <c r="AN85" s="128" t="s">
        <v>410</v>
      </c>
      <c r="AO85" s="128" t="s">
        <v>410</v>
      </c>
      <c r="AP85" s="128" t="s">
        <v>410</v>
      </c>
    </row>
    <row r="86" spans="2:42" ht="99.6" hidden="1" customHeight="1" x14ac:dyDescent="0.25">
      <c r="B86" s="42" t="s">
        <v>892</v>
      </c>
      <c r="C86" s="44" t="s">
        <v>567</v>
      </c>
      <c r="D86" s="42" t="s">
        <v>568</v>
      </c>
      <c r="E86" s="44" t="s">
        <v>569</v>
      </c>
      <c r="F86" s="42" t="s">
        <v>614</v>
      </c>
      <c r="G86" s="42" t="s">
        <v>333</v>
      </c>
      <c r="H86" s="42" t="s">
        <v>111</v>
      </c>
      <c r="I86" s="58">
        <v>46069</v>
      </c>
      <c r="J86" s="49">
        <v>0.9375</v>
      </c>
      <c r="K86" s="46" t="s">
        <v>861</v>
      </c>
      <c r="L86" s="46" t="str">
        <f>TEXT(LTI_5[[#This Row],[FECHA]],"dddd")</f>
        <v>lunes</v>
      </c>
      <c r="M86" s="46" t="s">
        <v>893</v>
      </c>
      <c r="N86" s="46" t="s">
        <v>894</v>
      </c>
      <c r="O86" s="46" t="s">
        <v>895</v>
      </c>
      <c r="P86" s="46">
        <v>56</v>
      </c>
      <c r="Q86" s="46">
        <f>LTI_5[[#This Row],[TIEMPO EN LA EMPRESA (años)]]*12</f>
        <v>276</v>
      </c>
      <c r="R86" s="46">
        <v>23</v>
      </c>
      <c r="S86" s="63"/>
      <c r="T86" s="47" t="s">
        <v>887</v>
      </c>
      <c r="U86" s="146" t="s">
        <v>709</v>
      </c>
      <c r="V86" s="46" t="s">
        <v>623</v>
      </c>
      <c r="W86" s="45" t="s">
        <v>896</v>
      </c>
      <c r="X86" s="42" t="s">
        <v>897</v>
      </c>
      <c r="Y86" s="41">
        <v>7</v>
      </c>
      <c r="Z86" s="43" t="s">
        <v>898</v>
      </c>
      <c r="AA86" s="64" t="s">
        <v>899</v>
      </c>
      <c r="AB86" s="64" t="s">
        <v>859</v>
      </c>
      <c r="AC86" s="42"/>
      <c r="AD86" s="41" t="str">
        <f>"T"&amp;INT((MONTH(LTI_5[[#This Row],[FECHA]])-1)/3)+1</f>
        <v>T1</v>
      </c>
      <c r="AE86" s="40"/>
      <c r="AL86" s="128" t="s">
        <v>410</v>
      </c>
      <c r="AM86" s="128" t="s">
        <v>410</v>
      </c>
      <c r="AN86" s="128" t="s">
        <v>410</v>
      </c>
      <c r="AO86" s="128" t="s">
        <v>410</v>
      </c>
      <c r="AP86" s="128" t="s">
        <v>410</v>
      </c>
    </row>
    <row r="87" spans="2:42" ht="102.6" hidden="1" customHeight="1" x14ac:dyDescent="0.25">
      <c r="B87" s="42" t="s">
        <v>900</v>
      </c>
      <c r="C87" s="42" t="s">
        <v>68</v>
      </c>
      <c r="D87" s="42" t="s">
        <v>568</v>
      </c>
      <c r="E87" s="44" t="s">
        <v>569</v>
      </c>
      <c r="F87" s="44" t="s">
        <v>570</v>
      </c>
      <c r="G87" s="44" t="s">
        <v>699</v>
      </c>
      <c r="H87" s="42" t="s">
        <v>103</v>
      </c>
      <c r="I87" s="58">
        <v>46076</v>
      </c>
      <c r="J87" s="49">
        <v>0.69444444444444442</v>
      </c>
      <c r="K87" s="46" t="s">
        <v>861</v>
      </c>
      <c r="L87" s="46" t="str">
        <f>TEXT(LTI_5[[#This Row],[FECHA]],"dddd")</f>
        <v>lunes</v>
      </c>
      <c r="M87" s="46" t="s">
        <v>901</v>
      </c>
      <c r="N87" s="46" t="s">
        <v>902</v>
      </c>
      <c r="O87" s="46" t="s">
        <v>903</v>
      </c>
      <c r="P87" s="46">
        <v>34</v>
      </c>
      <c r="Q87" s="46">
        <f>LTI_5[[#This Row],[TIEMPO EN LA EMPRESA (años)]]*12</f>
        <v>120</v>
      </c>
      <c r="R87" s="46">
        <v>10</v>
      </c>
      <c r="S87" s="63"/>
      <c r="T87" s="47" t="s">
        <v>816</v>
      </c>
      <c r="U87" s="42" t="s">
        <v>68</v>
      </c>
      <c r="V87" s="46" t="s">
        <v>599</v>
      </c>
      <c r="W87" s="45" t="s">
        <v>904</v>
      </c>
      <c r="X87" s="42" t="s">
        <v>905</v>
      </c>
      <c r="Y87" s="41">
        <v>5</v>
      </c>
      <c r="Z87" s="43" t="s">
        <v>906</v>
      </c>
      <c r="AA87" s="64" t="s">
        <v>907</v>
      </c>
      <c r="AB87" s="64" t="s">
        <v>908</v>
      </c>
      <c r="AC87" s="42" t="s">
        <v>821</v>
      </c>
      <c r="AD87" s="41" t="str">
        <f>"T"&amp;INT((MONTH(LTI_5[[#This Row],[FECHA]])-1)/3)+1</f>
        <v>T1</v>
      </c>
      <c r="AE87" s="40"/>
      <c r="AL87" s="128" t="s">
        <v>410</v>
      </c>
      <c r="AM87" s="128" t="s">
        <v>410</v>
      </c>
      <c r="AN87" s="128" t="s">
        <v>410</v>
      </c>
      <c r="AO87" s="128" t="s">
        <v>410</v>
      </c>
      <c r="AP87" s="128" t="s">
        <v>410</v>
      </c>
    </row>
    <row r="88" spans="2:42" ht="51.6" hidden="1" customHeight="1" x14ac:dyDescent="0.25">
      <c r="B88" s="42" t="s">
        <v>909</v>
      </c>
      <c r="C88" s="44" t="s">
        <v>567</v>
      </c>
      <c r="D88" s="42" t="s">
        <v>568</v>
      </c>
      <c r="E88" s="44" t="s">
        <v>569</v>
      </c>
      <c r="F88" s="44" t="s">
        <v>570</v>
      </c>
      <c r="G88" s="42" t="s">
        <v>604</v>
      </c>
      <c r="H88" s="42" t="s">
        <v>604</v>
      </c>
      <c r="I88" s="47">
        <v>46080</v>
      </c>
      <c r="J88" s="56">
        <v>0.85069444444444442</v>
      </c>
      <c r="K88" s="54" t="s">
        <v>861</v>
      </c>
      <c r="L88" s="54" t="str">
        <f>TEXT(LTI_5[[#This Row],[FECHA]],"dddd")</f>
        <v>viernes</v>
      </c>
      <c r="M88" s="54" t="s">
        <v>910</v>
      </c>
      <c r="N88" s="54" t="s">
        <v>911</v>
      </c>
      <c r="O88" s="54">
        <v>72559393</v>
      </c>
      <c r="P88" s="54">
        <v>21</v>
      </c>
      <c r="Q88" s="46">
        <f>LTI_5[[#This Row],[TIEMPO EN LA EMPRESA (años)]]*12</f>
        <v>24</v>
      </c>
      <c r="R88" s="54">
        <v>2</v>
      </c>
      <c r="S88" s="63"/>
      <c r="T88" s="47" t="s">
        <v>887</v>
      </c>
      <c r="U88" s="44" t="s">
        <v>709</v>
      </c>
      <c r="V88" s="46" t="s">
        <v>623</v>
      </c>
      <c r="W88" s="53" t="s">
        <v>912</v>
      </c>
      <c r="X88" s="44" t="s">
        <v>913</v>
      </c>
      <c r="Y88" s="51">
        <v>2</v>
      </c>
      <c r="Z88" s="52" t="s">
        <v>914</v>
      </c>
      <c r="AA88" s="61" t="s">
        <v>915</v>
      </c>
      <c r="AB88" s="61" t="s">
        <v>859</v>
      </c>
      <c r="AC88" s="44" t="s">
        <v>831</v>
      </c>
      <c r="AD88" s="51" t="str">
        <f>"T"&amp;INT((MONTH(LTI_5[[#This Row],[FECHA]])-1)/3)+1</f>
        <v>T1</v>
      </c>
      <c r="AE88" s="50"/>
      <c r="AL88" s="128" t="s">
        <v>410</v>
      </c>
      <c r="AM88" s="128" t="s">
        <v>410</v>
      </c>
      <c r="AN88" s="128" t="s">
        <v>410</v>
      </c>
      <c r="AO88" s="128" t="s">
        <v>410</v>
      </c>
      <c r="AP88" s="128" t="s">
        <v>410</v>
      </c>
    </row>
    <row r="89" spans="2:42" ht="51.6" hidden="1" customHeight="1" x14ac:dyDescent="0.25">
      <c r="B89" s="42" t="s">
        <v>916</v>
      </c>
      <c r="C89" s="42" t="s">
        <v>580</v>
      </c>
      <c r="D89" s="42" t="s">
        <v>568</v>
      </c>
      <c r="E89" s="44" t="s">
        <v>569</v>
      </c>
      <c r="F89" s="44" t="s">
        <v>608</v>
      </c>
      <c r="G89" s="44" t="s">
        <v>455</v>
      </c>
      <c r="H89" s="44" t="s">
        <v>455</v>
      </c>
      <c r="I89" s="47">
        <v>46081</v>
      </c>
      <c r="J89" s="56">
        <v>0.35416666666666669</v>
      </c>
      <c r="K89" s="46" t="s">
        <v>813</v>
      </c>
      <c r="L89" s="46" t="str">
        <f>TEXT(LTI_5[[#This Row],[FECHA]],"dddd")</f>
        <v>sábado</v>
      </c>
      <c r="M89" s="46" t="s">
        <v>917</v>
      </c>
      <c r="N89" s="46" t="s">
        <v>918</v>
      </c>
      <c r="O89" s="46">
        <v>74806353</v>
      </c>
      <c r="P89" s="46">
        <v>27</v>
      </c>
      <c r="Q89" s="46">
        <v>1</v>
      </c>
      <c r="R89" s="46">
        <v>0</v>
      </c>
      <c r="S89" s="63"/>
      <c r="T89" s="47" t="s">
        <v>887</v>
      </c>
      <c r="U89" s="44" t="s">
        <v>622</v>
      </c>
      <c r="V89" s="46" t="s">
        <v>623</v>
      </c>
      <c r="W89" s="53" t="s">
        <v>919</v>
      </c>
      <c r="X89" s="44" t="s">
        <v>920</v>
      </c>
      <c r="Y89" s="51">
        <v>32</v>
      </c>
      <c r="Z89" s="62" t="s">
        <v>921</v>
      </c>
      <c r="AA89" s="64" t="s">
        <v>922</v>
      </c>
      <c r="AB89" s="61" t="s">
        <v>859</v>
      </c>
      <c r="AC89" s="44" t="s">
        <v>869</v>
      </c>
      <c r="AD89" s="51" t="str">
        <f>"T"&amp;INT((MONTH(LTI_5[[#This Row],[FECHA]])-1)/3)+1</f>
        <v>T1</v>
      </c>
      <c r="AE89" s="50"/>
      <c r="AL89" s="128" t="s">
        <v>410</v>
      </c>
      <c r="AM89" s="128" t="s">
        <v>410</v>
      </c>
      <c r="AN89" s="128" t="s">
        <v>410</v>
      </c>
      <c r="AO89" s="128" t="s">
        <v>410</v>
      </c>
      <c r="AP89" s="128" t="s">
        <v>410</v>
      </c>
    </row>
    <row r="90" spans="2:42" ht="75" hidden="1" x14ac:dyDescent="0.25">
      <c r="B90" s="42" t="s">
        <v>923</v>
      </c>
      <c r="C90" s="44" t="s">
        <v>567</v>
      </c>
      <c r="D90" s="42" t="s">
        <v>568</v>
      </c>
      <c r="E90" s="44" t="s">
        <v>569</v>
      </c>
      <c r="F90" s="44" t="s">
        <v>570</v>
      </c>
      <c r="G90" s="42" t="s">
        <v>604</v>
      </c>
      <c r="H90" s="42" t="s">
        <v>604</v>
      </c>
      <c r="I90" s="47">
        <v>46086</v>
      </c>
      <c r="J90" s="56">
        <v>0.83333333333333337</v>
      </c>
      <c r="K90" s="54" t="s">
        <v>861</v>
      </c>
      <c r="L90" s="54" t="str">
        <f>TEXT(LTI_5[[#This Row],[FECHA]],"dddd")</f>
        <v>jueves</v>
      </c>
      <c r="M90" s="54" t="s">
        <v>924</v>
      </c>
      <c r="N90" s="54" t="s">
        <v>925</v>
      </c>
      <c r="O90" s="54" t="s">
        <v>926</v>
      </c>
      <c r="P90" s="54">
        <v>28</v>
      </c>
      <c r="Q90" s="46">
        <f>LTI_5[[#This Row],[TIEMPO EN LA EMPRESA (años)]]*12</f>
        <v>12</v>
      </c>
      <c r="R90" s="54">
        <v>1</v>
      </c>
      <c r="S90" s="55"/>
      <c r="T90" s="47" t="s">
        <v>816</v>
      </c>
      <c r="U90" s="146" t="s">
        <v>598</v>
      </c>
      <c r="V90" s="46" t="s">
        <v>599</v>
      </c>
      <c r="W90" s="53" t="s">
        <v>927</v>
      </c>
      <c r="X90" s="44" t="s">
        <v>928</v>
      </c>
      <c r="Y90" s="51">
        <v>18</v>
      </c>
      <c r="Z90" s="52" t="s">
        <v>929</v>
      </c>
      <c r="AA90" s="61" t="s">
        <v>839</v>
      </c>
      <c r="AB90" s="52" t="s">
        <v>734</v>
      </c>
      <c r="AC90" s="44" t="s">
        <v>831</v>
      </c>
      <c r="AD90" s="51" t="str">
        <f>"T"&amp;INT((MONTH(LTI_5[[#This Row],[FECHA]])-1)/3)+1</f>
        <v>T1</v>
      </c>
      <c r="AE90" s="50"/>
      <c r="AL90" s="128" t="s">
        <v>410</v>
      </c>
      <c r="AM90" s="128" t="s">
        <v>410</v>
      </c>
      <c r="AN90" s="128" t="s">
        <v>410</v>
      </c>
      <c r="AO90" s="128" t="s">
        <v>410</v>
      </c>
      <c r="AP90" s="128" t="s">
        <v>410</v>
      </c>
    </row>
    <row r="91" spans="2:42" ht="120" hidden="1" x14ac:dyDescent="0.25">
      <c r="B91" s="42" t="s">
        <v>930</v>
      </c>
      <c r="C91" s="42" t="s">
        <v>580</v>
      </c>
      <c r="D91" s="42" t="s">
        <v>568</v>
      </c>
      <c r="E91" s="44" t="s">
        <v>569</v>
      </c>
      <c r="F91" s="44" t="s">
        <v>608</v>
      </c>
      <c r="G91" s="42" t="s">
        <v>626</v>
      </c>
      <c r="H91" s="42" t="s">
        <v>626</v>
      </c>
      <c r="I91" s="47">
        <v>46094</v>
      </c>
      <c r="J91" s="56">
        <v>0.64583333333333337</v>
      </c>
      <c r="K91" s="54" t="s">
        <v>861</v>
      </c>
      <c r="L91" s="54" t="str">
        <f>TEXT(LTI_5[[#This Row],[FECHA]],"dddd")</f>
        <v>viernes</v>
      </c>
      <c r="M91" s="54" t="s">
        <v>931</v>
      </c>
      <c r="N91" s="54" t="s">
        <v>932</v>
      </c>
      <c r="O91" s="54" t="s">
        <v>933</v>
      </c>
      <c r="P91" s="54">
        <v>61</v>
      </c>
      <c r="Q91" s="46">
        <f>LTI_5[[#This Row],[TIEMPO EN LA EMPRESA (años)]]*12</f>
        <v>312</v>
      </c>
      <c r="R91" s="54">
        <v>26</v>
      </c>
      <c r="S91" s="55"/>
      <c r="T91" s="47" t="s">
        <v>826</v>
      </c>
      <c r="U91" s="146" t="s">
        <v>811</v>
      </c>
      <c r="V91" s="46" t="s">
        <v>599</v>
      </c>
      <c r="W91" s="53" t="s">
        <v>934</v>
      </c>
      <c r="X91" s="44" t="s">
        <v>935</v>
      </c>
      <c r="Y91" s="51">
        <v>16</v>
      </c>
      <c r="Z91" s="52" t="s">
        <v>890</v>
      </c>
      <c r="AA91" s="61" t="s">
        <v>936</v>
      </c>
      <c r="AB91" s="61" t="s">
        <v>737</v>
      </c>
      <c r="AC91" s="44" t="s">
        <v>831</v>
      </c>
      <c r="AD91" s="51" t="str">
        <f>"T"&amp;INT((MONTH(LTI_5[[#This Row],[FECHA]])-1)/3)+1</f>
        <v>T1</v>
      </c>
      <c r="AE91" s="50"/>
      <c r="AL91" s="128" t="s">
        <v>410</v>
      </c>
      <c r="AM91" s="128" t="s">
        <v>410</v>
      </c>
      <c r="AN91" s="128" t="s">
        <v>410</v>
      </c>
      <c r="AO91" s="128" t="s">
        <v>410</v>
      </c>
      <c r="AP91" s="128" t="s">
        <v>410</v>
      </c>
    </row>
    <row r="92" spans="2:42" ht="75" hidden="1" x14ac:dyDescent="0.25">
      <c r="B92" s="42" t="s">
        <v>937</v>
      </c>
      <c r="C92" s="44" t="s">
        <v>567</v>
      </c>
      <c r="D92" s="42" t="s">
        <v>568</v>
      </c>
      <c r="E92" s="44" t="s">
        <v>569</v>
      </c>
      <c r="F92" s="44" t="s">
        <v>570</v>
      </c>
      <c r="G92" s="42" t="s">
        <v>571</v>
      </c>
      <c r="H92" s="44" t="s">
        <v>571</v>
      </c>
      <c r="I92" s="47">
        <v>46096</v>
      </c>
      <c r="J92" s="56">
        <v>0.39513888888888887</v>
      </c>
      <c r="K92" s="47" t="s">
        <v>813</v>
      </c>
      <c r="L92" s="44" t="str">
        <f>TEXT(LTI_5[[#This Row],[FECHA]],"dddd")</f>
        <v>domingo</v>
      </c>
      <c r="M92" s="47" t="s">
        <v>938</v>
      </c>
      <c r="N92" s="47" t="s">
        <v>939</v>
      </c>
      <c r="O92" s="47" t="s">
        <v>940</v>
      </c>
      <c r="P92" s="44">
        <v>43</v>
      </c>
      <c r="Q92" s="46">
        <f>LTI_5[[#This Row],[TIEMPO EN LA EMPRESA (años)]]*12</f>
        <v>144</v>
      </c>
      <c r="R92" s="55">
        <v>12</v>
      </c>
      <c r="S92" s="55">
        <v>2</v>
      </c>
      <c r="T92" s="47" t="s">
        <v>826</v>
      </c>
      <c r="U92" s="146" t="s">
        <v>598</v>
      </c>
      <c r="V92" s="46" t="s">
        <v>599</v>
      </c>
      <c r="W92" s="53" t="s">
        <v>941</v>
      </c>
      <c r="X92" s="44" t="s">
        <v>942</v>
      </c>
      <c r="Y92" s="51">
        <v>53</v>
      </c>
      <c r="Z92" s="52" t="s">
        <v>929</v>
      </c>
      <c r="AA92" s="61" t="s">
        <v>943</v>
      </c>
      <c r="AB92" s="52" t="s">
        <v>734</v>
      </c>
      <c r="AC92" s="44" t="s">
        <v>831</v>
      </c>
      <c r="AD92" s="51" t="str">
        <f>"T"&amp;INT((MONTH(LTI_5[[#This Row],[FECHA]])-1)/3)+1</f>
        <v>T1</v>
      </c>
      <c r="AE92" s="50"/>
      <c r="AL92" s="128" t="s">
        <v>410</v>
      </c>
      <c r="AM92" s="128" t="s">
        <v>410</v>
      </c>
      <c r="AN92" s="128" t="s">
        <v>410</v>
      </c>
      <c r="AO92" s="128" t="s">
        <v>410</v>
      </c>
      <c r="AP92" s="128" t="s">
        <v>410</v>
      </c>
    </row>
    <row r="93" spans="2:42" ht="75" hidden="1" x14ac:dyDescent="0.25">
      <c r="B93" s="42" t="s">
        <v>944</v>
      </c>
      <c r="C93" s="44" t="s">
        <v>567</v>
      </c>
      <c r="D93" s="42" t="s">
        <v>568</v>
      </c>
      <c r="E93" s="44" t="s">
        <v>569</v>
      </c>
      <c r="F93" s="44" t="s">
        <v>646</v>
      </c>
      <c r="G93" s="44" t="s">
        <v>755</v>
      </c>
      <c r="H93" s="44" t="s">
        <v>755</v>
      </c>
      <c r="I93" s="47">
        <v>46097</v>
      </c>
      <c r="J93" s="56">
        <v>0.37847222222222221</v>
      </c>
      <c r="K93" s="46" t="s">
        <v>813</v>
      </c>
      <c r="L93" s="46" t="str">
        <f>TEXT(LTI_5[[#This Row],[FECHA]],"dddd")</f>
        <v>lunes</v>
      </c>
      <c r="M93" s="46" t="s">
        <v>945</v>
      </c>
      <c r="N93" s="46" t="s">
        <v>946</v>
      </c>
      <c r="O93" s="46">
        <v>25732404</v>
      </c>
      <c r="P93" s="46">
        <v>59</v>
      </c>
      <c r="Q93" s="46">
        <f>LTI_5[[#This Row],[TIEMPO EN LA EMPRESA (años)]]*12</f>
        <v>276</v>
      </c>
      <c r="R93" s="46">
        <v>23</v>
      </c>
      <c r="S93" s="55"/>
      <c r="T93" s="47" t="s">
        <v>816</v>
      </c>
      <c r="U93" s="146" t="s">
        <v>598</v>
      </c>
      <c r="V93" s="46" t="s">
        <v>599</v>
      </c>
      <c r="W93" s="53" t="s">
        <v>947</v>
      </c>
      <c r="X93" s="44" t="s">
        <v>948</v>
      </c>
      <c r="Y93" s="51">
        <v>58</v>
      </c>
      <c r="Z93" s="52" t="s">
        <v>949</v>
      </c>
      <c r="AA93" s="61" t="s">
        <v>943</v>
      </c>
      <c r="AB93" s="61" t="s">
        <v>840</v>
      </c>
      <c r="AC93" s="44" t="s">
        <v>831</v>
      </c>
      <c r="AD93" s="51" t="str">
        <f>"T"&amp;INT((MONTH(LTI_5[[#This Row],[FECHA]])-1)/3)+1</f>
        <v>T1</v>
      </c>
      <c r="AE93" s="50"/>
      <c r="AL93" s="128" t="s">
        <v>410</v>
      </c>
      <c r="AM93" s="128" t="s">
        <v>410</v>
      </c>
      <c r="AN93" s="128" t="s">
        <v>410</v>
      </c>
      <c r="AO93" s="128" t="s">
        <v>410</v>
      </c>
      <c r="AP93" s="128" t="s">
        <v>410</v>
      </c>
    </row>
    <row r="94" spans="2:42" ht="75" hidden="1" x14ac:dyDescent="0.25">
      <c r="B94" s="44" t="s">
        <v>950</v>
      </c>
      <c r="C94" s="44" t="s">
        <v>567</v>
      </c>
      <c r="D94" s="42" t="s">
        <v>568</v>
      </c>
      <c r="E94" s="44" t="s">
        <v>581</v>
      </c>
      <c r="F94" s="44" t="s">
        <v>717</v>
      </c>
      <c r="G94" s="44" t="s">
        <v>647</v>
      </c>
      <c r="H94" s="44" t="s">
        <v>523</v>
      </c>
      <c r="I94" s="47">
        <v>46104</v>
      </c>
      <c r="J94" s="56">
        <v>0.59861111111111109</v>
      </c>
      <c r="K94" s="54" t="s">
        <v>861</v>
      </c>
      <c r="L94" s="54" t="str">
        <f>TEXT(LTI_5[[#This Row],[FECHA]],"dddd")</f>
        <v>lunes</v>
      </c>
      <c r="M94" s="54" t="s">
        <v>951</v>
      </c>
      <c r="N94" s="54" t="s">
        <v>952</v>
      </c>
      <c r="O94" s="54">
        <v>74785444</v>
      </c>
      <c r="P94" s="54">
        <v>22</v>
      </c>
      <c r="Q94" s="46">
        <f>LTI_5[[#This Row],[TIEMPO EN LA EMPRESA (años)]]*12</f>
        <v>252</v>
      </c>
      <c r="R94" s="54">
        <v>21</v>
      </c>
      <c r="S94" s="55"/>
      <c r="T94" s="47" t="s">
        <v>887</v>
      </c>
      <c r="U94" s="42" t="s">
        <v>747</v>
      </c>
      <c r="V94" s="46" t="s">
        <v>771</v>
      </c>
      <c r="W94" s="53" t="s">
        <v>953</v>
      </c>
      <c r="X94" s="44" t="s">
        <v>954</v>
      </c>
      <c r="Y94" s="51">
        <v>7</v>
      </c>
      <c r="Z94" s="61" t="s">
        <v>955</v>
      </c>
      <c r="AA94" s="64" t="s">
        <v>956</v>
      </c>
      <c r="AB94" s="52" t="s">
        <v>737</v>
      </c>
      <c r="AC94" s="146" t="s">
        <v>869</v>
      </c>
      <c r="AD94" s="51" t="str">
        <f>"T"&amp;INT((MONTH(LTI_5[[#This Row],[FECHA]])-1)/3)+1</f>
        <v>T1</v>
      </c>
      <c r="AE94" s="50"/>
      <c r="AL94" s="128" t="s">
        <v>957</v>
      </c>
      <c r="AM94" s="128" t="s">
        <v>957</v>
      </c>
      <c r="AN94" s="128" t="s">
        <v>957</v>
      </c>
      <c r="AO94" s="128" t="s">
        <v>957</v>
      </c>
      <c r="AP94" s="128" t="s">
        <v>957</v>
      </c>
    </row>
    <row r="95" spans="2:42" ht="90" hidden="1" x14ac:dyDescent="0.25">
      <c r="B95" s="44" t="s">
        <v>958</v>
      </c>
      <c r="C95" s="44" t="s">
        <v>567</v>
      </c>
      <c r="D95" s="42" t="s">
        <v>568</v>
      </c>
      <c r="E95" s="44" t="s">
        <v>569</v>
      </c>
      <c r="F95" s="44" t="s">
        <v>646</v>
      </c>
      <c r="G95" s="44" t="s">
        <v>647</v>
      </c>
      <c r="H95" s="44" t="s">
        <v>648</v>
      </c>
      <c r="I95" s="47">
        <v>46105</v>
      </c>
      <c r="J95" s="56">
        <v>0.6875</v>
      </c>
      <c r="K95" s="54" t="s">
        <v>861</v>
      </c>
      <c r="L95" s="54" t="str">
        <f>TEXT(LTI_5[[#This Row],[FECHA]],"dddd")</f>
        <v>martes</v>
      </c>
      <c r="M95" s="54" t="s">
        <v>959</v>
      </c>
      <c r="N95" s="54" t="s">
        <v>960</v>
      </c>
      <c r="O95" s="54" t="s">
        <v>961</v>
      </c>
      <c r="P95" s="54">
        <v>33</v>
      </c>
      <c r="Q95" s="46">
        <f>LTI_5[[#This Row],[TIEMPO EN LA EMPRESA (años)]]*12</f>
        <v>72</v>
      </c>
      <c r="R95" s="54">
        <v>6</v>
      </c>
      <c r="S95" s="55"/>
      <c r="T95" s="47" t="s">
        <v>826</v>
      </c>
      <c r="U95" s="44" t="s">
        <v>598</v>
      </c>
      <c r="V95" s="54" t="s">
        <v>599</v>
      </c>
      <c r="W95" s="53" t="s">
        <v>962</v>
      </c>
      <c r="X95" s="44" t="s">
        <v>963</v>
      </c>
      <c r="Y95" s="51">
        <v>47</v>
      </c>
      <c r="Z95" s="52" t="s">
        <v>964</v>
      </c>
      <c r="AA95" s="61" t="s">
        <v>965</v>
      </c>
      <c r="AB95" s="52" t="s">
        <v>734</v>
      </c>
      <c r="AC95" s="44" t="s">
        <v>821</v>
      </c>
      <c r="AD95" s="51" t="str">
        <f>"T"&amp;INT((MONTH(LTI_5[[#This Row],[FECHA]])-1)/3)+1</f>
        <v>T1</v>
      </c>
      <c r="AE95" s="50"/>
      <c r="AL95" s="128" t="s">
        <v>410</v>
      </c>
      <c r="AM95" s="128" t="s">
        <v>410</v>
      </c>
      <c r="AN95" s="128" t="s">
        <v>410</v>
      </c>
      <c r="AO95" s="128" t="s">
        <v>410</v>
      </c>
      <c r="AP95" s="128" t="s">
        <v>410</v>
      </c>
    </row>
    <row r="96" spans="2:42" ht="105" hidden="1" x14ac:dyDescent="0.25">
      <c r="B96" s="111"/>
      <c r="C96" s="42" t="s">
        <v>966</v>
      </c>
      <c r="D96" s="42" t="s">
        <v>568</v>
      </c>
      <c r="E96" s="44" t="s">
        <v>569</v>
      </c>
      <c r="F96" s="44" t="s">
        <v>608</v>
      </c>
      <c r="G96" s="42" t="s">
        <v>967</v>
      </c>
      <c r="H96" s="42" t="s">
        <v>967</v>
      </c>
      <c r="I96" s="47">
        <v>46105</v>
      </c>
      <c r="J96" s="49">
        <v>0.41666666666666669</v>
      </c>
      <c r="K96" s="46" t="s">
        <v>813</v>
      </c>
      <c r="L96" s="46" t="str">
        <f>TEXT(LTI_5[[#This Row],[FECHA]],"dddd")</f>
        <v>martes</v>
      </c>
      <c r="M96" s="46" t="s">
        <v>968</v>
      </c>
      <c r="N96" s="46" t="s">
        <v>969</v>
      </c>
      <c r="O96" s="46">
        <v>1722542642</v>
      </c>
      <c r="P96" s="46"/>
      <c r="Q96" s="46">
        <f>LTI_5[[#This Row],[TIEMPO EN LA EMPRESA (años)]]*12</f>
        <v>108</v>
      </c>
      <c r="R96" s="46">
        <v>9</v>
      </c>
      <c r="S96" s="48"/>
      <c r="T96" s="47" t="s">
        <v>826</v>
      </c>
      <c r="U96" s="42" t="s">
        <v>966</v>
      </c>
      <c r="V96" s="46" t="s">
        <v>599</v>
      </c>
      <c r="W96" s="45" t="s">
        <v>970</v>
      </c>
      <c r="X96" s="44" t="s">
        <v>971</v>
      </c>
      <c r="Y96" s="41">
        <v>2</v>
      </c>
      <c r="Z96" s="43" t="s">
        <v>972</v>
      </c>
      <c r="AA96" s="61" t="s">
        <v>973</v>
      </c>
      <c r="AB96" s="43" t="s">
        <v>974</v>
      </c>
      <c r="AC96" s="42" t="s">
        <v>821</v>
      </c>
      <c r="AD96" s="41" t="str">
        <f>"T"&amp;INT((MONTH(LTI_5[[#This Row],[FECHA]])-1)/3)+1</f>
        <v>T1</v>
      </c>
      <c r="AE96" s="40"/>
      <c r="AL96" s="128" t="s">
        <v>410</v>
      </c>
      <c r="AM96" s="128" t="s">
        <v>410</v>
      </c>
      <c r="AN96" s="128" t="s">
        <v>410</v>
      </c>
      <c r="AO96" s="128" t="s">
        <v>410</v>
      </c>
      <c r="AP96" s="128" t="s">
        <v>410</v>
      </c>
    </row>
    <row r="97" spans="1:204" ht="90" hidden="1" x14ac:dyDescent="0.25">
      <c r="B97" s="44" t="s">
        <v>975</v>
      </c>
      <c r="C97" s="42" t="s">
        <v>580</v>
      </c>
      <c r="D97" s="42" t="s">
        <v>568</v>
      </c>
      <c r="E97" s="44" t="s">
        <v>569</v>
      </c>
      <c r="F97" s="44" t="s">
        <v>608</v>
      </c>
      <c r="G97" s="44" t="s">
        <v>455</v>
      </c>
      <c r="H97" s="44" t="s">
        <v>455</v>
      </c>
      <c r="I97" s="58">
        <v>46115</v>
      </c>
      <c r="J97" s="49">
        <v>0.57291666666666663</v>
      </c>
      <c r="K97" s="46" t="s">
        <v>813</v>
      </c>
      <c r="L97" s="46" t="str">
        <f>TEXT(LTI_5[[#This Row],[FECHA]],"dddd")</f>
        <v>viernes</v>
      </c>
      <c r="M97" s="46" t="s">
        <v>976</v>
      </c>
      <c r="N97" s="46" t="s">
        <v>977</v>
      </c>
      <c r="O97" s="46" t="s">
        <v>978</v>
      </c>
      <c r="P97" s="46">
        <v>37</v>
      </c>
      <c r="Q97" s="46">
        <f>LTI_5[[#This Row],[TIEMPO EN LA EMPRESA (años)]]*12</f>
        <v>120</v>
      </c>
      <c r="R97" s="46">
        <v>10</v>
      </c>
      <c r="S97" s="48">
        <v>6</v>
      </c>
      <c r="T97" s="47" t="s">
        <v>816</v>
      </c>
      <c r="U97" s="146" t="s">
        <v>811</v>
      </c>
      <c r="V97" s="46" t="s">
        <v>599</v>
      </c>
      <c r="W97" s="45" t="s">
        <v>979</v>
      </c>
      <c r="X97" s="42" t="s">
        <v>889</v>
      </c>
      <c r="Y97" s="41">
        <v>1</v>
      </c>
      <c r="Z97" s="52" t="s">
        <v>890</v>
      </c>
      <c r="AA97" s="64" t="s">
        <v>980</v>
      </c>
      <c r="AB97" s="52" t="s">
        <v>734</v>
      </c>
      <c r="AC97" s="42" t="s">
        <v>848</v>
      </c>
      <c r="AD97" s="41" t="str">
        <f>"T"&amp;INT((MONTH(LTI_5[[#This Row],[FECHA]])-1)/3)+1</f>
        <v>T2</v>
      </c>
      <c r="AE97" s="40"/>
      <c r="AL97" s="128" t="s">
        <v>410</v>
      </c>
      <c r="AM97" s="128" t="s">
        <v>410</v>
      </c>
      <c r="AN97" s="128" t="s">
        <v>410</v>
      </c>
      <c r="AO97" s="128" t="s">
        <v>410</v>
      </c>
      <c r="AP97" s="128" t="s">
        <v>410</v>
      </c>
    </row>
    <row r="98" spans="1:204" ht="45.6" hidden="1" customHeight="1" x14ac:dyDescent="0.25">
      <c r="B98" s="44" t="s">
        <v>981</v>
      </c>
      <c r="C98" s="44" t="s">
        <v>567</v>
      </c>
      <c r="D98" s="42" t="s">
        <v>568</v>
      </c>
      <c r="E98" s="44" t="s">
        <v>569</v>
      </c>
      <c r="F98" s="44" t="s">
        <v>570</v>
      </c>
      <c r="G98" s="42" t="s">
        <v>604</v>
      </c>
      <c r="H98" s="42" t="s">
        <v>604</v>
      </c>
      <c r="I98" s="106">
        <v>46123</v>
      </c>
      <c r="J98" s="56">
        <v>0.78125</v>
      </c>
      <c r="K98" s="54" t="s">
        <v>861</v>
      </c>
      <c r="L98" s="54" t="str">
        <f>TEXT(LTI_5[[#This Row],[FECHA]],"dddd")</f>
        <v>sábado</v>
      </c>
      <c r="M98" s="54" t="s">
        <v>982</v>
      </c>
      <c r="N98" s="54" t="s">
        <v>983</v>
      </c>
      <c r="O98" s="54" t="s">
        <v>984</v>
      </c>
      <c r="P98" s="54">
        <v>59</v>
      </c>
      <c r="Q98" s="46">
        <f>LTI_5[[#This Row],[TIEMPO EN LA EMPRESA (años)]]*12</f>
        <v>228</v>
      </c>
      <c r="R98" s="54">
        <v>19</v>
      </c>
      <c r="S98" s="55"/>
      <c r="T98" s="47" t="s">
        <v>816</v>
      </c>
      <c r="U98" s="44" t="s">
        <v>598</v>
      </c>
      <c r="V98" s="46" t="s">
        <v>599</v>
      </c>
      <c r="W98" s="53" t="s">
        <v>985</v>
      </c>
      <c r="X98" s="44" t="s">
        <v>986</v>
      </c>
      <c r="Y98" s="51">
        <v>11</v>
      </c>
      <c r="Z98" s="52" t="s">
        <v>987</v>
      </c>
      <c r="AA98" s="64" t="s">
        <v>980</v>
      </c>
      <c r="AB98" s="52" t="s">
        <v>734</v>
      </c>
      <c r="AC98" s="44" t="s">
        <v>869</v>
      </c>
      <c r="AD98" s="51" t="str">
        <f>"T"&amp;INT((MONTH(LTI_5[[#This Row],[FECHA]])-1)/3)+1</f>
        <v>T2</v>
      </c>
      <c r="AE98" s="50"/>
      <c r="AL98" s="128" t="s">
        <v>410</v>
      </c>
      <c r="AM98" s="128" t="s">
        <v>410</v>
      </c>
      <c r="AN98" s="128" t="s">
        <v>410</v>
      </c>
      <c r="AO98" s="128" t="s">
        <v>410</v>
      </c>
      <c r="AP98" s="128" t="s">
        <v>410</v>
      </c>
    </row>
    <row r="99" spans="1:204" ht="187.35" hidden="1" customHeight="1" x14ac:dyDescent="0.25">
      <c r="A99" s="113"/>
      <c r="B99" s="44" t="s">
        <v>988</v>
      </c>
      <c r="C99" s="44" t="s">
        <v>567</v>
      </c>
      <c r="D99" s="42" t="s">
        <v>568</v>
      </c>
      <c r="E99" s="44" t="s">
        <v>569</v>
      </c>
      <c r="F99" s="44" t="s">
        <v>608</v>
      </c>
      <c r="G99" s="44" t="s">
        <v>989</v>
      </c>
      <c r="H99" s="44" t="s">
        <v>989</v>
      </c>
      <c r="I99" s="107">
        <v>46126</v>
      </c>
      <c r="J99" s="49">
        <v>0.41666666666666669</v>
      </c>
      <c r="K99" s="107" t="s">
        <v>813</v>
      </c>
      <c r="L99" s="107" t="str">
        <f>TEXT(LTI_5[[#This Row],[FECHA]],"dddd")</f>
        <v>martes</v>
      </c>
      <c r="M99" s="54" t="s">
        <v>990</v>
      </c>
      <c r="N99" s="54" t="s">
        <v>991</v>
      </c>
      <c r="O99" s="42" t="s">
        <v>992</v>
      </c>
      <c r="P99" s="42">
        <v>55</v>
      </c>
      <c r="Q99" s="46">
        <f>LTI_5[[#This Row],[TIEMPO EN LA EMPRESA (años)]]*12</f>
        <v>228</v>
      </c>
      <c r="R99" s="42">
        <v>19</v>
      </c>
      <c r="S99" s="48"/>
      <c r="T99" s="47" t="s">
        <v>816</v>
      </c>
      <c r="U99" s="44" t="s">
        <v>598</v>
      </c>
      <c r="V99" s="46" t="s">
        <v>599</v>
      </c>
      <c r="W99" s="45" t="s">
        <v>993</v>
      </c>
      <c r="X99" s="42" t="s">
        <v>994</v>
      </c>
      <c r="Y99" s="41">
        <v>28</v>
      </c>
      <c r="Z99" s="64" t="s">
        <v>995</v>
      </c>
      <c r="AA99" s="64" t="s">
        <v>996</v>
      </c>
      <c r="AB99" s="64" t="s">
        <v>997</v>
      </c>
      <c r="AC99" s="42" t="s">
        <v>869</v>
      </c>
      <c r="AD99" s="41" t="str">
        <f>"T"&amp;INT((MONTH(LTI_5[[#This Row],[FECHA]])-1)/3)+1</f>
        <v>T2</v>
      </c>
      <c r="AE99" s="40"/>
      <c r="AL99" s="128" t="s">
        <v>410</v>
      </c>
      <c r="AM99" s="128" t="s">
        <v>410</v>
      </c>
      <c r="AN99" s="128" t="s">
        <v>410</v>
      </c>
      <c r="AO99" s="128" t="s">
        <v>410</v>
      </c>
      <c r="AP99" s="128" t="s">
        <v>410</v>
      </c>
    </row>
    <row r="100" spans="1:204" s="81" customFormat="1" ht="60.6" customHeight="1" x14ac:dyDescent="0.25">
      <c r="A100" s="113"/>
      <c r="B100" s="42" t="s">
        <v>998</v>
      </c>
      <c r="C100" s="44" t="s">
        <v>567</v>
      </c>
      <c r="D100" s="42" t="s">
        <v>640</v>
      </c>
      <c r="E100" s="42" t="s">
        <v>595</v>
      </c>
      <c r="F100" s="42" t="s">
        <v>641</v>
      </c>
      <c r="G100" s="42" t="s">
        <v>999</v>
      </c>
      <c r="H100" s="42" t="s">
        <v>999</v>
      </c>
      <c r="I100" s="58">
        <v>46127</v>
      </c>
      <c r="J100" s="116">
        <v>0.35416666666666669</v>
      </c>
      <c r="K100" s="42" t="s">
        <v>813</v>
      </c>
      <c r="L100" s="42" t="str">
        <f>TEXT(LTI_5[[#This Row],[FECHA]],"dddd")</f>
        <v>miércoles</v>
      </c>
      <c r="M100" s="42" t="s">
        <v>1000</v>
      </c>
      <c r="N100" s="42" t="s">
        <v>1001</v>
      </c>
      <c r="O100" s="42">
        <v>76602201</v>
      </c>
      <c r="P100" s="42"/>
      <c r="Q100" s="46">
        <f>LTI_5[[#This Row],[TIEMPO EN LA EMPRESA (años)]]*12</f>
        <v>288</v>
      </c>
      <c r="R100" s="42">
        <v>24</v>
      </c>
      <c r="S100" s="42"/>
      <c r="T100" s="42" t="s">
        <v>887</v>
      </c>
      <c r="U100" s="42" t="s">
        <v>1002</v>
      </c>
      <c r="V100" s="42" t="s">
        <v>1003</v>
      </c>
      <c r="W100" s="42" t="s">
        <v>1004</v>
      </c>
      <c r="X100" s="42" t="s">
        <v>1005</v>
      </c>
      <c r="Y100" s="42">
        <v>5</v>
      </c>
      <c r="Z100" s="42" t="s">
        <v>1006</v>
      </c>
      <c r="AA100" s="42" t="s">
        <v>1007</v>
      </c>
      <c r="AB100" s="42" t="s">
        <v>859</v>
      </c>
      <c r="AC100" s="42" t="s">
        <v>869</v>
      </c>
      <c r="AD100" s="42" t="str">
        <f>"T"&amp;INT((MONTH(LTI_5[[#This Row],[FECHA]])-1)/3)+1</f>
        <v>T2</v>
      </c>
      <c r="AE100" s="109"/>
      <c r="AF100" s="113"/>
      <c r="AG100" s="113"/>
      <c r="AH100" s="113"/>
      <c r="AI100" s="113"/>
      <c r="AJ100" s="113"/>
      <c r="AK100" s="113"/>
      <c r="AL100" s="128" t="s">
        <v>410</v>
      </c>
      <c r="AM100" s="128" t="s">
        <v>410</v>
      </c>
      <c r="AN100" s="128" t="s">
        <v>410</v>
      </c>
      <c r="AO100" s="128" t="s">
        <v>410</v>
      </c>
      <c r="AP100" s="128" t="s">
        <v>410</v>
      </c>
      <c r="AQ100" s="113"/>
      <c r="AR100" s="113"/>
      <c r="AS100" s="113"/>
      <c r="AT100" s="113"/>
      <c r="AU100" s="113"/>
      <c r="AV100" s="113"/>
      <c r="AW100" s="113"/>
      <c r="AX100" s="113"/>
      <c r="AY100" s="113"/>
      <c r="AZ100" s="113"/>
      <c r="BA100" s="113"/>
      <c r="BB100" s="113"/>
      <c r="BC100" s="113"/>
      <c r="BD100" s="113"/>
      <c r="BE100" s="113"/>
      <c r="BF100" s="113"/>
      <c r="BG100" s="113"/>
      <c r="BH100" s="113"/>
      <c r="BI100" s="113"/>
      <c r="BJ100" s="113"/>
      <c r="BK100" s="113"/>
      <c r="BL100" s="113"/>
      <c r="BM100" s="113"/>
      <c r="BN100" s="113"/>
      <c r="BO100" s="113"/>
      <c r="BP100" s="113"/>
      <c r="BQ100" s="113"/>
      <c r="BR100" s="113"/>
      <c r="BS100" s="113"/>
      <c r="BT100" s="113"/>
      <c r="BU100" s="113"/>
      <c r="BV100" s="113"/>
      <c r="BW100" s="113"/>
      <c r="BX100" s="113"/>
      <c r="BY100" s="113"/>
      <c r="BZ100" s="113"/>
      <c r="CA100" s="113"/>
      <c r="CB100" s="113"/>
      <c r="CC100" s="113"/>
      <c r="CD100" s="113"/>
      <c r="CE100" s="113"/>
      <c r="CF100" s="113"/>
      <c r="CG100" s="113"/>
      <c r="CH100" s="113"/>
      <c r="CI100" s="113"/>
      <c r="CJ100" s="113"/>
      <c r="CK100" s="113"/>
      <c r="CL100" s="113"/>
      <c r="CM100" s="113"/>
      <c r="CN100" s="113"/>
      <c r="CO100" s="113"/>
      <c r="CP100" s="113"/>
      <c r="CQ100" s="113"/>
      <c r="CR100" s="113"/>
      <c r="CS100" s="113"/>
      <c r="CT100" s="113"/>
      <c r="CU100" s="113"/>
      <c r="CV100" s="113"/>
      <c r="CW100" s="113"/>
      <c r="CX100" s="113"/>
      <c r="CY100" s="113"/>
      <c r="CZ100" s="113"/>
      <c r="DA100" s="113"/>
      <c r="DB100" s="113"/>
      <c r="DC100" s="113"/>
      <c r="DD100" s="113"/>
      <c r="DE100" s="113"/>
      <c r="DF100" s="113"/>
      <c r="DG100" s="113"/>
      <c r="DH100" s="113"/>
      <c r="DI100" s="113"/>
      <c r="DJ100" s="113"/>
      <c r="DK100" s="113"/>
      <c r="DL100" s="113"/>
      <c r="DM100" s="113"/>
      <c r="DN100" s="113"/>
      <c r="DO100" s="113"/>
      <c r="DP100" s="113"/>
      <c r="DQ100" s="113"/>
      <c r="DR100" s="113"/>
      <c r="DS100" s="113"/>
      <c r="DT100" s="113"/>
      <c r="DU100" s="113"/>
      <c r="DV100" s="113"/>
      <c r="DW100" s="113"/>
      <c r="DX100" s="113"/>
      <c r="DY100" s="113"/>
      <c r="DZ100" s="113"/>
      <c r="EA100" s="113"/>
      <c r="EB100" s="113"/>
      <c r="EC100" s="113"/>
      <c r="ED100" s="113"/>
      <c r="EE100" s="113"/>
      <c r="EF100" s="113"/>
      <c r="EG100" s="113"/>
      <c r="EH100" s="113"/>
      <c r="EI100" s="113"/>
      <c r="EJ100" s="113"/>
      <c r="EK100" s="113"/>
      <c r="EL100" s="113"/>
      <c r="EM100" s="113"/>
      <c r="EN100" s="113"/>
      <c r="EO100" s="113"/>
      <c r="EP100" s="113"/>
      <c r="EQ100" s="113"/>
      <c r="ER100" s="113"/>
      <c r="ES100" s="113"/>
      <c r="ET100" s="113"/>
      <c r="EU100" s="113"/>
      <c r="EV100" s="113"/>
      <c r="EW100" s="113"/>
      <c r="EX100" s="113"/>
      <c r="EY100" s="113"/>
      <c r="EZ100" s="113"/>
      <c r="FA100" s="113"/>
      <c r="FB100" s="113"/>
      <c r="FC100" s="113"/>
      <c r="FD100" s="113"/>
      <c r="FE100" s="113"/>
      <c r="FF100" s="113"/>
      <c r="FG100" s="113"/>
      <c r="FH100" s="113"/>
      <c r="FI100" s="113"/>
      <c r="FJ100" s="113"/>
      <c r="FK100" s="113"/>
      <c r="FL100" s="113"/>
      <c r="FM100" s="113"/>
      <c r="FN100" s="113"/>
      <c r="FO100" s="113"/>
      <c r="FP100" s="113"/>
      <c r="FQ100" s="113"/>
      <c r="FR100" s="113"/>
      <c r="FS100" s="113"/>
      <c r="FT100" s="113"/>
      <c r="FU100" s="113"/>
      <c r="FV100" s="113"/>
      <c r="FW100" s="113"/>
      <c r="FX100" s="113"/>
      <c r="FY100" s="113"/>
      <c r="FZ100" s="113"/>
      <c r="GA100" s="113"/>
      <c r="GB100" s="113"/>
      <c r="GC100" s="113"/>
      <c r="GD100" s="113"/>
      <c r="GE100" s="113"/>
      <c r="GF100" s="113"/>
      <c r="GG100" s="113"/>
      <c r="GH100" s="113"/>
      <c r="GI100" s="113"/>
      <c r="GJ100" s="113"/>
      <c r="GK100" s="113"/>
      <c r="GL100" s="113"/>
      <c r="GM100" s="113"/>
      <c r="GN100" s="113"/>
      <c r="GO100" s="113"/>
      <c r="GP100" s="113"/>
      <c r="GQ100" s="113"/>
      <c r="GR100" s="113"/>
      <c r="GS100" s="113"/>
      <c r="GT100" s="113"/>
      <c r="GU100" s="113"/>
      <c r="GV100" s="113"/>
    </row>
    <row r="101" spans="1:204" ht="119.1" hidden="1" customHeight="1" x14ac:dyDescent="0.25">
      <c r="B101" s="44" t="s">
        <v>1008</v>
      </c>
      <c r="C101" s="42" t="s">
        <v>580</v>
      </c>
      <c r="D101" s="42" t="s">
        <v>568</v>
      </c>
      <c r="E101" s="44" t="s">
        <v>569</v>
      </c>
      <c r="F101" s="44" t="s">
        <v>608</v>
      </c>
      <c r="G101" s="42" t="s">
        <v>626</v>
      </c>
      <c r="H101" s="42" t="s">
        <v>626</v>
      </c>
      <c r="I101" s="107">
        <v>46127</v>
      </c>
      <c r="J101" s="49">
        <v>0.34722222222222221</v>
      </c>
      <c r="K101" s="107" t="s">
        <v>813</v>
      </c>
      <c r="L101" s="107" t="str">
        <f>TEXT(LTI_5[[#This Row],[FECHA]],"dddd")</f>
        <v>miércoles</v>
      </c>
      <c r="M101" s="107" t="s">
        <v>1009</v>
      </c>
      <c r="N101" s="107" t="s">
        <v>1010</v>
      </c>
      <c r="O101" s="42">
        <v>43753618</v>
      </c>
      <c r="P101" s="42">
        <v>42</v>
      </c>
      <c r="Q101" s="46">
        <f>LTI_5[[#This Row],[TIEMPO EN LA EMPRESA (años)]]*12</f>
        <v>84</v>
      </c>
      <c r="R101" s="42">
        <v>7</v>
      </c>
      <c r="S101" s="48"/>
      <c r="T101" s="58" t="s">
        <v>887</v>
      </c>
      <c r="U101" s="42" t="s">
        <v>627</v>
      </c>
      <c r="V101" s="46" t="s">
        <v>623</v>
      </c>
      <c r="W101" s="45" t="s">
        <v>1011</v>
      </c>
      <c r="X101" s="42" t="s">
        <v>1012</v>
      </c>
      <c r="Y101" s="41">
        <v>8</v>
      </c>
      <c r="Z101" s="64" t="s">
        <v>1013</v>
      </c>
      <c r="AA101" s="64" t="s">
        <v>980</v>
      </c>
      <c r="AB101" s="52" t="s">
        <v>734</v>
      </c>
      <c r="AC101" s="42" t="s">
        <v>869</v>
      </c>
      <c r="AD101" s="41" t="str">
        <f>"T"&amp;INT((MONTH(LTI_5[[#This Row],[FECHA]])-1)/3)+1</f>
        <v>T2</v>
      </c>
      <c r="AE101" s="40"/>
      <c r="AF101" s="113"/>
      <c r="AG101" s="113"/>
      <c r="AH101" s="113"/>
      <c r="AI101" s="113"/>
      <c r="AJ101" s="113"/>
      <c r="AK101" s="113"/>
      <c r="AL101" s="128" t="s">
        <v>410</v>
      </c>
      <c r="AM101" s="128" t="s">
        <v>410</v>
      </c>
      <c r="AN101" s="128" t="s">
        <v>410</v>
      </c>
      <c r="AO101" s="128" t="s">
        <v>410</v>
      </c>
      <c r="AP101" s="128" t="s">
        <v>410</v>
      </c>
      <c r="AQ101" s="113"/>
      <c r="AR101" s="113"/>
      <c r="AS101" s="113"/>
      <c r="AT101" s="113"/>
      <c r="AU101" s="113"/>
      <c r="AV101" s="113"/>
      <c r="AW101" s="113"/>
      <c r="AX101" s="113"/>
      <c r="AY101" s="113"/>
      <c r="AZ101" s="113"/>
      <c r="BA101" s="113"/>
      <c r="BB101" s="113"/>
      <c r="BC101" s="113"/>
      <c r="BD101" s="113"/>
      <c r="BE101" s="113"/>
      <c r="BF101" s="113"/>
      <c r="BG101" s="113"/>
      <c r="BH101" s="113"/>
      <c r="BI101" s="113"/>
      <c r="BJ101" s="113"/>
      <c r="BK101" s="113"/>
      <c r="BL101" s="113"/>
      <c r="BM101" s="113"/>
      <c r="BN101" s="113"/>
      <c r="BO101" s="113"/>
      <c r="BP101" s="113"/>
      <c r="BQ101" s="113"/>
      <c r="BR101" s="113"/>
      <c r="BS101" s="113"/>
      <c r="BT101" s="113"/>
      <c r="BU101" s="113"/>
      <c r="BV101" s="113"/>
      <c r="BW101" s="113"/>
      <c r="BX101" s="113"/>
      <c r="BY101" s="113"/>
      <c r="BZ101" s="113"/>
      <c r="CA101" s="113"/>
      <c r="CB101" s="113"/>
      <c r="CC101" s="113"/>
      <c r="CD101" s="113"/>
      <c r="CE101" s="113"/>
      <c r="CF101" s="113"/>
      <c r="CG101" s="113"/>
      <c r="CH101" s="113"/>
      <c r="CI101" s="113"/>
      <c r="CJ101" s="113"/>
      <c r="CK101" s="113"/>
      <c r="CL101" s="113"/>
      <c r="CM101" s="113"/>
      <c r="CN101" s="113"/>
      <c r="CO101" s="113"/>
      <c r="CP101" s="113"/>
      <c r="CQ101" s="113"/>
      <c r="CR101" s="113"/>
      <c r="CS101" s="113"/>
      <c r="CT101" s="113"/>
      <c r="CU101" s="113"/>
      <c r="CV101" s="113"/>
      <c r="CW101" s="113"/>
      <c r="CX101" s="113"/>
      <c r="CY101" s="113"/>
      <c r="CZ101" s="113"/>
      <c r="DA101" s="113"/>
      <c r="DB101" s="113"/>
      <c r="DC101" s="113"/>
      <c r="DD101" s="113"/>
      <c r="DE101" s="113"/>
      <c r="DF101" s="113"/>
      <c r="DG101" s="113"/>
      <c r="DH101" s="113"/>
      <c r="DI101" s="113"/>
      <c r="DJ101" s="113"/>
      <c r="DK101" s="113"/>
      <c r="DL101" s="113"/>
      <c r="DM101" s="113"/>
      <c r="DN101" s="113"/>
      <c r="DO101" s="113"/>
      <c r="DP101" s="113"/>
      <c r="DQ101" s="113"/>
      <c r="DR101" s="113"/>
      <c r="DS101" s="113"/>
      <c r="DT101" s="113"/>
      <c r="DU101" s="113"/>
      <c r="DV101" s="113"/>
      <c r="DW101" s="113"/>
      <c r="DX101" s="113"/>
      <c r="DY101" s="113"/>
      <c r="DZ101" s="113"/>
      <c r="EA101" s="113"/>
      <c r="EB101" s="113"/>
      <c r="EC101" s="113"/>
      <c r="ED101" s="113"/>
      <c r="EE101" s="113"/>
      <c r="EF101" s="113"/>
      <c r="EG101" s="113"/>
      <c r="EH101" s="113"/>
      <c r="EI101" s="113"/>
      <c r="EJ101" s="113"/>
      <c r="EK101" s="113"/>
      <c r="EL101" s="113"/>
      <c r="EM101" s="113"/>
      <c r="EN101" s="113"/>
      <c r="EO101" s="113"/>
      <c r="EP101" s="113"/>
      <c r="EQ101" s="113"/>
      <c r="ER101" s="113"/>
      <c r="ES101" s="113"/>
      <c r="ET101" s="113"/>
      <c r="EU101" s="113"/>
      <c r="EV101" s="113"/>
      <c r="EW101" s="113"/>
      <c r="EX101" s="113"/>
      <c r="EY101" s="113"/>
      <c r="EZ101" s="113"/>
      <c r="FA101" s="113"/>
      <c r="FB101" s="113"/>
      <c r="FC101" s="113"/>
      <c r="FD101" s="113"/>
      <c r="FE101" s="113"/>
      <c r="FF101" s="113"/>
      <c r="FG101" s="113"/>
      <c r="FH101" s="113"/>
      <c r="FI101" s="113"/>
      <c r="FJ101" s="113"/>
      <c r="FK101" s="113"/>
      <c r="FL101" s="113"/>
      <c r="FM101" s="113"/>
      <c r="FN101" s="113"/>
      <c r="FO101" s="113"/>
      <c r="FP101" s="113"/>
      <c r="FQ101" s="113"/>
      <c r="FR101" s="113"/>
      <c r="FS101" s="113"/>
      <c r="FT101" s="113"/>
      <c r="FU101" s="113"/>
      <c r="FV101" s="113"/>
      <c r="FW101" s="113"/>
      <c r="FX101" s="113"/>
      <c r="FY101" s="113"/>
      <c r="FZ101" s="113"/>
      <c r="GA101" s="113"/>
      <c r="GB101" s="113"/>
      <c r="GC101" s="113"/>
      <c r="GD101" s="113"/>
      <c r="GE101" s="113"/>
      <c r="GF101" s="113"/>
      <c r="GG101" s="113"/>
      <c r="GH101" s="113"/>
      <c r="GI101" s="113"/>
      <c r="GJ101" s="113"/>
      <c r="GK101" s="113"/>
      <c r="GL101" s="113"/>
      <c r="GM101" s="113"/>
      <c r="GN101" s="113"/>
      <c r="GO101" s="113"/>
      <c r="GP101" s="113"/>
      <c r="GQ101" s="113"/>
      <c r="GR101" s="113"/>
      <c r="GS101" s="113"/>
      <c r="GT101" s="113"/>
      <c r="GU101" s="113"/>
      <c r="GV101" s="113"/>
    </row>
    <row r="102" spans="1:204" ht="60" hidden="1" customHeight="1" x14ac:dyDescent="0.25">
      <c r="B102" s="44" t="s">
        <v>1014</v>
      </c>
      <c r="C102" s="44" t="s">
        <v>567</v>
      </c>
      <c r="D102" s="42" t="s">
        <v>568</v>
      </c>
      <c r="E102" s="42" t="s">
        <v>569</v>
      </c>
      <c r="F102" s="42" t="s">
        <v>570</v>
      </c>
      <c r="G102" s="42" t="s">
        <v>604</v>
      </c>
      <c r="H102" s="42" t="s">
        <v>604</v>
      </c>
      <c r="I102" s="107">
        <v>46128</v>
      </c>
      <c r="J102" s="49">
        <v>0.22222222222222221</v>
      </c>
      <c r="K102" s="107" t="s">
        <v>1015</v>
      </c>
      <c r="L102" s="107" t="str">
        <f>TEXT(LTI_5[[#This Row],[FECHA]],"dddd")</f>
        <v>jueves</v>
      </c>
      <c r="M102" s="107" t="s">
        <v>1016</v>
      </c>
      <c r="N102" s="107" t="s">
        <v>1017</v>
      </c>
      <c r="O102" s="42">
        <v>21873119</v>
      </c>
      <c r="P102" s="42"/>
      <c r="Q102" s="46">
        <f>LTI_5[[#This Row],[TIEMPO EN LA EMPRESA (años)]]*12</f>
        <v>276</v>
      </c>
      <c r="R102" s="42">
        <v>23</v>
      </c>
      <c r="S102" s="48"/>
      <c r="T102" s="47" t="s">
        <v>816</v>
      </c>
      <c r="U102" s="44" t="s">
        <v>598</v>
      </c>
      <c r="V102" s="46" t="s">
        <v>599</v>
      </c>
      <c r="W102" s="45" t="s">
        <v>1018</v>
      </c>
      <c r="X102" s="42" t="s">
        <v>1019</v>
      </c>
      <c r="Y102" s="41">
        <v>9</v>
      </c>
      <c r="Z102" s="64" t="s">
        <v>1020</v>
      </c>
      <c r="AA102" s="64" t="s">
        <v>980</v>
      </c>
      <c r="AB102" s="64" t="s">
        <v>734</v>
      </c>
      <c r="AC102" s="42" t="s">
        <v>821</v>
      </c>
      <c r="AD102" s="51" t="str">
        <f>"T"&amp;INT((MONTH(LTI_5[[#This Row],[FECHA]])-1)/3)+1</f>
        <v>T2</v>
      </c>
      <c r="AE102" s="50"/>
      <c r="AF102" s="113"/>
      <c r="AG102" s="113"/>
      <c r="AH102" s="113"/>
      <c r="AI102" s="113"/>
      <c r="AJ102" s="113"/>
      <c r="AK102" s="113"/>
      <c r="AL102" s="128" t="s">
        <v>410</v>
      </c>
      <c r="AM102" s="128" t="s">
        <v>410</v>
      </c>
      <c r="AN102" s="128" t="s">
        <v>410</v>
      </c>
      <c r="AO102" s="128" t="s">
        <v>410</v>
      </c>
      <c r="AP102" s="128" t="s">
        <v>410</v>
      </c>
      <c r="AQ102" s="113"/>
      <c r="AR102" s="113"/>
      <c r="AS102" s="113"/>
      <c r="AT102" s="113"/>
      <c r="AU102" s="113"/>
      <c r="AV102" s="113"/>
      <c r="AW102" s="113"/>
      <c r="AX102" s="113"/>
      <c r="AY102" s="113"/>
      <c r="AZ102" s="113"/>
      <c r="BA102" s="113"/>
      <c r="BB102" s="113"/>
      <c r="BC102" s="113"/>
      <c r="BD102" s="113"/>
      <c r="BE102" s="113"/>
      <c r="BF102" s="113"/>
      <c r="BG102" s="113"/>
      <c r="BH102" s="113"/>
      <c r="BI102" s="113"/>
      <c r="BJ102" s="113"/>
      <c r="BK102" s="113"/>
      <c r="BL102" s="113"/>
      <c r="BM102" s="113"/>
      <c r="BN102" s="113"/>
      <c r="BO102" s="113"/>
      <c r="BP102" s="113"/>
      <c r="BQ102" s="113"/>
      <c r="BR102" s="113"/>
      <c r="BS102" s="113"/>
      <c r="BT102" s="113"/>
      <c r="BU102" s="113"/>
      <c r="BV102" s="113"/>
      <c r="BW102" s="113"/>
      <c r="BX102" s="113"/>
      <c r="BY102" s="113"/>
      <c r="BZ102" s="113"/>
      <c r="CA102" s="113"/>
      <c r="CB102" s="113"/>
      <c r="CC102" s="113"/>
      <c r="CD102" s="113"/>
      <c r="CE102" s="113"/>
      <c r="CF102" s="113"/>
      <c r="CG102" s="113"/>
      <c r="CH102" s="113"/>
      <c r="CI102" s="113"/>
      <c r="CJ102" s="113"/>
      <c r="CK102" s="113"/>
      <c r="CL102" s="113"/>
      <c r="CM102" s="113"/>
      <c r="CN102" s="113"/>
      <c r="CO102" s="113"/>
      <c r="CP102" s="113"/>
      <c r="CQ102" s="113"/>
      <c r="CR102" s="113"/>
      <c r="CS102" s="113"/>
      <c r="CT102" s="113"/>
      <c r="CU102" s="113"/>
      <c r="CV102" s="113"/>
      <c r="CW102" s="113"/>
      <c r="CX102" s="113"/>
      <c r="CY102" s="113"/>
      <c r="CZ102" s="113"/>
      <c r="DA102" s="113"/>
      <c r="DB102" s="113"/>
      <c r="DC102" s="113"/>
      <c r="DD102" s="113"/>
      <c r="DE102" s="113"/>
      <c r="DF102" s="113"/>
      <c r="DG102" s="113"/>
      <c r="DH102" s="113"/>
      <c r="DI102" s="113"/>
      <c r="DJ102" s="113"/>
      <c r="DK102" s="113"/>
      <c r="DL102" s="113"/>
      <c r="DM102" s="113"/>
      <c r="DN102" s="113"/>
      <c r="DO102" s="113"/>
      <c r="DP102" s="113"/>
      <c r="DQ102" s="113"/>
      <c r="DR102" s="113"/>
      <c r="DS102" s="113"/>
      <c r="DT102" s="113"/>
      <c r="DU102" s="113"/>
      <c r="DV102" s="113"/>
      <c r="DW102" s="113"/>
      <c r="DX102" s="113"/>
      <c r="DY102" s="113"/>
      <c r="DZ102" s="113"/>
      <c r="EA102" s="113"/>
      <c r="EB102" s="113"/>
      <c r="EC102" s="113"/>
      <c r="ED102" s="113"/>
      <c r="EE102" s="113"/>
      <c r="EF102" s="113"/>
      <c r="EG102" s="113"/>
      <c r="EH102" s="113"/>
      <c r="EI102" s="113"/>
      <c r="EJ102" s="113"/>
      <c r="EK102" s="113"/>
      <c r="EL102" s="113"/>
      <c r="EM102" s="113"/>
      <c r="EN102" s="113"/>
      <c r="EO102" s="113"/>
      <c r="EP102" s="113"/>
      <c r="EQ102" s="113"/>
      <c r="ER102" s="113"/>
      <c r="ES102" s="113"/>
      <c r="ET102" s="113"/>
      <c r="EU102" s="113"/>
      <c r="EV102" s="113"/>
      <c r="EW102" s="113"/>
      <c r="EX102" s="113"/>
      <c r="EY102" s="113"/>
      <c r="EZ102" s="113"/>
      <c r="FA102" s="113"/>
      <c r="FB102" s="113"/>
      <c r="FC102" s="113"/>
      <c r="FD102" s="113"/>
      <c r="FE102" s="113"/>
      <c r="FF102" s="113"/>
      <c r="FG102" s="113"/>
      <c r="FH102" s="113"/>
      <c r="FI102" s="113"/>
      <c r="FJ102" s="113"/>
      <c r="FK102" s="113"/>
      <c r="FL102" s="113"/>
      <c r="FM102" s="113"/>
      <c r="FN102" s="113"/>
      <c r="FO102" s="113"/>
      <c r="FP102" s="113"/>
      <c r="FQ102" s="113"/>
      <c r="FR102" s="113"/>
      <c r="FS102" s="113"/>
      <c r="FT102" s="113"/>
      <c r="FU102" s="113"/>
      <c r="FV102" s="113"/>
      <c r="FW102" s="113"/>
      <c r="FX102" s="113"/>
      <c r="FY102" s="113"/>
      <c r="FZ102" s="113"/>
      <c r="GA102" s="113"/>
      <c r="GB102" s="113"/>
      <c r="GC102" s="113"/>
      <c r="GD102" s="113"/>
      <c r="GE102" s="113"/>
      <c r="GF102" s="113"/>
      <c r="GG102" s="113"/>
      <c r="GH102" s="113"/>
      <c r="GI102" s="113"/>
      <c r="GJ102" s="113"/>
      <c r="GK102" s="113"/>
      <c r="GL102" s="113"/>
      <c r="GM102" s="113"/>
      <c r="GN102" s="113"/>
      <c r="GO102" s="113"/>
      <c r="GP102" s="113"/>
      <c r="GQ102" s="113"/>
      <c r="GR102" s="113"/>
      <c r="GS102" s="113"/>
      <c r="GT102" s="113"/>
      <c r="GU102" s="113"/>
      <c r="GV102" s="113"/>
    </row>
    <row r="103" spans="1:204" ht="76.349999999999994" hidden="1" customHeight="1" x14ac:dyDescent="0.25">
      <c r="B103" s="44" t="s">
        <v>1021</v>
      </c>
      <c r="C103" s="44" t="s">
        <v>567</v>
      </c>
      <c r="D103" s="42" t="s">
        <v>568</v>
      </c>
      <c r="E103" s="44" t="s">
        <v>569</v>
      </c>
      <c r="F103" s="44" t="s">
        <v>570</v>
      </c>
      <c r="G103" s="42" t="s">
        <v>604</v>
      </c>
      <c r="H103" s="42" t="s">
        <v>604</v>
      </c>
      <c r="I103" s="107">
        <v>46136</v>
      </c>
      <c r="J103" s="49">
        <v>0.65625</v>
      </c>
      <c r="K103" s="107" t="s">
        <v>861</v>
      </c>
      <c r="L103" s="107" t="str">
        <f>TEXT(LTI_5[[#This Row],[FECHA]],"dddd")</f>
        <v>viernes</v>
      </c>
      <c r="M103" s="107" t="s">
        <v>1022</v>
      </c>
      <c r="N103" s="107" t="s">
        <v>1023</v>
      </c>
      <c r="O103" s="42" t="s">
        <v>1024</v>
      </c>
      <c r="P103" s="42">
        <v>41</v>
      </c>
      <c r="Q103" s="46">
        <f>LTI_5[[#This Row],[TIEMPO EN LA EMPRESA (años)]]*12</f>
        <v>36</v>
      </c>
      <c r="R103" s="42">
        <v>3</v>
      </c>
      <c r="S103" s="48"/>
      <c r="T103" s="47" t="s">
        <v>816</v>
      </c>
      <c r="U103" s="44" t="s">
        <v>598</v>
      </c>
      <c r="V103" s="54" t="s">
        <v>599</v>
      </c>
      <c r="W103" s="45" t="s">
        <v>1025</v>
      </c>
      <c r="X103" s="42" t="s">
        <v>1026</v>
      </c>
      <c r="Y103" s="41">
        <v>7</v>
      </c>
      <c r="Z103" s="64" t="s">
        <v>1027</v>
      </c>
      <c r="AA103" s="64" t="s">
        <v>1028</v>
      </c>
      <c r="AB103" s="64" t="s">
        <v>737</v>
      </c>
      <c r="AC103" s="42" t="s">
        <v>821</v>
      </c>
      <c r="AD103" s="41" t="str">
        <f>"T"&amp;INT((MONTH(LTI_5[[#This Row],[FECHA]])-1)/3)+1</f>
        <v>T2</v>
      </c>
      <c r="AE103" s="40"/>
      <c r="AL103" s="128" t="s">
        <v>410</v>
      </c>
      <c r="AM103" s="128" t="s">
        <v>410</v>
      </c>
      <c r="AN103" s="128" t="s">
        <v>410</v>
      </c>
      <c r="AO103" s="128" t="s">
        <v>410</v>
      </c>
      <c r="AP103" s="128" t="s">
        <v>410</v>
      </c>
    </row>
    <row r="104" spans="1:204" ht="147.6" hidden="1" customHeight="1" x14ac:dyDescent="0.25">
      <c r="B104" s="110"/>
      <c r="C104" s="42" t="s">
        <v>662</v>
      </c>
      <c r="D104" s="42" t="s">
        <v>568</v>
      </c>
      <c r="E104" s="44" t="s">
        <v>569</v>
      </c>
      <c r="F104" s="44" t="s">
        <v>614</v>
      </c>
      <c r="G104" s="42" t="s">
        <v>740</v>
      </c>
      <c r="H104" s="42" t="s">
        <v>1029</v>
      </c>
      <c r="I104" s="107">
        <v>46138</v>
      </c>
      <c r="J104" s="49">
        <v>0.75</v>
      </c>
      <c r="K104" s="107" t="s">
        <v>861</v>
      </c>
      <c r="L104" s="107" t="str">
        <f>TEXT(LTI_5[[#This Row],[FECHA]],"dddd")</f>
        <v>domingo</v>
      </c>
      <c r="M104" s="107" t="s">
        <v>1030</v>
      </c>
      <c r="N104" s="107" t="s">
        <v>1031</v>
      </c>
      <c r="O104" s="42">
        <v>7563069</v>
      </c>
      <c r="P104" s="42">
        <v>37</v>
      </c>
      <c r="Q104" s="46">
        <f>LTI_5[[#This Row],[TIEMPO EN LA EMPRESA (años)]]*12</f>
        <v>48</v>
      </c>
      <c r="R104" s="42">
        <v>4</v>
      </c>
      <c r="S104" s="48"/>
      <c r="T104" s="58" t="s">
        <v>887</v>
      </c>
      <c r="U104" s="44" t="s">
        <v>1032</v>
      </c>
      <c r="V104" s="54" t="s">
        <v>887</v>
      </c>
      <c r="W104" s="45" t="s">
        <v>1033</v>
      </c>
      <c r="X104" s="42" t="s">
        <v>1034</v>
      </c>
      <c r="Y104" s="41">
        <v>2</v>
      </c>
      <c r="Z104" s="64" t="s">
        <v>1035</v>
      </c>
      <c r="AA104" s="64" t="s">
        <v>1036</v>
      </c>
      <c r="AB104" s="64" t="s">
        <v>908</v>
      </c>
      <c r="AC104" s="42" t="s">
        <v>821</v>
      </c>
      <c r="AD104" s="41" t="str">
        <f>"T"&amp;INT((MONTH(LTI_5[[#This Row],[FECHA]])-1)/3)+1</f>
        <v>T2</v>
      </c>
      <c r="AE104" s="40"/>
      <c r="AL104" s="128" t="s">
        <v>410</v>
      </c>
      <c r="AM104" s="128" t="s">
        <v>410</v>
      </c>
      <c r="AN104" s="128" t="s">
        <v>410</v>
      </c>
      <c r="AO104" s="128" t="s">
        <v>410</v>
      </c>
      <c r="AP104" s="128" t="s">
        <v>410</v>
      </c>
    </row>
    <row r="105" spans="1:204" ht="97.65" hidden="1" customHeight="1" x14ac:dyDescent="0.25">
      <c r="B105" s="44" t="s">
        <v>1037</v>
      </c>
      <c r="C105" s="44" t="s">
        <v>567</v>
      </c>
      <c r="D105" s="42" t="s">
        <v>568</v>
      </c>
      <c r="E105" s="42" t="s">
        <v>569</v>
      </c>
      <c r="F105" s="42" t="s">
        <v>570</v>
      </c>
      <c r="G105" s="42" t="s">
        <v>604</v>
      </c>
      <c r="H105" s="42" t="s">
        <v>604</v>
      </c>
      <c r="I105" s="107">
        <v>46138</v>
      </c>
      <c r="J105" s="49">
        <v>0.88888888888888884</v>
      </c>
      <c r="K105" s="107" t="s">
        <v>861</v>
      </c>
      <c r="L105" s="107" t="str">
        <f>TEXT(LTI_5[[#This Row],[FECHA]],"dddd")</f>
        <v>domingo</v>
      </c>
      <c r="M105" s="107" t="s">
        <v>1038</v>
      </c>
      <c r="N105" s="107" t="s">
        <v>1039</v>
      </c>
      <c r="O105" s="42">
        <v>44637562</v>
      </c>
      <c r="P105" s="42">
        <v>38</v>
      </c>
      <c r="Q105" s="46">
        <v>3</v>
      </c>
      <c r="R105" s="42">
        <v>0</v>
      </c>
      <c r="S105" s="48"/>
      <c r="T105" s="47" t="s">
        <v>816</v>
      </c>
      <c r="U105" s="146" t="s">
        <v>598</v>
      </c>
      <c r="V105" s="46" t="s">
        <v>599</v>
      </c>
      <c r="W105" s="45" t="s">
        <v>1040</v>
      </c>
      <c r="X105" s="42" t="s">
        <v>1041</v>
      </c>
      <c r="Y105" s="41">
        <v>5</v>
      </c>
      <c r="Z105" s="64" t="s">
        <v>1042</v>
      </c>
      <c r="AA105" s="64" t="s">
        <v>1043</v>
      </c>
      <c r="AB105" s="64" t="s">
        <v>1044</v>
      </c>
      <c r="AC105" s="42" t="s">
        <v>607</v>
      </c>
      <c r="AD105" s="41" t="str">
        <f>"T"&amp;INT((MONTH(LTI_5[[#This Row],[FECHA]])-1)/3)+1</f>
        <v>T2</v>
      </c>
      <c r="AE105" s="40"/>
      <c r="AL105" s="128" t="s">
        <v>410</v>
      </c>
      <c r="AM105" s="128" t="s">
        <v>410</v>
      </c>
      <c r="AN105" s="128" t="s">
        <v>410</v>
      </c>
      <c r="AO105" s="128" t="s">
        <v>410</v>
      </c>
      <c r="AP105" s="128" t="s">
        <v>410</v>
      </c>
    </row>
    <row r="106" spans="1:204" ht="44.4" hidden="1" customHeight="1" x14ac:dyDescent="0.25">
      <c r="B106" s="44" t="s">
        <v>1045</v>
      </c>
      <c r="C106" s="42" t="s">
        <v>68</v>
      </c>
      <c r="D106" s="42" t="s">
        <v>568</v>
      </c>
      <c r="E106" s="44" t="s">
        <v>569</v>
      </c>
      <c r="F106" s="44" t="s">
        <v>570</v>
      </c>
      <c r="G106" s="44" t="s">
        <v>699</v>
      </c>
      <c r="H106" s="42" t="s">
        <v>103</v>
      </c>
      <c r="I106" s="107">
        <v>46140</v>
      </c>
      <c r="J106" s="49">
        <v>0.78125</v>
      </c>
      <c r="K106" s="107" t="s">
        <v>861</v>
      </c>
      <c r="L106" s="107" t="str">
        <f>TEXT(LTI_5[[#This Row],[FECHA]],"dddd")</f>
        <v>martes</v>
      </c>
      <c r="M106" s="107" t="s">
        <v>1046</v>
      </c>
      <c r="N106" s="107" t="s">
        <v>1047</v>
      </c>
      <c r="O106" s="42">
        <v>48068127</v>
      </c>
      <c r="P106" s="42">
        <v>32</v>
      </c>
      <c r="Q106" s="46">
        <f>LTI_5[[#This Row],[TIEMPO EN LA EMPRESA (años)]]*12</f>
        <v>96</v>
      </c>
      <c r="R106" s="42">
        <v>8</v>
      </c>
      <c r="S106" s="48"/>
      <c r="T106" s="58" t="s">
        <v>887</v>
      </c>
      <c r="U106" s="44" t="s">
        <v>835</v>
      </c>
      <c r="V106" s="54" t="s">
        <v>591</v>
      </c>
      <c r="W106" s="45" t="s">
        <v>1048</v>
      </c>
      <c r="X106" s="42" t="s">
        <v>1049</v>
      </c>
      <c r="Y106" s="41">
        <v>3</v>
      </c>
      <c r="Z106" s="64" t="s">
        <v>1050</v>
      </c>
      <c r="AA106" s="64" t="s">
        <v>799</v>
      </c>
      <c r="AB106" s="64" t="s">
        <v>1051</v>
      </c>
      <c r="AC106" s="42" t="s">
        <v>607</v>
      </c>
      <c r="AD106" s="108" t="str">
        <f>"T"&amp;INT((MONTH(LTI_5[[#This Row],[FECHA]])-1)/3)+1</f>
        <v>T2</v>
      </c>
      <c r="AE106" s="40"/>
      <c r="AL106" s="128" t="s">
        <v>410</v>
      </c>
      <c r="AM106" s="128" t="s">
        <v>410</v>
      </c>
      <c r="AN106" s="128" t="s">
        <v>410</v>
      </c>
      <c r="AO106" s="128" t="s">
        <v>410</v>
      </c>
      <c r="AP106" s="128" t="s">
        <v>410</v>
      </c>
    </row>
    <row r="107" spans="1:204" ht="102" hidden="1" customHeight="1" x14ac:dyDescent="0.25">
      <c r="B107" s="111"/>
      <c r="C107" s="42" t="s">
        <v>662</v>
      </c>
      <c r="D107" s="42" t="s">
        <v>568</v>
      </c>
      <c r="E107" s="44" t="s">
        <v>569</v>
      </c>
      <c r="F107" s="44" t="s">
        <v>614</v>
      </c>
      <c r="G107" s="42" t="s">
        <v>740</v>
      </c>
      <c r="H107" s="42" t="s">
        <v>1029</v>
      </c>
      <c r="I107" s="107">
        <v>46141</v>
      </c>
      <c r="J107" s="49">
        <v>0.3125</v>
      </c>
      <c r="K107" s="107" t="s">
        <v>813</v>
      </c>
      <c r="L107" s="107" t="str">
        <f>TEXT(LTI_5[[#This Row],[FECHA]],"dddd")</f>
        <v>miércoles</v>
      </c>
      <c r="M107" s="107" t="s">
        <v>1052</v>
      </c>
      <c r="N107" s="107" t="s">
        <v>1053</v>
      </c>
      <c r="O107" s="42">
        <v>4433718</v>
      </c>
      <c r="P107" s="42">
        <v>57</v>
      </c>
      <c r="Q107" s="46">
        <f>LTI_5[[#This Row],[TIEMPO EN LA EMPRESA (años)]]*12</f>
        <v>456</v>
      </c>
      <c r="R107" s="42">
        <v>38</v>
      </c>
      <c r="S107" s="48"/>
      <c r="T107" s="47" t="s">
        <v>816</v>
      </c>
      <c r="U107" s="42" t="s">
        <v>662</v>
      </c>
      <c r="V107" s="46" t="s">
        <v>1054</v>
      </c>
      <c r="W107" s="45" t="s">
        <v>1055</v>
      </c>
      <c r="X107" s="42" t="s">
        <v>1056</v>
      </c>
      <c r="Y107" s="41">
        <v>32</v>
      </c>
      <c r="Z107" s="108" t="s">
        <v>1057</v>
      </c>
      <c r="AA107" s="64" t="s">
        <v>1058</v>
      </c>
      <c r="AB107" s="108" t="s">
        <v>1059</v>
      </c>
      <c r="AC107" s="42" t="s">
        <v>607</v>
      </c>
      <c r="AD107" s="41" t="str">
        <f>"T"&amp;INT((MONTH(LTI_5[[#This Row],[FECHA]])-1)/3)+1</f>
        <v>T2</v>
      </c>
      <c r="AE107" s="40"/>
      <c r="AL107" s="128" t="s">
        <v>410</v>
      </c>
      <c r="AM107" s="128" t="s">
        <v>410</v>
      </c>
      <c r="AN107" s="128" t="s">
        <v>410</v>
      </c>
      <c r="AO107" s="128" t="s">
        <v>410</v>
      </c>
      <c r="AP107" s="128" t="s">
        <v>410</v>
      </c>
    </row>
    <row r="108" spans="1:204" ht="128.25" hidden="1" customHeight="1" x14ac:dyDescent="0.25">
      <c r="B108" s="71" t="s">
        <v>1060</v>
      </c>
      <c r="C108" s="42" t="s">
        <v>580</v>
      </c>
      <c r="D108" s="42" t="s">
        <v>640</v>
      </c>
      <c r="E108" s="42" t="s">
        <v>595</v>
      </c>
      <c r="F108" s="42" t="s">
        <v>850</v>
      </c>
      <c r="G108" s="44" t="s">
        <v>1061</v>
      </c>
      <c r="H108" s="44" t="s">
        <v>852</v>
      </c>
      <c r="I108" s="130">
        <v>46148</v>
      </c>
      <c r="J108" s="56">
        <v>0.95138888888888884</v>
      </c>
      <c r="K108" s="107" t="s">
        <v>861</v>
      </c>
      <c r="L108" s="107" t="str">
        <f>TEXT(LTI_5[[#This Row],[FECHA]],"dddd")</f>
        <v>miércoles</v>
      </c>
      <c r="M108" s="107" t="s">
        <v>1062</v>
      </c>
      <c r="N108" s="107" t="s">
        <v>1063</v>
      </c>
      <c r="O108" s="42">
        <v>2795389</v>
      </c>
      <c r="P108" s="42">
        <v>59</v>
      </c>
      <c r="Q108" s="46">
        <f>LTI_5[[#This Row],[TIEMPO EN LA EMPRESA (años)]]*12</f>
        <v>72</v>
      </c>
      <c r="R108" s="42">
        <v>6</v>
      </c>
      <c r="S108" s="55"/>
      <c r="T108" s="58" t="s">
        <v>887</v>
      </c>
      <c r="U108" s="147" t="s">
        <v>855</v>
      </c>
      <c r="V108" s="46" t="s">
        <v>591</v>
      </c>
      <c r="W108" s="53" t="s">
        <v>1064</v>
      </c>
      <c r="X108" s="44" t="s">
        <v>1065</v>
      </c>
      <c r="Y108" s="51">
        <v>8</v>
      </c>
      <c r="Z108" s="133" t="s">
        <v>949</v>
      </c>
      <c r="AA108" s="108" t="s">
        <v>996</v>
      </c>
      <c r="AB108" s="61" t="s">
        <v>840</v>
      </c>
      <c r="AC108" s="44" t="s">
        <v>579</v>
      </c>
      <c r="AD108" s="51" t="str">
        <f>"T"&amp;INT((MONTH(LTI_5[[#This Row],[FECHA]])-1)/3)+1</f>
        <v>T2</v>
      </c>
      <c r="AE108" s="50"/>
    </row>
    <row r="109" spans="1:204" ht="128.25" hidden="1" customHeight="1" x14ac:dyDescent="0.25">
      <c r="B109" s="136"/>
      <c r="C109" s="44" t="s">
        <v>966</v>
      </c>
      <c r="D109" s="42" t="s">
        <v>568</v>
      </c>
      <c r="E109" s="42" t="s">
        <v>595</v>
      </c>
      <c r="F109" s="44" t="s">
        <v>1066</v>
      </c>
      <c r="G109" s="44" t="s">
        <v>1067</v>
      </c>
      <c r="H109" s="44" t="s">
        <v>852</v>
      </c>
      <c r="I109" s="107">
        <v>46150</v>
      </c>
      <c r="J109" s="56">
        <v>0.6875</v>
      </c>
      <c r="K109" s="107" t="s">
        <v>813</v>
      </c>
      <c r="L109" s="107" t="str">
        <f>TEXT(LTI_5[[#This Row],[FECHA]],"dddd")</f>
        <v>viernes</v>
      </c>
      <c r="M109" s="107" t="s">
        <v>1068</v>
      </c>
      <c r="N109" s="107" t="s">
        <v>1069</v>
      </c>
      <c r="O109" s="42">
        <v>1726238338</v>
      </c>
      <c r="P109" s="107"/>
      <c r="Q109" s="46">
        <f>LTI_5[[#This Row],[TIEMPO EN LA EMPRESA (años)]]*12</f>
        <v>39.96</v>
      </c>
      <c r="R109" s="140">
        <v>3.33</v>
      </c>
      <c r="S109" s="55"/>
      <c r="T109" s="47" t="s">
        <v>1066</v>
      </c>
      <c r="U109" s="44" t="s">
        <v>966</v>
      </c>
      <c r="V109" s="54" t="s">
        <v>599</v>
      </c>
      <c r="W109" s="53" t="s">
        <v>1070</v>
      </c>
      <c r="X109" s="44" t="s">
        <v>1071</v>
      </c>
      <c r="Y109" s="51">
        <v>1</v>
      </c>
      <c r="Z109" s="51" t="s">
        <v>638</v>
      </c>
      <c r="AA109" s="61" t="s">
        <v>936</v>
      </c>
      <c r="AB109" s="64" t="s">
        <v>1051</v>
      </c>
      <c r="AC109" s="44" t="s">
        <v>579</v>
      </c>
      <c r="AD109" s="51" t="str">
        <f>"T"&amp;INT((MONTH(LTI_5[[#This Row],[FECHA]])-1)/3)+1</f>
        <v>T2</v>
      </c>
      <c r="AE109" s="50"/>
    </row>
    <row r="110" spans="1:204" ht="74.099999999999994" hidden="1" customHeight="1" x14ac:dyDescent="0.25">
      <c r="B110" s="71" t="s">
        <v>1072</v>
      </c>
      <c r="C110" s="42" t="s">
        <v>580</v>
      </c>
      <c r="D110" s="42" t="s">
        <v>568</v>
      </c>
      <c r="E110" s="44" t="s">
        <v>1073</v>
      </c>
      <c r="F110" s="44" t="s">
        <v>608</v>
      </c>
      <c r="G110" s="44" t="s">
        <v>626</v>
      </c>
      <c r="H110" s="44" t="s">
        <v>626</v>
      </c>
      <c r="I110" s="130">
        <v>46151</v>
      </c>
      <c r="J110" s="56">
        <v>0.67013888888888884</v>
      </c>
      <c r="K110" s="106" t="s">
        <v>813</v>
      </c>
      <c r="L110" s="106" t="str">
        <f>TEXT(LTI_5[[#This Row],[FECHA]],"dddd")</f>
        <v>sábado</v>
      </c>
      <c r="M110" s="106" t="s">
        <v>1074</v>
      </c>
      <c r="N110" s="106" t="s">
        <v>1075</v>
      </c>
      <c r="O110" s="44">
        <v>10088069</v>
      </c>
      <c r="P110" s="44">
        <v>50</v>
      </c>
      <c r="Q110" s="46">
        <f>LTI_5[[#This Row],[TIEMPO EN LA EMPRESA (años)]]*12</f>
        <v>120</v>
      </c>
      <c r="R110" s="44">
        <v>10</v>
      </c>
      <c r="S110" s="55"/>
      <c r="T110" s="46" t="s">
        <v>816</v>
      </c>
      <c r="U110" s="44" t="s">
        <v>811</v>
      </c>
      <c r="V110" s="46" t="s">
        <v>599</v>
      </c>
      <c r="W110" s="53" t="s">
        <v>1076</v>
      </c>
      <c r="X110" s="44" t="s">
        <v>1077</v>
      </c>
      <c r="Y110" s="51">
        <v>75</v>
      </c>
      <c r="Z110" s="133" t="s">
        <v>1078</v>
      </c>
      <c r="AA110" s="61" t="s">
        <v>936</v>
      </c>
      <c r="AB110" s="64" t="s">
        <v>1051</v>
      </c>
      <c r="AC110" s="44" t="s">
        <v>579</v>
      </c>
      <c r="AD110" s="51" t="str">
        <f>"T"&amp;INT((MONTH(LTI_5[[#This Row],[FECHA]])-1)/3)+1</f>
        <v>T2</v>
      </c>
      <c r="AE110" s="50"/>
    </row>
    <row r="111" spans="1:204" ht="90" hidden="1" x14ac:dyDescent="0.25">
      <c r="B111" s="71" t="s">
        <v>1079</v>
      </c>
      <c r="C111" s="42" t="s">
        <v>580</v>
      </c>
      <c r="D111" s="42" t="s">
        <v>568</v>
      </c>
      <c r="E111" s="44" t="s">
        <v>1073</v>
      </c>
      <c r="F111" s="44" t="s">
        <v>608</v>
      </c>
      <c r="G111" s="44" t="s">
        <v>626</v>
      </c>
      <c r="H111" s="44" t="s">
        <v>626</v>
      </c>
      <c r="I111" s="130">
        <v>46151</v>
      </c>
      <c r="J111" s="56">
        <v>0.25694444444444442</v>
      </c>
      <c r="K111" s="106" t="s">
        <v>861</v>
      </c>
      <c r="L111" s="106" t="str">
        <f>TEXT(LTI_5[[#This Row],[FECHA]],"dddd")</f>
        <v>sábado</v>
      </c>
      <c r="M111" s="106" t="s">
        <v>1080</v>
      </c>
      <c r="N111" s="106" t="s">
        <v>1081</v>
      </c>
      <c r="O111" s="44">
        <v>47583326</v>
      </c>
      <c r="P111" s="106"/>
      <c r="Q111" s="46">
        <f>LTI_5[[#This Row],[TIEMPO EN LA EMPRESA (años)]]*12</f>
        <v>60</v>
      </c>
      <c r="R111" s="44">
        <v>5</v>
      </c>
      <c r="S111" s="55"/>
      <c r="T111" s="58" t="s">
        <v>887</v>
      </c>
      <c r="U111" s="44" t="s">
        <v>1082</v>
      </c>
      <c r="V111" s="54" t="s">
        <v>623</v>
      </c>
      <c r="W111" s="53" t="s">
        <v>1083</v>
      </c>
      <c r="X111" s="44" t="s">
        <v>1071</v>
      </c>
      <c r="Y111" s="51">
        <v>10</v>
      </c>
      <c r="Z111" s="131" t="s">
        <v>1084</v>
      </c>
      <c r="AA111" s="64" t="s">
        <v>1028</v>
      </c>
      <c r="AB111" s="132" t="s">
        <v>1085</v>
      </c>
      <c r="AC111" s="44" t="s">
        <v>579</v>
      </c>
      <c r="AD111" s="51" t="str">
        <f>"T"&amp;INT((MONTH(LTI_5[[#This Row],[FECHA]])-1)/3)+1</f>
        <v>T2</v>
      </c>
      <c r="AE111" s="50"/>
    </row>
    <row r="112" spans="1:204" ht="74.099999999999994" hidden="1" customHeight="1" x14ac:dyDescent="0.25">
      <c r="B112" s="71" t="s">
        <v>1086</v>
      </c>
      <c r="C112" s="44" t="s">
        <v>567</v>
      </c>
      <c r="D112" s="42" t="s">
        <v>568</v>
      </c>
      <c r="E112" s="44" t="s">
        <v>1073</v>
      </c>
      <c r="F112" s="44" t="s">
        <v>570</v>
      </c>
      <c r="G112" s="42" t="s">
        <v>604</v>
      </c>
      <c r="H112" s="42" t="s">
        <v>604</v>
      </c>
      <c r="I112" s="130">
        <v>46154</v>
      </c>
      <c r="J112" s="56">
        <v>0.42708333333333331</v>
      </c>
      <c r="K112" s="107" t="s">
        <v>813</v>
      </c>
      <c r="L112" s="107" t="str">
        <f>TEXT(LTI_5[[#This Row],[FECHA]],"dddd")</f>
        <v>martes</v>
      </c>
      <c r="M112" s="107" t="s">
        <v>1087</v>
      </c>
      <c r="N112" s="107" t="s">
        <v>1088</v>
      </c>
      <c r="O112" s="42" t="s">
        <v>1089</v>
      </c>
      <c r="P112" s="42">
        <v>19</v>
      </c>
      <c r="Q112" s="46">
        <v>1</v>
      </c>
      <c r="R112" s="42">
        <v>0</v>
      </c>
      <c r="S112" s="55"/>
      <c r="T112" s="46" t="s">
        <v>816</v>
      </c>
      <c r="U112" s="44" t="s">
        <v>598</v>
      </c>
      <c r="V112" s="46" t="s">
        <v>599</v>
      </c>
      <c r="W112" s="53" t="s">
        <v>1090</v>
      </c>
      <c r="X112" s="44" t="s">
        <v>1071</v>
      </c>
      <c r="Y112" s="51">
        <v>6</v>
      </c>
      <c r="Z112" s="133" t="s">
        <v>632</v>
      </c>
      <c r="AA112" s="64" t="s">
        <v>980</v>
      </c>
      <c r="AB112" s="132" t="s">
        <v>734</v>
      </c>
      <c r="AC112" s="44" t="s">
        <v>579</v>
      </c>
      <c r="AD112" s="51" t="str">
        <f>"T"&amp;INT((MONTH(LTI_5[[#This Row],[FECHA]])-1)/3)+1</f>
        <v>T2</v>
      </c>
      <c r="AE112" s="50"/>
    </row>
    <row r="113" spans="2:31" ht="74.099999999999994" hidden="1" customHeight="1" x14ac:dyDescent="0.25">
      <c r="B113" s="71" t="s">
        <v>1091</v>
      </c>
      <c r="C113" s="42" t="s">
        <v>580</v>
      </c>
      <c r="D113" s="42" t="s">
        <v>568</v>
      </c>
      <c r="E113" s="44" t="s">
        <v>1073</v>
      </c>
      <c r="F113" s="44" t="s">
        <v>608</v>
      </c>
      <c r="G113" s="44" t="s">
        <v>455</v>
      </c>
      <c r="H113" s="44" t="s">
        <v>455</v>
      </c>
      <c r="I113" s="130">
        <v>46157</v>
      </c>
      <c r="J113" s="56">
        <v>0.72222222222222221</v>
      </c>
      <c r="K113" s="107" t="s">
        <v>813</v>
      </c>
      <c r="L113" s="107" t="str">
        <f>TEXT(LTI_5[[#This Row],[FECHA]],"dddd")</f>
        <v>viernes</v>
      </c>
      <c r="M113" s="107" t="s">
        <v>1092</v>
      </c>
      <c r="N113" s="107" t="s">
        <v>1093</v>
      </c>
      <c r="O113" s="42">
        <v>71761446</v>
      </c>
      <c r="P113" s="42"/>
      <c r="Q113" s="46">
        <f>LTI_5[[#This Row],[TIEMPO EN LA EMPRESA (años)]]*12</f>
        <v>48</v>
      </c>
      <c r="R113" s="42">
        <v>4</v>
      </c>
      <c r="S113" s="55"/>
      <c r="T113" s="58" t="s">
        <v>887</v>
      </c>
      <c r="U113" s="44" t="s">
        <v>622</v>
      </c>
      <c r="V113" s="54" t="s">
        <v>623</v>
      </c>
      <c r="W113" s="53" t="s">
        <v>1094</v>
      </c>
      <c r="X113" s="44" t="s">
        <v>1095</v>
      </c>
      <c r="Y113" s="51">
        <v>7</v>
      </c>
      <c r="Z113" s="133" t="s">
        <v>632</v>
      </c>
      <c r="AA113" s="61" t="s">
        <v>936</v>
      </c>
      <c r="AB113" s="64" t="s">
        <v>1051</v>
      </c>
      <c r="AC113" s="44" t="s">
        <v>579</v>
      </c>
      <c r="AD113" s="51" t="str">
        <f>"T"&amp;INT((MONTH(LTI_5[[#This Row],[FECHA]])-1)/3)+1</f>
        <v>T2</v>
      </c>
      <c r="AE113" s="50"/>
    </row>
    <row r="114" spans="2:31" ht="74.099999999999994" hidden="1" customHeight="1" x14ac:dyDescent="0.25">
      <c r="B114" s="71" t="s">
        <v>1096</v>
      </c>
      <c r="C114" s="44" t="s">
        <v>567</v>
      </c>
      <c r="D114" s="42" t="s">
        <v>568</v>
      </c>
      <c r="E114" s="44" t="s">
        <v>1073</v>
      </c>
      <c r="F114" s="44" t="s">
        <v>570</v>
      </c>
      <c r="G114" s="42" t="s">
        <v>604</v>
      </c>
      <c r="H114" s="42" t="s">
        <v>604</v>
      </c>
      <c r="I114" s="130">
        <v>46160</v>
      </c>
      <c r="J114" s="56">
        <v>0.77430555555555558</v>
      </c>
      <c r="K114" s="106" t="s">
        <v>861</v>
      </c>
      <c r="L114" s="106" t="str">
        <f>TEXT(LTI_5[[#This Row],[FECHA]],"dddd")</f>
        <v>lunes</v>
      </c>
      <c r="M114" s="106" t="s">
        <v>1097</v>
      </c>
      <c r="N114" s="106" t="s">
        <v>1098</v>
      </c>
      <c r="O114" s="44" t="s">
        <v>1099</v>
      </c>
      <c r="P114" s="44">
        <v>50</v>
      </c>
      <c r="Q114" s="46">
        <f>LTI_5[[#This Row],[TIEMPO EN LA EMPRESA (años)]]*12</f>
        <v>288</v>
      </c>
      <c r="R114" s="44">
        <v>24</v>
      </c>
      <c r="S114" s="55"/>
      <c r="T114" s="46" t="s">
        <v>816</v>
      </c>
      <c r="U114" s="44" t="s">
        <v>598</v>
      </c>
      <c r="V114" s="46" t="s">
        <v>599</v>
      </c>
      <c r="W114" s="53" t="s">
        <v>1100</v>
      </c>
      <c r="X114" s="44" t="s">
        <v>1095</v>
      </c>
      <c r="Y114" s="51">
        <v>1</v>
      </c>
      <c r="Z114" s="133" t="s">
        <v>1101</v>
      </c>
      <c r="AA114" s="61" t="s">
        <v>936</v>
      </c>
      <c r="AB114" s="64" t="s">
        <v>1051</v>
      </c>
      <c r="AC114" s="44" t="s">
        <v>579</v>
      </c>
      <c r="AD114" s="51" t="str">
        <f>"T"&amp;INT((MONTH(LTI_5[[#This Row],[FECHA]])-1)/3)+1</f>
        <v>T2</v>
      </c>
      <c r="AE114" s="50"/>
    </row>
    <row r="115" spans="2:31" ht="123.75" hidden="1" customHeight="1" x14ac:dyDescent="0.25">
      <c r="B115" s="71" t="s">
        <v>1102</v>
      </c>
      <c r="C115" s="42" t="s">
        <v>580</v>
      </c>
      <c r="D115" s="42" t="s">
        <v>568</v>
      </c>
      <c r="E115" s="44" t="s">
        <v>1073</v>
      </c>
      <c r="F115" s="44" t="s">
        <v>608</v>
      </c>
      <c r="G115" s="44" t="s">
        <v>455</v>
      </c>
      <c r="H115" s="44" t="s">
        <v>455</v>
      </c>
      <c r="I115" s="130">
        <v>46161</v>
      </c>
      <c r="J115" s="56">
        <v>0.69791666666666663</v>
      </c>
      <c r="K115" s="107" t="s">
        <v>813</v>
      </c>
      <c r="L115" s="107" t="str">
        <f>TEXT(LTI_5[[#This Row],[FECHA]],"dddd")</f>
        <v>martes</v>
      </c>
      <c r="M115" s="107" t="s">
        <v>1103</v>
      </c>
      <c r="N115" s="107" t="s">
        <v>1104</v>
      </c>
      <c r="O115" s="42" t="s">
        <v>1105</v>
      </c>
      <c r="P115" s="42">
        <v>35</v>
      </c>
      <c r="Q115" s="46">
        <f>LTI_5[[#This Row],[TIEMPO EN LA EMPRESA (años)]]*12</f>
        <v>60</v>
      </c>
      <c r="R115" s="42">
        <v>5</v>
      </c>
      <c r="S115" s="55"/>
      <c r="T115" s="47" t="s">
        <v>826</v>
      </c>
      <c r="U115" s="44" t="s">
        <v>811</v>
      </c>
      <c r="V115" s="46" t="s">
        <v>599</v>
      </c>
      <c r="W115" s="53" t="s">
        <v>1106</v>
      </c>
      <c r="X115" s="44" t="s">
        <v>1071</v>
      </c>
      <c r="Y115" s="51">
        <v>7</v>
      </c>
      <c r="Z115" s="133" t="s">
        <v>638</v>
      </c>
      <c r="AA115" s="134" t="s">
        <v>1107</v>
      </c>
      <c r="AB115" s="132" t="s">
        <v>737</v>
      </c>
      <c r="AC115" s="44" t="s">
        <v>579</v>
      </c>
      <c r="AD115" s="51" t="str">
        <f>"T"&amp;INT((MONTH(LTI_5[[#This Row],[FECHA]])-1)/3)+1</f>
        <v>T2</v>
      </c>
      <c r="AE115" s="50"/>
    </row>
    <row r="116" spans="2:31" ht="74.099999999999994" hidden="1" customHeight="1" x14ac:dyDescent="0.25">
      <c r="B116" s="71" t="s">
        <v>1108</v>
      </c>
      <c r="C116" s="44" t="s">
        <v>567</v>
      </c>
      <c r="D116" s="42" t="s">
        <v>640</v>
      </c>
      <c r="E116" s="42" t="s">
        <v>595</v>
      </c>
      <c r="F116" s="42" t="s">
        <v>850</v>
      </c>
      <c r="G116" s="44" t="s">
        <v>851</v>
      </c>
      <c r="H116" s="44" t="s">
        <v>852</v>
      </c>
      <c r="I116" s="130">
        <v>46162</v>
      </c>
      <c r="J116" s="56">
        <v>0.52083333333333337</v>
      </c>
      <c r="K116" s="107" t="s">
        <v>813</v>
      </c>
      <c r="L116" s="107" t="str">
        <f>TEXT(LTI_5[[#This Row],[FECHA]],"dddd")</f>
        <v>miércoles</v>
      </c>
      <c r="M116" s="107" t="s">
        <v>1109</v>
      </c>
      <c r="N116" s="107" t="s">
        <v>1110</v>
      </c>
      <c r="O116" s="42">
        <v>47590860</v>
      </c>
      <c r="P116" s="42"/>
      <c r="Q116" s="46">
        <f>LTI_5[[#This Row],[TIEMPO EN LA EMPRESA (años)]]*12</f>
        <v>72</v>
      </c>
      <c r="R116" s="42">
        <v>6</v>
      </c>
      <c r="S116" s="55"/>
      <c r="T116" s="58" t="s">
        <v>887</v>
      </c>
      <c r="U116" s="147" t="s">
        <v>855</v>
      </c>
      <c r="V116" s="46" t="s">
        <v>591</v>
      </c>
      <c r="W116" s="53" t="s">
        <v>1111</v>
      </c>
      <c r="X116" s="44" t="s">
        <v>942</v>
      </c>
      <c r="Y116" s="51">
        <v>24</v>
      </c>
      <c r="Z116" s="133" t="s">
        <v>929</v>
      </c>
      <c r="AA116" s="108" t="s">
        <v>996</v>
      </c>
      <c r="AB116" s="61" t="s">
        <v>840</v>
      </c>
      <c r="AC116" s="44" t="s">
        <v>607</v>
      </c>
      <c r="AD116" s="51" t="str">
        <f>"T"&amp;INT((MONTH(LTI_5[[#This Row],[FECHA]])-1)/3)+1</f>
        <v>T2</v>
      </c>
      <c r="AE116" s="50"/>
    </row>
    <row r="117" spans="2:31" ht="99.75" hidden="1" customHeight="1" x14ac:dyDescent="0.25">
      <c r="B117" s="71" t="s">
        <v>1112</v>
      </c>
      <c r="C117" s="44" t="s">
        <v>567</v>
      </c>
      <c r="D117" s="42" t="s">
        <v>568</v>
      </c>
      <c r="E117" s="44" t="s">
        <v>1073</v>
      </c>
      <c r="F117" s="44" t="s">
        <v>646</v>
      </c>
      <c r="G117" s="44" t="s">
        <v>93</v>
      </c>
      <c r="H117" s="44" t="s">
        <v>93</v>
      </c>
      <c r="I117" s="106">
        <v>46163</v>
      </c>
      <c r="J117" s="56">
        <v>0.55208333333333337</v>
      </c>
      <c r="K117" s="107" t="s">
        <v>813</v>
      </c>
      <c r="L117" s="107" t="str">
        <f>TEXT(LTI_5[[#This Row],[FECHA]],"dddd")</f>
        <v>jueves</v>
      </c>
      <c r="M117" s="107" t="s">
        <v>1113</v>
      </c>
      <c r="N117" s="107" t="s">
        <v>1114</v>
      </c>
      <c r="O117" s="42">
        <v>72093521</v>
      </c>
      <c r="P117" s="42">
        <v>26</v>
      </c>
      <c r="Q117" s="46">
        <v>2</v>
      </c>
      <c r="R117" s="42">
        <v>0</v>
      </c>
      <c r="S117" s="55"/>
      <c r="T117" s="46" t="s">
        <v>816</v>
      </c>
      <c r="U117" s="44" t="s">
        <v>598</v>
      </c>
      <c r="V117" s="46" t="s">
        <v>599</v>
      </c>
      <c r="W117" s="53" t="s">
        <v>1115</v>
      </c>
      <c r="X117" s="44" t="s">
        <v>1116</v>
      </c>
      <c r="Y117" s="51">
        <v>10</v>
      </c>
      <c r="Z117" s="133" t="s">
        <v>606</v>
      </c>
      <c r="AA117" s="64" t="s">
        <v>1043</v>
      </c>
      <c r="AB117" s="64" t="s">
        <v>1044</v>
      </c>
      <c r="AC117" s="44" t="s">
        <v>607</v>
      </c>
      <c r="AD117" s="51" t="str">
        <f>"T"&amp;INT((MONTH(LTI_5[[#This Row],[FECHA]])-1)/3)+1</f>
        <v>T2</v>
      </c>
      <c r="AE117" s="50"/>
    </row>
    <row r="118" spans="2:31" ht="135" hidden="1" customHeight="1" x14ac:dyDescent="0.25">
      <c r="B118" s="71" t="s">
        <v>1117</v>
      </c>
      <c r="C118" s="42" t="s">
        <v>580</v>
      </c>
      <c r="D118" s="42" t="s">
        <v>568</v>
      </c>
      <c r="E118" s="44" t="s">
        <v>1073</v>
      </c>
      <c r="F118" s="44" t="s">
        <v>608</v>
      </c>
      <c r="G118" s="42" t="s">
        <v>626</v>
      </c>
      <c r="H118" s="42" t="s">
        <v>626</v>
      </c>
      <c r="I118" s="130">
        <v>46163</v>
      </c>
      <c r="J118" s="56">
        <v>0.2361111111111111</v>
      </c>
      <c r="K118" s="106" t="s">
        <v>861</v>
      </c>
      <c r="L118" s="106" t="str">
        <f>TEXT(LTI_5[[#This Row],[FECHA]],"dddd")</f>
        <v>jueves</v>
      </c>
      <c r="M118" s="106" t="s">
        <v>1118</v>
      </c>
      <c r="N118" s="106" t="s">
        <v>1119</v>
      </c>
      <c r="O118" s="44">
        <v>61876430</v>
      </c>
      <c r="P118" s="44"/>
      <c r="Q118" s="46">
        <f>LTI_5[[#This Row],[TIEMPO EN LA EMPRESA (años)]]*12</f>
        <v>24</v>
      </c>
      <c r="R118" s="44">
        <v>2</v>
      </c>
      <c r="S118" s="55"/>
      <c r="T118" s="58" t="s">
        <v>887</v>
      </c>
      <c r="U118" s="44" t="s">
        <v>1082</v>
      </c>
      <c r="V118" s="54" t="s">
        <v>623</v>
      </c>
      <c r="W118" s="53" t="s">
        <v>1120</v>
      </c>
      <c r="X118" s="44" t="s">
        <v>897</v>
      </c>
      <c r="Y118" s="51">
        <v>3</v>
      </c>
      <c r="Z118" s="133" t="s">
        <v>1121</v>
      </c>
      <c r="AA118" s="64" t="s">
        <v>980</v>
      </c>
      <c r="AB118" s="132" t="s">
        <v>734</v>
      </c>
      <c r="AC118" s="132" t="s">
        <v>579</v>
      </c>
      <c r="AD118" s="51" t="str">
        <f>"T"&amp;INT((MONTH(LTI_5[[#This Row],[FECHA]])-1)/3)+1</f>
        <v>T2</v>
      </c>
      <c r="AE118" s="50"/>
    </row>
    <row r="119" spans="2:31" ht="74.099999999999994" hidden="1" customHeight="1" x14ac:dyDescent="0.25">
      <c r="B119" s="137" t="s">
        <v>1122</v>
      </c>
      <c r="C119" s="42" t="s">
        <v>580</v>
      </c>
      <c r="D119" s="42" t="s">
        <v>568</v>
      </c>
      <c r="E119" s="44" t="s">
        <v>1073</v>
      </c>
      <c r="F119" s="44" t="s">
        <v>608</v>
      </c>
      <c r="G119" s="44" t="s">
        <v>626</v>
      </c>
      <c r="H119" s="44" t="s">
        <v>626</v>
      </c>
      <c r="I119" s="130">
        <v>46164</v>
      </c>
      <c r="J119" s="49">
        <v>0.20833333333333334</v>
      </c>
      <c r="K119" s="106" t="s">
        <v>861</v>
      </c>
      <c r="L119" s="107" t="str">
        <f>TEXT(LTI_5[[#This Row],[FECHA]],"dddd")</f>
        <v>viernes</v>
      </c>
      <c r="M119" s="107" t="s">
        <v>1123</v>
      </c>
      <c r="N119" s="107" t="s">
        <v>1124</v>
      </c>
      <c r="O119" s="42">
        <v>41703214</v>
      </c>
      <c r="P119" s="42"/>
      <c r="Q119" s="46">
        <f>LTI_5[[#This Row],[TIEMPO EN LA EMPRESA (años)]]*12</f>
        <v>12</v>
      </c>
      <c r="R119" s="42">
        <v>1</v>
      </c>
      <c r="S119" s="48"/>
      <c r="T119" s="58" t="s">
        <v>887</v>
      </c>
      <c r="U119" s="42" t="s">
        <v>1082</v>
      </c>
      <c r="V119" s="54" t="s">
        <v>623</v>
      </c>
      <c r="W119" s="45" t="s">
        <v>1125</v>
      </c>
      <c r="X119" s="42" t="s">
        <v>1126</v>
      </c>
      <c r="Y119" s="41">
        <v>5</v>
      </c>
      <c r="Z119" s="135" t="s">
        <v>890</v>
      </c>
      <c r="AA119" s="148" t="s">
        <v>973</v>
      </c>
      <c r="AB119" s="149" t="s">
        <v>974</v>
      </c>
      <c r="AC119" s="42" t="s">
        <v>579</v>
      </c>
      <c r="AD119" s="41" t="str">
        <f>"T"&amp;INT((MONTH(LTI_5[[#This Row],[FECHA]])-1)/3)+1</f>
        <v>T2</v>
      </c>
      <c r="AE119" s="40"/>
    </row>
    <row r="120" spans="2:31" ht="89.1" hidden="1" customHeight="1" x14ac:dyDescent="0.25">
      <c r="B120" s="71" t="s">
        <v>1127</v>
      </c>
      <c r="C120" s="44" t="s">
        <v>567</v>
      </c>
      <c r="D120" s="44" t="s">
        <v>640</v>
      </c>
      <c r="E120" s="42" t="s">
        <v>595</v>
      </c>
      <c r="F120" s="42" t="s">
        <v>595</v>
      </c>
      <c r="G120" s="44" t="s">
        <v>604</v>
      </c>
      <c r="H120" s="44" t="s">
        <v>595</v>
      </c>
      <c r="I120" s="106">
        <v>46180</v>
      </c>
      <c r="J120" s="47"/>
      <c r="K120" s="106"/>
      <c r="L120" s="44" t="str">
        <f>TEXT(LTI_5[[#This Row],[FECHA]],"dddd")</f>
        <v>domingo</v>
      </c>
      <c r="M120" s="106" t="s">
        <v>1128</v>
      </c>
      <c r="N120" s="106" t="s">
        <v>1129</v>
      </c>
      <c r="O120" s="44">
        <v>7504140</v>
      </c>
      <c r="P120" s="106"/>
      <c r="Q120" s="44"/>
      <c r="R120" s="106"/>
      <c r="S120" s="55"/>
      <c r="T120" s="47"/>
      <c r="U120" s="147" t="s">
        <v>855</v>
      </c>
      <c r="V120" s="46" t="s">
        <v>591</v>
      </c>
      <c r="W120" s="53" t="s">
        <v>1130</v>
      </c>
      <c r="X120" s="44" t="s">
        <v>1131</v>
      </c>
      <c r="Y120" s="51">
        <v>2</v>
      </c>
      <c r="Z120" s="66" t="s">
        <v>1132</v>
      </c>
      <c r="AA120" s="52" t="s">
        <v>1133</v>
      </c>
      <c r="AB120" s="148" t="s">
        <v>1134</v>
      </c>
      <c r="AC120" s="44" t="s">
        <v>607</v>
      </c>
      <c r="AD120" s="51" t="str">
        <f>"T"&amp;INT((MONTH(LTI_5[[#This Row],[FECHA]])-1)/3)+1</f>
        <v>T2</v>
      </c>
      <c r="AE120" s="50"/>
    </row>
    <row r="121" spans="2:31" ht="89.1" hidden="1" customHeight="1" x14ac:dyDescent="0.25">
      <c r="B121" s="71" t="s">
        <v>1135</v>
      </c>
      <c r="C121" s="44" t="s">
        <v>567</v>
      </c>
      <c r="D121" s="44" t="s">
        <v>568</v>
      </c>
      <c r="E121" s="44" t="s">
        <v>1073</v>
      </c>
      <c r="F121" s="44" t="s">
        <v>570</v>
      </c>
      <c r="G121" s="44" t="s">
        <v>604</v>
      </c>
      <c r="H121" s="44" t="s">
        <v>604</v>
      </c>
      <c r="I121" s="106">
        <v>46185</v>
      </c>
      <c r="J121" s="47"/>
      <c r="K121" s="106"/>
      <c r="L121" s="44" t="str">
        <f>TEXT(LTI_5[[#This Row],[FECHA]],"dddd")</f>
        <v>viernes</v>
      </c>
      <c r="M121" s="106" t="s">
        <v>1136</v>
      </c>
      <c r="N121" s="106" t="s">
        <v>1137</v>
      </c>
      <c r="O121" s="44">
        <v>42119014</v>
      </c>
      <c r="P121" s="106"/>
      <c r="Q121" s="44"/>
      <c r="R121" s="106"/>
      <c r="S121" s="55"/>
      <c r="T121" s="47"/>
      <c r="U121" s="146" t="s">
        <v>598</v>
      </c>
      <c r="V121" s="54" t="s">
        <v>599</v>
      </c>
      <c r="W121" s="53" t="s">
        <v>1138</v>
      </c>
      <c r="X121" s="44" t="s">
        <v>1139</v>
      </c>
      <c r="Y121" s="51">
        <v>19</v>
      </c>
      <c r="Z121" s="44" t="s">
        <v>1140</v>
      </c>
      <c r="AA121" s="148" t="s">
        <v>1133</v>
      </c>
      <c r="AB121" s="148" t="s">
        <v>1141</v>
      </c>
      <c r="AC121" s="44" t="s">
        <v>607</v>
      </c>
      <c r="AD121" s="51" t="str">
        <f>"T"&amp;INT((MONTH(LTI_5[[#This Row],[FECHA]])-1)/3)+1</f>
        <v>T2</v>
      </c>
      <c r="AE121" s="50"/>
    </row>
    <row r="122" spans="2:31" ht="89.1" hidden="1" customHeight="1" x14ac:dyDescent="0.25">
      <c r="B122" s="71" t="s">
        <v>1142</v>
      </c>
      <c r="C122" s="44" t="s">
        <v>567</v>
      </c>
      <c r="D122" s="44" t="s">
        <v>568</v>
      </c>
      <c r="E122" s="44" t="s">
        <v>1073</v>
      </c>
      <c r="F122" s="44" t="s">
        <v>646</v>
      </c>
      <c r="G122" s="44" t="s">
        <v>1143</v>
      </c>
      <c r="H122" s="44" t="s">
        <v>1143</v>
      </c>
      <c r="I122" s="106">
        <v>46189</v>
      </c>
      <c r="J122" s="47"/>
      <c r="K122" s="106"/>
      <c r="L122" s="44" t="str">
        <f>TEXT(LTI_5[[#This Row],[FECHA]],"dddd")</f>
        <v>martes</v>
      </c>
      <c r="M122" s="106" t="s">
        <v>1144</v>
      </c>
      <c r="N122" s="106" t="s">
        <v>1145</v>
      </c>
      <c r="O122" s="44">
        <v>44942491</v>
      </c>
      <c r="P122" s="106"/>
      <c r="Q122" s="44"/>
      <c r="R122" s="106"/>
      <c r="S122" s="55"/>
      <c r="T122" s="47"/>
      <c r="U122" s="146" t="s">
        <v>598</v>
      </c>
      <c r="V122" s="54" t="s">
        <v>599</v>
      </c>
      <c r="W122" s="53" t="s">
        <v>1146</v>
      </c>
      <c r="X122" s="44" t="s">
        <v>1147</v>
      </c>
      <c r="Y122" s="51">
        <v>8</v>
      </c>
      <c r="Z122" s="66" t="s">
        <v>1148</v>
      </c>
      <c r="AA122" s="148" t="s">
        <v>1149</v>
      </c>
      <c r="AB122" s="148" t="s">
        <v>1150</v>
      </c>
      <c r="AC122" s="44" t="s">
        <v>607</v>
      </c>
      <c r="AD122" s="51" t="str">
        <f>"T"&amp;INT((MONTH(LTI_5[[#This Row],[FECHA]])-1)/3)+1</f>
        <v>T2</v>
      </c>
      <c r="AE122" s="50"/>
    </row>
    <row r="123" spans="2:31" ht="89.1" hidden="1" customHeight="1" x14ac:dyDescent="0.25">
      <c r="B123" s="71" t="s">
        <v>1151</v>
      </c>
      <c r="C123" s="44" t="s">
        <v>567</v>
      </c>
      <c r="D123" s="44" t="s">
        <v>568</v>
      </c>
      <c r="E123" s="44" t="s">
        <v>581</v>
      </c>
      <c r="F123" s="44" t="s">
        <v>608</v>
      </c>
      <c r="G123" s="44" t="s">
        <v>626</v>
      </c>
      <c r="H123" s="44" t="s">
        <v>626</v>
      </c>
      <c r="I123" s="106">
        <v>46191</v>
      </c>
      <c r="J123" s="47"/>
      <c r="K123" s="106"/>
      <c r="L123" s="44" t="str">
        <f>TEXT(LTI_5[[#This Row],[FECHA]],"dddd")</f>
        <v>jueves</v>
      </c>
      <c r="M123" s="106" t="s">
        <v>1152</v>
      </c>
      <c r="N123" s="106" t="s">
        <v>1153</v>
      </c>
      <c r="O123" s="44">
        <v>75700587</v>
      </c>
      <c r="P123" s="106"/>
      <c r="Q123" s="44"/>
      <c r="R123" s="106"/>
      <c r="S123" s="55"/>
      <c r="T123" s="47"/>
      <c r="U123" s="44" t="s">
        <v>585</v>
      </c>
      <c r="V123" s="54" t="s">
        <v>623</v>
      </c>
      <c r="W123" s="53" t="s">
        <v>1154</v>
      </c>
      <c r="X123" s="44" t="s">
        <v>1155</v>
      </c>
      <c r="Y123" s="51">
        <v>18</v>
      </c>
      <c r="Z123" s="66" t="s">
        <v>1156</v>
      </c>
      <c r="AA123" s="148" t="s">
        <v>1149</v>
      </c>
      <c r="AB123" s="148" t="s">
        <v>1134</v>
      </c>
      <c r="AC123" s="44" t="s">
        <v>579</v>
      </c>
      <c r="AD123" s="51" t="str">
        <f>"T"&amp;INT((MONTH(LTI_5[[#This Row],[FECHA]])-1)/3)+1</f>
        <v>T2</v>
      </c>
      <c r="AE123" s="50"/>
    </row>
    <row r="124" spans="2:31" ht="89.1" hidden="1" customHeight="1" x14ac:dyDescent="0.25">
      <c r="B124" s="71" t="s">
        <v>1157</v>
      </c>
      <c r="C124" s="44" t="s">
        <v>567</v>
      </c>
      <c r="D124" s="44" t="s">
        <v>568</v>
      </c>
      <c r="E124" s="44" t="s">
        <v>1073</v>
      </c>
      <c r="F124" s="44" t="s">
        <v>646</v>
      </c>
      <c r="G124" s="44" t="s">
        <v>647</v>
      </c>
      <c r="H124" s="44" t="s">
        <v>647</v>
      </c>
      <c r="I124" s="141">
        <v>46197</v>
      </c>
      <c r="J124" s="47"/>
      <c r="K124" s="106"/>
      <c r="L124" s="44" t="str">
        <f>TEXT(LTI_5[[#This Row],[FECHA]],"dddd")</f>
        <v>miércoles</v>
      </c>
      <c r="M124" s="106" t="s">
        <v>1158</v>
      </c>
      <c r="N124" s="106" t="s">
        <v>1159</v>
      </c>
      <c r="O124" s="44">
        <v>25786973</v>
      </c>
      <c r="P124" s="106"/>
      <c r="Q124" s="44"/>
      <c r="R124" s="106"/>
      <c r="S124" s="55"/>
      <c r="T124" s="47"/>
      <c r="U124" s="146" t="s">
        <v>598</v>
      </c>
      <c r="V124" s="54" t="s">
        <v>599</v>
      </c>
      <c r="W124" s="53" t="s">
        <v>1160</v>
      </c>
      <c r="X124" s="44" t="s">
        <v>1161</v>
      </c>
      <c r="Y124" s="51">
        <v>13</v>
      </c>
      <c r="Z124" s="66" t="s">
        <v>1162</v>
      </c>
      <c r="AA124" s="148" t="s">
        <v>1163</v>
      </c>
      <c r="AB124" s="148" t="s">
        <v>1164</v>
      </c>
      <c r="AC124" s="44" t="s">
        <v>579</v>
      </c>
      <c r="AD124" s="51" t="str">
        <f>"T"&amp;INT((MONTH(LTI_5[[#This Row],[FECHA]])-1)/3)+1</f>
        <v>T2</v>
      </c>
      <c r="AE124" s="50"/>
    </row>
    <row r="125" spans="2:31" ht="89.1" customHeight="1" x14ac:dyDescent="0.25">
      <c r="B125" s="137" t="s">
        <v>1165</v>
      </c>
      <c r="C125" s="44" t="s">
        <v>567</v>
      </c>
      <c r="D125" s="44" t="s">
        <v>1166</v>
      </c>
      <c r="E125" s="44" t="s">
        <v>595</v>
      </c>
      <c r="F125" s="44" t="s">
        <v>595</v>
      </c>
      <c r="G125" s="42" t="s">
        <v>571</v>
      </c>
      <c r="H125" s="44" t="s">
        <v>595</v>
      </c>
      <c r="I125" s="141">
        <v>46197</v>
      </c>
      <c r="J125" s="58"/>
      <c r="K125" s="107"/>
      <c r="L125" s="42" t="str">
        <f>TEXT(LTI_5[[#This Row],[FECHA]],"dddd")</f>
        <v>miércoles</v>
      </c>
      <c r="M125" s="107" t="s">
        <v>1167</v>
      </c>
      <c r="N125" s="107" t="s">
        <v>1168</v>
      </c>
      <c r="O125" s="42">
        <v>72915677</v>
      </c>
      <c r="P125" s="107"/>
      <c r="Q125" s="42"/>
      <c r="R125" s="107"/>
      <c r="S125" s="48"/>
      <c r="T125" s="58"/>
      <c r="U125" s="42" t="s">
        <v>1169</v>
      </c>
      <c r="V125" s="42" t="s">
        <v>1003</v>
      </c>
      <c r="W125" s="45" t="s">
        <v>1170</v>
      </c>
      <c r="X125" s="42" t="s">
        <v>1171</v>
      </c>
      <c r="Y125" s="41">
        <v>4</v>
      </c>
      <c r="Z125" s="108" t="s">
        <v>1172</v>
      </c>
      <c r="AA125" s="148" t="s">
        <v>1173</v>
      </c>
      <c r="AB125" s="151" t="s">
        <v>1174</v>
      </c>
      <c r="AC125" s="42" t="s">
        <v>579</v>
      </c>
      <c r="AD125" s="41" t="str">
        <f>"T"&amp;INT((MONTH(LTI_5[[#This Row],[FECHA]])-1)/3)+1</f>
        <v>T2</v>
      </c>
      <c r="AE125" s="40"/>
    </row>
    <row r="126" spans="2:31" ht="89.1" hidden="1" customHeight="1" x14ac:dyDescent="0.25">
      <c r="B126" s="60"/>
      <c r="C126" s="44" t="s">
        <v>966</v>
      </c>
      <c r="D126" s="44" t="s">
        <v>568</v>
      </c>
      <c r="E126" s="44" t="s">
        <v>1073</v>
      </c>
      <c r="F126" s="44" t="s">
        <v>608</v>
      </c>
      <c r="G126" s="44" t="s">
        <v>967</v>
      </c>
      <c r="H126" s="44" t="s">
        <v>967</v>
      </c>
      <c r="I126" s="106">
        <v>46192</v>
      </c>
      <c r="J126" s="47"/>
      <c r="K126" s="106"/>
      <c r="L126" s="44" t="str">
        <f>TEXT(LTI_5[[#This Row],[FECHA]],"dddd")</f>
        <v>viernes</v>
      </c>
      <c r="M126" s="106" t="s">
        <v>1175</v>
      </c>
      <c r="N126" s="106" t="s">
        <v>1176</v>
      </c>
      <c r="O126" s="44"/>
      <c r="P126" s="106"/>
      <c r="Q126" s="44"/>
      <c r="R126" s="106"/>
      <c r="S126" s="55"/>
      <c r="T126" s="47"/>
      <c r="U126" s="146" t="s">
        <v>598</v>
      </c>
      <c r="V126" s="54" t="s">
        <v>599</v>
      </c>
      <c r="W126" s="53" t="s">
        <v>1177</v>
      </c>
      <c r="X126" s="42" t="s">
        <v>1178</v>
      </c>
      <c r="Y126" s="51">
        <v>2</v>
      </c>
      <c r="Z126" s="66" t="s">
        <v>1179</v>
      </c>
      <c r="AA126" s="148" t="s">
        <v>1163</v>
      </c>
      <c r="AB126" s="148" t="s">
        <v>1180</v>
      </c>
      <c r="AC126" s="44" t="s">
        <v>579</v>
      </c>
      <c r="AD126" s="51" t="str">
        <f>"T"&amp;INT((MONTH(LTI_5[[#This Row],[FECHA]])-1)/3)+1</f>
        <v>T2</v>
      </c>
      <c r="AE126" s="50"/>
    </row>
    <row r="127" spans="2:31" ht="119.85" hidden="1" customHeight="1" x14ac:dyDescent="0.25">
      <c r="B127" s="71" t="s">
        <v>1181</v>
      </c>
      <c r="C127" s="44" t="s">
        <v>567</v>
      </c>
      <c r="D127" s="44" t="s">
        <v>568</v>
      </c>
      <c r="E127" s="44" t="s">
        <v>1073</v>
      </c>
      <c r="F127" s="44" t="s">
        <v>608</v>
      </c>
      <c r="G127" s="44" t="s">
        <v>626</v>
      </c>
      <c r="H127" s="44" t="s">
        <v>626</v>
      </c>
      <c r="I127" s="107">
        <v>46202</v>
      </c>
      <c r="J127" s="47"/>
      <c r="K127" s="106"/>
      <c r="L127" s="44" t="str">
        <f>TEXT(LTI_5[[#This Row],[FECHA]],"dddd")</f>
        <v>lunes</v>
      </c>
      <c r="M127" s="106" t="s">
        <v>1182</v>
      </c>
      <c r="N127" s="106" t="s">
        <v>1183</v>
      </c>
      <c r="O127" s="44">
        <v>70556153</v>
      </c>
      <c r="P127" s="106"/>
      <c r="Q127" s="44"/>
      <c r="R127" s="106"/>
      <c r="S127" s="55"/>
      <c r="T127" s="47"/>
      <c r="U127" s="44"/>
      <c r="V127" s="54" t="s">
        <v>623</v>
      </c>
      <c r="W127" s="53" t="s">
        <v>1184</v>
      </c>
      <c r="X127" s="44" t="s">
        <v>1185</v>
      </c>
      <c r="Y127" s="51">
        <v>2</v>
      </c>
      <c r="Z127" s="66" t="s">
        <v>1186</v>
      </c>
      <c r="AA127" s="148" t="s">
        <v>1187</v>
      </c>
      <c r="AB127" s="148" t="s">
        <v>1188</v>
      </c>
      <c r="AC127" s="44" t="s">
        <v>579</v>
      </c>
      <c r="AD127" s="51" t="str">
        <f>"T"&amp;INT((MONTH(LTI_5[[#This Row],[FECHA]])-1)/3)+1</f>
        <v>T2</v>
      </c>
      <c r="AE127" s="50"/>
    </row>
    <row r="128" spans="2:31" ht="89.1" hidden="1" customHeight="1" x14ac:dyDescent="0.25">
      <c r="B128" s="150" t="s">
        <v>1189</v>
      </c>
      <c r="C128" s="44" t="s">
        <v>580</v>
      </c>
      <c r="D128" s="44" t="s">
        <v>1166</v>
      </c>
      <c r="E128" s="44" t="s">
        <v>595</v>
      </c>
      <c r="F128" s="44" t="s">
        <v>596</v>
      </c>
      <c r="G128" s="44" t="s">
        <v>515</v>
      </c>
      <c r="H128" s="44" t="s">
        <v>595</v>
      </c>
      <c r="I128" s="143">
        <v>46199</v>
      </c>
      <c r="J128" s="56">
        <v>0.57638888888888884</v>
      </c>
      <c r="K128" s="106" t="s">
        <v>813</v>
      </c>
      <c r="L128" s="44" t="str">
        <f>TEXT(LTI_5[[#This Row],[FECHA]],"dddd")</f>
        <v>viernes</v>
      </c>
      <c r="M128" s="106"/>
      <c r="N128" s="106"/>
      <c r="O128" s="44"/>
      <c r="P128" s="106"/>
      <c r="Q128" s="44"/>
      <c r="R128" s="106"/>
      <c r="S128" s="55"/>
      <c r="T128" s="47"/>
      <c r="U128" s="44"/>
      <c r="V128" s="46" t="s">
        <v>771</v>
      </c>
      <c r="W128" s="53" t="s">
        <v>1190</v>
      </c>
      <c r="X128" s="44" t="s">
        <v>1191</v>
      </c>
      <c r="Y128" s="51">
        <v>3</v>
      </c>
      <c r="Z128" s="51" t="s">
        <v>1192</v>
      </c>
      <c r="AA128" s="151" t="s">
        <v>1028</v>
      </c>
      <c r="AB128" s="148" t="s">
        <v>1193</v>
      </c>
      <c r="AC128" s="44" t="s">
        <v>607</v>
      </c>
      <c r="AD128" s="51" t="str">
        <f>"T"&amp;INT((MONTH(LTI_5[[#This Row],[FECHA]])-1)/3)+1</f>
        <v>T2</v>
      </c>
      <c r="AE128" s="50"/>
    </row>
    <row r="129" spans="2:31" ht="89.1" hidden="1" customHeight="1" x14ac:dyDescent="0.25">
      <c r="B129" s="71" t="s">
        <v>1194</v>
      </c>
      <c r="C129" s="42" t="s">
        <v>662</v>
      </c>
      <c r="D129" s="42" t="s">
        <v>640</v>
      </c>
      <c r="E129" s="42" t="s">
        <v>595</v>
      </c>
      <c r="F129" s="42" t="s">
        <v>595</v>
      </c>
      <c r="G129" s="42" t="s">
        <v>1195</v>
      </c>
      <c r="H129" s="44" t="s">
        <v>852</v>
      </c>
      <c r="I129" s="106">
        <v>46203</v>
      </c>
      <c r="J129" s="49">
        <v>0.3125</v>
      </c>
      <c r="K129" s="107" t="s">
        <v>813</v>
      </c>
      <c r="L129" s="42" t="str">
        <f>TEXT(LTI_5[[#This Row],[FECHA]],"dddd")</f>
        <v>martes</v>
      </c>
      <c r="M129" s="107" t="s">
        <v>1196</v>
      </c>
      <c r="N129" s="107" t="s">
        <v>1197</v>
      </c>
      <c r="O129" s="42"/>
      <c r="P129" s="107"/>
      <c r="Q129" s="42">
        <v>23</v>
      </c>
      <c r="R129" s="107"/>
      <c r="S129" s="48"/>
      <c r="T129" s="58"/>
      <c r="U129" s="42"/>
      <c r="V129" s="46" t="s">
        <v>771</v>
      </c>
      <c r="W129" s="45" t="s">
        <v>1198</v>
      </c>
      <c r="X129" s="42" t="s">
        <v>1199</v>
      </c>
      <c r="Y129" s="41">
        <v>7</v>
      </c>
      <c r="Z129" s="66" t="s">
        <v>1200</v>
      </c>
      <c r="AA129" s="148" t="s">
        <v>1133</v>
      </c>
      <c r="AB129" s="151" t="s">
        <v>1141</v>
      </c>
      <c r="AC129" s="42" t="s">
        <v>579</v>
      </c>
      <c r="AD129" s="41" t="str">
        <f>"T"&amp;INT((MONTH(LTI_5[[#This Row],[FECHA]])-1)/3)+1</f>
        <v>T2</v>
      </c>
      <c r="AE129" s="40"/>
    </row>
    <row r="130" spans="2:31" ht="68.400000000000006" hidden="1" customHeight="1" x14ac:dyDescent="0.25">
      <c r="B130" s="71" t="s">
        <v>1201</v>
      </c>
      <c r="C130" s="44" t="s">
        <v>567</v>
      </c>
      <c r="D130" s="44" t="s">
        <v>568</v>
      </c>
      <c r="E130" s="44" t="s">
        <v>569</v>
      </c>
      <c r="F130" s="44" t="s">
        <v>570</v>
      </c>
      <c r="G130" s="44" t="s">
        <v>604</v>
      </c>
      <c r="H130" s="44" t="s">
        <v>604</v>
      </c>
      <c r="I130" s="107">
        <v>46206</v>
      </c>
      <c r="J130" s="144">
        <v>0.2361111111111111</v>
      </c>
      <c r="K130" s="107" t="s">
        <v>813</v>
      </c>
      <c r="L130" s="44" t="str">
        <f>TEXT(LTI_5[[#This Row],[FECHA]],"dddd")</f>
        <v>viernes</v>
      </c>
      <c r="M130" s="106" t="s">
        <v>1202</v>
      </c>
      <c r="N130" s="106" t="s">
        <v>1203</v>
      </c>
      <c r="O130" s="106"/>
      <c r="P130" s="106"/>
      <c r="Q130" s="44"/>
      <c r="R130" s="106"/>
      <c r="S130" s="55"/>
      <c r="T130" s="47" t="s">
        <v>816</v>
      </c>
      <c r="U130" s="146" t="s">
        <v>598</v>
      </c>
      <c r="V130" s="54" t="s">
        <v>599</v>
      </c>
      <c r="W130" s="167" t="s">
        <v>1204</v>
      </c>
      <c r="X130" s="44" t="s">
        <v>1205</v>
      </c>
      <c r="Y130" s="51">
        <v>18</v>
      </c>
      <c r="Z130" s="51" t="s">
        <v>1206</v>
      </c>
      <c r="AA130" s="151" t="s">
        <v>1149</v>
      </c>
      <c r="AB130" s="148" t="s">
        <v>1134</v>
      </c>
      <c r="AC130" s="44" t="s">
        <v>579</v>
      </c>
      <c r="AD130" s="51" t="str">
        <f>"T"&amp;INT((MONTH(LTI_5[[#This Row],[FECHA]])-1)/3)+1</f>
        <v>T3</v>
      </c>
      <c r="AE130" s="50"/>
    </row>
    <row r="131" spans="2:31" ht="80.099999999999994" hidden="1" customHeight="1" x14ac:dyDescent="0.25">
      <c r="B131" s="165" t="s">
        <v>1207</v>
      </c>
      <c r="C131" s="44" t="s">
        <v>580</v>
      </c>
      <c r="D131" s="44" t="s">
        <v>568</v>
      </c>
      <c r="E131" s="44" t="s">
        <v>595</v>
      </c>
      <c r="F131" s="44" t="s">
        <v>596</v>
      </c>
      <c r="G131" s="44" t="s">
        <v>515</v>
      </c>
      <c r="H131" s="44" t="s">
        <v>595</v>
      </c>
      <c r="I131" s="107">
        <v>46209</v>
      </c>
      <c r="J131" s="144">
        <v>0.125</v>
      </c>
      <c r="K131" s="106" t="s">
        <v>813</v>
      </c>
      <c r="L131" s="44" t="str">
        <f>TEXT(LTI_5[[#This Row],[FECHA]],"dddd")</f>
        <v>lunes</v>
      </c>
      <c r="M131" s="106" t="s">
        <v>1208</v>
      </c>
      <c r="N131" s="106" t="s">
        <v>1209</v>
      </c>
      <c r="O131" s="106"/>
      <c r="P131" s="106"/>
      <c r="Q131" s="44"/>
      <c r="R131" s="106"/>
      <c r="S131" s="55"/>
      <c r="T131" s="47"/>
      <c r="U131" s="44" t="s">
        <v>1210</v>
      </c>
      <c r="V131" s="46" t="s">
        <v>771</v>
      </c>
      <c r="W131" s="53" t="s">
        <v>1211</v>
      </c>
      <c r="X131" s="44" t="s">
        <v>1212</v>
      </c>
      <c r="Y131" s="51">
        <v>2</v>
      </c>
      <c r="Z131" s="66" t="s">
        <v>1213</v>
      </c>
      <c r="AA131" s="148" t="s">
        <v>996</v>
      </c>
      <c r="AB131" s="148" t="s">
        <v>1214</v>
      </c>
      <c r="AC131" s="44" t="s">
        <v>579</v>
      </c>
      <c r="AD131" s="51" t="str">
        <f>"T"&amp;INT((MONTH(LTI_5[[#This Row],[FECHA]])-1)/3)+1</f>
        <v>T3</v>
      </c>
      <c r="AE131" s="50"/>
    </row>
    <row r="132" spans="2:31" ht="44.4" hidden="1" customHeight="1" x14ac:dyDescent="0.25">
      <c r="B132" s="165" t="s">
        <v>1215</v>
      </c>
      <c r="C132" s="44" t="s">
        <v>580</v>
      </c>
      <c r="D132" s="44" t="s">
        <v>568</v>
      </c>
      <c r="E132" s="44" t="s">
        <v>569</v>
      </c>
      <c r="F132" s="44" t="s">
        <v>608</v>
      </c>
      <c r="G132" s="44" t="s">
        <v>455</v>
      </c>
      <c r="H132" s="44" t="s">
        <v>306</v>
      </c>
      <c r="I132" s="107">
        <v>46210</v>
      </c>
      <c r="J132" s="144">
        <v>0.125</v>
      </c>
      <c r="K132" s="106" t="s">
        <v>813</v>
      </c>
      <c r="L132" s="44" t="str">
        <f>TEXT(LTI_5[[#This Row],[FECHA]],"dddd")</f>
        <v>martes</v>
      </c>
      <c r="M132" s="106" t="s">
        <v>1216</v>
      </c>
      <c r="N132" s="106" t="s">
        <v>1217</v>
      </c>
      <c r="O132" s="106"/>
      <c r="P132" s="106"/>
      <c r="Q132" s="44"/>
      <c r="R132" s="106"/>
      <c r="S132" s="55"/>
      <c r="T132" s="47" t="s">
        <v>887</v>
      </c>
      <c r="U132" s="44" t="s">
        <v>855</v>
      </c>
      <c r="V132" s="54" t="s">
        <v>591</v>
      </c>
      <c r="W132" s="53" t="s">
        <v>1218</v>
      </c>
      <c r="X132" s="44" t="s">
        <v>26</v>
      </c>
      <c r="Y132" s="51">
        <v>5</v>
      </c>
      <c r="Z132" s="66" t="s">
        <v>1219</v>
      </c>
      <c r="AA132" s="148" t="s">
        <v>1028</v>
      </c>
      <c r="AB132" s="148" t="s">
        <v>1193</v>
      </c>
      <c r="AC132" s="44" t="s">
        <v>607</v>
      </c>
      <c r="AD132" s="51" t="str">
        <f>"T"&amp;INT((MONTH(LTI_5[[#This Row],[FECHA]])-1)/3)+1</f>
        <v>T3</v>
      </c>
      <c r="AE132" s="50"/>
    </row>
    <row r="133" spans="2:31" ht="38.4" hidden="1" customHeight="1" x14ac:dyDescent="0.25">
      <c r="B133" s="71" t="s">
        <v>1220</v>
      </c>
      <c r="C133" s="44" t="s">
        <v>567</v>
      </c>
      <c r="D133" s="44" t="s">
        <v>568</v>
      </c>
      <c r="E133" s="44" t="s">
        <v>569</v>
      </c>
      <c r="F133" s="44" t="s">
        <v>570</v>
      </c>
      <c r="G133" s="42" t="s">
        <v>571</v>
      </c>
      <c r="H133" s="44" t="s">
        <v>571</v>
      </c>
      <c r="I133" s="107">
        <v>46211</v>
      </c>
      <c r="J133" s="144">
        <v>0.61111111111111116</v>
      </c>
      <c r="K133" s="106" t="s">
        <v>861</v>
      </c>
      <c r="L133" s="44" t="str">
        <f>TEXT(LTI_5[[#This Row],[FECHA]],"dddd")</f>
        <v>miércoles</v>
      </c>
      <c r="M133" s="106" t="s">
        <v>1221</v>
      </c>
      <c r="N133" s="106" t="s">
        <v>1222</v>
      </c>
      <c r="O133" s="106"/>
      <c r="P133" s="106"/>
      <c r="Q133" s="44"/>
      <c r="R133" s="106"/>
      <c r="S133" s="55"/>
      <c r="T133" s="47" t="s">
        <v>826</v>
      </c>
      <c r="U133" s="146" t="s">
        <v>598</v>
      </c>
      <c r="V133" s="54" t="s">
        <v>599</v>
      </c>
      <c r="W133" s="167" t="s">
        <v>1223</v>
      </c>
      <c r="X133" s="44" t="s">
        <v>1224</v>
      </c>
      <c r="Y133" s="51">
        <v>8</v>
      </c>
      <c r="Z133" s="145" t="s">
        <v>1225</v>
      </c>
      <c r="AA133" s="148" t="s">
        <v>1149</v>
      </c>
      <c r="AB133" s="148" t="s">
        <v>1226</v>
      </c>
      <c r="AC133" s="44" t="s">
        <v>607</v>
      </c>
      <c r="AD133" s="51" t="str">
        <f>"T"&amp;INT((MONTH(LTI_5[[#This Row],[FECHA]])-1)/3)+1</f>
        <v>T3</v>
      </c>
      <c r="AE133" s="50"/>
    </row>
    <row r="134" spans="2:31" ht="91.35" hidden="1" customHeight="1" x14ac:dyDescent="0.25">
      <c r="B134" s="165" t="s">
        <v>1227</v>
      </c>
      <c r="C134" s="44" t="s">
        <v>580</v>
      </c>
      <c r="D134" s="44" t="s">
        <v>568</v>
      </c>
      <c r="E134" s="44" t="s">
        <v>569</v>
      </c>
      <c r="F134" s="44" t="s">
        <v>608</v>
      </c>
      <c r="G134" s="44" t="s">
        <v>455</v>
      </c>
      <c r="H134" s="44" t="s">
        <v>306</v>
      </c>
      <c r="I134" s="107">
        <v>46211</v>
      </c>
      <c r="J134" s="144">
        <v>0.125</v>
      </c>
      <c r="K134" s="106" t="s">
        <v>813</v>
      </c>
      <c r="L134" s="44" t="str">
        <f>TEXT(LTI_5[[#This Row],[FECHA]],"dddd")</f>
        <v>miércoles</v>
      </c>
      <c r="M134" s="106" t="s">
        <v>1228</v>
      </c>
      <c r="N134" s="106" t="s">
        <v>1229</v>
      </c>
      <c r="O134" s="106"/>
      <c r="P134" s="106"/>
      <c r="Q134" s="44"/>
      <c r="R134" s="106"/>
      <c r="S134" s="55"/>
      <c r="T134" s="47" t="s">
        <v>1230</v>
      </c>
      <c r="U134" s="146" t="s">
        <v>23</v>
      </c>
      <c r="V134" s="54" t="s">
        <v>599</v>
      </c>
      <c r="W134" s="53" t="s">
        <v>1231</v>
      </c>
      <c r="X134" s="44" t="s">
        <v>26</v>
      </c>
      <c r="Y134" s="51">
        <v>9</v>
      </c>
      <c r="Z134" s="145" t="s">
        <v>1219</v>
      </c>
      <c r="AA134" s="148" t="s">
        <v>1028</v>
      </c>
      <c r="AB134" s="148" t="s">
        <v>1193</v>
      </c>
      <c r="AC134" s="44" t="s">
        <v>607</v>
      </c>
      <c r="AD134" s="51" t="str">
        <f>"T"&amp;INT((MONTH(LTI_5[[#This Row],[FECHA]])-1)/3)+1</f>
        <v>T3</v>
      </c>
      <c r="AE134" s="50"/>
    </row>
    <row r="135" spans="2:31" ht="66.599999999999994" hidden="1" customHeight="1" x14ac:dyDescent="0.25">
      <c r="B135" s="165" t="s">
        <v>1227</v>
      </c>
      <c r="C135" s="44" t="s">
        <v>580</v>
      </c>
      <c r="D135" s="44" t="s">
        <v>568</v>
      </c>
      <c r="E135" s="44" t="s">
        <v>569</v>
      </c>
      <c r="F135" s="44" t="s">
        <v>608</v>
      </c>
      <c r="G135" s="44" t="s">
        <v>455</v>
      </c>
      <c r="H135" s="44" t="s">
        <v>306</v>
      </c>
      <c r="I135" s="107">
        <v>46211</v>
      </c>
      <c r="J135" s="144">
        <v>0.125</v>
      </c>
      <c r="K135" s="106" t="s">
        <v>813</v>
      </c>
      <c r="L135" s="44" t="str">
        <f>TEXT(LTI_5[[#This Row],[FECHA]],"dddd")</f>
        <v>miércoles</v>
      </c>
      <c r="M135" s="106" t="s">
        <v>1232</v>
      </c>
      <c r="N135" s="106" t="s">
        <v>1233</v>
      </c>
      <c r="O135" s="106"/>
      <c r="P135" s="106"/>
      <c r="Q135" s="44"/>
      <c r="R135" s="106"/>
      <c r="S135" s="55"/>
      <c r="T135" s="47" t="s">
        <v>1230</v>
      </c>
      <c r="U135" s="146" t="s">
        <v>23</v>
      </c>
      <c r="V135" s="54" t="s">
        <v>599</v>
      </c>
      <c r="W135" s="53" t="s">
        <v>1231</v>
      </c>
      <c r="X135" s="44" t="s">
        <v>26</v>
      </c>
      <c r="Y135" s="51">
        <v>12</v>
      </c>
      <c r="Z135" s="145" t="s">
        <v>1219</v>
      </c>
      <c r="AA135" s="148" t="s">
        <v>1028</v>
      </c>
      <c r="AB135" s="148" t="s">
        <v>1193</v>
      </c>
      <c r="AC135" s="44" t="s">
        <v>607</v>
      </c>
      <c r="AD135" s="51" t="str">
        <f>"T"&amp;INT((MONTH(LTI_5[[#This Row],[FECHA]])-1)/3)+1</f>
        <v>T3</v>
      </c>
      <c r="AE135" s="50"/>
    </row>
    <row r="136" spans="2:31" ht="93" customHeight="1" x14ac:dyDescent="0.25">
      <c r="B136" s="165" t="s">
        <v>1227</v>
      </c>
      <c r="C136" s="44" t="s">
        <v>580</v>
      </c>
      <c r="D136" s="44" t="s">
        <v>1166</v>
      </c>
      <c r="E136" s="44" t="s">
        <v>595</v>
      </c>
      <c r="F136" s="44" t="s">
        <v>641</v>
      </c>
      <c r="G136" s="44" t="s">
        <v>455</v>
      </c>
      <c r="H136" s="44" t="s">
        <v>595</v>
      </c>
      <c r="I136" s="107">
        <v>46211</v>
      </c>
      <c r="J136" s="144">
        <v>0.11458333333333333</v>
      </c>
      <c r="K136" s="106" t="s">
        <v>813</v>
      </c>
      <c r="L136" s="44" t="str">
        <f>TEXT(LTI_5[[#This Row],[FECHA]],"dddd")</f>
        <v>miércoles</v>
      </c>
      <c r="M136" s="106" t="s">
        <v>1234</v>
      </c>
      <c r="N136" s="106" t="s">
        <v>1235</v>
      </c>
      <c r="O136" s="106"/>
      <c r="P136" s="106"/>
      <c r="Q136" s="44"/>
      <c r="R136" s="106"/>
      <c r="S136" s="55"/>
      <c r="T136" s="47"/>
      <c r="U136" s="44" t="s">
        <v>1236</v>
      </c>
      <c r="V136" s="42" t="s">
        <v>1003</v>
      </c>
      <c r="W136" s="53" t="s">
        <v>1237</v>
      </c>
      <c r="X136" s="44" t="s">
        <v>26</v>
      </c>
      <c r="Y136" s="51">
        <v>2</v>
      </c>
      <c r="Z136" s="145" t="s">
        <v>1219</v>
      </c>
      <c r="AA136" s="148" t="s">
        <v>1028</v>
      </c>
      <c r="AB136" s="148" t="s">
        <v>1193</v>
      </c>
      <c r="AC136" s="44" t="s">
        <v>607</v>
      </c>
      <c r="AD136" s="51" t="str">
        <f>"T"&amp;INT((MONTH(LTI_5[[#This Row],[FECHA]])-1)/3)+1</f>
        <v>T3</v>
      </c>
      <c r="AE136" s="50"/>
    </row>
    <row r="137" spans="2:31" ht="80.099999999999994" customHeight="1" x14ac:dyDescent="0.25">
      <c r="B137" s="165" t="s">
        <v>1238</v>
      </c>
      <c r="C137" s="44" t="s">
        <v>580</v>
      </c>
      <c r="D137" s="44" t="s">
        <v>1166</v>
      </c>
      <c r="E137" s="44" t="s">
        <v>595</v>
      </c>
      <c r="F137" s="44" t="s">
        <v>641</v>
      </c>
      <c r="G137" s="44" t="s">
        <v>455</v>
      </c>
      <c r="H137" s="44" t="s">
        <v>595</v>
      </c>
      <c r="I137" s="107">
        <v>46211</v>
      </c>
      <c r="J137" s="144">
        <v>0.11458333333333333</v>
      </c>
      <c r="K137" s="106" t="s">
        <v>813</v>
      </c>
      <c r="L137" s="44" t="str">
        <f>TEXT(LTI_5[[#This Row],[FECHA]],"dddd")</f>
        <v>miércoles</v>
      </c>
      <c r="M137" s="106" t="s">
        <v>1239</v>
      </c>
      <c r="N137" s="106" t="s">
        <v>1240</v>
      </c>
      <c r="O137" s="106"/>
      <c r="P137" s="106"/>
      <c r="Q137" s="44"/>
      <c r="R137" s="106"/>
      <c r="S137" s="55"/>
      <c r="T137" s="47"/>
      <c r="U137" s="44" t="s">
        <v>1236</v>
      </c>
      <c r="V137" s="42" t="s">
        <v>1003</v>
      </c>
      <c r="W137" s="53" t="s">
        <v>1237</v>
      </c>
      <c r="X137" s="44" t="s">
        <v>26</v>
      </c>
      <c r="Y137" s="51">
        <v>2</v>
      </c>
      <c r="Z137" s="145" t="s">
        <v>1219</v>
      </c>
      <c r="AA137" s="148" t="s">
        <v>1028</v>
      </c>
      <c r="AB137" s="148" t="s">
        <v>1193</v>
      </c>
      <c r="AC137" s="44" t="s">
        <v>607</v>
      </c>
      <c r="AD137" s="51" t="str">
        <f>"T"&amp;INT((MONTH(LTI_5[[#This Row],[FECHA]])-1)/3)+1</f>
        <v>T3</v>
      </c>
      <c r="AE137" s="50"/>
    </row>
    <row r="138" spans="2:31" ht="78" customHeight="1" x14ac:dyDescent="0.25">
      <c r="B138" s="165" t="s">
        <v>1241</v>
      </c>
      <c r="C138" s="44" t="s">
        <v>580</v>
      </c>
      <c r="D138" s="44" t="s">
        <v>1166</v>
      </c>
      <c r="E138" s="44" t="s">
        <v>595</v>
      </c>
      <c r="F138" s="44" t="s">
        <v>641</v>
      </c>
      <c r="G138" s="44" t="s">
        <v>455</v>
      </c>
      <c r="H138" s="44" t="s">
        <v>595</v>
      </c>
      <c r="I138" s="107">
        <v>46211</v>
      </c>
      <c r="J138" s="144">
        <v>0.11458333333333333</v>
      </c>
      <c r="K138" s="106" t="s">
        <v>813</v>
      </c>
      <c r="L138" s="44" t="str">
        <f>TEXT(LTI_5[[#This Row],[FECHA]],"dddd")</f>
        <v>miércoles</v>
      </c>
      <c r="M138" s="106" t="s">
        <v>1242</v>
      </c>
      <c r="N138" s="106" t="s">
        <v>1243</v>
      </c>
      <c r="O138" s="106"/>
      <c r="P138" s="106"/>
      <c r="Q138" s="44"/>
      <c r="R138" s="106"/>
      <c r="S138" s="55"/>
      <c r="T138" s="47"/>
      <c r="U138" s="44" t="s">
        <v>1236</v>
      </c>
      <c r="V138" s="42" t="s">
        <v>1003</v>
      </c>
      <c r="W138" s="53" t="s">
        <v>1237</v>
      </c>
      <c r="X138" s="44" t="s">
        <v>26</v>
      </c>
      <c r="Y138" s="51">
        <v>2</v>
      </c>
      <c r="Z138" s="145" t="s">
        <v>1219</v>
      </c>
      <c r="AA138" s="148" t="s">
        <v>1028</v>
      </c>
      <c r="AB138" s="148" t="s">
        <v>1193</v>
      </c>
      <c r="AC138" s="44" t="s">
        <v>607</v>
      </c>
      <c r="AD138" s="51" t="str">
        <f>"T"&amp;INT((MONTH(LTI_5[[#This Row],[FECHA]])-1)/3)+1</f>
        <v>T3</v>
      </c>
      <c r="AE138" s="50"/>
    </row>
    <row r="139" spans="2:31" ht="86.4" customHeight="1" x14ac:dyDescent="0.25">
      <c r="B139" s="165" t="s">
        <v>1244</v>
      </c>
      <c r="C139" s="44" t="s">
        <v>580</v>
      </c>
      <c r="D139" s="44" t="s">
        <v>1166</v>
      </c>
      <c r="E139" s="44" t="s">
        <v>595</v>
      </c>
      <c r="F139" s="44" t="s">
        <v>641</v>
      </c>
      <c r="G139" s="44" t="s">
        <v>455</v>
      </c>
      <c r="H139" s="44" t="s">
        <v>595</v>
      </c>
      <c r="I139" s="107">
        <v>46211</v>
      </c>
      <c r="J139" s="144">
        <v>0.11458333333333333</v>
      </c>
      <c r="K139" s="106" t="s">
        <v>813</v>
      </c>
      <c r="L139" s="44" t="str">
        <f>TEXT(LTI_5[[#This Row],[FECHA]],"dddd")</f>
        <v>miércoles</v>
      </c>
      <c r="M139" s="106" t="s">
        <v>1245</v>
      </c>
      <c r="N139" s="106" t="s">
        <v>1246</v>
      </c>
      <c r="O139" s="106"/>
      <c r="P139" s="106"/>
      <c r="Q139" s="44"/>
      <c r="R139" s="106"/>
      <c r="S139" s="55"/>
      <c r="T139" s="47"/>
      <c r="U139" s="44" t="s">
        <v>1236</v>
      </c>
      <c r="V139" s="42" t="s">
        <v>1003</v>
      </c>
      <c r="W139" s="53" t="s">
        <v>1237</v>
      </c>
      <c r="X139" s="44" t="s">
        <v>26</v>
      </c>
      <c r="Y139" s="51">
        <v>4</v>
      </c>
      <c r="Z139" s="145" t="s">
        <v>1219</v>
      </c>
      <c r="AA139" s="148" t="s">
        <v>1028</v>
      </c>
      <c r="AB139" s="148" t="s">
        <v>1193</v>
      </c>
      <c r="AC139" s="44" t="s">
        <v>607</v>
      </c>
      <c r="AD139" s="51" t="str">
        <f>"T"&amp;INT((MONTH(LTI_5[[#This Row],[FECHA]])-1)/3)+1</f>
        <v>T3</v>
      </c>
      <c r="AE139" s="50"/>
    </row>
    <row r="140" spans="2:31" ht="84" customHeight="1" x14ac:dyDescent="0.25">
      <c r="B140" s="165" t="s">
        <v>1247</v>
      </c>
      <c r="C140" s="44" t="s">
        <v>580</v>
      </c>
      <c r="D140" s="44" t="s">
        <v>1166</v>
      </c>
      <c r="E140" s="44" t="s">
        <v>595</v>
      </c>
      <c r="F140" s="44" t="s">
        <v>641</v>
      </c>
      <c r="G140" s="44" t="s">
        <v>455</v>
      </c>
      <c r="H140" s="44" t="s">
        <v>595</v>
      </c>
      <c r="I140" s="107">
        <v>46211</v>
      </c>
      <c r="J140" s="144">
        <v>0.11458333333333333</v>
      </c>
      <c r="K140" s="106" t="s">
        <v>813</v>
      </c>
      <c r="L140" s="44" t="str">
        <f>TEXT(LTI_5[[#This Row],[FECHA]],"dddd")</f>
        <v>miércoles</v>
      </c>
      <c r="M140" s="106" t="s">
        <v>1248</v>
      </c>
      <c r="N140" s="106" t="s">
        <v>1249</v>
      </c>
      <c r="O140" s="106"/>
      <c r="P140" s="106"/>
      <c r="Q140" s="44"/>
      <c r="R140" s="106"/>
      <c r="S140" s="55"/>
      <c r="T140" s="47"/>
      <c r="U140" s="44" t="s">
        <v>1236</v>
      </c>
      <c r="V140" s="42" t="s">
        <v>1003</v>
      </c>
      <c r="W140" s="53" t="s">
        <v>1237</v>
      </c>
      <c r="X140" s="44" t="s">
        <v>26</v>
      </c>
      <c r="Y140" s="51">
        <v>2</v>
      </c>
      <c r="Z140" s="145" t="s">
        <v>1219</v>
      </c>
      <c r="AA140" s="148" t="s">
        <v>1028</v>
      </c>
      <c r="AB140" s="148" t="s">
        <v>1193</v>
      </c>
      <c r="AC140" s="44" t="s">
        <v>607</v>
      </c>
      <c r="AD140" s="51" t="str">
        <f>"T"&amp;INT((MONTH(LTI_5[[#This Row],[FECHA]])-1)/3)+1</f>
        <v>T3</v>
      </c>
      <c r="AE140" s="50"/>
    </row>
    <row r="141" spans="2:31" ht="82.35" customHeight="1" x14ac:dyDescent="0.25">
      <c r="B141" s="165" t="s">
        <v>1250</v>
      </c>
      <c r="C141" s="44" t="s">
        <v>580</v>
      </c>
      <c r="D141" s="44" t="s">
        <v>1166</v>
      </c>
      <c r="E141" s="44" t="s">
        <v>595</v>
      </c>
      <c r="F141" s="44" t="s">
        <v>641</v>
      </c>
      <c r="G141" s="44" t="s">
        <v>455</v>
      </c>
      <c r="H141" s="44" t="s">
        <v>595</v>
      </c>
      <c r="I141" s="107">
        <v>46211</v>
      </c>
      <c r="J141" s="144">
        <v>0.11458333333333333</v>
      </c>
      <c r="K141" s="106" t="s">
        <v>813</v>
      </c>
      <c r="L141" s="44" t="str">
        <f>TEXT(LTI_5[[#This Row],[FECHA]],"dddd")</f>
        <v>miércoles</v>
      </c>
      <c r="M141" s="106" t="s">
        <v>1251</v>
      </c>
      <c r="N141" s="106" t="s">
        <v>1252</v>
      </c>
      <c r="O141" s="106"/>
      <c r="P141" s="106"/>
      <c r="Q141" s="44"/>
      <c r="R141" s="106"/>
      <c r="S141" s="55"/>
      <c r="T141" s="47"/>
      <c r="U141" s="44" t="s">
        <v>1236</v>
      </c>
      <c r="V141" s="42" t="s">
        <v>1003</v>
      </c>
      <c r="W141" s="53" t="s">
        <v>1237</v>
      </c>
      <c r="X141" s="44" t="s">
        <v>26</v>
      </c>
      <c r="Y141" s="51">
        <v>2</v>
      </c>
      <c r="Z141" s="145" t="s">
        <v>1219</v>
      </c>
      <c r="AA141" s="148" t="s">
        <v>1028</v>
      </c>
      <c r="AB141" s="148" t="s">
        <v>1193</v>
      </c>
      <c r="AC141" s="44" t="s">
        <v>607</v>
      </c>
      <c r="AD141" s="51" t="str">
        <f>"T"&amp;INT((MONTH(LTI_5[[#This Row],[FECHA]])-1)/3)+1</f>
        <v>T3</v>
      </c>
      <c r="AE141" s="50"/>
    </row>
    <row r="142" spans="2:31" ht="82.35" customHeight="1" x14ac:dyDescent="0.25">
      <c r="B142" s="165" t="s">
        <v>1253</v>
      </c>
      <c r="C142" s="44" t="s">
        <v>580</v>
      </c>
      <c r="D142" s="44" t="s">
        <v>1166</v>
      </c>
      <c r="E142" s="44" t="s">
        <v>595</v>
      </c>
      <c r="F142" s="44" t="s">
        <v>641</v>
      </c>
      <c r="G142" s="44" t="s">
        <v>455</v>
      </c>
      <c r="H142" s="44" t="s">
        <v>595</v>
      </c>
      <c r="I142" s="107">
        <v>46211</v>
      </c>
      <c r="J142" s="144">
        <v>0.11458333333333333</v>
      </c>
      <c r="K142" s="106" t="s">
        <v>813</v>
      </c>
      <c r="L142" s="44" t="str">
        <f>TEXT(LTI_5[[#This Row],[FECHA]],"dddd")</f>
        <v>miércoles</v>
      </c>
      <c r="M142" s="106" t="s">
        <v>1254</v>
      </c>
      <c r="N142" s="106" t="s">
        <v>1255</v>
      </c>
      <c r="O142" s="106"/>
      <c r="P142" s="106"/>
      <c r="Q142" s="44"/>
      <c r="R142" s="106"/>
      <c r="S142" s="55"/>
      <c r="T142" s="47"/>
      <c r="U142" s="44" t="s">
        <v>1236</v>
      </c>
      <c r="V142" s="42" t="s">
        <v>1003</v>
      </c>
      <c r="W142" s="53" t="s">
        <v>1237</v>
      </c>
      <c r="X142" s="44" t="s">
        <v>26</v>
      </c>
      <c r="Y142" s="51">
        <v>4</v>
      </c>
      <c r="Z142" s="145" t="s">
        <v>1219</v>
      </c>
      <c r="AA142" s="148" t="s">
        <v>1028</v>
      </c>
      <c r="AB142" s="148" t="s">
        <v>1193</v>
      </c>
      <c r="AC142" s="44" t="s">
        <v>607</v>
      </c>
      <c r="AD142" s="51" t="str">
        <f>"T"&amp;INT((MONTH(LTI_5[[#This Row],[FECHA]])-1)/3)+1</f>
        <v>T3</v>
      </c>
      <c r="AE142" s="50"/>
    </row>
    <row r="143" spans="2:31" ht="82.35" hidden="1" customHeight="1" x14ac:dyDescent="0.25">
      <c r="B143" s="165" t="s">
        <v>1256</v>
      </c>
      <c r="C143" s="44" t="s">
        <v>580</v>
      </c>
      <c r="D143" s="44" t="s">
        <v>1166</v>
      </c>
      <c r="E143" s="44" t="s">
        <v>595</v>
      </c>
      <c r="F143" s="44" t="s">
        <v>680</v>
      </c>
      <c r="G143" s="44" t="s">
        <v>455</v>
      </c>
      <c r="H143" s="44" t="s">
        <v>595</v>
      </c>
      <c r="I143" s="107">
        <v>46211</v>
      </c>
      <c r="J143" s="144">
        <v>0.11458333333333333</v>
      </c>
      <c r="K143" s="106" t="s">
        <v>813</v>
      </c>
      <c r="L143" s="44" t="str">
        <f>TEXT(LTI_5[[#This Row],[FECHA]],"dddd")</f>
        <v>miércoles</v>
      </c>
      <c r="M143" s="106" t="s">
        <v>1257</v>
      </c>
      <c r="N143" s="106" t="s">
        <v>1258</v>
      </c>
      <c r="O143" s="106"/>
      <c r="P143" s="106"/>
      <c r="Q143" s="44"/>
      <c r="R143" s="106"/>
      <c r="S143" s="55"/>
      <c r="T143" s="47"/>
      <c r="U143" s="44" t="s">
        <v>855</v>
      </c>
      <c r="V143" s="54" t="s">
        <v>591</v>
      </c>
      <c r="W143" s="53" t="s">
        <v>1259</v>
      </c>
      <c r="X143" s="44" t="s">
        <v>26</v>
      </c>
      <c r="Y143" s="51">
        <v>8</v>
      </c>
      <c r="Z143" s="145" t="s">
        <v>1219</v>
      </c>
      <c r="AA143" s="148" t="s">
        <v>1028</v>
      </c>
      <c r="AB143" s="148" t="s">
        <v>1193</v>
      </c>
      <c r="AC143" s="44" t="s">
        <v>607</v>
      </c>
      <c r="AD143" s="51" t="str">
        <f>"T"&amp;INT((MONTH(LTI_5[[#This Row],[FECHA]])-1)/3)+1</f>
        <v>T3</v>
      </c>
      <c r="AE143" s="50"/>
    </row>
    <row r="144" spans="2:31" ht="82.35" hidden="1" customHeight="1" x14ac:dyDescent="0.25">
      <c r="B144" s="165" t="s">
        <v>1260</v>
      </c>
      <c r="C144" s="44" t="s">
        <v>580</v>
      </c>
      <c r="D144" s="44" t="s">
        <v>1166</v>
      </c>
      <c r="E144" s="44" t="s">
        <v>595</v>
      </c>
      <c r="F144" s="44" t="s">
        <v>680</v>
      </c>
      <c r="G144" s="44" t="s">
        <v>455</v>
      </c>
      <c r="H144" s="44" t="s">
        <v>595</v>
      </c>
      <c r="I144" s="107">
        <v>46211</v>
      </c>
      <c r="J144" s="144">
        <v>0.11458333333333333</v>
      </c>
      <c r="K144" s="106" t="s">
        <v>813</v>
      </c>
      <c r="L144" s="44" t="str">
        <f>TEXT(LTI_5[[#This Row],[FECHA]],"dddd")</f>
        <v>miércoles</v>
      </c>
      <c r="M144" s="106" t="s">
        <v>1261</v>
      </c>
      <c r="N144" s="106" t="s">
        <v>1262</v>
      </c>
      <c r="O144" s="106"/>
      <c r="P144" s="106"/>
      <c r="Q144" s="44"/>
      <c r="R144" s="106"/>
      <c r="S144" s="55"/>
      <c r="T144" s="47"/>
      <c r="U144" s="44" t="s">
        <v>855</v>
      </c>
      <c r="V144" s="54" t="s">
        <v>591</v>
      </c>
      <c r="W144" s="53" t="s">
        <v>1263</v>
      </c>
      <c r="X144" s="44" t="s">
        <v>26</v>
      </c>
      <c r="Y144" s="51">
        <v>6</v>
      </c>
      <c r="Z144" s="145" t="s">
        <v>1219</v>
      </c>
      <c r="AA144" s="148" t="s">
        <v>1028</v>
      </c>
      <c r="AB144" s="148" t="s">
        <v>1193</v>
      </c>
      <c r="AC144" s="44" t="s">
        <v>607</v>
      </c>
      <c r="AD144" s="51" t="str">
        <f>"T"&amp;INT((MONTH(LTI_5[[#This Row],[FECHA]])-1)/3)+1</f>
        <v>T3</v>
      </c>
      <c r="AE144" s="50"/>
    </row>
    <row r="145" spans="2:31" ht="82.35" hidden="1" customHeight="1" x14ac:dyDescent="0.25">
      <c r="B145" s="71" t="s">
        <v>1264</v>
      </c>
      <c r="C145" s="44" t="s">
        <v>567</v>
      </c>
      <c r="D145" s="44" t="s">
        <v>568</v>
      </c>
      <c r="E145" s="44" t="s">
        <v>569</v>
      </c>
      <c r="F145" s="44" t="s">
        <v>646</v>
      </c>
      <c r="G145" s="44" t="s">
        <v>93</v>
      </c>
      <c r="H145" s="44" t="s">
        <v>93</v>
      </c>
      <c r="I145" s="107">
        <v>46218</v>
      </c>
      <c r="J145" s="144">
        <v>0.43055555555555558</v>
      </c>
      <c r="K145" s="106" t="s">
        <v>813</v>
      </c>
      <c r="L145" s="44" t="str">
        <f>TEXT(LTI_5[[#This Row],[FECHA]],"dddd")</f>
        <v>miércoles</v>
      </c>
      <c r="M145" s="106" t="s">
        <v>1265</v>
      </c>
      <c r="N145" s="106" t="s">
        <v>1266</v>
      </c>
      <c r="O145" s="106"/>
      <c r="P145" s="106"/>
      <c r="Q145" s="44"/>
      <c r="R145" s="106"/>
      <c r="S145" s="55"/>
      <c r="T145" s="47" t="s">
        <v>816</v>
      </c>
      <c r="U145" s="146" t="s">
        <v>598</v>
      </c>
      <c r="V145" s="54" t="s">
        <v>599</v>
      </c>
      <c r="W145" s="167" t="s">
        <v>1267</v>
      </c>
      <c r="X145" s="44" t="s">
        <v>1268</v>
      </c>
      <c r="Y145" s="51">
        <v>6</v>
      </c>
      <c r="Z145" s="66" t="s">
        <v>1269</v>
      </c>
      <c r="AA145" s="148" t="s">
        <v>1149</v>
      </c>
      <c r="AB145" s="148" t="s">
        <v>1270</v>
      </c>
      <c r="AC145" s="44" t="s">
        <v>607</v>
      </c>
      <c r="AD145" s="51" t="str">
        <f>"T"&amp;INT((MONTH(LTI_5[[#This Row],[FECHA]])-1)/3)+1</f>
        <v>T3</v>
      </c>
      <c r="AE145" s="50"/>
    </row>
    <row r="146" spans="2:31" ht="76.349999999999994" hidden="1" customHeight="1" x14ac:dyDescent="0.25">
      <c r="B146" s="71" t="s">
        <v>1271</v>
      </c>
      <c r="C146" s="44" t="s">
        <v>580</v>
      </c>
      <c r="D146" s="44" t="s">
        <v>568</v>
      </c>
      <c r="E146" s="44" t="s">
        <v>569</v>
      </c>
      <c r="F146" s="44" t="s">
        <v>608</v>
      </c>
      <c r="G146" s="44" t="s">
        <v>455</v>
      </c>
      <c r="H146" s="44" t="s">
        <v>306</v>
      </c>
      <c r="I146" s="107">
        <v>46218</v>
      </c>
      <c r="J146" s="144">
        <v>0.11458333333333333</v>
      </c>
      <c r="K146" s="106" t="s">
        <v>813</v>
      </c>
      <c r="L146" s="44" t="str">
        <f>TEXT(LTI_5[[#This Row],[FECHA]],"dddd")</f>
        <v>miércoles</v>
      </c>
      <c r="M146" s="106" t="s">
        <v>1272</v>
      </c>
      <c r="N146" s="106" t="s">
        <v>1273</v>
      </c>
      <c r="O146" s="106"/>
      <c r="P146" s="106"/>
      <c r="Q146" s="44"/>
      <c r="R146" s="106"/>
      <c r="S146" s="55"/>
      <c r="T146" s="47"/>
      <c r="U146" s="146" t="s">
        <v>23</v>
      </c>
      <c r="V146" s="54" t="s">
        <v>599</v>
      </c>
      <c r="W146" s="53" t="s">
        <v>1274</v>
      </c>
      <c r="X146" s="44" t="s">
        <v>1275</v>
      </c>
      <c r="Y146" s="51">
        <v>2</v>
      </c>
      <c r="Z146" s="66" t="s">
        <v>1276</v>
      </c>
      <c r="AA146" s="148" t="s">
        <v>1149</v>
      </c>
      <c r="AB146" s="148" t="s">
        <v>1277</v>
      </c>
      <c r="AC146" s="44" t="s">
        <v>607</v>
      </c>
      <c r="AD146" s="51" t="str">
        <f>"T"&amp;INT((MONTH(LTI_5[[#This Row],[FECHA]])-1)/3)+1</f>
        <v>T3</v>
      </c>
      <c r="AE146" s="50"/>
    </row>
    <row r="147" spans="2:31" ht="91.35" hidden="1" customHeight="1" x14ac:dyDescent="0.25">
      <c r="B147" s="71" t="s">
        <v>1271</v>
      </c>
      <c r="C147" s="44" t="s">
        <v>580</v>
      </c>
      <c r="D147" s="44" t="s">
        <v>568</v>
      </c>
      <c r="E147" s="44" t="s">
        <v>569</v>
      </c>
      <c r="F147" s="44" t="s">
        <v>608</v>
      </c>
      <c r="G147" s="44" t="s">
        <v>159</v>
      </c>
      <c r="H147" s="44" t="s">
        <v>159</v>
      </c>
      <c r="I147" s="107">
        <v>46218</v>
      </c>
      <c r="J147" s="47"/>
      <c r="K147" s="106"/>
      <c r="L147" s="44" t="str">
        <f>TEXT(LTI_5[[#This Row],[FECHA]],"dddd")</f>
        <v>miércoles</v>
      </c>
      <c r="M147" s="106" t="s">
        <v>1278</v>
      </c>
      <c r="N147" s="106" t="s">
        <v>1279</v>
      </c>
      <c r="O147" s="106"/>
      <c r="P147" s="106"/>
      <c r="Q147" s="44"/>
      <c r="R147" s="106"/>
      <c r="S147" s="55"/>
      <c r="T147" s="47"/>
      <c r="U147" s="44" t="s">
        <v>1082</v>
      </c>
      <c r="V147" s="54" t="s">
        <v>623</v>
      </c>
      <c r="W147" s="79" t="s">
        <v>1280</v>
      </c>
      <c r="X147" s="44" t="s">
        <v>1281</v>
      </c>
      <c r="Y147" s="51">
        <v>6</v>
      </c>
      <c r="Z147" s="66" t="s">
        <v>1282</v>
      </c>
      <c r="AA147" s="152" t="s">
        <v>1133</v>
      </c>
      <c r="AB147" s="148" t="s">
        <v>1134</v>
      </c>
      <c r="AC147" s="44" t="s">
        <v>579</v>
      </c>
      <c r="AD147" s="51" t="str">
        <f>"T"&amp;INT((MONTH(LTI_5[[#This Row],[FECHA]])-1)/3)+1</f>
        <v>T3</v>
      </c>
      <c r="AE147" s="50"/>
    </row>
    <row r="148" spans="2:31" ht="59.4" hidden="1" customHeight="1" x14ac:dyDescent="0.25">
      <c r="B148" s="71" t="s">
        <v>1283</v>
      </c>
      <c r="C148" s="44" t="s">
        <v>567</v>
      </c>
      <c r="D148" s="44" t="s">
        <v>568</v>
      </c>
      <c r="E148" s="44" t="s">
        <v>569</v>
      </c>
      <c r="F148" s="44" t="s">
        <v>570</v>
      </c>
      <c r="G148" s="44" t="s">
        <v>604</v>
      </c>
      <c r="H148" s="44" t="s">
        <v>604</v>
      </c>
      <c r="I148" s="107">
        <v>46219</v>
      </c>
      <c r="J148" s="56">
        <v>0.75</v>
      </c>
      <c r="K148" s="106" t="s">
        <v>861</v>
      </c>
      <c r="L148" s="44" t="str">
        <f>TEXT(LTI_5[[#This Row],[FECHA]],"dddd")</f>
        <v>jueves</v>
      </c>
      <c r="M148" s="106" t="s">
        <v>1284</v>
      </c>
      <c r="N148" s="106" t="s">
        <v>1285</v>
      </c>
      <c r="O148" s="106"/>
      <c r="P148" s="106"/>
      <c r="Q148" s="44"/>
      <c r="R148" s="106"/>
      <c r="S148" s="55"/>
      <c r="T148" s="47" t="s">
        <v>816</v>
      </c>
      <c r="U148" s="146" t="s">
        <v>709</v>
      </c>
      <c r="V148" s="54" t="s">
        <v>623</v>
      </c>
      <c r="W148" s="53" t="s">
        <v>1286</v>
      </c>
      <c r="X148" s="44" t="s">
        <v>1287</v>
      </c>
      <c r="Y148" s="51">
        <v>2</v>
      </c>
      <c r="Z148" s="66" t="s">
        <v>1288</v>
      </c>
      <c r="AA148" s="148" t="s">
        <v>1133</v>
      </c>
      <c r="AB148" s="148" t="s">
        <v>1141</v>
      </c>
      <c r="AC148" s="44" t="s">
        <v>579</v>
      </c>
      <c r="AD148" s="51" t="str">
        <f>"T"&amp;INT((MONTH(LTI_5[[#This Row],[FECHA]])-1)/3)+1</f>
        <v>T3</v>
      </c>
      <c r="AE148" s="50"/>
    </row>
    <row r="149" spans="2:31" ht="208.35" hidden="1" customHeight="1" x14ac:dyDescent="0.25">
      <c r="B149" s="71" t="s">
        <v>1289</v>
      </c>
      <c r="C149" s="44" t="s">
        <v>567</v>
      </c>
      <c r="D149" s="44" t="s">
        <v>568</v>
      </c>
      <c r="E149" s="44" t="s">
        <v>569</v>
      </c>
      <c r="F149" s="44" t="s">
        <v>570</v>
      </c>
      <c r="G149" s="44" t="s">
        <v>689</v>
      </c>
      <c r="H149" s="44" t="s">
        <v>689</v>
      </c>
      <c r="I149" s="107">
        <v>46213</v>
      </c>
      <c r="J149" s="144">
        <v>0.43055555555555558</v>
      </c>
      <c r="K149" s="106" t="s">
        <v>813</v>
      </c>
      <c r="L149" s="44" t="str">
        <f>TEXT(LTI_5[[#This Row],[FECHA]],"dddd")</f>
        <v>viernes</v>
      </c>
      <c r="M149" s="106" t="s">
        <v>1290</v>
      </c>
      <c r="N149" s="106" t="s">
        <v>1273</v>
      </c>
      <c r="O149" s="106"/>
      <c r="P149" s="106"/>
      <c r="Q149" s="44"/>
      <c r="R149" s="106"/>
      <c r="S149" s="55"/>
      <c r="T149" s="47"/>
      <c r="U149" s="146" t="s">
        <v>598</v>
      </c>
      <c r="V149" s="54" t="s">
        <v>599</v>
      </c>
      <c r="W149" s="53" t="s">
        <v>1291</v>
      </c>
      <c r="X149" s="44" t="s">
        <v>1292</v>
      </c>
      <c r="Y149" s="51">
        <v>3</v>
      </c>
      <c r="Z149" s="66" t="s">
        <v>1293</v>
      </c>
      <c r="AA149" s="148" t="s">
        <v>1163</v>
      </c>
      <c r="AB149" s="148" t="s">
        <v>1294</v>
      </c>
      <c r="AC149" s="44" t="s">
        <v>607</v>
      </c>
      <c r="AD149" s="51" t="str">
        <f>"T"&amp;INT((MONTH(LTI_5[[#This Row],[FECHA]])-1)/3)+1</f>
        <v>T3</v>
      </c>
      <c r="AE149" s="50"/>
    </row>
    <row r="150" spans="2:31" ht="59.1" customHeight="1" x14ac:dyDescent="0.25">
      <c r="B150" s="153"/>
      <c r="C150" s="146" t="s">
        <v>580</v>
      </c>
      <c r="D150" s="146" t="s">
        <v>1166</v>
      </c>
      <c r="E150" s="146" t="s">
        <v>1166</v>
      </c>
      <c r="F150" s="44" t="s">
        <v>680</v>
      </c>
      <c r="G150" s="44" t="s">
        <v>455</v>
      </c>
      <c r="H150" s="146" t="s">
        <v>595</v>
      </c>
      <c r="I150" s="106">
        <v>46223</v>
      </c>
      <c r="J150" s="163">
        <v>0.54166666666666663</v>
      </c>
      <c r="K150" s="107" t="s">
        <v>861</v>
      </c>
      <c r="L150" s="42" t="str">
        <f>TEXT(LTI_5[[#This Row],[FECHA]],"dddd")</f>
        <v>lunes</v>
      </c>
      <c r="M150" s="107" t="s">
        <v>1295</v>
      </c>
      <c r="N150" s="107" t="s">
        <v>1296</v>
      </c>
      <c r="O150" s="107"/>
      <c r="P150" s="107"/>
      <c r="Q150" s="42"/>
      <c r="R150" s="107"/>
      <c r="S150" s="48"/>
      <c r="T150" s="58"/>
      <c r="U150" s="42" t="s">
        <v>1236</v>
      </c>
      <c r="V150" s="147" t="s">
        <v>1003</v>
      </c>
      <c r="W150" s="45" t="s">
        <v>1297</v>
      </c>
      <c r="X150" s="44" t="s">
        <v>1298</v>
      </c>
      <c r="Y150" s="155">
        <v>2</v>
      </c>
      <c r="Z150" s="52" t="s">
        <v>1299</v>
      </c>
      <c r="AA150" s="64" t="s">
        <v>1300</v>
      </c>
      <c r="AB150" s="61" t="s">
        <v>1301</v>
      </c>
      <c r="AC150" s="44" t="s">
        <v>607</v>
      </c>
      <c r="AD150" s="41" t="str">
        <f>"T"&amp;INT((MONTH(LTI_5[[#This Row],[FECHA]])-1)/3)+1</f>
        <v>T3</v>
      </c>
      <c r="AE150" s="40"/>
    </row>
    <row r="151" spans="2:31" ht="59.1" customHeight="1" x14ac:dyDescent="0.25">
      <c r="B151" s="60"/>
      <c r="C151" s="146" t="s">
        <v>580</v>
      </c>
      <c r="D151" s="146" t="s">
        <v>1166</v>
      </c>
      <c r="E151" s="146" t="s">
        <v>1166</v>
      </c>
      <c r="F151" s="44" t="s">
        <v>680</v>
      </c>
      <c r="G151" s="44" t="s">
        <v>455</v>
      </c>
      <c r="H151" s="146" t="s">
        <v>595</v>
      </c>
      <c r="I151" s="106">
        <v>46224</v>
      </c>
      <c r="J151" s="164">
        <v>0.54166666666666663</v>
      </c>
      <c r="K151" s="107" t="s">
        <v>861</v>
      </c>
      <c r="L151" s="44" t="str">
        <f>TEXT(LTI_5[[#This Row],[FECHA]],"dddd")</f>
        <v>martes</v>
      </c>
      <c r="M151" s="106" t="s">
        <v>1239</v>
      </c>
      <c r="N151" s="106" t="s">
        <v>1240</v>
      </c>
      <c r="O151" s="106"/>
      <c r="P151" s="106"/>
      <c r="Q151" s="44"/>
      <c r="R151" s="106"/>
      <c r="S151" s="55"/>
      <c r="T151" s="47"/>
      <c r="U151" s="44" t="s">
        <v>1302</v>
      </c>
      <c r="V151" s="147" t="s">
        <v>1003</v>
      </c>
      <c r="W151" s="53" t="s">
        <v>1303</v>
      </c>
      <c r="X151" s="44" t="s">
        <v>1304</v>
      </c>
      <c r="Y151" s="51">
        <v>2</v>
      </c>
      <c r="Z151" s="52" t="s">
        <v>1305</v>
      </c>
      <c r="AA151" s="43" t="s">
        <v>1306</v>
      </c>
      <c r="AB151" s="61" t="s">
        <v>1188</v>
      </c>
      <c r="AC151" s="44" t="s">
        <v>579</v>
      </c>
      <c r="AD151" s="51" t="str">
        <f>"T"&amp;INT((MONTH(LTI_5[[#This Row],[FECHA]])-1)/3)+1</f>
        <v>T3</v>
      </c>
      <c r="AE151" s="50"/>
    </row>
    <row r="152" spans="2:31" ht="79.349999999999994" hidden="1" customHeight="1" x14ac:dyDescent="0.25">
      <c r="B152" s="153"/>
      <c r="C152" s="146" t="s">
        <v>567</v>
      </c>
      <c r="D152" s="146" t="s">
        <v>568</v>
      </c>
      <c r="E152" s="146" t="s">
        <v>569</v>
      </c>
      <c r="F152" s="42" t="s">
        <v>570</v>
      </c>
      <c r="G152" s="42" t="s">
        <v>689</v>
      </c>
      <c r="H152" s="154" t="s">
        <v>689</v>
      </c>
      <c r="I152" s="106">
        <v>46225</v>
      </c>
      <c r="J152" s="163">
        <v>0.73958333333333337</v>
      </c>
      <c r="K152" s="107" t="s">
        <v>861</v>
      </c>
      <c r="L152" s="42" t="str">
        <f>TEXT(LTI_5[[#This Row],[FECHA]],"dddd")</f>
        <v>miércoles</v>
      </c>
      <c r="M152" s="107" t="s">
        <v>1307</v>
      </c>
      <c r="N152" s="107" t="s">
        <v>1308</v>
      </c>
      <c r="O152" s="107"/>
      <c r="P152" s="107"/>
      <c r="Q152" s="42"/>
      <c r="R152" s="107"/>
      <c r="S152" s="48"/>
      <c r="T152" s="58"/>
      <c r="U152" s="42" t="s">
        <v>1309</v>
      </c>
      <c r="V152" s="46" t="s">
        <v>599</v>
      </c>
      <c r="W152" s="168" t="s">
        <v>1310</v>
      </c>
      <c r="X152" s="42" t="s">
        <v>1311</v>
      </c>
      <c r="Y152" s="41">
        <v>18</v>
      </c>
      <c r="Z152" s="64" t="s">
        <v>1312</v>
      </c>
      <c r="AA152" s="148" t="s">
        <v>1163</v>
      </c>
      <c r="AB152" s="64" t="s">
        <v>1313</v>
      </c>
      <c r="AC152" s="44" t="s">
        <v>579</v>
      </c>
      <c r="AD152" s="41" t="str">
        <f>"T"&amp;INT((MONTH(LTI_5[[#This Row],[FECHA]])-1)/3)+1</f>
        <v>T3</v>
      </c>
      <c r="AE152" s="40"/>
    </row>
    <row r="153" spans="2:31" ht="64.2" hidden="1" customHeight="1" x14ac:dyDescent="0.25">
      <c r="B153" s="60"/>
      <c r="C153" s="146" t="s">
        <v>567</v>
      </c>
      <c r="D153" s="44"/>
      <c r="E153" s="44"/>
      <c r="F153" s="44" t="s">
        <v>614</v>
      </c>
      <c r="G153" s="42" t="s">
        <v>615</v>
      </c>
      <c r="H153" s="42" t="s">
        <v>615</v>
      </c>
      <c r="I153" s="107">
        <v>46247</v>
      </c>
      <c r="J153" s="56">
        <v>0.46527777777777779</v>
      </c>
      <c r="K153" s="106" t="s">
        <v>813</v>
      </c>
      <c r="L153" s="44" t="str">
        <f>TEXT(LTI_5[[#This Row],[FECHA]],"dddd")</f>
        <v>jueves</v>
      </c>
      <c r="M153" s="106" t="s">
        <v>1425</v>
      </c>
      <c r="N153" s="106" t="s">
        <v>1424</v>
      </c>
      <c r="O153" s="44">
        <v>76278564</v>
      </c>
      <c r="P153" s="106"/>
      <c r="Q153" s="44"/>
      <c r="R153" s="106"/>
      <c r="S153" s="55"/>
      <c r="T153" s="47"/>
      <c r="U153" s="44" t="s">
        <v>1423</v>
      </c>
      <c r="V153" s="54" t="s">
        <v>591</v>
      </c>
      <c r="W153" s="53" t="s">
        <v>1426</v>
      </c>
      <c r="X153" s="44" t="s">
        <v>1427</v>
      </c>
      <c r="Y153" s="51">
        <v>1</v>
      </c>
      <c r="Z153" s="66" t="s">
        <v>1428</v>
      </c>
      <c r="AA153" s="66" t="s">
        <v>1133</v>
      </c>
      <c r="AB153" s="66" t="s">
        <v>1429</v>
      </c>
      <c r="AC153" s="44" t="s">
        <v>607</v>
      </c>
      <c r="AD153" s="51" t="str">
        <f>"T"&amp;INT((MONTH(LTI_5[[#This Row],[FECHA]])-1)/3)+1</f>
        <v>T3</v>
      </c>
      <c r="AE153" s="50"/>
    </row>
    <row r="154" spans="2:31" ht="14.25" customHeight="1" x14ac:dyDescent="0.25">
      <c r="W154" s="142"/>
    </row>
  </sheetData>
  <phoneticPr fontId="13" type="noConversion"/>
  <conditionalFormatting sqref="AL77:AP107">
    <cfRule type="containsText" dxfId="1" priority="1" operator="containsText" text="NO">
      <formula>NOT(ISERROR(SEARCH("NO",AL77)))</formula>
    </cfRule>
    <cfRule type="containsText" dxfId="0" priority="2" operator="containsText" text="SÍ">
      <formula>NOT(ISERROR(SEARCH("SÍ",AL77)))</formula>
    </cfRule>
  </conditionalFormatting>
  <dataValidations count="1">
    <dataValidation type="list" allowBlank="1" showInputMessage="1" showErrorMessage="1" sqref="AL77:AP107" xr:uid="{B575213E-BC83-4CD7-85B3-DE55AD5BE780}">
      <formula1>"SÍ, NO"</formula1>
    </dataValidation>
  </dataValidations>
  <pageMargins left="0.7" right="0.7" top="0.75" bottom="0.75"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5A4B1-EAC0-4346-B273-E6E2BF9EA3DE}">
  <dimension ref="A3:A47"/>
  <sheetViews>
    <sheetView workbookViewId="0">
      <selection activeCell="A6" sqref="A6"/>
    </sheetView>
  </sheetViews>
  <sheetFormatPr baseColWidth="10" defaultColWidth="11.44140625" defaultRowHeight="14.4" x14ac:dyDescent="0.3"/>
  <cols>
    <col min="1" max="1" width="32.109375" bestFit="1" customWidth="1"/>
    <col min="2" max="2" width="9.109375" bestFit="1" customWidth="1"/>
  </cols>
  <sheetData>
    <row r="3" spans="1:1" x14ac:dyDescent="0.3">
      <c r="A3" s="93" t="s">
        <v>1314</v>
      </c>
    </row>
    <row r="4" spans="1:1" x14ac:dyDescent="0.3">
      <c r="A4" s="94" t="s">
        <v>650</v>
      </c>
    </row>
    <row r="5" spans="1:1" x14ac:dyDescent="0.3">
      <c r="A5" s="94" t="s">
        <v>763</v>
      </c>
    </row>
    <row r="6" spans="1:1" x14ac:dyDescent="0.3">
      <c r="A6" s="94" t="s">
        <v>523</v>
      </c>
    </row>
    <row r="7" spans="1:1" x14ac:dyDescent="0.3">
      <c r="A7" s="94" t="s">
        <v>498</v>
      </c>
    </row>
    <row r="8" spans="1:1" x14ac:dyDescent="0.3">
      <c r="A8" s="94" t="s">
        <v>967</v>
      </c>
    </row>
    <row r="9" spans="1:1" x14ac:dyDescent="0.3">
      <c r="A9" s="94" t="s">
        <v>635</v>
      </c>
    </row>
    <row r="10" spans="1:1" x14ac:dyDescent="0.3">
      <c r="A10" s="94" t="s">
        <v>663</v>
      </c>
    </row>
    <row r="11" spans="1:1" x14ac:dyDescent="0.3">
      <c r="A11" s="94" t="s">
        <v>583</v>
      </c>
    </row>
    <row r="12" spans="1:1" x14ac:dyDescent="0.3">
      <c r="A12" s="94" t="s">
        <v>48</v>
      </c>
    </row>
    <row r="13" spans="1:1" x14ac:dyDescent="0.3">
      <c r="A13" s="94" t="s">
        <v>999</v>
      </c>
    </row>
    <row r="14" spans="1:1" x14ac:dyDescent="0.3">
      <c r="A14" s="94" t="s">
        <v>609</v>
      </c>
    </row>
    <row r="15" spans="1:1" x14ac:dyDescent="0.3">
      <c r="A15" s="94" t="s">
        <v>740</v>
      </c>
    </row>
    <row r="16" spans="1:1" x14ac:dyDescent="0.3">
      <c r="A16" s="94" t="s">
        <v>333</v>
      </c>
    </row>
    <row r="17" spans="1:1" x14ac:dyDescent="0.3">
      <c r="A17" s="94" t="s">
        <v>989</v>
      </c>
    </row>
    <row r="18" spans="1:1" x14ac:dyDescent="0.3">
      <c r="A18" s="94" t="s">
        <v>710</v>
      </c>
    </row>
    <row r="19" spans="1:1" x14ac:dyDescent="0.3">
      <c r="A19" s="94" t="s">
        <v>1315</v>
      </c>
    </row>
    <row r="20" spans="1:1" x14ac:dyDescent="0.3">
      <c r="A20" s="94" t="s">
        <v>571</v>
      </c>
    </row>
    <row r="21" spans="1:1" x14ac:dyDescent="0.3">
      <c r="A21" s="94" t="s">
        <v>604</v>
      </c>
    </row>
    <row r="22" spans="1:1" x14ac:dyDescent="0.3">
      <c r="A22" s="94" t="s">
        <v>1067</v>
      </c>
    </row>
    <row r="23" spans="1:1" x14ac:dyDescent="0.3">
      <c r="A23" s="94" t="s">
        <v>725</v>
      </c>
    </row>
    <row r="24" spans="1:1" x14ac:dyDescent="0.3">
      <c r="A24" s="94" t="s">
        <v>670</v>
      </c>
    </row>
    <row r="25" spans="1:1" x14ac:dyDescent="0.3">
      <c r="A25" s="94" t="s">
        <v>621</v>
      </c>
    </row>
    <row r="26" spans="1:1" x14ac:dyDescent="0.3">
      <c r="A26" s="94" t="s">
        <v>455</v>
      </c>
    </row>
    <row r="27" spans="1:1" x14ac:dyDescent="0.3">
      <c r="A27" s="94" t="s">
        <v>22</v>
      </c>
    </row>
    <row r="28" spans="1:1" x14ac:dyDescent="0.3">
      <c r="A28" s="94" t="s">
        <v>626</v>
      </c>
    </row>
    <row r="29" spans="1:1" x14ac:dyDescent="0.3">
      <c r="A29" s="94" t="s">
        <v>677</v>
      </c>
    </row>
    <row r="30" spans="1:1" x14ac:dyDescent="0.3">
      <c r="A30" s="94" t="s">
        <v>1061</v>
      </c>
    </row>
    <row r="31" spans="1:1" x14ac:dyDescent="0.3">
      <c r="A31" s="94" t="s">
        <v>823</v>
      </c>
    </row>
    <row r="32" spans="1:1" x14ac:dyDescent="0.3">
      <c r="A32" s="94" t="s">
        <v>648</v>
      </c>
    </row>
    <row r="33" spans="1:1" x14ac:dyDescent="0.3">
      <c r="A33" s="94" t="s">
        <v>713</v>
      </c>
    </row>
    <row r="34" spans="1:1" x14ac:dyDescent="0.3">
      <c r="A34" s="94" t="s">
        <v>647</v>
      </c>
    </row>
    <row r="35" spans="1:1" x14ac:dyDescent="0.3">
      <c r="A35" s="94" t="s">
        <v>755</v>
      </c>
    </row>
    <row r="36" spans="1:1" x14ac:dyDescent="0.3">
      <c r="A36" s="94" t="s">
        <v>1143</v>
      </c>
    </row>
    <row r="37" spans="1:1" x14ac:dyDescent="0.3">
      <c r="A37" s="94" t="s">
        <v>103</v>
      </c>
    </row>
    <row r="38" spans="1:1" x14ac:dyDescent="0.3">
      <c r="A38" s="94" t="s">
        <v>689</v>
      </c>
    </row>
    <row r="39" spans="1:1" x14ac:dyDescent="0.3">
      <c r="A39" s="94" t="s">
        <v>694</v>
      </c>
    </row>
    <row r="40" spans="1:1" x14ac:dyDescent="0.3">
      <c r="A40" s="94" t="s">
        <v>851</v>
      </c>
    </row>
    <row r="41" spans="1:1" x14ac:dyDescent="0.3">
      <c r="A41" s="94" t="s">
        <v>812</v>
      </c>
    </row>
    <row r="42" spans="1:1" x14ac:dyDescent="0.3">
      <c r="A42" s="94" t="s">
        <v>1195</v>
      </c>
    </row>
    <row r="43" spans="1:1" x14ac:dyDescent="0.3">
      <c r="A43" s="94" t="s">
        <v>93</v>
      </c>
    </row>
    <row r="44" spans="1:1" x14ac:dyDescent="0.3">
      <c r="A44" s="94" t="s">
        <v>596</v>
      </c>
    </row>
    <row r="45" spans="1:1" x14ac:dyDescent="0.3">
      <c r="A45" s="94" t="s">
        <v>1316</v>
      </c>
    </row>
    <row r="46" spans="1:1" x14ac:dyDescent="0.3">
      <c r="A46" s="94" t="s">
        <v>699</v>
      </c>
    </row>
    <row r="47" spans="1:1" x14ac:dyDescent="0.3">
      <c r="A47" s="94" t="s">
        <v>1317</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537C5-57F2-4581-BF0C-96DACD9B224D}">
  <dimension ref="A2:B9"/>
  <sheetViews>
    <sheetView zoomScale="94" zoomScaleNormal="102" workbookViewId="0">
      <selection activeCell="B18" sqref="B18"/>
    </sheetView>
  </sheetViews>
  <sheetFormatPr baseColWidth="10" defaultColWidth="11.5546875" defaultRowHeight="14.4" x14ac:dyDescent="0.3"/>
  <cols>
    <col min="1" max="1" width="16.88671875" style="87" bestFit="1" customWidth="1"/>
    <col min="2" max="2" width="18" style="87" bestFit="1" customWidth="1"/>
    <col min="3" max="3" width="17.88671875" style="87" bestFit="1" customWidth="1"/>
    <col min="4" max="4" width="15.109375" style="87" bestFit="1" customWidth="1"/>
    <col min="5" max="5" width="12.88671875" style="87" bestFit="1" customWidth="1"/>
    <col min="6" max="6" width="7.88671875" style="87" bestFit="1" customWidth="1"/>
    <col min="7" max="7" width="18.109375" style="87" bestFit="1" customWidth="1"/>
    <col min="8" max="8" width="30.109375" style="87" bestFit="1" customWidth="1"/>
    <col min="9" max="9" width="6.109375" style="87" bestFit="1" customWidth="1"/>
    <col min="10" max="10" width="4.88671875" style="87" bestFit="1" customWidth="1"/>
    <col min="11" max="11" width="11.88671875" style="87" bestFit="1" customWidth="1"/>
    <col min="12" max="12" width="12.109375" style="87" bestFit="1" customWidth="1"/>
    <col min="13" max="13" width="6.88671875" style="87" bestFit="1" customWidth="1"/>
    <col min="14" max="14" width="19.5546875" style="87" bestFit="1" customWidth="1"/>
    <col min="15" max="15" width="12.109375" style="87" bestFit="1" customWidth="1"/>
    <col min="16" max="16" width="9.109375" style="87" bestFit="1" customWidth="1"/>
    <col min="17" max="17" width="9.5546875" style="87" bestFit="1" customWidth="1"/>
    <col min="18" max="22" width="7.44140625" style="87" bestFit="1" customWidth="1"/>
    <col min="23" max="23" width="23.88671875" style="87" bestFit="1" customWidth="1"/>
    <col min="24" max="24" width="4.88671875" style="87" bestFit="1" customWidth="1"/>
    <col min="25" max="25" width="16.88671875" style="87" bestFit="1" customWidth="1"/>
    <col min="26" max="26" width="15.5546875" style="87" bestFit="1" customWidth="1"/>
    <col min="27" max="27" width="5.88671875" style="87" bestFit="1" customWidth="1"/>
    <col min="28" max="28" width="11.109375" style="87" bestFit="1" customWidth="1"/>
    <col min="29" max="29" width="14.109375" style="87" bestFit="1" customWidth="1"/>
    <col min="30" max="30" width="15.109375" style="87" bestFit="1" customWidth="1"/>
    <col min="31" max="31" width="20.109375" style="87" bestFit="1" customWidth="1"/>
    <col min="32" max="33" width="7.109375" style="87" bestFit="1" customWidth="1"/>
    <col min="34" max="34" width="10.109375" style="87" bestFit="1" customWidth="1"/>
    <col min="35" max="35" width="17.88671875" style="87" bestFit="1" customWidth="1"/>
    <col min="36" max="36" width="15.109375" style="87" bestFit="1" customWidth="1"/>
    <col min="37" max="37" width="8.109375" style="87" bestFit="1" customWidth="1"/>
    <col min="38" max="38" width="12.88671875" style="87" bestFit="1" customWidth="1"/>
    <col min="39" max="39" width="7.88671875" style="87" bestFit="1" customWidth="1"/>
    <col min="40" max="40" width="12.88671875" style="87" bestFit="1" customWidth="1"/>
    <col min="41" max="41" width="9.44140625" style="87" bestFit="1" customWidth="1"/>
    <col min="42" max="42" width="6.109375" style="87" bestFit="1" customWidth="1"/>
    <col min="43" max="43" width="4.88671875" style="87" bestFit="1" customWidth="1"/>
    <col min="44" max="44" width="11.88671875" style="87" bestFit="1" customWidth="1"/>
    <col min="45" max="45" width="12.109375" style="87" bestFit="1" customWidth="1"/>
    <col min="46" max="46" width="6.88671875" style="87" bestFit="1" customWidth="1"/>
    <col min="47" max="47" width="19.5546875" style="87" bestFit="1" customWidth="1"/>
    <col min="48" max="48" width="12.109375" style="87" bestFit="1" customWidth="1"/>
    <col min="49" max="49" width="9.109375" style="87" bestFit="1" customWidth="1"/>
    <col min="50" max="50" width="9.5546875" style="87" bestFit="1" customWidth="1"/>
    <col min="51" max="55" width="7.44140625" style="87" bestFit="1" customWidth="1"/>
    <col min="56" max="56" width="23.88671875" style="87" bestFit="1" customWidth="1"/>
    <col min="57" max="57" width="4.88671875" style="87" bestFit="1" customWidth="1"/>
    <col min="58" max="58" width="16.88671875" style="87" bestFit="1" customWidth="1"/>
    <col min="59" max="59" width="15.5546875" style="87" bestFit="1" customWidth="1"/>
    <col min="60" max="60" width="5.88671875" style="87" bestFit="1" customWidth="1"/>
    <col min="61" max="61" width="11.109375" style="87" bestFit="1" customWidth="1"/>
    <col min="62" max="62" width="14.109375" style="87" bestFit="1" customWidth="1"/>
    <col min="63" max="63" width="15.109375" style="87" bestFit="1" customWidth="1"/>
    <col min="64" max="64" width="20.109375" style="87" bestFit="1" customWidth="1"/>
    <col min="65" max="66" width="7.109375" style="87" bestFit="1" customWidth="1"/>
    <col min="67" max="67" width="10.109375" style="87" bestFit="1" customWidth="1"/>
    <col min="68" max="68" width="30" style="87" bestFit="1" customWidth="1"/>
    <col min="69" max="69" width="22.109375" style="87" bestFit="1" customWidth="1"/>
    <col min="70" max="16384" width="11.5546875" style="87"/>
  </cols>
  <sheetData>
    <row r="2" spans="1:2" x14ac:dyDescent="0.3">
      <c r="A2" s="88" t="s">
        <v>555</v>
      </c>
      <c r="B2" s="88" t="s">
        <v>1318</v>
      </c>
    </row>
    <row r="3" spans="1:2" x14ac:dyDescent="0.3">
      <c r="A3" s="88" t="s">
        <v>551</v>
      </c>
      <c r="B3" s="88" t="s">
        <v>1318</v>
      </c>
    </row>
    <row r="4" spans="1:2" x14ac:dyDescent="0.3">
      <c r="A4" s="88" t="s">
        <v>533</v>
      </c>
      <c r="B4" s="88" t="s">
        <v>1318</v>
      </c>
    </row>
    <row r="6" spans="1:2" x14ac:dyDescent="0.3">
      <c r="A6" s="90" t="s">
        <v>1314</v>
      </c>
      <c r="B6" s="90" t="s">
        <v>1319</v>
      </c>
    </row>
    <row r="7" spans="1:2" hidden="1" x14ac:dyDescent="0.3">
      <c r="A7" s="89" t="s">
        <v>1320</v>
      </c>
      <c r="B7" s="88">
        <v>70</v>
      </c>
    </row>
    <row r="8" spans="1:2" ht="20.100000000000001" customHeight="1" x14ac:dyDescent="0.3">
      <c r="A8" s="89" t="s">
        <v>1317</v>
      </c>
      <c r="B8" s="88">
        <v>70</v>
      </c>
    </row>
    <row r="9" spans="1:2" x14ac:dyDescent="0.3">
      <c r="A9"/>
      <c r="B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2C750-84CD-4B96-82EE-F1D307C8E076}">
  <dimension ref="B2:C58"/>
  <sheetViews>
    <sheetView workbookViewId="0">
      <selection activeCell="B3" sqref="B3"/>
    </sheetView>
  </sheetViews>
  <sheetFormatPr baseColWidth="10" defaultColWidth="11.44140625" defaultRowHeight="14.4" x14ac:dyDescent="0.3"/>
  <cols>
    <col min="2" max="2" width="38" customWidth="1"/>
    <col min="3" max="3" width="33.44140625" customWidth="1"/>
  </cols>
  <sheetData>
    <row r="2" spans="2:3" x14ac:dyDescent="0.3">
      <c r="B2" t="s">
        <v>553</v>
      </c>
      <c r="C2" t="s">
        <v>1321</v>
      </c>
    </row>
    <row r="3" spans="2:3" x14ac:dyDescent="0.3">
      <c r="B3" t="s">
        <v>736</v>
      </c>
      <c r="C3" t="s">
        <v>613</v>
      </c>
    </row>
    <row r="4" spans="2:3" x14ac:dyDescent="0.3">
      <c r="B4" t="s">
        <v>829</v>
      </c>
      <c r="C4" t="s">
        <v>639</v>
      </c>
    </row>
    <row r="5" spans="2:3" x14ac:dyDescent="0.3">
      <c r="B5" t="s">
        <v>724</v>
      </c>
      <c r="C5" t="s">
        <v>1322</v>
      </c>
    </row>
    <row r="6" spans="2:3" x14ac:dyDescent="0.3">
      <c r="B6" t="s">
        <v>638</v>
      </c>
      <c r="C6" t="s">
        <v>1323</v>
      </c>
    </row>
    <row r="7" spans="2:3" x14ac:dyDescent="0.3">
      <c r="B7" t="s">
        <v>1324</v>
      </c>
      <c r="C7" t="s">
        <v>734</v>
      </c>
    </row>
    <row r="8" spans="2:3" x14ac:dyDescent="0.3">
      <c r="B8" t="s">
        <v>858</v>
      </c>
      <c r="C8" t="s">
        <v>708</v>
      </c>
    </row>
    <row r="9" spans="2:3" x14ac:dyDescent="0.3">
      <c r="B9" t="s">
        <v>668</v>
      </c>
      <c r="C9" t="s">
        <v>737</v>
      </c>
    </row>
    <row r="10" spans="2:3" x14ac:dyDescent="0.3">
      <c r="B10" t="s">
        <v>686</v>
      </c>
      <c r="C10" t="s">
        <v>645</v>
      </c>
    </row>
    <row r="11" spans="2:3" x14ac:dyDescent="0.3">
      <c r="B11" t="s">
        <v>716</v>
      </c>
      <c r="C11" t="s">
        <v>1085</v>
      </c>
    </row>
    <row r="12" spans="2:3" x14ac:dyDescent="0.3">
      <c r="B12" t="s">
        <v>876</v>
      </c>
      <c r="C12" t="s">
        <v>1325</v>
      </c>
    </row>
    <row r="13" spans="2:3" x14ac:dyDescent="0.3">
      <c r="B13" t="s">
        <v>619</v>
      </c>
      <c r="C13" t="s">
        <v>722</v>
      </c>
    </row>
    <row r="14" spans="2:3" x14ac:dyDescent="0.3">
      <c r="B14" t="s">
        <v>798</v>
      </c>
      <c r="C14" t="s">
        <v>1326</v>
      </c>
    </row>
    <row r="15" spans="2:3" x14ac:dyDescent="0.3">
      <c r="B15" t="s">
        <v>972</v>
      </c>
      <c r="C15" t="s">
        <v>1327</v>
      </c>
    </row>
    <row r="16" spans="2:3" x14ac:dyDescent="0.3">
      <c r="B16" t="s">
        <v>779</v>
      </c>
      <c r="C16" t="s">
        <v>799</v>
      </c>
    </row>
    <row r="17" spans="2:3" x14ac:dyDescent="0.3">
      <c r="B17" t="s">
        <v>929</v>
      </c>
      <c r="C17" t="s">
        <v>578</v>
      </c>
    </row>
    <row r="18" spans="2:3" x14ac:dyDescent="0.3">
      <c r="B18" t="s">
        <v>656</v>
      </c>
      <c r="C18" t="s">
        <v>859</v>
      </c>
    </row>
    <row r="19" spans="2:3" x14ac:dyDescent="0.3">
      <c r="B19" t="s">
        <v>1328</v>
      </c>
      <c r="C19" t="s">
        <v>577</v>
      </c>
    </row>
    <row r="20" spans="2:3" x14ac:dyDescent="0.3">
      <c r="B20" t="s">
        <v>802</v>
      </c>
      <c r="C20" t="s">
        <v>1329</v>
      </c>
    </row>
    <row r="21" spans="2:3" x14ac:dyDescent="0.3">
      <c r="B21" t="s">
        <v>759</v>
      </c>
      <c r="C21" t="s">
        <v>1330</v>
      </c>
    </row>
    <row r="22" spans="2:3" x14ac:dyDescent="0.3">
      <c r="B22" t="s">
        <v>602</v>
      </c>
      <c r="C22" t="s">
        <v>1331</v>
      </c>
    </row>
    <row r="23" spans="2:3" x14ac:dyDescent="0.3">
      <c r="B23" t="s">
        <v>13</v>
      </c>
      <c r="C23" t="s">
        <v>606</v>
      </c>
    </row>
    <row r="24" spans="2:3" x14ac:dyDescent="0.3">
      <c r="B24" t="s">
        <v>819</v>
      </c>
      <c r="C24" t="s">
        <v>672</v>
      </c>
    </row>
    <row r="25" spans="2:3" x14ac:dyDescent="0.3">
      <c r="B25" t="s">
        <v>712</v>
      </c>
      <c r="C25" t="s">
        <v>761</v>
      </c>
    </row>
    <row r="26" spans="2:3" x14ac:dyDescent="0.3">
      <c r="B26" t="s">
        <v>612</v>
      </c>
      <c r="C26" t="s">
        <v>1332</v>
      </c>
    </row>
    <row r="27" spans="2:3" x14ac:dyDescent="0.3">
      <c r="B27" t="s">
        <v>1333</v>
      </c>
      <c r="C27" t="s">
        <v>684</v>
      </c>
    </row>
    <row r="28" spans="2:3" x14ac:dyDescent="0.3">
      <c r="B28" t="s">
        <v>676</v>
      </c>
      <c r="C28" t="s">
        <v>1334</v>
      </c>
    </row>
    <row r="29" spans="2:3" x14ac:dyDescent="0.3">
      <c r="B29" t="s">
        <v>1335</v>
      </c>
      <c r="C29" t="s">
        <v>1336</v>
      </c>
    </row>
    <row r="30" spans="2:3" x14ac:dyDescent="0.3">
      <c r="B30" t="s">
        <v>762</v>
      </c>
      <c r="C30" t="s">
        <v>1337</v>
      </c>
    </row>
    <row r="31" spans="2:3" x14ac:dyDescent="0.3">
      <c r="B31" t="s">
        <v>594</v>
      </c>
      <c r="C31" t="s">
        <v>749</v>
      </c>
    </row>
    <row r="32" spans="2:3" x14ac:dyDescent="0.3">
      <c r="B32" t="s">
        <v>654</v>
      </c>
    </row>
    <row r="33" spans="2:2" x14ac:dyDescent="0.3">
      <c r="B33" t="s">
        <v>914</v>
      </c>
    </row>
    <row r="34" spans="2:2" x14ac:dyDescent="0.3">
      <c r="B34" t="s">
        <v>955</v>
      </c>
    </row>
    <row r="35" spans="2:2" x14ac:dyDescent="0.3">
      <c r="B35" t="s">
        <v>838</v>
      </c>
    </row>
    <row r="36" spans="2:2" x14ac:dyDescent="0.3">
      <c r="B36" t="s">
        <v>629</v>
      </c>
    </row>
    <row r="37" spans="2:2" x14ac:dyDescent="0.3">
      <c r="B37" t="s">
        <v>577</v>
      </c>
    </row>
    <row r="38" spans="2:2" x14ac:dyDescent="0.3">
      <c r="B38" t="s">
        <v>753</v>
      </c>
    </row>
    <row r="39" spans="2:2" x14ac:dyDescent="0.3">
      <c r="B39" t="s">
        <v>788</v>
      </c>
    </row>
    <row r="40" spans="2:2" x14ac:dyDescent="0.3">
      <c r="B40" t="s">
        <v>1338</v>
      </c>
    </row>
    <row r="41" spans="2:2" x14ac:dyDescent="0.3">
      <c r="B41" t="s">
        <v>785</v>
      </c>
    </row>
    <row r="42" spans="2:2" x14ac:dyDescent="0.3">
      <c r="B42" t="s">
        <v>766</v>
      </c>
    </row>
    <row r="43" spans="2:2" x14ac:dyDescent="0.3">
      <c r="B43" t="s">
        <v>693</v>
      </c>
    </row>
    <row r="44" spans="2:2" x14ac:dyDescent="0.3">
      <c r="B44" t="s">
        <v>795</v>
      </c>
    </row>
    <row r="45" spans="2:2" x14ac:dyDescent="0.3">
      <c r="B45" t="s">
        <v>898</v>
      </c>
    </row>
    <row r="46" spans="2:2" x14ac:dyDescent="0.3">
      <c r="B46" t="s">
        <v>606</v>
      </c>
    </row>
    <row r="47" spans="2:2" x14ac:dyDescent="0.3">
      <c r="B47" t="s">
        <v>768</v>
      </c>
    </row>
    <row r="48" spans="2:2" x14ac:dyDescent="0.3">
      <c r="B48" t="s">
        <v>1339</v>
      </c>
    </row>
    <row r="49" spans="2:2" x14ac:dyDescent="0.3">
      <c r="B49" t="s">
        <v>964</v>
      </c>
    </row>
    <row r="50" spans="2:2" x14ac:dyDescent="0.3">
      <c r="B50" t="s">
        <v>906</v>
      </c>
    </row>
    <row r="51" spans="2:2" x14ac:dyDescent="0.3">
      <c r="B51" t="s">
        <v>792</v>
      </c>
    </row>
    <row r="52" spans="2:2" x14ac:dyDescent="0.3">
      <c r="B52" t="s">
        <v>782</v>
      </c>
    </row>
    <row r="53" spans="2:2" x14ac:dyDescent="0.3">
      <c r="B53" t="s">
        <v>890</v>
      </c>
    </row>
    <row r="54" spans="2:2" x14ac:dyDescent="0.3">
      <c r="B54" t="s">
        <v>659</v>
      </c>
    </row>
    <row r="55" spans="2:2" x14ac:dyDescent="0.3">
      <c r="B55" t="s">
        <v>774</v>
      </c>
    </row>
    <row r="56" spans="2:2" x14ac:dyDescent="0.3">
      <c r="B56" t="s">
        <v>805</v>
      </c>
    </row>
    <row r="57" spans="2:2" x14ac:dyDescent="0.3">
      <c r="B57" t="s">
        <v>632</v>
      </c>
    </row>
    <row r="58" spans="2:2" x14ac:dyDescent="0.3">
      <c r="B58" t="s">
        <v>707</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68D16-DCE9-4B7B-BAB7-FCC7F9546486}">
  <dimension ref="A1:B99"/>
  <sheetViews>
    <sheetView workbookViewId="0">
      <selection activeCell="A19" sqref="A19"/>
    </sheetView>
  </sheetViews>
  <sheetFormatPr baseColWidth="10" defaultColWidth="11.44140625" defaultRowHeight="14.4" x14ac:dyDescent="0.3"/>
  <cols>
    <col min="1" max="1" width="255.88671875" bestFit="1" customWidth="1"/>
    <col min="2" max="2" width="21.88671875" bestFit="1" customWidth="1"/>
    <col min="3" max="3" width="255.88671875" bestFit="1" customWidth="1"/>
    <col min="4" max="4" width="251.88671875" bestFit="1" customWidth="1"/>
    <col min="5" max="5" width="255.88671875" bestFit="1" customWidth="1"/>
    <col min="6" max="6" width="247.44140625" bestFit="1" customWidth="1"/>
    <col min="7" max="7" width="186.88671875" bestFit="1" customWidth="1"/>
    <col min="8" max="8" width="205.88671875" bestFit="1" customWidth="1"/>
    <col min="9" max="9" width="196.88671875" bestFit="1" customWidth="1"/>
    <col min="10" max="10" width="255.109375" bestFit="1" customWidth="1"/>
    <col min="11" max="11" width="181" bestFit="1" customWidth="1"/>
    <col min="12" max="13" width="255.88671875" bestFit="1" customWidth="1"/>
    <col min="14" max="14" width="236.88671875" bestFit="1" customWidth="1"/>
    <col min="15" max="15" width="236.5546875" bestFit="1" customWidth="1"/>
    <col min="16" max="16" width="255.88671875" bestFit="1" customWidth="1"/>
    <col min="17" max="17" width="195.88671875" bestFit="1" customWidth="1"/>
    <col min="18" max="18" width="217.88671875" bestFit="1" customWidth="1"/>
    <col min="19" max="19" width="255.88671875" bestFit="1" customWidth="1"/>
    <col min="20" max="20" width="133.109375" bestFit="1" customWidth="1"/>
    <col min="21" max="21" width="209.88671875" bestFit="1" customWidth="1"/>
    <col min="22" max="22" width="219.88671875" bestFit="1" customWidth="1"/>
    <col min="23" max="27" width="255.88671875" bestFit="1" customWidth="1"/>
    <col min="28" max="28" width="216.88671875" bestFit="1" customWidth="1"/>
    <col min="29" max="29" width="246.109375" bestFit="1" customWidth="1"/>
    <col min="30" max="31" width="255.88671875" bestFit="1" customWidth="1"/>
    <col min="32" max="32" width="187.88671875" bestFit="1" customWidth="1"/>
    <col min="33" max="34" width="255.88671875" bestFit="1" customWidth="1"/>
    <col min="35" max="35" width="169.109375" bestFit="1" customWidth="1"/>
    <col min="36" max="36" width="208.88671875" bestFit="1" customWidth="1"/>
    <col min="37" max="37" width="209.88671875" bestFit="1" customWidth="1"/>
    <col min="38" max="38" width="255.88671875" bestFit="1" customWidth="1"/>
    <col min="39" max="39" width="11.44140625" bestFit="1" customWidth="1"/>
  </cols>
  <sheetData>
    <row r="1" spans="1:2" x14ac:dyDescent="0.3">
      <c r="A1" s="93" t="s">
        <v>1</v>
      </c>
      <c r="B1" t="s">
        <v>1340</v>
      </c>
    </row>
    <row r="2" spans="1:2" x14ac:dyDescent="0.3">
      <c r="A2" s="93" t="s">
        <v>3</v>
      </c>
      <c r="B2" t="s">
        <v>1318</v>
      </c>
    </row>
    <row r="4" spans="1:2" x14ac:dyDescent="0.3">
      <c r="A4" s="93" t="s">
        <v>1314</v>
      </c>
      <c r="B4" t="s">
        <v>1341</v>
      </c>
    </row>
    <row r="5" spans="1:2" x14ac:dyDescent="0.3">
      <c r="A5" s="94" t="s">
        <v>310</v>
      </c>
      <c r="B5">
        <v>1</v>
      </c>
    </row>
    <row r="6" spans="1:2" x14ac:dyDescent="0.3">
      <c r="A6" s="97" t="s">
        <v>311</v>
      </c>
      <c r="B6">
        <v>1</v>
      </c>
    </row>
    <row r="7" spans="1:2" x14ac:dyDescent="0.3">
      <c r="A7" s="94" t="s">
        <v>248</v>
      </c>
      <c r="B7">
        <v>1</v>
      </c>
    </row>
    <row r="8" spans="1:2" x14ac:dyDescent="0.3">
      <c r="A8" s="97" t="s">
        <v>249</v>
      </c>
      <c r="B8">
        <v>1</v>
      </c>
    </row>
    <row r="9" spans="1:2" x14ac:dyDescent="0.3">
      <c r="A9" s="94" t="s">
        <v>251</v>
      </c>
      <c r="B9">
        <v>2</v>
      </c>
    </row>
    <row r="10" spans="1:2" x14ac:dyDescent="0.3">
      <c r="A10" s="97" t="s">
        <v>252</v>
      </c>
      <c r="B10">
        <v>1</v>
      </c>
    </row>
    <row r="11" spans="1:2" x14ac:dyDescent="0.3">
      <c r="A11" s="97" t="s">
        <v>254</v>
      </c>
      <c r="B11">
        <v>1</v>
      </c>
    </row>
    <row r="12" spans="1:2" x14ac:dyDescent="0.3">
      <c r="A12" s="94" t="s">
        <v>1342</v>
      </c>
      <c r="B12">
        <v>1</v>
      </c>
    </row>
    <row r="13" spans="1:2" x14ac:dyDescent="0.3">
      <c r="A13" s="97" t="s">
        <v>285</v>
      </c>
      <c r="B13">
        <v>1</v>
      </c>
    </row>
    <row r="14" spans="1:2" x14ac:dyDescent="0.3">
      <c r="A14" s="94" t="s">
        <v>278</v>
      </c>
      <c r="B14">
        <v>1</v>
      </c>
    </row>
    <row r="15" spans="1:2" x14ac:dyDescent="0.3">
      <c r="A15" s="97" t="s">
        <v>279</v>
      </c>
      <c r="B15">
        <v>1</v>
      </c>
    </row>
    <row r="16" spans="1:2" x14ac:dyDescent="0.3">
      <c r="A16" s="94" t="s">
        <v>298</v>
      </c>
      <c r="B16">
        <v>1</v>
      </c>
    </row>
    <row r="17" spans="1:2" x14ac:dyDescent="0.3">
      <c r="A17" s="97" t="s">
        <v>299</v>
      </c>
      <c r="B17">
        <v>1</v>
      </c>
    </row>
    <row r="18" spans="1:2" x14ac:dyDescent="0.3">
      <c r="A18" s="94" t="s">
        <v>74</v>
      </c>
      <c r="B18">
        <v>1</v>
      </c>
    </row>
    <row r="19" spans="1:2" x14ac:dyDescent="0.3">
      <c r="A19" s="97" t="s">
        <v>253</v>
      </c>
      <c r="B19">
        <v>1</v>
      </c>
    </row>
    <row r="20" spans="1:2" x14ac:dyDescent="0.3">
      <c r="A20" s="94" t="s">
        <v>265</v>
      </c>
      <c r="B20">
        <v>1</v>
      </c>
    </row>
    <row r="21" spans="1:2" x14ac:dyDescent="0.3">
      <c r="A21" s="97" t="s">
        <v>266</v>
      </c>
      <c r="B21">
        <v>1</v>
      </c>
    </row>
    <row r="22" spans="1:2" x14ac:dyDescent="0.3">
      <c r="A22" s="94" t="s">
        <v>291</v>
      </c>
      <c r="B22">
        <v>1</v>
      </c>
    </row>
    <row r="23" spans="1:2" x14ac:dyDescent="0.3">
      <c r="A23" s="97" t="s">
        <v>292</v>
      </c>
      <c r="B23">
        <v>1</v>
      </c>
    </row>
    <row r="24" spans="1:2" x14ac:dyDescent="0.3">
      <c r="A24" s="94" t="s">
        <v>28</v>
      </c>
      <c r="B24">
        <v>3</v>
      </c>
    </row>
    <row r="25" spans="1:2" x14ac:dyDescent="0.3">
      <c r="A25" s="97" t="s">
        <v>326</v>
      </c>
      <c r="B25">
        <v>1</v>
      </c>
    </row>
    <row r="26" spans="1:2" x14ac:dyDescent="0.3">
      <c r="A26" s="97" t="s">
        <v>314</v>
      </c>
      <c r="B26">
        <v>1</v>
      </c>
    </row>
    <row r="27" spans="1:2" x14ac:dyDescent="0.3">
      <c r="A27" s="97" t="s">
        <v>247</v>
      </c>
      <c r="B27">
        <v>1</v>
      </c>
    </row>
    <row r="28" spans="1:2" x14ac:dyDescent="0.3">
      <c r="A28" s="94" t="s">
        <v>257</v>
      </c>
      <c r="B28">
        <v>2</v>
      </c>
    </row>
    <row r="29" spans="1:2" x14ac:dyDescent="0.3">
      <c r="A29" s="97" t="s">
        <v>329</v>
      </c>
      <c r="B29">
        <v>1</v>
      </c>
    </row>
    <row r="30" spans="1:2" x14ac:dyDescent="0.3">
      <c r="A30" s="97" t="s">
        <v>259</v>
      </c>
      <c r="B30">
        <v>1</v>
      </c>
    </row>
    <row r="31" spans="1:2" x14ac:dyDescent="0.3">
      <c r="A31" s="94" t="s">
        <v>260</v>
      </c>
      <c r="B31">
        <v>1</v>
      </c>
    </row>
    <row r="32" spans="1:2" x14ac:dyDescent="0.3">
      <c r="A32" s="97" t="s">
        <v>262</v>
      </c>
      <c r="B32">
        <v>1</v>
      </c>
    </row>
    <row r="33" spans="1:2" x14ac:dyDescent="0.3">
      <c r="A33" s="94" t="s">
        <v>243</v>
      </c>
      <c r="B33">
        <v>1</v>
      </c>
    </row>
    <row r="34" spans="1:2" x14ac:dyDescent="0.3">
      <c r="A34" s="95" t="s">
        <v>250</v>
      </c>
      <c r="B34">
        <v>1</v>
      </c>
    </row>
    <row r="35" spans="1:2" x14ac:dyDescent="0.3">
      <c r="A35" s="94" t="s">
        <v>122</v>
      </c>
      <c r="B35">
        <v>1</v>
      </c>
    </row>
    <row r="36" spans="1:2" x14ac:dyDescent="0.3">
      <c r="A36" s="95" t="s">
        <v>255</v>
      </c>
      <c r="B36">
        <v>1</v>
      </c>
    </row>
    <row r="37" spans="1:2" x14ac:dyDescent="0.3">
      <c r="A37" s="94" t="s">
        <v>263</v>
      </c>
      <c r="B37">
        <v>4</v>
      </c>
    </row>
    <row r="38" spans="1:2" x14ac:dyDescent="0.3">
      <c r="A38" s="95" t="s">
        <v>288</v>
      </c>
      <c r="B38">
        <v>1</v>
      </c>
    </row>
    <row r="39" spans="1:2" x14ac:dyDescent="0.3">
      <c r="A39" s="97" t="s">
        <v>293</v>
      </c>
      <c r="B39">
        <v>1</v>
      </c>
    </row>
    <row r="40" spans="1:2" x14ac:dyDescent="0.3">
      <c r="A40" s="95" t="s">
        <v>264</v>
      </c>
      <c r="B40">
        <v>1</v>
      </c>
    </row>
    <row r="41" spans="1:2" x14ac:dyDescent="0.3">
      <c r="A41" s="97" t="s">
        <v>287</v>
      </c>
      <c r="B41">
        <v>1</v>
      </c>
    </row>
    <row r="42" spans="1:2" x14ac:dyDescent="0.3">
      <c r="A42" s="94" t="s">
        <v>59</v>
      </c>
      <c r="B42">
        <v>6</v>
      </c>
    </row>
    <row r="43" spans="1:2" x14ac:dyDescent="0.3">
      <c r="A43" s="95" t="s">
        <v>317</v>
      </c>
      <c r="B43">
        <v>1</v>
      </c>
    </row>
    <row r="44" spans="1:2" x14ac:dyDescent="0.3">
      <c r="A44" s="95" t="s">
        <v>315</v>
      </c>
      <c r="B44">
        <v>1</v>
      </c>
    </row>
    <row r="45" spans="1:2" x14ac:dyDescent="0.3">
      <c r="A45" s="95" t="s">
        <v>273</v>
      </c>
      <c r="B45">
        <v>1</v>
      </c>
    </row>
    <row r="46" spans="1:2" x14ac:dyDescent="0.3">
      <c r="A46" s="95" t="s">
        <v>295</v>
      </c>
      <c r="B46">
        <v>1</v>
      </c>
    </row>
    <row r="47" spans="1:2" x14ac:dyDescent="0.3">
      <c r="A47" s="95" t="s">
        <v>294</v>
      </c>
      <c r="B47">
        <v>1</v>
      </c>
    </row>
    <row r="48" spans="1:2" x14ac:dyDescent="0.3">
      <c r="A48" s="95" t="s">
        <v>316</v>
      </c>
      <c r="B48">
        <v>1</v>
      </c>
    </row>
    <row r="49" spans="1:2" x14ac:dyDescent="0.3">
      <c r="A49" s="94" t="s">
        <v>296</v>
      </c>
      <c r="B49">
        <v>1</v>
      </c>
    </row>
    <row r="50" spans="1:2" x14ac:dyDescent="0.3">
      <c r="A50" s="97" t="s">
        <v>297</v>
      </c>
      <c r="B50">
        <v>1</v>
      </c>
    </row>
    <row r="51" spans="1:2" x14ac:dyDescent="0.3">
      <c r="A51" s="94" t="s">
        <v>281</v>
      </c>
      <c r="B51">
        <v>1</v>
      </c>
    </row>
    <row r="52" spans="1:2" x14ac:dyDescent="0.3">
      <c r="A52" s="95" t="s">
        <v>282</v>
      </c>
      <c r="B52">
        <v>1</v>
      </c>
    </row>
    <row r="53" spans="1:2" x14ac:dyDescent="0.3">
      <c r="A53" s="94" t="s">
        <v>304</v>
      </c>
      <c r="B53">
        <v>1</v>
      </c>
    </row>
    <row r="54" spans="1:2" x14ac:dyDescent="0.3">
      <c r="A54" s="95" t="s">
        <v>305</v>
      </c>
      <c r="B54">
        <v>1</v>
      </c>
    </row>
    <row r="55" spans="1:2" x14ac:dyDescent="0.3">
      <c r="A55" s="94" t="s">
        <v>306</v>
      </c>
      <c r="B55">
        <v>1</v>
      </c>
    </row>
    <row r="56" spans="1:2" x14ac:dyDescent="0.3">
      <c r="A56" s="97" t="s">
        <v>307</v>
      </c>
      <c r="B56">
        <v>1</v>
      </c>
    </row>
    <row r="57" spans="1:2" x14ac:dyDescent="0.3">
      <c r="A57" s="94" t="s">
        <v>322</v>
      </c>
      <c r="B57">
        <v>2</v>
      </c>
    </row>
    <row r="58" spans="1:2" x14ac:dyDescent="0.3">
      <c r="A58" s="95" t="s">
        <v>325</v>
      </c>
      <c r="B58">
        <v>1</v>
      </c>
    </row>
    <row r="59" spans="1:2" x14ac:dyDescent="0.3">
      <c r="A59" s="95" t="s">
        <v>323</v>
      </c>
      <c r="B59">
        <v>1</v>
      </c>
    </row>
    <row r="60" spans="1:2" x14ac:dyDescent="0.3">
      <c r="A60" s="94" t="s">
        <v>17</v>
      </c>
      <c r="B60">
        <v>1</v>
      </c>
    </row>
    <row r="61" spans="1:2" x14ac:dyDescent="0.3">
      <c r="A61" s="95" t="s">
        <v>327</v>
      </c>
      <c r="B61">
        <v>1</v>
      </c>
    </row>
    <row r="62" spans="1:2" x14ac:dyDescent="0.3">
      <c r="A62" s="94" t="s">
        <v>208</v>
      </c>
      <c r="B62">
        <v>1</v>
      </c>
    </row>
    <row r="63" spans="1:2" x14ac:dyDescent="0.3">
      <c r="A63" s="95" t="s">
        <v>1343</v>
      </c>
      <c r="B63">
        <v>1</v>
      </c>
    </row>
    <row r="64" spans="1:2" x14ac:dyDescent="0.3">
      <c r="A64" s="94" t="s">
        <v>103</v>
      </c>
      <c r="B64">
        <v>1</v>
      </c>
    </row>
    <row r="65" spans="1:2" x14ac:dyDescent="0.3">
      <c r="A65" s="97" t="s">
        <v>1344</v>
      </c>
      <c r="B65">
        <v>1</v>
      </c>
    </row>
    <row r="66" spans="1:2" x14ac:dyDescent="0.3">
      <c r="A66" s="94" t="s">
        <v>156</v>
      </c>
      <c r="B66">
        <v>1</v>
      </c>
    </row>
    <row r="67" spans="1:2" x14ac:dyDescent="0.3">
      <c r="A67" s="95" t="s">
        <v>313</v>
      </c>
      <c r="B67">
        <v>1</v>
      </c>
    </row>
    <row r="68" spans="1:2" x14ac:dyDescent="0.3">
      <c r="A68" s="94" t="s">
        <v>229</v>
      </c>
      <c r="B68">
        <v>15</v>
      </c>
    </row>
    <row r="69" spans="1:2" x14ac:dyDescent="0.3">
      <c r="A69" s="95" t="s">
        <v>301</v>
      </c>
      <c r="B69">
        <v>1</v>
      </c>
    </row>
    <row r="70" spans="1:2" x14ac:dyDescent="0.3">
      <c r="A70" s="95" t="s">
        <v>308</v>
      </c>
      <c r="B70">
        <v>1</v>
      </c>
    </row>
    <row r="71" spans="1:2" x14ac:dyDescent="0.3">
      <c r="A71" s="95" t="s">
        <v>267</v>
      </c>
      <c r="B71">
        <v>1</v>
      </c>
    </row>
    <row r="72" spans="1:2" x14ac:dyDescent="0.3">
      <c r="A72" s="95" t="s">
        <v>283</v>
      </c>
      <c r="B72">
        <v>1</v>
      </c>
    </row>
    <row r="73" spans="1:2" x14ac:dyDescent="0.3">
      <c r="A73" s="95" t="s">
        <v>286</v>
      </c>
      <c r="B73">
        <v>1</v>
      </c>
    </row>
    <row r="74" spans="1:2" x14ac:dyDescent="0.3">
      <c r="A74" s="95" t="s">
        <v>284</v>
      </c>
      <c r="B74">
        <v>1</v>
      </c>
    </row>
    <row r="75" spans="1:2" x14ac:dyDescent="0.3">
      <c r="A75" s="95" t="s">
        <v>269</v>
      </c>
      <c r="B75">
        <v>1</v>
      </c>
    </row>
    <row r="76" spans="1:2" x14ac:dyDescent="0.3">
      <c r="A76" s="95" t="s">
        <v>330</v>
      </c>
      <c r="B76">
        <v>1</v>
      </c>
    </row>
    <row r="77" spans="1:2" x14ac:dyDescent="0.3">
      <c r="A77" s="95" t="s">
        <v>274</v>
      </c>
      <c r="B77">
        <v>1</v>
      </c>
    </row>
    <row r="78" spans="1:2" x14ac:dyDescent="0.3">
      <c r="A78" s="95" t="s">
        <v>289</v>
      </c>
      <c r="B78">
        <v>1</v>
      </c>
    </row>
    <row r="79" spans="1:2" x14ac:dyDescent="0.3">
      <c r="A79" s="95" t="s">
        <v>290</v>
      </c>
      <c r="B79">
        <v>1</v>
      </c>
    </row>
    <row r="80" spans="1:2" x14ac:dyDescent="0.3">
      <c r="A80" s="95" t="s">
        <v>275</v>
      </c>
      <c r="B80">
        <v>1</v>
      </c>
    </row>
    <row r="81" spans="1:2" x14ac:dyDescent="0.3">
      <c r="A81" s="95" t="s">
        <v>309</v>
      </c>
      <c r="B81">
        <v>1</v>
      </c>
    </row>
    <row r="82" spans="1:2" x14ac:dyDescent="0.3">
      <c r="A82" s="95" t="s">
        <v>272</v>
      </c>
      <c r="B82">
        <v>1</v>
      </c>
    </row>
    <row r="83" spans="1:2" x14ac:dyDescent="0.3">
      <c r="A83" s="95" t="s">
        <v>328</v>
      </c>
      <c r="B83">
        <v>1</v>
      </c>
    </row>
    <row r="84" spans="1:2" x14ac:dyDescent="0.3">
      <c r="A84" s="94" t="s">
        <v>320</v>
      </c>
      <c r="B84">
        <v>1</v>
      </c>
    </row>
    <row r="85" spans="1:2" x14ac:dyDescent="0.3">
      <c r="A85" s="95" t="s">
        <v>321</v>
      </c>
      <c r="B85">
        <v>1</v>
      </c>
    </row>
    <row r="86" spans="1:2" x14ac:dyDescent="0.3">
      <c r="A86" s="94" t="s">
        <v>105</v>
      </c>
      <c r="B86">
        <v>1</v>
      </c>
    </row>
    <row r="87" spans="1:2" x14ac:dyDescent="0.3">
      <c r="A87" s="95" t="s">
        <v>319</v>
      </c>
      <c r="B87">
        <v>1</v>
      </c>
    </row>
    <row r="88" spans="1:2" x14ac:dyDescent="0.3">
      <c r="A88" s="94" t="s">
        <v>270</v>
      </c>
      <c r="B88">
        <v>1</v>
      </c>
    </row>
    <row r="89" spans="1:2" x14ac:dyDescent="0.3">
      <c r="A89" s="95" t="s">
        <v>271</v>
      </c>
      <c r="B89">
        <v>1</v>
      </c>
    </row>
    <row r="90" spans="1:2" x14ac:dyDescent="0.3">
      <c r="A90" s="94" t="s">
        <v>111</v>
      </c>
      <c r="B90">
        <v>1</v>
      </c>
    </row>
    <row r="91" spans="1:2" x14ac:dyDescent="0.3">
      <c r="A91" s="95" t="s">
        <v>280</v>
      </c>
      <c r="B91">
        <v>1</v>
      </c>
    </row>
    <row r="92" spans="1:2" x14ac:dyDescent="0.3">
      <c r="A92" s="94" t="s">
        <v>135</v>
      </c>
      <c r="B92">
        <v>1</v>
      </c>
    </row>
    <row r="93" spans="1:2" x14ac:dyDescent="0.3">
      <c r="A93" s="95" t="s">
        <v>300</v>
      </c>
      <c r="B93">
        <v>1</v>
      </c>
    </row>
    <row r="94" spans="1:2" x14ac:dyDescent="0.3">
      <c r="A94" s="94" t="s">
        <v>302</v>
      </c>
      <c r="B94">
        <v>1</v>
      </c>
    </row>
    <row r="95" spans="1:2" x14ac:dyDescent="0.3">
      <c r="A95" s="95" t="s">
        <v>303</v>
      </c>
      <c r="B95">
        <v>1</v>
      </c>
    </row>
    <row r="96" spans="1:2" x14ac:dyDescent="0.3">
      <c r="A96" s="94" t="s">
        <v>93</v>
      </c>
      <c r="B96">
        <v>2</v>
      </c>
    </row>
    <row r="97" spans="1:2" x14ac:dyDescent="0.3">
      <c r="A97" s="95" t="s">
        <v>277</v>
      </c>
      <c r="B97">
        <v>1</v>
      </c>
    </row>
    <row r="98" spans="1:2" x14ac:dyDescent="0.3">
      <c r="A98" s="97" t="s">
        <v>331</v>
      </c>
      <c r="B98" s="98">
        <v>1</v>
      </c>
    </row>
    <row r="99" spans="1:2" x14ac:dyDescent="0.3">
      <c r="A99" s="94" t="s">
        <v>1317</v>
      </c>
      <c r="B99">
        <v>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9337A-BE30-4CE1-869C-3BA9F66414C3}">
  <dimension ref="B3:D63"/>
  <sheetViews>
    <sheetView topLeftCell="A37" workbookViewId="0">
      <selection activeCell="H15" sqref="H15"/>
    </sheetView>
  </sheetViews>
  <sheetFormatPr baseColWidth="10" defaultRowHeight="14.4" x14ac:dyDescent="0.3"/>
  <cols>
    <col min="2" max="2" width="23" customWidth="1"/>
    <col min="3" max="3" width="43.6640625" customWidth="1"/>
  </cols>
  <sheetData>
    <row r="3" spans="2:4" x14ac:dyDescent="0.3">
      <c r="B3" s="183" t="s">
        <v>1402</v>
      </c>
      <c r="C3" s="182" t="s">
        <v>1401</v>
      </c>
      <c r="D3" s="182" t="s">
        <v>1400</v>
      </c>
    </row>
    <row r="4" spans="2:4" x14ac:dyDescent="0.3">
      <c r="B4" s="181" t="s">
        <v>1375</v>
      </c>
      <c r="C4" s="180" t="s">
        <v>1399</v>
      </c>
      <c r="D4" s="169">
        <v>1</v>
      </c>
    </row>
    <row r="5" spans="2:4" x14ac:dyDescent="0.3">
      <c r="B5" s="174" t="s">
        <v>1375</v>
      </c>
      <c r="C5" s="173" t="s">
        <v>1398</v>
      </c>
      <c r="D5" s="169">
        <v>1</v>
      </c>
    </row>
    <row r="6" spans="2:4" x14ac:dyDescent="0.3">
      <c r="B6" s="174" t="s">
        <v>1375</v>
      </c>
      <c r="C6" s="173" t="s">
        <v>1397</v>
      </c>
      <c r="D6" s="169">
        <v>7</v>
      </c>
    </row>
    <row r="7" spans="2:4" x14ac:dyDescent="0.3">
      <c r="B7" s="174" t="s">
        <v>1375</v>
      </c>
      <c r="C7" s="173" t="s">
        <v>1396</v>
      </c>
      <c r="D7" s="169">
        <v>4</v>
      </c>
    </row>
    <row r="8" spans="2:4" x14ac:dyDescent="0.3">
      <c r="B8" s="174" t="s">
        <v>1375</v>
      </c>
      <c r="C8" s="173" t="s">
        <v>333</v>
      </c>
      <c r="D8" s="169">
        <v>7</v>
      </c>
    </row>
    <row r="9" spans="2:4" x14ac:dyDescent="0.3">
      <c r="B9" s="174" t="s">
        <v>1375</v>
      </c>
      <c r="C9" s="173" t="s">
        <v>1395</v>
      </c>
      <c r="D9" s="169">
        <v>2</v>
      </c>
    </row>
    <row r="10" spans="2:4" x14ac:dyDescent="0.3">
      <c r="B10" s="174" t="s">
        <v>1375</v>
      </c>
      <c r="C10" s="172" t="s">
        <v>1394</v>
      </c>
      <c r="D10" s="169">
        <v>3</v>
      </c>
    </row>
    <row r="11" spans="2:4" x14ac:dyDescent="0.3">
      <c r="B11" s="176" t="s">
        <v>1375</v>
      </c>
      <c r="C11" s="175" t="s">
        <v>1393</v>
      </c>
      <c r="D11" s="169">
        <v>25</v>
      </c>
    </row>
    <row r="12" spans="2:4" x14ac:dyDescent="0.3">
      <c r="B12" s="176" t="s">
        <v>1375</v>
      </c>
      <c r="C12" s="175" t="s">
        <v>1392</v>
      </c>
      <c r="D12" s="169">
        <v>4</v>
      </c>
    </row>
    <row r="13" spans="2:4" x14ac:dyDescent="0.3">
      <c r="B13" s="174" t="s">
        <v>1375</v>
      </c>
      <c r="C13" s="173" t="s">
        <v>28</v>
      </c>
      <c r="D13" s="169">
        <v>0</v>
      </c>
    </row>
    <row r="14" spans="2:4" x14ac:dyDescent="0.3">
      <c r="B14" s="174" t="s">
        <v>1375</v>
      </c>
      <c r="C14" s="173" t="s">
        <v>41</v>
      </c>
      <c r="D14" s="169">
        <v>0</v>
      </c>
    </row>
    <row r="15" spans="2:4" x14ac:dyDescent="0.3">
      <c r="B15" s="174" t="s">
        <v>1375</v>
      </c>
      <c r="C15" s="179" t="s">
        <v>257</v>
      </c>
      <c r="D15" s="169">
        <v>1</v>
      </c>
    </row>
    <row r="16" spans="2:4" x14ac:dyDescent="0.3">
      <c r="B16" s="174" t="s">
        <v>1375</v>
      </c>
      <c r="C16" s="173" t="s">
        <v>1391</v>
      </c>
      <c r="D16" s="169">
        <v>2</v>
      </c>
    </row>
    <row r="17" spans="2:4" x14ac:dyDescent="0.3">
      <c r="B17" s="174" t="s">
        <v>1375</v>
      </c>
      <c r="C17" s="173" t="s">
        <v>1390</v>
      </c>
      <c r="D17" s="169">
        <v>1</v>
      </c>
    </row>
    <row r="18" spans="2:4" x14ac:dyDescent="0.3">
      <c r="B18" s="174" t="s">
        <v>1375</v>
      </c>
      <c r="C18" s="172" t="s">
        <v>1389</v>
      </c>
      <c r="D18" s="169">
        <v>0</v>
      </c>
    </row>
    <row r="19" spans="2:4" x14ac:dyDescent="0.3">
      <c r="B19" s="174" t="s">
        <v>1375</v>
      </c>
      <c r="C19" s="172" t="s">
        <v>1388</v>
      </c>
      <c r="D19" s="169">
        <v>0</v>
      </c>
    </row>
    <row r="20" spans="2:4" x14ac:dyDescent="0.3">
      <c r="B20" s="174" t="s">
        <v>1375</v>
      </c>
      <c r="C20" s="173" t="s">
        <v>1387</v>
      </c>
      <c r="D20" s="169">
        <v>0</v>
      </c>
    </row>
    <row r="21" spans="2:4" x14ac:dyDescent="0.3">
      <c r="B21" s="174" t="s">
        <v>1375</v>
      </c>
      <c r="C21" s="173" t="s">
        <v>128</v>
      </c>
      <c r="D21" s="169">
        <v>0</v>
      </c>
    </row>
    <row r="22" spans="2:4" x14ac:dyDescent="0.3">
      <c r="B22" s="176" t="s">
        <v>1375</v>
      </c>
      <c r="C22" s="175" t="s">
        <v>1386</v>
      </c>
      <c r="D22" s="169">
        <v>1</v>
      </c>
    </row>
    <row r="23" spans="2:4" x14ac:dyDescent="0.3">
      <c r="B23" s="174" t="s">
        <v>1375</v>
      </c>
      <c r="C23" s="178" t="s">
        <v>74</v>
      </c>
      <c r="D23" s="169">
        <v>0</v>
      </c>
    </row>
    <row r="24" spans="2:4" x14ac:dyDescent="0.3">
      <c r="B24" s="174" t="s">
        <v>1375</v>
      </c>
      <c r="C24" s="178" t="s">
        <v>265</v>
      </c>
      <c r="D24" s="169">
        <v>0</v>
      </c>
    </row>
    <row r="25" spans="2:4" x14ac:dyDescent="0.3">
      <c r="B25" s="174" t="s">
        <v>1375</v>
      </c>
      <c r="C25" s="178" t="s">
        <v>1385</v>
      </c>
      <c r="D25" s="169">
        <v>1</v>
      </c>
    </row>
    <row r="26" spans="2:4" x14ac:dyDescent="0.3">
      <c r="B26" s="174" t="s">
        <v>1375</v>
      </c>
      <c r="C26" s="178" t="s">
        <v>1384</v>
      </c>
      <c r="D26" s="169">
        <v>0</v>
      </c>
    </row>
    <row r="27" spans="2:4" x14ac:dyDescent="0.3">
      <c r="B27" s="174" t="s">
        <v>1375</v>
      </c>
      <c r="C27" s="178" t="s">
        <v>33</v>
      </c>
      <c r="D27" s="169">
        <v>0</v>
      </c>
    </row>
    <row r="28" spans="2:4" x14ac:dyDescent="0.3">
      <c r="B28" s="174" t="s">
        <v>1375</v>
      </c>
      <c r="C28" s="177" t="s">
        <v>680</v>
      </c>
      <c r="D28" s="169">
        <v>8</v>
      </c>
    </row>
    <row r="29" spans="2:4" x14ac:dyDescent="0.3">
      <c r="B29" s="174" t="s">
        <v>1375</v>
      </c>
      <c r="C29" s="177" t="s">
        <v>641</v>
      </c>
      <c r="D29" s="169">
        <v>2</v>
      </c>
    </row>
    <row r="30" spans="2:4" x14ac:dyDescent="0.3">
      <c r="B30" s="174" t="s">
        <v>1375</v>
      </c>
      <c r="C30" s="177" t="s">
        <v>1383</v>
      </c>
      <c r="D30" s="169">
        <v>2</v>
      </c>
    </row>
    <row r="31" spans="2:4" x14ac:dyDescent="0.3">
      <c r="B31" s="176" t="s">
        <v>1375</v>
      </c>
      <c r="C31" s="175" t="s">
        <v>1382</v>
      </c>
      <c r="D31" s="169">
        <v>1</v>
      </c>
    </row>
    <row r="32" spans="2:4" x14ac:dyDescent="0.3">
      <c r="B32" s="174" t="s">
        <v>1375</v>
      </c>
      <c r="C32" s="173" t="s">
        <v>1381</v>
      </c>
      <c r="D32" s="169">
        <v>1</v>
      </c>
    </row>
    <row r="33" spans="2:4" x14ac:dyDescent="0.3">
      <c r="B33" s="174" t="s">
        <v>1375</v>
      </c>
      <c r="C33" s="173" t="s">
        <v>1380</v>
      </c>
      <c r="D33" s="169">
        <v>0</v>
      </c>
    </row>
    <row r="34" spans="2:4" x14ac:dyDescent="0.3">
      <c r="B34" s="174" t="s">
        <v>1375</v>
      </c>
      <c r="C34" s="173" t="s">
        <v>1379</v>
      </c>
      <c r="D34" s="169">
        <v>0</v>
      </c>
    </row>
    <row r="35" spans="2:4" x14ac:dyDescent="0.3">
      <c r="B35" s="174" t="s">
        <v>1375</v>
      </c>
      <c r="C35" s="173" t="s">
        <v>1378</v>
      </c>
      <c r="D35" s="169">
        <v>0</v>
      </c>
    </row>
    <row r="36" spans="2:4" x14ac:dyDescent="0.3">
      <c r="B36" s="174" t="s">
        <v>1375</v>
      </c>
      <c r="C36" s="173" t="s">
        <v>1377</v>
      </c>
      <c r="D36" s="169">
        <v>0</v>
      </c>
    </row>
    <row r="37" spans="2:4" x14ac:dyDescent="0.3">
      <c r="B37" s="174" t="s">
        <v>1375</v>
      </c>
      <c r="C37" s="173" t="s">
        <v>1376</v>
      </c>
      <c r="D37" s="169">
        <v>0</v>
      </c>
    </row>
    <row r="38" spans="2:4" x14ac:dyDescent="0.3">
      <c r="B38" s="174" t="s">
        <v>1375</v>
      </c>
      <c r="C38" s="173" t="s">
        <v>1374</v>
      </c>
      <c r="D38" s="169">
        <v>0</v>
      </c>
    </row>
    <row r="39" spans="2:4" x14ac:dyDescent="0.3">
      <c r="B39" s="171" t="s">
        <v>68</v>
      </c>
      <c r="C39" s="173" t="s">
        <v>1373</v>
      </c>
      <c r="D39" s="169">
        <v>2</v>
      </c>
    </row>
    <row r="40" spans="2:4" x14ac:dyDescent="0.3">
      <c r="B40" s="171" t="s">
        <v>68</v>
      </c>
      <c r="C40" s="173" t="s">
        <v>1372</v>
      </c>
      <c r="D40" s="169">
        <v>0</v>
      </c>
    </row>
    <row r="41" spans="2:4" x14ac:dyDescent="0.3">
      <c r="B41" s="171" t="s">
        <v>68</v>
      </c>
      <c r="C41" s="173" t="s">
        <v>1371</v>
      </c>
      <c r="D41" s="169">
        <v>0</v>
      </c>
    </row>
    <row r="42" spans="2:4" x14ac:dyDescent="0.3">
      <c r="B42" s="171" t="s">
        <v>68</v>
      </c>
      <c r="C42" s="172" t="s">
        <v>673</v>
      </c>
      <c r="D42" s="169">
        <v>2</v>
      </c>
    </row>
    <row r="43" spans="2:4" x14ac:dyDescent="0.3">
      <c r="B43" s="171" t="s">
        <v>68</v>
      </c>
      <c r="C43" s="172" t="s">
        <v>1370</v>
      </c>
      <c r="D43" s="169">
        <v>0</v>
      </c>
    </row>
    <row r="44" spans="2:4" x14ac:dyDescent="0.3">
      <c r="B44" s="171" t="s">
        <v>68</v>
      </c>
      <c r="C44" s="172" t="s">
        <v>1369</v>
      </c>
      <c r="D44" s="169">
        <v>0</v>
      </c>
    </row>
    <row r="45" spans="2:4" x14ac:dyDescent="0.3">
      <c r="B45" s="171" t="s">
        <v>68</v>
      </c>
      <c r="C45" s="173" t="s">
        <v>1143</v>
      </c>
      <c r="D45" s="169">
        <v>0</v>
      </c>
    </row>
    <row r="46" spans="2:4" x14ac:dyDescent="0.3">
      <c r="B46" s="171" t="s">
        <v>68</v>
      </c>
      <c r="C46" s="173" t="s">
        <v>1368</v>
      </c>
      <c r="D46" s="169">
        <v>0</v>
      </c>
    </row>
    <row r="47" spans="2:4" x14ac:dyDescent="0.3">
      <c r="B47" s="171" t="s">
        <v>1362</v>
      </c>
      <c r="C47" s="172" t="s">
        <v>609</v>
      </c>
      <c r="D47" s="169">
        <v>6</v>
      </c>
    </row>
    <row r="48" spans="2:4" x14ac:dyDescent="0.3">
      <c r="B48" s="171" t="s">
        <v>1362</v>
      </c>
      <c r="C48" s="172" t="s">
        <v>1367</v>
      </c>
      <c r="D48" s="169">
        <v>0</v>
      </c>
    </row>
    <row r="49" spans="2:4" x14ac:dyDescent="0.3">
      <c r="B49" s="171" t="s">
        <v>1362</v>
      </c>
      <c r="C49" s="172" t="s">
        <v>621</v>
      </c>
      <c r="D49" s="169">
        <v>7</v>
      </c>
    </row>
    <row r="50" spans="2:4" x14ac:dyDescent="0.3">
      <c r="B50" s="171" t="s">
        <v>1362</v>
      </c>
      <c r="C50" s="172" t="s">
        <v>1366</v>
      </c>
      <c r="D50" s="169">
        <v>6</v>
      </c>
    </row>
    <row r="51" spans="2:4" x14ac:dyDescent="0.3">
      <c r="B51" s="171" t="s">
        <v>1362</v>
      </c>
      <c r="C51" s="172" t="s">
        <v>1365</v>
      </c>
      <c r="D51" s="169">
        <v>2</v>
      </c>
    </row>
    <row r="52" spans="2:4" x14ac:dyDescent="0.3">
      <c r="B52" s="171" t="s">
        <v>1362</v>
      </c>
      <c r="C52" s="172" t="s">
        <v>1364</v>
      </c>
      <c r="D52" s="169">
        <v>0</v>
      </c>
    </row>
    <row r="53" spans="2:4" x14ac:dyDescent="0.3">
      <c r="B53" s="171" t="s">
        <v>1362</v>
      </c>
      <c r="C53" s="172" t="s">
        <v>1363</v>
      </c>
      <c r="D53" s="169">
        <v>1</v>
      </c>
    </row>
    <row r="54" spans="2:4" x14ac:dyDescent="0.3">
      <c r="B54" s="171" t="s">
        <v>1362</v>
      </c>
      <c r="C54" s="172" t="s">
        <v>680</v>
      </c>
      <c r="D54" s="169">
        <v>0</v>
      </c>
    </row>
    <row r="55" spans="2:4" x14ac:dyDescent="0.3">
      <c r="B55" s="171" t="s">
        <v>1362</v>
      </c>
      <c r="C55" s="172" t="s">
        <v>641</v>
      </c>
      <c r="D55" s="169">
        <v>0</v>
      </c>
    </row>
    <row r="56" spans="2:4" x14ac:dyDescent="0.3">
      <c r="B56" s="171" t="s">
        <v>312</v>
      </c>
      <c r="C56" s="170" t="s">
        <v>1361</v>
      </c>
      <c r="D56" s="169">
        <v>2</v>
      </c>
    </row>
    <row r="57" spans="2:4" x14ac:dyDescent="0.3">
      <c r="B57" s="171" t="s">
        <v>312</v>
      </c>
      <c r="C57" s="170" t="s">
        <v>156</v>
      </c>
      <c r="D57" s="169">
        <v>1</v>
      </c>
    </row>
    <row r="58" spans="2:4" x14ac:dyDescent="0.3">
      <c r="B58" s="171" t="s">
        <v>312</v>
      </c>
      <c r="C58" s="170" t="s">
        <v>1360</v>
      </c>
      <c r="D58" s="169">
        <v>1</v>
      </c>
    </row>
    <row r="59" spans="2:4" x14ac:dyDescent="0.3">
      <c r="B59" s="171" t="s">
        <v>312</v>
      </c>
      <c r="C59" s="170" t="s">
        <v>1359</v>
      </c>
      <c r="D59" s="169">
        <v>0</v>
      </c>
    </row>
    <row r="60" spans="2:4" x14ac:dyDescent="0.3">
      <c r="B60" s="171" t="s">
        <v>312</v>
      </c>
      <c r="C60" s="170" t="s">
        <v>1358</v>
      </c>
      <c r="D60" s="169">
        <v>2</v>
      </c>
    </row>
    <row r="61" spans="2:4" x14ac:dyDescent="0.3">
      <c r="B61" s="171" t="s">
        <v>312</v>
      </c>
      <c r="C61" s="170" t="s">
        <v>1357</v>
      </c>
      <c r="D61" s="169">
        <v>0</v>
      </c>
    </row>
    <row r="62" spans="2:4" x14ac:dyDescent="0.3">
      <c r="B62" s="171" t="s">
        <v>312</v>
      </c>
      <c r="C62" s="170" t="s">
        <v>1356</v>
      </c>
      <c r="D62" s="169">
        <v>0</v>
      </c>
    </row>
    <row r="63" spans="2:4" x14ac:dyDescent="0.3">
      <c r="B63" s="171" t="s">
        <v>312</v>
      </c>
      <c r="C63" s="170" t="s">
        <v>1355</v>
      </c>
      <c r="D63" s="169">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2145A-C82A-4160-836B-6D8ABA15F76C}">
  <dimension ref="B4:D26"/>
  <sheetViews>
    <sheetView workbookViewId="0">
      <selection activeCell="A16" sqref="A16:XFD16"/>
    </sheetView>
  </sheetViews>
  <sheetFormatPr baseColWidth="10" defaultRowHeight="14.4" x14ac:dyDescent="0.3"/>
  <cols>
    <col min="2" max="2" width="35.6640625" customWidth="1"/>
    <col min="3" max="3" width="37.6640625" customWidth="1"/>
  </cols>
  <sheetData>
    <row r="4" spans="2:4" x14ac:dyDescent="0.3">
      <c r="B4" s="190" t="s">
        <v>1402</v>
      </c>
      <c r="C4" s="190" t="s">
        <v>1401</v>
      </c>
      <c r="D4" s="190" t="s">
        <v>1416</v>
      </c>
    </row>
    <row r="5" spans="2:4" x14ac:dyDescent="0.3">
      <c r="B5" s="186" t="s">
        <v>1375</v>
      </c>
      <c r="C5" s="185" t="s">
        <v>1415</v>
      </c>
      <c r="D5" s="184">
        <f>SUM('[1]BASE 2023'!B4:B15)+SUM('[1]BASE 2023'!AH4:AH15)</f>
        <v>0</v>
      </c>
    </row>
    <row r="6" spans="2:4" x14ac:dyDescent="0.3">
      <c r="B6" s="186" t="s">
        <v>1375</v>
      </c>
      <c r="C6" s="185" t="s">
        <v>1414</v>
      </c>
      <c r="D6" s="184">
        <f>SUM('[1]BASE 2023'!C4:C15)+SUM('[1]BASE 2023'!AI4:AI15)</f>
        <v>3</v>
      </c>
    </row>
    <row r="7" spans="2:4" x14ac:dyDescent="0.3">
      <c r="B7" s="186" t="s">
        <v>1375</v>
      </c>
      <c r="C7" s="185" t="s">
        <v>1398</v>
      </c>
      <c r="D7" s="184">
        <f>SUM('[1]BASE 2023'!D4:D15)+SUM('[1]BASE 2023'!AJ4:AJ15)</f>
        <v>9</v>
      </c>
    </row>
    <row r="8" spans="2:4" x14ac:dyDescent="0.3">
      <c r="B8" s="186" t="s">
        <v>1375</v>
      </c>
      <c r="C8" s="185" t="s">
        <v>1397</v>
      </c>
      <c r="D8" s="184">
        <f>SUM('[1]BASE 2023'!E4:E15)+SUM('[1]BASE 2023'!AK4:AK15)</f>
        <v>9</v>
      </c>
    </row>
    <row r="9" spans="2:4" x14ac:dyDescent="0.3">
      <c r="B9" s="186" t="s">
        <v>1375</v>
      </c>
      <c r="C9" s="185" t="s">
        <v>1396</v>
      </c>
      <c r="D9" s="184">
        <f>SUM('[1]BASE 2023'!F4:F15)+SUM('[1]BASE 2023'!AL4:AL15)</f>
        <v>0</v>
      </c>
    </row>
    <row r="10" spans="2:4" x14ac:dyDescent="0.3">
      <c r="B10" s="186" t="s">
        <v>1375</v>
      </c>
      <c r="C10" s="185" t="s">
        <v>333</v>
      </c>
      <c r="D10" s="184">
        <f>SUM('[1]BASE 2023'!G4:G15)+SUM('[1]BASE 2023'!AM4:AM15)</f>
        <v>4</v>
      </c>
    </row>
    <row r="11" spans="2:4" x14ac:dyDescent="0.3">
      <c r="B11" s="186" t="s">
        <v>1375</v>
      </c>
      <c r="C11" s="185" t="s">
        <v>1395</v>
      </c>
      <c r="D11" s="184">
        <f>SUM('[1]BASE 2023'!I4:I15)+SUM('[1]BASE 2023'!AO4:AO15)</f>
        <v>3</v>
      </c>
    </row>
    <row r="12" spans="2:4" x14ac:dyDescent="0.3">
      <c r="B12" s="186" t="s">
        <v>1375</v>
      </c>
      <c r="C12" s="185" t="s">
        <v>93</v>
      </c>
      <c r="D12" s="184">
        <f>SUM('[1]BASE 2023'!J4:J15)+SUM('[1]BASE 2023'!AP4:AP15)</f>
        <v>3</v>
      </c>
    </row>
    <row r="13" spans="2:4" x14ac:dyDescent="0.3">
      <c r="B13" s="189" t="s">
        <v>1375</v>
      </c>
      <c r="C13" s="188" t="s">
        <v>680</v>
      </c>
      <c r="D13" s="187">
        <f>SUM('[1]BASE 2023'!M4:M15)+SUM('[1]BASE 2023'!AS4:AS15)</f>
        <v>5</v>
      </c>
    </row>
    <row r="14" spans="2:4" x14ac:dyDescent="0.3">
      <c r="B14" s="189" t="s">
        <v>1375</v>
      </c>
      <c r="C14" s="188" t="s">
        <v>641</v>
      </c>
      <c r="D14" s="187">
        <f>SUM('[1]BASE 2023'!N4:N15)+SUM('[1]BASE 2023'!AT4:AT15)</f>
        <v>1</v>
      </c>
    </row>
    <row r="15" spans="2:4" x14ac:dyDescent="0.3">
      <c r="B15" s="189" t="s">
        <v>1375</v>
      </c>
      <c r="C15" s="188" t="s">
        <v>1413</v>
      </c>
      <c r="D15" s="187">
        <f>SUM('[1]BASE 2023'!O4:O15)+SUM('[1]BASE 2023'!AU4:AU15)</f>
        <v>2</v>
      </c>
    </row>
    <row r="16" spans="2:4" x14ac:dyDescent="0.3">
      <c r="B16" s="189" t="s">
        <v>1375</v>
      </c>
      <c r="C16" s="188" t="s">
        <v>1412</v>
      </c>
      <c r="D16" s="187">
        <f>SUM('[1]BASE 2023'!P4:P15)+SUM('[1]BASE 2023'!AV4:AV15)</f>
        <v>0</v>
      </c>
    </row>
    <row r="17" spans="2:4" x14ac:dyDescent="0.3">
      <c r="B17" s="189" t="s">
        <v>1375</v>
      </c>
      <c r="C17" s="188" t="s">
        <v>852</v>
      </c>
      <c r="D17" s="187">
        <f>SUM('[1]BASE 2023'!Q4:Q15)+SUM('[1]BASE 2023'!AW4:AW15)</f>
        <v>1</v>
      </c>
    </row>
    <row r="18" spans="2:4" x14ac:dyDescent="0.3">
      <c r="B18" s="186" t="s">
        <v>1410</v>
      </c>
      <c r="C18" s="185" t="s">
        <v>1411</v>
      </c>
      <c r="D18" s="184">
        <f>SUM('[1]BASE 2023'!H4:H15)+SUM('[1]BASE 2023'!AN4:AN15)</f>
        <v>0</v>
      </c>
    </row>
    <row r="19" spans="2:4" x14ac:dyDescent="0.3">
      <c r="B19" s="186" t="s">
        <v>1407</v>
      </c>
      <c r="C19" s="185" t="s">
        <v>1143</v>
      </c>
      <c r="D19" s="184">
        <f>SUM('[1]BASE 2023'!R4:R15)+SUM('[1]BASE 2023'!AX4:AX15)</f>
        <v>0</v>
      </c>
    </row>
    <row r="20" spans="2:4" x14ac:dyDescent="0.3">
      <c r="B20" s="186" t="s">
        <v>1407</v>
      </c>
      <c r="C20" s="185" t="s">
        <v>1409</v>
      </c>
      <c r="D20" s="184">
        <f>SUM('[1]BASE 2023'!S4:S15)+SUM('[1]BASE 2023'!AY4:AY15)</f>
        <v>0</v>
      </c>
    </row>
    <row r="21" spans="2:4" x14ac:dyDescent="0.3">
      <c r="B21" s="186" t="s">
        <v>1407</v>
      </c>
      <c r="C21" s="185" t="s">
        <v>1408</v>
      </c>
      <c r="D21" s="184">
        <f>SUM('[1]BASE 2023'!T4:T15)+SUM('[1]BASE 2023'!AZ4:AZ15)</f>
        <v>5</v>
      </c>
    </row>
    <row r="22" spans="2:4" x14ac:dyDescent="0.3">
      <c r="B22" s="186" t="s">
        <v>1407</v>
      </c>
      <c r="C22" s="185" t="s">
        <v>68</v>
      </c>
      <c r="D22" s="184">
        <f>SUM('[1]BASE 2023'!U4:U15)+SUM('[1]BASE 2023'!BA4:BA15)</f>
        <v>0</v>
      </c>
    </row>
    <row r="23" spans="2:4" x14ac:dyDescent="0.3">
      <c r="B23" s="186" t="s">
        <v>1407</v>
      </c>
      <c r="C23" s="185" t="s">
        <v>1406</v>
      </c>
      <c r="D23" s="184">
        <f>SUM('[1]BASE 2023'!V4:V15)+SUM('[1]BASE 2023'!BB4:BB15)</f>
        <v>0</v>
      </c>
    </row>
    <row r="24" spans="2:4" x14ac:dyDescent="0.3">
      <c r="B24" s="186" t="s">
        <v>23</v>
      </c>
      <c r="C24" s="185" t="s">
        <v>23</v>
      </c>
      <c r="D24" s="184">
        <f>SUM('[1]BASE 2023'!W4:W15)+SUM('[1]BASE 2023'!BC4:BC15)</f>
        <v>12</v>
      </c>
    </row>
    <row r="25" spans="2:4" x14ac:dyDescent="0.3">
      <c r="B25" s="186" t="s">
        <v>1404</v>
      </c>
      <c r="C25" s="185" t="s">
        <v>1405</v>
      </c>
      <c r="D25" s="184">
        <f>SUM('[1]BASE 2023'!AE4:AE15)+SUM('[1]BASE 2023'!BK4:BK15)</f>
        <v>3</v>
      </c>
    </row>
    <row r="26" spans="2:4" x14ac:dyDescent="0.3">
      <c r="B26" s="186" t="s">
        <v>1404</v>
      </c>
      <c r="C26" s="185" t="s">
        <v>1403</v>
      </c>
      <c r="D26" s="184">
        <f>SUM('[1]BASE 2023'!AF4:AF15)+SUM('[1]BASE 2023'!BL4:BL15)</f>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2572B-9F80-4D20-9BE3-29D1B8271560}">
  <dimension ref="A1:H45"/>
  <sheetViews>
    <sheetView topLeftCell="A10" zoomScale="79" workbookViewId="0">
      <selection activeCell="I20" sqref="I20"/>
    </sheetView>
  </sheetViews>
  <sheetFormatPr baseColWidth="10" defaultRowHeight="14.4" x14ac:dyDescent="0.3"/>
  <cols>
    <col min="1" max="1" width="27.77734375" customWidth="1"/>
    <col min="2" max="2" width="35.21875" customWidth="1"/>
    <col min="3" max="3" width="30.5546875" customWidth="1"/>
    <col min="4" max="4" width="20.33203125" customWidth="1"/>
    <col min="5" max="5" width="19.44140625" customWidth="1"/>
    <col min="6" max="6" width="13.88671875" customWidth="1"/>
    <col min="7" max="8" width="14.77734375" customWidth="1"/>
  </cols>
  <sheetData>
    <row r="1" spans="1:8" ht="25.95" customHeight="1" x14ac:dyDescent="0.35">
      <c r="A1" s="194" t="s">
        <v>1345</v>
      </c>
      <c r="B1" s="194"/>
      <c r="C1" s="194"/>
      <c r="D1" s="194"/>
      <c r="E1" s="194"/>
      <c r="F1" s="194"/>
      <c r="G1" s="194"/>
      <c r="H1" s="194"/>
    </row>
    <row r="2" spans="1:8" x14ac:dyDescent="0.3">
      <c r="A2" s="195" t="s">
        <v>1353</v>
      </c>
      <c r="B2" s="196"/>
      <c r="C2" s="196"/>
      <c r="D2" s="196"/>
      <c r="E2" s="196"/>
      <c r="F2" s="196"/>
      <c r="G2" s="196"/>
      <c r="H2" s="196"/>
    </row>
    <row r="4" spans="1:8" ht="37.950000000000003" customHeight="1" x14ac:dyDescent="0.3">
      <c r="A4" s="193" t="s">
        <v>1346</v>
      </c>
      <c r="B4" s="193" t="s">
        <v>1347</v>
      </c>
      <c r="C4" s="193" t="s">
        <v>1354</v>
      </c>
      <c r="D4" s="193" t="s">
        <v>1418</v>
      </c>
      <c r="E4" s="193" t="s">
        <v>1348</v>
      </c>
      <c r="F4" s="193" t="s">
        <v>1349</v>
      </c>
      <c r="G4" s="193" t="s">
        <v>1350</v>
      </c>
      <c r="H4" s="193" t="s">
        <v>1351</v>
      </c>
    </row>
    <row r="5" spans="1:8" x14ac:dyDescent="0.3">
      <c r="A5" s="94" t="s">
        <v>567</v>
      </c>
      <c r="B5" s="94" t="s">
        <v>689</v>
      </c>
      <c r="C5" s="94" t="s">
        <v>689</v>
      </c>
      <c r="D5" s="94" t="s">
        <v>570</v>
      </c>
      <c r="E5" s="158">
        <v>46225</v>
      </c>
      <c r="F5" s="159">
        <v>23</v>
      </c>
      <c r="G5" s="157">
        <v>2</v>
      </c>
      <c r="H5" s="157">
        <v>4</v>
      </c>
    </row>
    <row r="6" spans="1:8" x14ac:dyDescent="0.3">
      <c r="A6" s="94" t="s">
        <v>580</v>
      </c>
      <c r="B6" s="94" t="s">
        <v>455</v>
      </c>
      <c r="C6" s="94" t="s">
        <v>595</v>
      </c>
      <c r="D6" s="94" t="s">
        <v>608</v>
      </c>
      <c r="E6" s="158">
        <v>46224</v>
      </c>
      <c r="F6" s="159">
        <v>24</v>
      </c>
      <c r="G6" s="157">
        <v>19</v>
      </c>
      <c r="H6" s="157">
        <v>29</v>
      </c>
    </row>
    <row r="7" spans="1:8" x14ac:dyDescent="0.3">
      <c r="A7" s="94" t="s">
        <v>567</v>
      </c>
      <c r="B7" s="94" t="s">
        <v>604</v>
      </c>
      <c r="C7" s="94" t="s">
        <v>604</v>
      </c>
      <c r="D7" s="94" t="s">
        <v>570</v>
      </c>
      <c r="E7" s="158">
        <v>46219</v>
      </c>
      <c r="F7" s="159">
        <v>29</v>
      </c>
      <c r="G7" s="157">
        <v>12</v>
      </c>
      <c r="H7" s="157">
        <v>17</v>
      </c>
    </row>
    <row r="8" spans="1:8" x14ac:dyDescent="0.3">
      <c r="A8" s="94" t="s">
        <v>580</v>
      </c>
      <c r="B8" s="94" t="s">
        <v>626</v>
      </c>
      <c r="C8" s="94" t="s">
        <v>626</v>
      </c>
      <c r="D8" s="94" t="s">
        <v>608</v>
      </c>
      <c r="E8" s="158">
        <v>46218</v>
      </c>
      <c r="F8" s="159">
        <v>30</v>
      </c>
      <c r="G8" s="157">
        <v>11</v>
      </c>
      <c r="H8" s="157">
        <v>15</v>
      </c>
    </row>
    <row r="9" spans="1:8" x14ac:dyDescent="0.3">
      <c r="A9" s="94" t="s">
        <v>567</v>
      </c>
      <c r="B9" s="94" t="s">
        <v>93</v>
      </c>
      <c r="C9" s="94" t="s">
        <v>93</v>
      </c>
      <c r="D9" s="94" t="s">
        <v>646</v>
      </c>
      <c r="E9" s="158">
        <v>46218</v>
      </c>
      <c r="F9" s="159">
        <v>30</v>
      </c>
      <c r="G9" s="157">
        <v>3</v>
      </c>
      <c r="H9" s="157">
        <v>8</v>
      </c>
    </row>
    <row r="10" spans="1:8" x14ac:dyDescent="0.3">
      <c r="A10" s="94" t="s">
        <v>567</v>
      </c>
      <c r="B10" s="94" t="s">
        <v>1352</v>
      </c>
      <c r="C10" s="94" t="s">
        <v>1352</v>
      </c>
      <c r="D10" s="94" t="s">
        <v>570</v>
      </c>
      <c r="E10" s="158">
        <v>46211</v>
      </c>
      <c r="F10" s="160">
        <v>37</v>
      </c>
      <c r="G10" s="157">
        <v>3</v>
      </c>
      <c r="H10" s="157">
        <v>4</v>
      </c>
    </row>
    <row r="11" spans="1:8" x14ac:dyDescent="0.3">
      <c r="A11" s="94" t="s">
        <v>580</v>
      </c>
      <c r="B11" s="94" t="s">
        <v>515</v>
      </c>
      <c r="C11" s="94" t="s">
        <v>595</v>
      </c>
      <c r="D11" s="94" t="s">
        <v>596</v>
      </c>
      <c r="E11" s="158">
        <v>46209</v>
      </c>
      <c r="F11" s="160">
        <v>39</v>
      </c>
      <c r="G11" s="157">
        <v>2</v>
      </c>
      <c r="H11" s="157">
        <v>2</v>
      </c>
    </row>
    <row r="12" spans="1:8" x14ac:dyDescent="0.3">
      <c r="A12" s="94" t="s">
        <v>662</v>
      </c>
      <c r="B12" s="94" t="s">
        <v>1195</v>
      </c>
      <c r="C12" s="94" t="s">
        <v>852</v>
      </c>
      <c r="D12" s="94" t="s">
        <v>595</v>
      </c>
      <c r="E12" s="158">
        <v>46203</v>
      </c>
      <c r="F12" s="160">
        <v>45</v>
      </c>
      <c r="G12" s="157">
        <v>1</v>
      </c>
      <c r="H12" s="157">
        <v>1</v>
      </c>
    </row>
    <row r="13" spans="1:8" x14ac:dyDescent="0.3">
      <c r="A13" s="94" t="s">
        <v>567</v>
      </c>
      <c r="B13" s="94" t="s">
        <v>647</v>
      </c>
      <c r="C13" s="94" t="s">
        <v>648</v>
      </c>
      <c r="D13" s="94" t="s">
        <v>646</v>
      </c>
      <c r="E13" s="158">
        <v>46197</v>
      </c>
      <c r="F13" s="160">
        <v>51</v>
      </c>
      <c r="G13" s="157">
        <v>4</v>
      </c>
      <c r="H13" s="157">
        <v>10</v>
      </c>
    </row>
    <row r="14" spans="1:8" x14ac:dyDescent="0.3">
      <c r="A14" s="94" t="s">
        <v>966</v>
      </c>
      <c r="B14" s="94" t="s">
        <v>967</v>
      </c>
      <c r="C14" s="94" t="s">
        <v>967</v>
      </c>
      <c r="D14" s="94" t="s">
        <v>608</v>
      </c>
      <c r="E14" s="158">
        <v>46192</v>
      </c>
      <c r="F14" s="160">
        <v>56</v>
      </c>
      <c r="G14" s="157">
        <v>2</v>
      </c>
      <c r="H14" s="157">
        <v>2</v>
      </c>
    </row>
    <row r="15" spans="1:8" x14ac:dyDescent="0.3">
      <c r="A15" s="94" t="s">
        <v>567</v>
      </c>
      <c r="B15" s="94" t="s">
        <v>1143</v>
      </c>
      <c r="C15" s="94" t="s">
        <v>1143</v>
      </c>
      <c r="D15" s="94" t="s">
        <v>646</v>
      </c>
      <c r="E15" s="158">
        <v>46189</v>
      </c>
      <c r="F15" s="160">
        <v>59</v>
      </c>
      <c r="G15" s="157">
        <v>1</v>
      </c>
      <c r="H15" s="157">
        <v>1</v>
      </c>
    </row>
    <row r="16" spans="1:8" x14ac:dyDescent="0.3">
      <c r="A16" s="94" t="s">
        <v>567</v>
      </c>
      <c r="B16" s="94" t="s">
        <v>851</v>
      </c>
      <c r="C16" s="94" t="s">
        <v>852</v>
      </c>
      <c r="D16" s="94" t="s">
        <v>850</v>
      </c>
      <c r="E16" s="158">
        <v>46162</v>
      </c>
      <c r="F16" s="160">
        <v>86</v>
      </c>
      <c r="G16" s="157">
        <v>2</v>
      </c>
      <c r="H16" s="157">
        <v>2</v>
      </c>
    </row>
    <row r="17" spans="1:8" x14ac:dyDescent="0.3">
      <c r="A17" s="94" t="s">
        <v>966</v>
      </c>
      <c r="B17" s="94" t="s">
        <v>1067</v>
      </c>
      <c r="C17" s="94" t="s">
        <v>852</v>
      </c>
      <c r="D17" s="94" t="s">
        <v>1066</v>
      </c>
      <c r="E17" s="158">
        <v>46150</v>
      </c>
      <c r="F17" s="161">
        <v>98</v>
      </c>
      <c r="G17" s="157">
        <v>1</v>
      </c>
      <c r="H17" s="157">
        <v>1</v>
      </c>
    </row>
    <row r="18" spans="1:8" x14ac:dyDescent="0.3">
      <c r="A18" s="94" t="s">
        <v>580</v>
      </c>
      <c r="B18" s="94" t="s">
        <v>1061</v>
      </c>
      <c r="C18" s="94" t="s">
        <v>852</v>
      </c>
      <c r="D18" s="94" t="s">
        <v>850</v>
      </c>
      <c r="E18" s="158">
        <v>46148</v>
      </c>
      <c r="F18" s="161">
        <v>100</v>
      </c>
      <c r="G18" s="157">
        <v>1</v>
      </c>
      <c r="H18" s="157">
        <v>1</v>
      </c>
    </row>
    <row r="19" spans="1:8" x14ac:dyDescent="0.3">
      <c r="A19" s="94" t="s">
        <v>662</v>
      </c>
      <c r="B19" s="94" t="s">
        <v>740</v>
      </c>
      <c r="C19" s="94" t="s">
        <v>664</v>
      </c>
      <c r="D19" s="94" t="s">
        <v>614</v>
      </c>
      <c r="E19" s="158">
        <v>46141</v>
      </c>
      <c r="F19" s="161">
        <v>107</v>
      </c>
      <c r="G19" s="157">
        <v>2</v>
      </c>
      <c r="H19" s="157">
        <v>4</v>
      </c>
    </row>
    <row r="20" spans="1:8" x14ac:dyDescent="0.3">
      <c r="A20" s="94" t="s">
        <v>68</v>
      </c>
      <c r="B20" s="94" t="s">
        <v>699</v>
      </c>
      <c r="C20" s="94" t="s">
        <v>103</v>
      </c>
      <c r="D20" s="94" t="s">
        <v>570</v>
      </c>
      <c r="E20" s="158">
        <v>46140</v>
      </c>
      <c r="F20" s="161">
        <v>108</v>
      </c>
      <c r="G20" s="157">
        <v>4</v>
      </c>
      <c r="H20" s="157">
        <v>6</v>
      </c>
    </row>
    <row r="21" spans="1:8" x14ac:dyDescent="0.3">
      <c r="A21" s="94" t="s">
        <v>567</v>
      </c>
      <c r="B21" s="94" t="s">
        <v>635</v>
      </c>
      <c r="C21" s="94" t="s">
        <v>635</v>
      </c>
      <c r="D21" s="94" t="s">
        <v>634</v>
      </c>
      <c r="E21" s="158">
        <v>46127</v>
      </c>
      <c r="F21" s="161">
        <v>121</v>
      </c>
      <c r="G21" s="157">
        <v>1</v>
      </c>
      <c r="H21" s="157">
        <v>3</v>
      </c>
    </row>
    <row r="22" spans="1:8" x14ac:dyDescent="0.3">
      <c r="A22" s="94" t="s">
        <v>567</v>
      </c>
      <c r="B22" s="94" t="s">
        <v>989</v>
      </c>
      <c r="C22" s="94" t="s">
        <v>989</v>
      </c>
      <c r="D22" s="94" t="s">
        <v>608</v>
      </c>
      <c r="E22" s="158">
        <v>46126</v>
      </c>
      <c r="F22" s="161">
        <v>122</v>
      </c>
      <c r="G22" s="157">
        <v>1</v>
      </c>
      <c r="H22" s="157">
        <v>1</v>
      </c>
    </row>
    <row r="23" spans="1:8" x14ac:dyDescent="0.3">
      <c r="A23" s="94" t="s">
        <v>567</v>
      </c>
      <c r="B23" s="94" t="s">
        <v>755</v>
      </c>
      <c r="C23" s="94" t="s">
        <v>755</v>
      </c>
      <c r="D23" s="94" t="s">
        <v>646</v>
      </c>
      <c r="E23" s="158">
        <v>46097</v>
      </c>
      <c r="F23" s="161">
        <v>151</v>
      </c>
      <c r="G23" s="157">
        <v>1</v>
      </c>
      <c r="H23" s="157">
        <v>2</v>
      </c>
    </row>
    <row r="24" spans="1:8" x14ac:dyDescent="0.3">
      <c r="A24" s="94" t="s">
        <v>567</v>
      </c>
      <c r="B24" s="94" t="s">
        <v>1419</v>
      </c>
      <c r="C24" s="94" t="s">
        <v>111</v>
      </c>
      <c r="D24" s="94" t="s">
        <v>614</v>
      </c>
      <c r="E24" s="158">
        <v>46069</v>
      </c>
      <c r="F24" s="161">
        <v>179</v>
      </c>
      <c r="G24" s="157">
        <v>1</v>
      </c>
      <c r="H24" s="157">
        <v>4</v>
      </c>
    </row>
    <row r="25" spans="1:8" x14ac:dyDescent="0.3">
      <c r="A25" s="94" t="s">
        <v>567</v>
      </c>
      <c r="B25" s="94" t="s">
        <v>823</v>
      </c>
      <c r="C25" s="94" t="s">
        <v>823</v>
      </c>
      <c r="D25" s="94" t="s">
        <v>614</v>
      </c>
      <c r="E25" s="158">
        <v>46038</v>
      </c>
      <c r="F25" s="161">
        <v>210</v>
      </c>
      <c r="G25" s="157">
        <v>1</v>
      </c>
      <c r="H25" s="157">
        <v>1</v>
      </c>
    </row>
    <row r="26" spans="1:8" x14ac:dyDescent="0.3">
      <c r="A26" s="94" t="s">
        <v>811</v>
      </c>
      <c r="B26" s="94" t="s">
        <v>812</v>
      </c>
      <c r="C26" s="94" t="s">
        <v>812</v>
      </c>
      <c r="D26" s="94" t="s">
        <v>614</v>
      </c>
      <c r="E26" s="158">
        <v>46029</v>
      </c>
      <c r="F26" s="161">
        <v>219</v>
      </c>
      <c r="G26" s="157">
        <v>1</v>
      </c>
      <c r="H26" s="157">
        <v>1</v>
      </c>
    </row>
    <row r="27" spans="1:8" x14ac:dyDescent="0.3">
      <c r="A27" s="94" t="s">
        <v>580</v>
      </c>
      <c r="B27" s="94" t="s">
        <v>670</v>
      </c>
      <c r="C27" s="94" t="s">
        <v>670</v>
      </c>
      <c r="D27" s="94" t="s">
        <v>608</v>
      </c>
      <c r="E27" s="158">
        <v>46002</v>
      </c>
      <c r="F27" s="161">
        <v>246</v>
      </c>
      <c r="G27" s="157">
        <v>0</v>
      </c>
      <c r="H27" s="157">
        <v>3</v>
      </c>
    </row>
    <row r="28" spans="1:8" x14ac:dyDescent="0.3">
      <c r="A28" s="94" t="s">
        <v>567</v>
      </c>
      <c r="B28" s="94" t="s">
        <v>48</v>
      </c>
      <c r="C28" s="94" t="s">
        <v>48</v>
      </c>
      <c r="D28" s="94" t="s">
        <v>582</v>
      </c>
      <c r="E28" s="158">
        <v>45941</v>
      </c>
      <c r="F28" s="161">
        <v>307</v>
      </c>
      <c r="G28" s="157">
        <v>0</v>
      </c>
      <c r="H28" s="157">
        <v>1</v>
      </c>
    </row>
    <row r="29" spans="1:8" x14ac:dyDescent="0.3">
      <c r="A29" s="94" t="s">
        <v>567</v>
      </c>
      <c r="B29" s="94" t="s">
        <v>763</v>
      </c>
      <c r="C29" s="94" t="s">
        <v>763</v>
      </c>
      <c r="D29" s="94" t="s">
        <v>582</v>
      </c>
      <c r="E29" s="158">
        <v>45925</v>
      </c>
      <c r="F29" s="161">
        <v>323</v>
      </c>
      <c r="G29" s="157">
        <v>0</v>
      </c>
      <c r="H29" s="157">
        <v>1</v>
      </c>
    </row>
    <row r="30" spans="1:8" x14ac:dyDescent="0.3">
      <c r="A30" s="94" t="s">
        <v>567</v>
      </c>
      <c r="B30" s="94" t="s">
        <v>1420</v>
      </c>
      <c r="C30" s="94" t="s">
        <v>615</v>
      </c>
      <c r="D30" s="94" t="s">
        <v>614</v>
      </c>
      <c r="E30" s="158">
        <v>45922</v>
      </c>
      <c r="F30" s="161">
        <v>326</v>
      </c>
      <c r="G30" s="157">
        <v>0</v>
      </c>
      <c r="H30" s="157">
        <v>3</v>
      </c>
    </row>
    <row r="31" spans="1:8" x14ac:dyDescent="0.3">
      <c r="A31" s="94" t="s">
        <v>567</v>
      </c>
      <c r="B31" s="94" t="s">
        <v>650</v>
      </c>
      <c r="C31" s="94" t="s">
        <v>650</v>
      </c>
      <c r="D31" s="94" t="s">
        <v>596</v>
      </c>
      <c r="E31" s="158">
        <v>45878</v>
      </c>
      <c r="F31" s="162">
        <v>370</v>
      </c>
      <c r="G31" s="157">
        <v>0</v>
      </c>
      <c r="H31" s="157">
        <v>2</v>
      </c>
    </row>
    <row r="32" spans="1:8" x14ac:dyDescent="0.3">
      <c r="A32" s="94" t="s">
        <v>567</v>
      </c>
      <c r="B32" s="94" t="s">
        <v>523</v>
      </c>
      <c r="C32" s="94" t="s">
        <v>648</v>
      </c>
      <c r="D32" s="94" t="s">
        <v>717</v>
      </c>
      <c r="E32" s="158">
        <v>45874</v>
      </c>
      <c r="F32" s="162">
        <v>374</v>
      </c>
      <c r="G32" s="157">
        <v>0</v>
      </c>
      <c r="H32" s="157">
        <v>1</v>
      </c>
    </row>
    <row r="33" spans="1:8" x14ac:dyDescent="0.3">
      <c r="A33" s="94" t="s">
        <v>580</v>
      </c>
      <c r="B33" s="94" t="s">
        <v>609</v>
      </c>
      <c r="C33" s="94" t="s">
        <v>609</v>
      </c>
      <c r="D33" s="94" t="s">
        <v>608</v>
      </c>
      <c r="E33" s="158">
        <v>45855</v>
      </c>
      <c r="F33" s="162">
        <v>393</v>
      </c>
      <c r="G33" s="157">
        <v>0</v>
      </c>
      <c r="H33" s="157">
        <v>7</v>
      </c>
    </row>
    <row r="34" spans="1:8" x14ac:dyDescent="0.3">
      <c r="A34" s="94" t="s">
        <v>580</v>
      </c>
      <c r="B34" s="94" t="s">
        <v>677</v>
      </c>
      <c r="C34" s="94" t="s">
        <v>677</v>
      </c>
      <c r="D34" s="94" t="s">
        <v>608</v>
      </c>
      <c r="E34" s="158">
        <v>45832</v>
      </c>
      <c r="F34" s="162">
        <v>416</v>
      </c>
      <c r="G34" s="157">
        <v>0</v>
      </c>
      <c r="H34" s="157">
        <v>2</v>
      </c>
    </row>
    <row r="35" spans="1:8" x14ac:dyDescent="0.3">
      <c r="A35" s="94" t="s">
        <v>567</v>
      </c>
      <c r="B35" s="94" t="s">
        <v>1421</v>
      </c>
      <c r="C35" s="94" t="s">
        <v>729</v>
      </c>
      <c r="D35" s="94" t="s">
        <v>728</v>
      </c>
      <c r="E35" s="158">
        <v>45824</v>
      </c>
      <c r="F35" s="162">
        <v>424</v>
      </c>
      <c r="G35" s="157">
        <v>0</v>
      </c>
      <c r="H35" s="157">
        <v>1</v>
      </c>
    </row>
    <row r="36" spans="1:8" x14ac:dyDescent="0.3">
      <c r="A36" s="94" t="s">
        <v>567</v>
      </c>
      <c r="B36" s="94" t="s">
        <v>725</v>
      </c>
      <c r="C36" s="94" t="s">
        <v>725</v>
      </c>
      <c r="D36" s="94" t="s">
        <v>634</v>
      </c>
      <c r="E36" s="158">
        <v>45818</v>
      </c>
      <c r="F36" s="162">
        <v>430</v>
      </c>
      <c r="G36" s="157">
        <v>0</v>
      </c>
      <c r="H36" s="157">
        <v>1</v>
      </c>
    </row>
    <row r="37" spans="1:8" x14ac:dyDescent="0.3">
      <c r="A37" s="94" t="s">
        <v>567</v>
      </c>
      <c r="B37" s="94" t="s">
        <v>710</v>
      </c>
      <c r="C37" s="94" t="s">
        <v>710</v>
      </c>
      <c r="D37" s="94" t="s">
        <v>680</v>
      </c>
      <c r="E37" s="158">
        <v>45796</v>
      </c>
      <c r="F37" s="162">
        <v>452</v>
      </c>
      <c r="G37" s="157">
        <v>0</v>
      </c>
      <c r="H37" s="157">
        <v>1</v>
      </c>
    </row>
    <row r="38" spans="1:8" x14ac:dyDescent="0.3">
      <c r="A38" s="94" t="s">
        <v>567</v>
      </c>
      <c r="B38" s="94" t="s">
        <v>713</v>
      </c>
      <c r="C38" s="94" t="s">
        <v>714</v>
      </c>
      <c r="D38" s="94" t="s">
        <v>646</v>
      </c>
      <c r="E38" s="158">
        <v>45796</v>
      </c>
      <c r="F38" s="162">
        <v>452</v>
      </c>
      <c r="G38" s="157">
        <v>0</v>
      </c>
      <c r="H38" s="157">
        <v>1</v>
      </c>
    </row>
    <row r="39" spans="1:8" x14ac:dyDescent="0.3">
      <c r="A39" s="94" t="s">
        <v>567</v>
      </c>
      <c r="B39" s="94" t="s">
        <v>694</v>
      </c>
      <c r="C39" s="94" t="s">
        <v>695</v>
      </c>
      <c r="D39" s="94" t="s">
        <v>694</v>
      </c>
      <c r="E39" s="158">
        <v>45785</v>
      </c>
      <c r="F39" s="162">
        <v>463</v>
      </c>
      <c r="G39" s="157">
        <v>0</v>
      </c>
      <c r="H39" s="157">
        <v>1</v>
      </c>
    </row>
    <row r="40" spans="1:8" x14ac:dyDescent="0.3">
      <c r="A40" s="94" t="s">
        <v>68</v>
      </c>
      <c r="B40" s="94" t="s">
        <v>498</v>
      </c>
      <c r="C40" s="94" t="s">
        <v>673</v>
      </c>
      <c r="D40" s="94" t="s">
        <v>570</v>
      </c>
      <c r="E40" s="158">
        <v>45737</v>
      </c>
      <c r="F40" s="162">
        <v>511</v>
      </c>
      <c r="G40" s="157">
        <v>0</v>
      </c>
      <c r="H40" s="157">
        <v>1</v>
      </c>
    </row>
    <row r="41" spans="1:8" x14ac:dyDescent="0.3">
      <c r="A41" s="94" t="s">
        <v>662</v>
      </c>
      <c r="B41" s="94" t="s">
        <v>663</v>
      </c>
      <c r="C41" s="94" t="s">
        <v>664</v>
      </c>
      <c r="D41" s="94" t="s">
        <v>581</v>
      </c>
      <c r="E41" s="158">
        <v>45729</v>
      </c>
      <c r="F41" s="162">
        <v>519</v>
      </c>
      <c r="G41" s="157">
        <v>0</v>
      </c>
      <c r="H41" s="157">
        <v>1</v>
      </c>
    </row>
    <row r="42" spans="1:8" x14ac:dyDescent="0.3">
      <c r="A42" s="94" t="s">
        <v>567</v>
      </c>
      <c r="B42" s="94" t="s">
        <v>1422</v>
      </c>
      <c r="C42" s="94" t="s">
        <v>595</v>
      </c>
      <c r="D42" s="94" t="s">
        <v>641</v>
      </c>
      <c r="E42" s="158">
        <v>45701</v>
      </c>
      <c r="F42" s="162">
        <v>547</v>
      </c>
      <c r="G42" s="157">
        <v>0</v>
      </c>
      <c r="H42" s="157">
        <v>1</v>
      </c>
    </row>
    <row r="43" spans="1:8" x14ac:dyDescent="0.3">
      <c r="A43" s="94" t="s">
        <v>567</v>
      </c>
      <c r="B43" s="94" t="s">
        <v>596</v>
      </c>
      <c r="C43" s="94" t="s">
        <v>595</v>
      </c>
      <c r="D43" s="94" t="s">
        <v>596</v>
      </c>
      <c r="E43" s="158">
        <v>45678</v>
      </c>
      <c r="F43" s="162">
        <v>570</v>
      </c>
      <c r="G43" s="157">
        <v>0</v>
      </c>
      <c r="H43" s="157">
        <v>1</v>
      </c>
    </row>
    <row r="44" spans="1:8" x14ac:dyDescent="0.3">
      <c r="A44" s="94" t="s">
        <v>580</v>
      </c>
      <c r="B44" s="94" t="s">
        <v>583</v>
      </c>
      <c r="C44" s="94" t="s">
        <v>584</v>
      </c>
      <c r="D44" s="94" t="s">
        <v>582</v>
      </c>
      <c r="E44" s="158">
        <v>45668</v>
      </c>
      <c r="F44" s="162">
        <v>580</v>
      </c>
      <c r="G44" s="157">
        <v>0</v>
      </c>
      <c r="H44" s="157">
        <v>2</v>
      </c>
    </row>
    <row r="45" spans="1:8" x14ac:dyDescent="0.3">
      <c r="A45" s="192" t="s">
        <v>1417</v>
      </c>
      <c r="B45" s="191"/>
      <c r="C45" s="191"/>
      <c r="D45" s="191"/>
      <c r="E45" s="191"/>
      <c r="F45" s="191"/>
      <c r="G45" s="191">
        <v>76</v>
      </c>
      <c r="H45" s="191">
        <v>150</v>
      </c>
    </row>
  </sheetData>
  <mergeCells count="2">
    <mergeCell ref="A1:H1"/>
    <mergeCell ref="A2:H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F9DACA816DC814BB2219E5FD4246BDC" ma:contentTypeVersion="17" ma:contentTypeDescription="Crear nuevo documento." ma:contentTypeScope="" ma:versionID="a94e9633f41dcb376914ff910ac7df6c">
  <xsd:schema xmlns:xsd="http://www.w3.org/2001/XMLSchema" xmlns:xs="http://www.w3.org/2001/XMLSchema" xmlns:p="http://schemas.microsoft.com/office/2006/metadata/properties" xmlns:ns2="f68fe145-c78a-49db-b01b-c0e7554ba85d" xmlns:ns3="83e37528-d30e-4058-a9de-866c8a9428eb" targetNamespace="http://schemas.microsoft.com/office/2006/metadata/properties" ma:root="true" ma:fieldsID="8f5deb7df442fa50cb44ce7fef2b24a7" ns2:_="" ns3:_="">
    <xsd:import namespace="f68fe145-c78a-49db-b01b-c0e7554ba85d"/>
    <xsd:import namespace="83e37528-d30e-4058-a9de-866c8a9428e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8fe145-c78a-49db-b01b-c0e7554ba8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68d7a1ca-a630-45fb-8922-c7d008bf595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3e37528-d30e-4058-a9de-866c8a9428eb"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cd099aeb-f553-4c88-ab68-6fc49f0e5eb2}" ma:internalName="TaxCatchAll" ma:showField="CatchAllData" ma:web="83e37528-d30e-4058-a9de-866c8a9428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68fe145-c78a-49db-b01b-c0e7554ba85d">
      <Terms xmlns="http://schemas.microsoft.com/office/infopath/2007/PartnerControls"/>
    </lcf76f155ced4ddcb4097134ff3c332f>
    <TaxCatchAll xmlns="83e37528-d30e-4058-a9de-866c8a9428eb" xsi:nil="true"/>
  </documentManagement>
</p:properties>
</file>

<file path=customXml/itemProps1.xml><?xml version="1.0" encoding="utf-8"?>
<ds:datastoreItem xmlns:ds="http://schemas.openxmlformats.org/officeDocument/2006/customXml" ds:itemID="{AB8C7ED2-AD51-4738-BE4A-69D4BD217DC1}">
  <ds:schemaRefs>
    <ds:schemaRef ds:uri="http://schemas.microsoft.com/sharepoint/v3/contenttype/forms"/>
  </ds:schemaRefs>
</ds:datastoreItem>
</file>

<file path=customXml/itemProps2.xml><?xml version="1.0" encoding="utf-8"?>
<ds:datastoreItem xmlns:ds="http://schemas.openxmlformats.org/officeDocument/2006/customXml" ds:itemID="{5E2A8A31-601F-4FD5-B743-A31032EC6E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8fe145-c78a-49db-b01b-c0e7554ba85d"/>
    <ds:schemaRef ds:uri="83e37528-d30e-4058-a9de-866c8a9428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1AE85A-7EF6-427B-9E93-4A834F7479F5}">
  <ds:schemaRefs>
    <ds:schemaRef ds:uri="http://schemas.microsoft.com/office/2006/metadata/properties"/>
    <ds:schemaRef ds:uri="http://schemas.microsoft.com/office/infopath/2007/PartnerControls"/>
    <ds:schemaRef ds:uri="f68fe145-c78a-49db-b01b-c0e7554ba85d"/>
    <ds:schemaRef ds:uri="83e37528-d30e-4058-a9de-866c8a9428eb"/>
  </ds:schemaRefs>
</ds:datastoreItem>
</file>

<file path=docMetadata/LabelInfo.xml><?xml version="1.0" encoding="utf-8"?>
<clbl:labelList xmlns:clbl="http://schemas.microsoft.com/office/2020/mipLabelMetadata">
  <clbl:label id="{d64a6fc3-496d-44ea-86a8-5b93f17e3566}" enabled="1" method="Standard" siteId="{3b16616d-f174-497a-a1ae-900d8510699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1° Incidentes </vt:lpstr>
      <vt:lpstr>2° Accidentes</vt:lpstr>
      <vt:lpstr>Hoja2</vt:lpstr>
      <vt:lpstr>VISUAL</vt:lpstr>
      <vt:lpstr>Hoja1</vt:lpstr>
      <vt:lpstr>Hoja3</vt:lpstr>
      <vt:lpstr>2024</vt:lpstr>
      <vt:lpstr>2023</vt:lpstr>
      <vt:lpstr>TABLERO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Gianella Arcela Ponte Carrasco</dc:creator>
  <cp:keywords/>
  <dc:description/>
  <cp:lastModifiedBy>Gianella Arcela Ponte Carrasco</cp:lastModifiedBy>
  <cp:revision/>
  <dcterms:created xsi:type="dcterms:W3CDTF">2026-04-06T19:00:12Z</dcterms:created>
  <dcterms:modified xsi:type="dcterms:W3CDTF">2026-08-18T16:23:04Z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0x0101007F9DACA816DC814BB2219E5FD4246BDC</vt:lpwstr>
  </property>
  <property fmtid="{D5CDD505-2E9C-101B-9397-08002B2CF9AE}" pid="3" name="MediaServiceImageTags">
    <vt:lpwstr/>
  </property>
</Properties>
</file>