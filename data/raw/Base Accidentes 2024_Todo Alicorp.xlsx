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rinterSettings/printerSettings1.bin" ContentType="application/vnd.openxmlformats-officedocument.spreadsheetml.printerSettings"/>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rinterSettings/printerSettings2.bin" ContentType="application/vnd.openxmlformats-officedocument.spreadsheetml.printerSettings"/>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gpontec\Descargas\"/>
    </mc:Choice>
  </mc:AlternateContent>
  <xr:revisionPtr revIDLastSave="0" documentId="8_{A6AE78FC-82EB-4EE1-90A6-EF6495D13631}" xr6:coauthVersionLast="47" xr6:coauthVersionMax="47" xr10:uidLastSave="{00000000-0000-0000-0000-000000000000}"/>
  <bookViews>
    <workbookView xWindow="-108" yWindow="-108" windowWidth="23256" windowHeight="13896" firstSheet="1" activeTab="1" xr2:uid="{00000000-000D-0000-FFFF-FFFF00000000}"/>
  </bookViews>
  <sheets>
    <sheet name="Hoja9" sheetId="16" r:id="rId1"/>
    <sheet name="Base" sheetId="1" r:id="rId2"/>
    <sheet name="Hoja5" sheetId="12" r:id="rId3"/>
    <sheet name="Desplegables" sheetId="2" r:id="rId4"/>
    <sheet name="Tablas" sheetId="3" r:id="rId5"/>
    <sheet name="Hoja1" sheetId="5" r:id="rId6"/>
    <sheet name="Tablas (2)" sheetId="4" r:id="rId7"/>
    <sheet name="Hoja3" sheetId="9" r:id="rId8"/>
    <sheet name="Hoja2" sheetId="10" r:id="rId9"/>
    <sheet name="Hoja4" sheetId="11" r:id="rId10"/>
    <sheet name="Hoja6" sheetId="13" r:id="rId11"/>
    <sheet name="Hoja7" sheetId="14" r:id="rId12"/>
    <sheet name="Hoja8" sheetId="17" r:id="rId13"/>
  </sheets>
  <definedNames>
    <definedName name="_xlnm._FilterDatabase" localSheetId="1" hidden="1">Base!$O$281:$O$281</definedName>
    <definedName name="Z_140AD779_13CE_447C_9CD3_5F0532BEF1C0_.wvu.FilterData" localSheetId="1" hidden="1">Base!$A$1:$AN$70</definedName>
    <definedName name="Z_A9EB8B78_4448_4673_984E_F45C7FBF0F49_.wvu.FilterData" localSheetId="1" hidden="1">Base!$A$1:$AN$71</definedName>
    <definedName name="Z_CB099478_40AF_4959_9D50_3DB7DA20C1D7_.wvu.FilterData" localSheetId="1" hidden="1">Base!$A$1:$AN$40</definedName>
  </definedNames>
  <calcPr calcId="191028" concurrentManualCount="12"/>
  <pivotCaches>
    <pivotCache cacheId="0" r:id="rId14"/>
    <pivotCache cacheId="1" r:id="rId15"/>
    <pivotCache cacheId="2" r:id="rId16"/>
    <pivotCache cacheId="3"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282" i="1" l="1"/>
  <c r="P282" i="1"/>
  <c r="O282" i="1"/>
  <c r="N282" i="1"/>
  <c r="M282" i="1"/>
  <c r="K282" i="1"/>
  <c r="F15" i="17"/>
  <c r="G15" i="17"/>
  <c r="E15" i="17"/>
  <c r="K12" i="1"/>
  <c r="M12" i="1"/>
  <c r="N12" i="1"/>
  <c r="O12" i="1"/>
  <c r="P12" i="1"/>
  <c r="AQ12" i="1"/>
  <c r="K5" i="1"/>
  <c r="M5" i="1"/>
  <c r="N5" i="1"/>
  <c r="O5" i="1"/>
  <c r="P5" i="1"/>
  <c r="AQ5" i="1"/>
  <c r="K24" i="1"/>
  <c r="M24" i="1"/>
  <c r="N24" i="1"/>
  <c r="O24" i="1"/>
  <c r="P24" i="1"/>
  <c r="AQ24" i="1"/>
  <c r="K27" i="1"/>
  <c r="M27" i="1"/>
  <c r="N27" i="1"/>
  <c r="O27" i="1"/>
  <c r="P27" i="1"/>
  <c r="AQ27" i="1"/>
  <c r="K8" i="1"/>
  <c r="M8" i="1"/>
  <c r="N8" i="1"/>
  <c r="O8" i="1"/>
  <c r="P8" i="1"/>
  <c r="AQ8" i="1"/>
  <c r="K22" i="1"/>
  <c r="M22" i="1"/>
  <c r="N22" i="1"/>
  <c r="O22" i="1"/>
  <c r="P22" i="1"/>
  <c r="AQ22" i="1"/>
  <c r="K11" i="1"/>
  <c r="M11" i="1"/>
  <c r="N11" i="1"/>
  <c r="O11" i="1"/>
  <c r="P11" i="1"/>
  <c r="AQ11" i="1"/>
  <c r="K28" i="1"/>
  <c r="M28" i="1"/>
  <c r="N28" i="1"/>
  <c r="O28" i="1"/>
  <c r="P28" i="1"/>
  <c r="AQ28" i="1"/>
  <c r="K44" i="1"/>
  <c r="M44" i="1"/>
  <c r="N44" i="1"/>
  <c r="O44" i="1"/>
  <c r="P44" i="1"/>
  <c r="AQ44" i="1"/>
  <c r="K25" i="1"/>
  <c r="M25" i="1"/>
  <c r="N25" i="1"/>
  <c r="O25" i="1"/>
  <c r="P25" i="1"/>
  <c r="AQ25" i="1"/>
  <c r="K46" i="1"/>
  <c r="M46" i="1"/>
  <c r="N46" i="1"/>
  <c r="O46" i="1"/>
  <c r="P46" i="1"/>
  <c r="AQ46" i="1"/>
  <c r="K52" i="1"/>
  <c r="M52" i="1"/>
  <c r="N52" i="1"/>
  <c r="O52" i="1"/>
  <c r="P52" i="1"/>
  <c r="AQ52" i="1"/>
  <c r="K56" i="1"/>
  <c r="M56" i="1"/>
  <c r="N56" i="1"/>
  <c r="O56" i="1"/>
  <c r="P56" i="1"/>
  <c r="AQ56" i="1"/>
  <c r="K53" i="1"/>
  <c r="M53" i="1"/>
  <c r="N53" i="1"/>
  <c r="O53" i="1"/>
  <c r="P53" i="1"/>
  <c r="AQ53" i="1"/>
  <c r="K75" i="1"/>
  <c r="M75" i="1"/>
  <c r="N75" i="1"/>
  <c r="O75" i="1"/>
  <c r="P75" i="1"/>
  <c r="AQ75" i="1"/>
  <c r="K83" i="1"/>
  <c r="M83" i="1"/>
  <c r="N83" i="1"/>
  <c r="O83" i="1"/>
  <c r="P83" i="1"/>
  <c r="AQ83" i="1"/>
  <c r="K60" i="1"/>
  <c r="M60" i="1"/>
  <c r="N60" i="1"/>
  <c r="O60" i="1"/>
  <c r="P60" i="1"/>
  <c r="AQ60" i="1"/>
  <c r="K90" i="1"/>
  <c r="M90" i="1"/>
  <c r="N90" i="1"/>
  <c r="O90" i="1"/>
  <c r="P90" i="1"/>
  <c r="AQ90" i="1"/>
  <c r="K68" i="1"/>
  <c r="M68" i="1"/>
  <c r="N68" i="1"/>
  <c r="O68" i="1"/>
  <c r="P68" i="1"/>
  <c r="AM68" i="1"/>
  <c r="AQ68" i="1"/>
  <c r="K163" i="1"/>
  <c r="M163" i="1"/>
  <c r="N163" i="1"/>
  <c r="O163" i="1"/>
  <c r="P163" i="1"/>
  <c r="AQ163" i="1"/>
  <c r="K91" i="1"/>
  <c r="M91" i="1"/>
  <c r="N91" i="1"/>
  <c r="O91" i="1"/>
  <c r="P91" i="1"/>
  <c r="AQ91" i="1"/>
  <c r="K96" i="1"/>
  <c r="M96" i="1"/>
  <c r="N96" i="1"/>
  <c r="O96" i="1"/>
  <c r="P96" i="1"/>
  <c r="AQ96" i="1"/>
  <c r="K89" i="1"/>
  <c r="M89" i="1"/>
  <c r="N89" i="1"/>
  <c r="O89" i="1"/>
  <c r="P89" i="1"/>
  <c r="AQ89" i="1"/>
  <c r="K92" i="1"/>
  <c r="M92" i="1"/>
  <c r="N92" i="1"/>
  <c r="O92" i="1"/>
  <c r="P92" i="1"/>
  <c r="AQ92" i="1"/>
  <c r="K97" i="1"/>
  <c r="M97" i="1"/>
  <c r="N97" i="1"/>
  <c r="O97" i="1"/>
  <c r="P97" i="1"/>
  <c r="AQ97" i="1"/>
  <c r="K111" i="1"/>
  <c r="M111" i="1"/>
  <c r="N111" i="1"/>
  <c r="O111" i="1"/>
  <c r="P111" i="1"/>
  <c r="K116" i="1"/>
  <c r="M116" i="1"/>
  <c r="N116" i="1"/>
  <c r="O116" i="1"/>
  <c r="P116" i="1"/>
  <c r="AQ116" i="1"/>
  <c r="K118" i="1"/>
  <c r="M118" i="1"/>
  <c r="N118" i="1"/>
  <c r="O118" i="1"/>
  <c r="P118" i="1"/>
  <c r="AQ118" i="1"/>
  <c r="K120" i="1"/>
  <c r="M120" i="1"/>
  <c r="N120" i="1"/>
  <c r="O120" i="1"/>
  <c r="P120" i="1"/>
  <c r="AQ120" i="1"/>
  <c r="K122" i="1"/>
  <c r="M122" i="1"/>
  <c r="N122" i="1"/>
  <c r="O122" i="1"/>
  <c r="P122" i="1"/>
  <c r="AQ122" i="1"/>
  <c r="K123" i="1"/>
  <c r="M123" i="1"/>
  <c r="N123" i="1"/>
  <c r="O123" i="1"/>
  <c r="P123" i="1"/>
  <c r="AQ123" i="1"/>
  <c r="K121" i="1"/>
  <c r="M121" i="1"/>
  <c r="N121" i="1"/>
  <c r="O121" i="1"/>
  <c r="P121" i="1"/>
  <c r="AQ121" i="1"/>
  <c r="K125" i="1"/>
  <c r="M125" i="1"/>
  <c r="N125" i="1"/>
  <c r="O125" i="1"/>
  <c r="P125" i="1"/>
  <c r="AQ125" i="1"/>
  <c r="K128" i="1"/>
  <c r="M128" i="1"/>
  <c r="N128" i="1"/>
  <c r="O128" i="1"/>
  <c r="P128" i="1"/>
  <c r="AQ128" i="1"/>
  <c r="K129" i="1"/>
  <c r="M129" i="1"/>
  <c r="N129" i="1"/>
  <c r="O129" i="1"/>
  <c r="P129" i="1"/>
  <c r="AQ129" i="1"/>
  <c r="K131" i="1"/>
  <c r="M131" i="1"/>
  <c r="N131" i="1"/>
  <c r="O131" i="1"/>
  <c r="P131" i="1"/>
  <c r="AQ131" i="1"/>
  <c r="K153" i="1"/>
  <c r="M153" i="1"/>
  <c r="N153" i="1"/>
  <c r="O153" i="1"/>
  <c r="P153" i="1"/>
  <c r="AQ153" i="1"/>
  <c r="K147" i="1"/>
  <c r="M147" i="1"/>
  <c r="N147" i="1"/>
  <c r="O147" i="1"/>
  <c r="P147" i="1"/>
  <c r="AQ147" i="1"/>
  <c r="K126" i="1"/>
  <c r="M126" i="1"/>
  <c r="N126" i="1"/>
  <c r="O126" i="1"/>
  <c r="P126" i="1"/>
  <c r="AQ126" i="1"/>
  <c r="K166" i="1"/>
  <c r="M166" i="1"/>
  <c r="N166" i="1"/>
  <c r="O166" i="1"/>
  <c r="P166" i="1"/>
  <c r="AQ166" i="1"/>
  <c r="K169" i="1"/>
  <c r="M169" i="1"/>
  <c r="N169" i="1"/>
  <c r="O169" i="1"/>
  <c r="P169" i="1"/>
  <c r="AQ169" i="1"/>
  <c r="K170" i="1"/>
  <c r="M170" i="1"/>
  <c r="N170" i="1"/>
  <c r="O170" i="1"/>
  <c r="P170" i="1"/>
  <c r="AQ170" i="1"/>
  <c r="K148" i="1"/>
  <c r="M148" i="1"/>
  <c r="N148" i="1"/>
  <c r="O148" i="1"/>
  <c r="P148" i="1"/>
  <c r="AQ148" i="1"/>
  <c r="K183" i="1"/>
  <c r="M183" i="1"/>
  <c r="N183" i="1"/>
  <c r="O183" i="1"/>
  <c r="P183" i="1"/>
  <c r="AQ183" i="1"/>
  <c r="K189" i="1"/>
  <c r="M189" i="1"/>
  <c r="N189" i="1"/>
  <c r="O189" i="1"/>
  <c r="P189" i="1"/>
  <c r="AQ189" i="1"/>
  <c r="K187" i="1"/>
  <c r="M187" i="1"/>
  <c r="N187" i="1"/>
  <c r="O187" i="1"/>
  <c r="P187" i="1"/>
  <c r="AQ187" i="1"/>
  <c r="K190" i="1"/>
  <c r="M190" i="1"/>
  <c r="N190" i="1"/>
  <c r="O190" i="1"/>
  <c r="P190" i="1"/>
  <c r="AQ190" i="1"/>
  <c r="K191" i="1"/>
  <c r="M191" i="1"/>
  <c r="N191" i="1"/>
  <c r="O191" i="1"/>
  <c r="P191" i="1"/>
  <c r="AQ191" i="1"/>
  <c r="K192" i="1"/>
  <c r="M192" i="1"/>
  <c r="N192" i="1"/>
  <c r="O192" i="1"/>
  <c r="P192" i="1"/>
  <c r="AQ192" i="1"/>
  <c r="K193" i="1"/>
  <c r="M193" i="1"/>
  <c r="N193" i="1"/>
  <c r="O193" i="1"/>
  <c r="P193" i="1"/>
  <c r="AQ193" i="1"/>
  <c r="K195" i="1"/>
  <c r="M195" i="1"/>
  <c r="N195" i="1"/>
  <c r="O195" i="1"/>
  <c r="P195" i="1"/>
  <c r="AQ195" i="1"/>
  <c r="M197" i="1"/>
  <c r="N197" i="1"/>
  <c r="O197" i="1"/>
  <c r="P197" i="1"/>
  <c r="AQ197" i="1"/>
  <c r="K198" i="1"/>
  <c r="M198" i="1"/>
  <c r="N198" i="1"/>
  <c r="O198" i="1"/>
  <c r="P198" i="1"/>
  <c r="AQ198" i="1"/>
  <c r="M199" i="1"/>
  <c r="N199" i="1"/>
  <c r="O199" i="1"/>
  <c r="P199" i="1"/>
  <c r="AQ199" i="1"/>
  <c r="K200" i="1"/>
  <c r="M200" i="1"/>
  <c r="N200" i="1"/>
  <c r="O200" i="1"/>
  <c r="P200" i="1"/>
  <c r="AQ200" i="1"/>
  <c r="K211" i="1"/>
  <c r="M211" i="1"/>
  <c r="N211" i="1"/>
  <c r="O211" i="1"/>
  <c r="P211" i="1"/>
  <c r="AQ211" i="1"/>
  <c r="K213" i="1"/>
  <c r="M213" i="1"/>
  <c r="N213" i="1"/>
  <c r="O213" i="1"/>
  <c r="P213" i="1"/>
  <c r="AQ213" i="1"/>
  <c r="K216" i="1"/>
  <c r="M216" i="1"/>
  <c r="N216" i="1"/>
  <c r="O216" i="1"/>
  <c r="P216" i="1"/>
  <c r="AQ216" i="1"/>
  <c r="K218" i="1"/>
  <c r="M218" i="1"/>
  <c r="N218" i="1"/>
  <c r="O218" i="1"/>
  <c r="P218" i="1"/>
  <c r="AQ218" i="1"/>
  <c r="K220" i="1"/>
  <c r="M220" i="1"/>
  <c r="N220" i="1"/>
  <c r="O220" i="1"/>
  <c r="P220" i="1"/>
  <c r="AQ220" i="1"/>
  <c r="K221" i="1"/>
  <c r="M221" i="1"/>
  <c r="N221" i="1"/>
  <c r="O221" i="1"/>
  <c r="P221" i="1"/>
  <c r="AQ221" i="1"/>
  <c r="K222" i="1"/>
  <c r="M222" i="1"/>
  <c r="N222" i="1"/>
  <c r="O222" i="1"/>
  <c r="P222" i="1"/>
  <c r="AQ222" i="1"/>
  <c r="M228" i="1"/>
  <c r="N228" i="1"/>
  <c r="O228" i="1"/>
  <c r="P228" i="1"/>
  <c r="AQ228" i="1"/>
  <c r="K235" i="1"/>
  <c r="M235" i="1"/>
  <c r="N235" i="1"/>
  <c r="O235" i="1"/>
  <c r="P235" i="1"/>
  <c r="AQ235" i="1"/>
  <c r="M236" i="1"/>
  <c r="N236" i="1"/>
  <c r="O236" i="1"/>
  <c r="P236" i="1"/>
  <c r="AQ236" i="1"/>
  <c r="K239" i="1"/>
  <c r="M239" i="1"/>
  <c r="N239" i="1"/>
  <c r="O239" i="1"/>
  <c r="P239" i="1"/>
  <c r="AK239" i="1"/>
  <c r="AQ239" i="1"/>
  <c r="K244" i="1"/>
  <c r="M244" i="1"/>
  <c r="N244" i="1"/>
  <c r="O244" i="1"/>
  <c r="P244" i="1"/>
  <c r="AQ244" i="1"/>
  <c r="K245" i="1"/>
  <c r="M245" i="1"/>
  <c r="N245" i="1"/>
  <c r="O245" i="1"/>
  <c r="P245" i="1"/>
  <c r="AK245" i="1"/>
  <c r="AQ245" i="1"/>
  <c r="K246" i="1"/>
  <c r="M246" i="1"/>
  <c r="N246" i="1"/>
  <c r="O246" i="1"/>
  <c r="P246" i="1"/>
  <c r="AK246" i="1"/>
  <c r="AQ246" i="1"/>
  <c r="K249" i="1"/>
  <c r="M249" i="1"/>
  <c r="N249" i="1"/>
  <c r="O249" i="1"/>
  <c r="P249" i="1"/>
  <c r="AK249" i="1"/>
  <c r="AQ249" i="1"/>
  <c r="M250" i="1"/>
  <c r="N250" i="1"/>
  <c r="O250" i="1"/>
  <c r="P250" i="1"/>
  <c r="AK250" i="1"/>
  <c r="AQ250" i="1"/>
  <c r="K252" i="1"/>
  <c r="M252" i="1"/>
  <c r="N252" i="1"/>
  <c r="O252" i="1"/>
  <c r="P252" i="1"/>
  <c r="AQ252" i="1"/>
  <c r="K270" i="1"/>
  <c r="M270" i="1"/>
  <c r="N270" i="1"/>
  <c r="O270" i="1"/>
  <c r="P270" i="1"/>
  <c r="AQ270" i="1"/>
  <c r="M248" i="1"/>
  <c r="N248" i="1"/>
  <c r="O248" i="1"/>
  <c r="P248" i="1"/>
  <c r="AQ248" i="1"/>
  <c r="K280" i="1"/>
  <c r="M280" i="1"/>
  <c r="O280" i="1"/>
  <c r="AQ280" i="1"/>
  <c r="E53" i="14"/>
  <c r="K268" i="1"/>
  <c r="K267" i="1"/>
  <c r="K266" i="1"/>
  <c r="K265" i="1"/>
  <c r="K264" i="1"/>
  <c r="K263" i="1"/>
  <c r="K262" i="1"/>
  <c r="K261" i="1"/>
  <c r="K260" i="1"/>
  <c r="K259" i="1"/>
  <c r="M259" i="1"/>
  <c r="M260" i="1"/>
  <c r="M261" i="1"/>
  <c r="M262" i="1"/>
  <c r="M263" i="1"/>
  <c r="M264" i="1"/>
  <c r="M265" i="1"/>
  <c r="M266" i="1"/>
  <c r="M267" i="1"/>
  <c r="M268" i="1"/>
  <c r="O268" i="1"/>
  <c r="AQ268" i="1"/>
  <c r="O267" i="1"/>
  <c r="AQ267" i="1"/>
  <c r="O260" i="1"/>
  <c r="O261" i="1"/>
  <c r="O262" i="1"/>
  <c r="O263" i="1"/>
  <c r="O264" i="1"/>
  <c r="O265" i="1"/>
  <c r="O266" i="1"/>
  <c r="AQ260" i="1"/>
  <c r="AQ261" i="1"/>
  <c r="AQ262" i="1"/>
  <c r="AQ263" i="1"/>
  <c r="AQ264" i="1"/>
  <c r="AQ265" i="1"/>
  <c r="AQ266" i="1"/>
  <c r="O259" i="1"/>
  <c r="AQ259" i="1"/>
  <c r="F24" i="14"/>
  <c r="F23" i="14"/>
  <c r="F25" i="14" s="1"/>
  <c r="G14" i="14"/>
  <c r="G15" i="14"/>
  <c r="K275" i="1"/>
  <c r="K276" i="1"/>
  <c r="K251" i="1"/>
  <c r="K253" i="1"/>
  <c r="AK276" i="1"/>
  <c r="AK275" i="1"/>
  <c r="AK274" i="1"/>
  <c r="M274" i="1"/>
  <c r="N274" i="1"/>
  <c r="O274" i="1"/>
  <c r="P274" i="1"/>
  <c r="M275" i="1"/>
  <c r="N275" i="1"/>
  <c r="O275" i="1"/>
  <c r="P275" i="1"/>
  <c r="M276" i="1"/>
  <c r="N276" i="1"/>
  <c r="O276" i="1"/>
  <c r="P276" i="1"/>
  <c r="K274" i="1"/>
  <c r="AQ274" i="1"/>
  <c r="AQ275" i="1"/>
  <c r="AQ276" i="1"/>
  <c r="AK269" i="1"/>
  <c r="M269" i="1"/>
  <c r="N269" i="1"/>
  <c r="O269" i="1"/>
  <c r="P269" i="1"/>
  <c r="K269" i="1"/>
  <c r="AQ269" i="1"/>
  <c r="AK279" i="1"/>
  <c r="AK278" i="1"/>
  <c r="M278" i="1"/>
  <c r="N278" i="1"/>
  <c r="O278" i="1"/>
  <c r="P278" i="1"/>
  <c r="M279" i="1"/>
  <c r="N279" i="1"/>
  <c r="O279" i="1"/>
  <c r="P279" i="1"/>
  <c r="K278" i="1"/>
  <c r="AQ278" i="1"/>
  <c r="K279" i="1"/>
  <c r="AQ279" i="1"/>
  <c r="M273" i="1"/>
  <c r="N273" i="1"/>
  <c r="O273" i="1"/>
  <c r="P273" i="1"/>
  <c r="M272" i="1"/>
  <c r="N272" i="1"/>
  <c r="O272" i="1"/>
  <c r="P272" i="1"/>
  <c r="M277" i="1"/>
  <c r="N277" i="1"/>
  <c r="O277" i="1"/>
  <c r="P277" i="1"/>
  <c r="M271" i="1"/>
  <c r="N271" i="1"/>
  <c r="O271" i="1"/>
  <c r="P271" i="1"/>
  <c r="K273" i="1"/>
  <c r="AQ273" i="1"/>
  <c r="K272" i="1"/>
  <c r="AQ272" i="1"/>
  <c r="K277" i="1"/>
  <c r="AQ277" i="1"/>
  <c r="K271" i="1"/>
  <c r="AQ271" i="1"/>
  <c r="M225" i="1"/>
  <c r="N225" i="1"/>
  <c r="O225" i="1"/>
  <c r="P225" i="1"/>
  <c r="M226" i="1"/>
  <c r="N226" i="1"/>
  <c r="O226" i="1"/>
  <c r="P226" i="1"/>
  <c r="M227" i="1"/>
  <c r="N227" i="1"/>
  <c r="O227" i="1"/>
  <c r="P227" i="1"/>
  <c r="K225" i="1"/>
  <c r="AQ225" i="1"/>
  <c r="K226" i="1"/>
  <c r="AQ226" i="1"/>
  <c r="K227" i="1"/>
  <c r="AQ227" i="1"/>
  <c r="M240" i="1"/>
  <c r="N240" i="1"/>
  <c r="O240" i="1"/>
  <c r="P240" i="1"/>
  <c r="K240" i="1"/>
  <c r="AQ240" i="1"/>
  <c r="M207" i="1"/>
  <c r="M208" i="1"/>
  <c r="M209" i="1"/>
  <c r="M210" i="1"/>
  <c r="M212" i="1"/>
  <c r="M214" i="1"/>
  <c r="M215" i="1"/>
  <c r="M217" i="1"/>
  <c r="M219" i="1"/>
  <c r="M223" i="1"/>
  <c r="M224" i="1"/>
  <c r="M229" i="1"/>
  <c r="M230" i="1"/>
  <c r="M231" i="1"/>
  <c r="M232" i="1"/>
  <c r="M233" i="1"/>
  <c r="M234" i="1"/>
  <c r="M237" i="1"/>
  <c r="M238" i="1"/>
  <c r="M241" i="1"/>
  <c r="M242" i="1"/>
  <c r="M243" i="1"/>
  <c r="M281" i="1"/>
  <c r="M247" i="1"/>
  <c r="M251" i="1"/>
  <c r="M253" i="1"/>
  <c r="M69" i="1"/>
  <c r="M70" i="1"/>
  <c r="M71" i="1"/>
  <c r="M72" i="1"/>
  <c r="M73" i="1"/>
  <c r="M74" i="1"/>
  <c r="M76" i="1"/>
  <c r="M77" i="1"/>
  <c r="M78" i="1"/>
  <c r="M79" i="1"/>
  <c r="M80" i="1"/>
  <c r="M81" i="1"/>
  <c r="M82" i="1"/>
  <c r="M84" i="1"/>
  <c r="M85" i="1"/>
  <c r="M86" i="1"/>
  <c r="M87" i="1"/>
  <c r="M93" i="1"/>
  <c r="M94" i="1"/>
  <c r="M95" i="1"/>
  <c r="M98" i="1"/>
  <c r="M99" i="1"/>
  <c r="M100" i="1"/>
  <c r="M101" i="1"/>
  <c r="M102" i="1"/>
  <c r="M103" i="1"/>
  <c r="M104" i="1"/>
  <c r="M105" i="1"/>
  <c r="M106" i="1"/>
  <c r="M107" i="1"/>
  <c r="M108" i="1"/>
  <c r="M109" i="1"/>
  <c r="M110" i="1"/>
  <c r="M112" i="1"/>
  <c r="M113" i="1"/>
  <c r="M114" i="1"/>
  <c r="M115" i="1"/>
  <c r="M117" i="1"/>
  <c r="M119" i="1"/>
  <c r="M124" i="1"/>
  <c r="M127" i="1"/>
  <c r="M130" i="1"/>
  <c r="M132" i="1"/>
  <c r="M133" i="1"/>
  <c r="M134" i="1"/>
  <c r="M135" i="1"/>
  <c r="M136" i="1"/>
  <c r="M137" i="1"/>
  <c r="M138" i="1"/>
  <c r="M139" i="1"/>
  <c r="M140" i="1"/>
  <c r="M141" i="1"/>
  <c r="M142" i="1"/>
  <c r="M143" i="1"/>
  <c r="M144" i="1"/>
  <c r="M145" i="1"/>
  <c r="M146" i="1"/>
  <c r="M149" i="1"/>
  <c r="M150" i="1"/>
  <c r="M151" i="1"/>
  <c r="M152" i="1"/>
  <c r="M154" i="1"/>
  <c r="M155" i="1"/>
  <c r="M161" i="1"/>
  <c r="M156" i="1"/>
  <c r="M157" i="1"/>
  <c r="M158" i="1"/>
  <c r="M159" i="1"/>
  <c r="M160" i="1"/>
  <c r="M88" i="1"/>
  <c r="M162" i="1"/>
  <c r="M164" i="1"/>
  <c r="M165" i="1"/>
  <c r="M167" i="1"/>
  <c r="M168" i="1"/>
  <c r="M171" i="1"/>
  <c r="M172" i="1"/>
  <c r="M173" i="1"/>
  <c r="M174" i="1"/>
  <c r="M175" i="1"/>
  <c r="M176" i="1"/>
  <c r="M177" i="1"/>
  <c r="M178" i="1"/>
  <c r="M179" i="1"/>
  <c r="M180" i="1"/>
  <c r="M181" i="1"/>
  <c r="M182" i="1"/>
  <c r="M184" i="1"/>
  <c r="M185" i="1"/>
  <c r="M186" i="1"/>
  <c r="M188" i="1"/>
  <c r="M194" i="1"/>
  <c r="M196" i="1"/>
  <c r="M201" i="1"/>
  <c r="M202" i="1"/>
  <c r="M203" i="1"/>
  <c r="M204" i="1"/>
  <c r="M205" i="1"/>
  <c r="M206" i="1"/>
  <c r="M3" i="1"/>
  <c r="M4" i="1"/>
  <c r="M6" i="1"/>
  <c r="M7" i="1"/>
  <c r="M10" i="1"/>
  <c r="M13" i="1"/>
  <c r="M14" i="1"/>
  <c r="M15" i="1"/>
  <c r="M16" i="1"/>
  <c r="M17" i="1"/>
  <c r="M18" i="1"/>
  <c r="M19" i="1"/>
  <c r="M20" i="1"/>
  <c r="M21" i="1"/>
  <c r="M23" i="1"/>
  <c r="M9" i="1"/>
  <c r="M26" i="1"/>
  <c r="M31" i="1"/>
  <c r="M29" i="1"/>
  <c r="M30" i="1"/>
  <c r="M32" i="1"/>
  <c r="M33" i="1"/>
  <c r="M34" i="1"/>
  <c r="M35" i="1"/>
  <c r="M36" i="1"/>
  <c r="M37" i="1"/>
  <c r="M38" i="1"/>
  <c r="M39" i="1"/>
  <c r="M40" i="1"/>
  <c r="M41" i="1"/>
  <c r="M42" i="1"/>
  <c r="M43" i="1"/>
  <c r="M45" i="1"/>
  <c r="M47" i="1"/>
  <c r="M48" i="1"/>
  <c r="M49" i="1"/>
  <c r="M50" i="1"/>
  <c r="M51" i="1"/>
  <c r="M54" i="1"/>
  <c r="M55" i="1"/>
  <c r="M57" i="1"/>
  <c r="M58" i="1"/>
  <c r="M59" i="1"/>
  <c r="M61" i="1"/>
  <c r="M62" i="1"/>
  <c r="M63" i="1"/>
  <c r="M64" i="1"/>
  <c r="M65" i="1"/>
  <c r="M66" i="1"/>
  <c r="M67" i="1"/>
  <c r="N186" i="1"/>
  <c r="O186" i="1"/>
  <c r="P186" i="1"/>
  <c r="N188" i="1"/>
  <c r="O188" i="1"/>
  <c r="P188" i="1"/>
  <c r="N194" i="1"/>
  <c r="O194" i="1"/>
  <c r="P194" i="1"/>
  <c r="N196" i="1"/>
  <c r="O196" i="1"/>
  <c r="P196" i="1"/>
  <c r="N201" i="1"/>
  <c r="O201" i="1"/>
  <c r="P201" i="1"/>
  <c r="N202" i="1"/>
  <c r="O202" i="1"/>
  <c r="P202" i="1"/>
  <c r="N203" i="1"/>
  <c r="O203" i="1"/>
  <c r="P203" i="1"/>
  <c r="N204" i="1"/>
  <c r="O204" i="1"/>
  <c r="P204" i="1"/>
  <c r="N205" i="1"/>
  <c r="O205" i="1"/>
  <c r="P205" i="1"/>
  <c r="N206" i="1"/>
  <c r="O206" i="1"/>
  <c r="P206" i="1"/>
  <c r="N207" i="1"/>
  <c r="O207" i="1"/>
  <c r="P207" i="1"/>
  <c r="N208" i="1"/>
  <c r="O208" i="1"/>
  <c r="P208" i="1"/>
  <c r="N209" i="1"/>
  <c r="O209" i="1"/>
  <c r="P209" i="1"/>
  <c r="N210" i="1"/>
  <c r="O210" i="1"/>
  <c r="P210" i="1"/>
  <c r="N212" i="1"/>
  <c r="O212" i="1"/>
  <c r="P212" i="1"/>
  <c r="N214" i="1"/>
  <c r="O214" i="1"/>
  <c r="P214" i="1"/>
  <c r="N215" i="1"/>
  <c r="O215" i="1"/>
  <c r="P215" i="1"/>
  <c r="N217" i="1"/>
  <c r="O217" i="1"/>
  <c r="P217" i="1"/>
  <c r="N219" i="1"/>
  <c r="O219" i="1"/>
  <c r="P219" i="1"/>
  <c r="N223" i="1"/>
  <c r="O223" i="1"/>
  <c r="P223" i="1"/>
  <c r="N224" i="1"/>
  <c r="O224" i="1"/>
  <c r="P224" i="1"/>
  <c r="N229" i="1"/>
  <c r="O229" i="1"/>
  <c r="P229" i="1"/>
  <c r="N230" i="1"/>
  <c r="O230" i="1"/>
  <c r="P230" i="1"/>
  <c r="N231" i="1"/>
  <c r="O231" i="1"/>
  <c r="P231" i="1"/>
  <c r="N232" i="1"/>
  <c r="O232" i="1"/>
  <c r="P232" i="1"/>
  <c r="N233" i="1"/>
  <c r="O233" i="1"/>
  <c r="P233" i="1"/>
  <c r="N234" i="1"/>
  <c r="O234" i="1"/>
  <c r="P234" i="1"/>
  <c r="N237" i="1"/>
  <c r="O237" i="1"/>
  <c r="P237" i="1"/>
  <c r="N238" i="1"/>
  <c r="O238" i="1"/>
  <c r="P238" i="1"/>
  <c r="N241" i="1"/>
  <c r="O241" i="1"/>
  <c r="P241" i="1"/>
  <c r="N242" i="1"/>
  <c r="O242" i="1"/>
  <c r="P242" i="1"/>
  <c r="N243" i="1"/>
  <c r="O243" i="1"/>
  <c r="P243" i="1"/>
  <c r="N281" i="1"/>
  <c r="O281" i="1"/>
  <c r="P281" i="1"/>
  <c r="N247" i="1"/>
  <c r="O247" i="1"/>
  <c r="P247" i="1"/>
  <c r="N251" i="1"/>
  <c r="O251" i="1"/>
  <c r="P251" i="1"/>
  <c r="N253" i="1"/>
  <c r="O253" i="1"/>
  <c r="P253" i="1"/>
  <c r="N182" i="1"/>
  <c r="O182" i="1"/>
  <c r="P182" i="1"/>
  <c r="N184" i="1"/>
  <c r="O184" i="1"/>
  <c r="P184" i="1"/>
  <c r="N185" i="1"/>
  <c r="O185" i="1"/>
  <c r="P185" i="1"/>
  <c r="N26" i="1"/>
  <c r="O26" i="1"/>
  <c r="P26" i="1"/>
  <c r="N31" i="1"/>
  <c r="O31" i="1"/>
  <c r="P31" i="1"/>
  <c r="N29" i="1"/>
  <c r="O29" i="1"/>
  <c r="P29" i="1"/>
  <c r="N30" i="1"/>
  <c r="O30" i="1"/>
  <c r="P30" i="1"/>
  <c r="N32" i="1"/>
  <c r="O32" i="1"/>
  <c r="P32" i="1"/>
  <c r="N33" i="1"/>
  <c r="O33" i="1"/>
  <c r="P33" i="1"/>
  <c r="N34" i="1"/>
  <c r="O34" i="1"/>
  <c r="P34" i="1"/>
  <c r="N35" i="1"/>
  <c r="O35" i="1"/>
  <c r="P35" i="1"/>
  <c r="N36" i="1"/>
  <c r="O36" i="1"/>
  <c r="P36" i="1"/>
  <c r="N37" i="1"/>
  <c r="O37" i="1"/>
  <c r="P37" i="1"/>
  <c r="N38" i="1"/>
  <c r="O38" i="1"/>
  <c r="P38" i="1"/>
  <c r="N39" i="1"/>
  <c r="O39" i="1"/>
  <c r="P39" i="1"/>
  <c r="N40" i="1"/>
  <c r="O40" i="1"/>
  <c r="P40" i="1"/>
  <c r="N41" i="1"/>
  <c r="O41" i="1"/>
  <c r="P41" i="1"/>
  <c r="N42" i="1"/>
  <c r="O42" i="1"/>
  <c r="P42" i="1"/>
  <c r="N43" i="1"/>
  <c r="O43" i="1"/>
  <c r="P43" i="1"/>
  <c r="N45" i="1"/>
  <c r="O45" i="1"/>
  <c r="P45" i="1"/>
  <c r="N47" i="1"/>
  <c r="O47" i="1"/>
  <c r="P47" i="1"/>
  <c r="N48" i="1"/>
  <c r="O48" i="1"/>
  <c r="P48" i="1"/>
  <c r="N49" i="1"/>
  <c r="O49" i="1"/>
  <c r="P49" i="1"/>
  <c r="N50" i="1"/>
  <c r="O50" i="1"/>
  <c r="P50" i="1"/>
  <c r="N51" i="1"/>
  <c r="O51" i="1"/>
  <c r="P51" i="1"/>
  <c r="N54" i="1"/>
  <c r="O54" i="1"/>
  <c r="P54" i="1"/>
  <c r="N55" i="1"/>
  <c r="O55" i="1"/>
  <c r="P55" i="1"/>
  <c r="N57" i="1"/>
  <c r="O57" i="1"/>
  <c r="P57" i="1"/>
  <c r="N58" i="1"/>
  <c r="O58" i="1"/>
  <c r="P58" i="1"/>
  <c r="N59" i="1"/>
  <c r="O59" i="1"/>
  <c r="P59" i="1"/>
  <c r="N61" i="1"/>
  <c r="O61" i="1"/>
  <c r="P61" i="1"/>
  <c r="N62" i="1"/>
  <c r="O62" i="1"/>
  <c r="P62" i="1"/>
  <c r="N63" i="1"/>
  <c r="O63" i="1"/>
  <c r="P63" i="1"/>
  <c r="N64" i="1"/>
  <c r="O64" i="1"/>
  <c r="P64" i="1"/>
  <c r="N65" i="1"/>
  <c r="O65" i="1"/>
  <c r="P65" i="1"/>
  <c r="N66" i="1"/>
  <c r="O66" i="1"/>
  <c r="P66" i="1"/>
  <c r="N67" i="1"/>
  <c r="O67" i="1"/>
  <c r="P67" i="1"/>
  <c r="N69" i="1"/>
  <c r="O69" i="1"/>
  <c r="P69" i="1"/>
  <c r="N70" i="1"/>
  <c r="O70" i="1"/>
  <c r="P70" i="1"/>
  <c r="N71" i="1"/>
  <c r="O71" i="1"/>
  <c r="P71" i="1"/>
  <c r="N72" i="1"/>
  <c r="O72" i="1"/>
  <c r="P72" i="1"/>
  <c r="N73" i="1"/>
  <c r="O73" i="1"/>
  <c r="P73" i="1"/>
  <c r="N74" i="1"/>
  <c r="O74" i="1"/>
  <c r="P74" i="1"/>
  <c r="N76" i="1"/>
  <c r="O76" i="1"/>
  <c r="P76" i="1"/>
  <c r="N77" i="1"/>
  <c r="O77" i="1"/>
  <c r="P77" i="1"/>
  <c r="N78" i="1"/>
  <c r="O78" i="1"/>
  <c r="P78" i="1"/>
  <c r="N79" i="1"/>
  <c r="O79" i="1"/>
  <c r="P79" i="1"/>
  <c r="N80" i="1"/>
  <c r="O80" i="1"/>
  <c r="P80" i="1"/>
  <c r="N81" i="1"/>
  <c r="O81" i="1"/>
  <c r="P81" i="1"/>
  <c r="N82" i="1"/>
  <c r="O82" i="1"/>
  <c r="P82" i="1"/>
  <c r="N84" i="1"/>
  <c r="O84" i="1"/>
  <c r="P84" i="1"/>
  <c r="N85" i="1"/>
  <c r="O85" i="1"/>
  <c r="P85" i="1"/>
  <c r="N86" i="1"/>
  <c r="O86" i="1"/>
  <c r="P86" i="1"/>
  <c r="N87" i="1"/>
  <c r="O87" i="1"/>
  <c r="P87" i="1"/>
  <c r="N93" i="1"/>
  <c r="O93" i="1"/>
  <c r="P93" i="1"/>
  <c r="N94" i="1"/>
  <c r="O94" i="1"/>
  <c r="P94" i="1"/>
  <c r="N95" i="1"/>
  <c r="O95" i="1"/>
  <c r="P95" i="1"/>
  <c r="N98" i="1"/>
  <c r="O98" i="1"/>
  <c r="P98" i="1"/>
  <c r="N99" i="1"/>
  <c r="O99" i="1"/>
  <c r="P99" i="1"/>
  <c r="N100" i="1"/>
  <c r="O100" i="1"/>
  <c r="P100" i="1"/>
  <c r="N101" i="1"/>
  <c r="O101" i="1"/>
  <c r="P101" i="1"/>
  <c r="N102" i="1"/>
  <c r="O102" i="1"/>
  <c r="P102" i="1"/>
  <c r="N103" i="1"/>
  <c r="O103" i="1"/>
  <c r="P103" i="1"/>
  <c r="N104" i="1"/>
  <c r="O104" i="1"/>
  <c r="P104" i="1"/>
  <c r="N105" i="1"/>
  <c r="O105" i="1"/>
  <c r="P105" i="1"/>
  <c r="N106" i="1"/>
  <c r="O106" i="1"/>
  <c r="P106" i="1"/>
  <c r="N107" i="1"/>
  <c r="O107" i="1"/>
  <c r="P107" i="1"/>
  <c r="N108" i="1"/>
  <c r="O108" i="1"/>
  <c r="P108" i="1"/>
  <c r="N109" i="1"/>
  <c r="O109" i="1"/>
  <c r="P109" i="1"/>
  <c r="N110" i="1"/>
  <c r="O110" i="1"/>
  <c r="P110" i="1"/>
  <c r="N112" i="1"/>
  <c r="O112" i="1"/>
  <c r="P112" i="1"/>
  <c r="N113" i="1"/>
  <c r="O113" i="1"/>
  <c r="P113" i="1"/>
  <c r="N114" i="1"/>
  <c r="O114" i="1"/>
  <c r="P114" i="1"/>
  <c r="N115" i="1"/>
  <c r="O115" i="1"/>
  <c r="P115" i="1"/>
  <c r="N117" i="1"/>
  <c r="O117" i="1"/>
  <c r="P117" i="1"/>
  <c r="N119" i="1"/>
  <c r="O119" i="1"/>
  <c r="P119" i="1"/>
  <c r="N124" i="1"/>
  <c r="O124" i="1"/>
  <c r="P124" i="1"/>
  <c r="N127" i="1"/>
  <c r="O127" i="1"/>
  <c r="P127" i="1"/>
  <c r="N130" i="1"/>
  <c r="O130" i="1"/>
  <c r="P130" i="1"/>
  <c r="N132" i="1"/>
  <c r="O132" i="1"/>
  <c r="P132" i="1"/>
  <c r="N133" i="1"/>
  <c r="O133" i="1"/>
  <c r="P133" i="1"/>
  <c r="N134" i="1"/>
  <c r="O134" i="1"/>
  <c r="P134" i="1"/>
  <c r="N135" i="1"/>
  <c r="O135" i="1"/>
  <c r="P135" i="1"/>
  <c r="N136" i="1"/>
  <c r="O136" i="1"/>
  <c r="P136" i="1"/>
  <c r="N137" i="1"/>
  <c r="O137" i="1"/>
  <c r="P137" i="1"/>
  <c r="N138" i="1"/>
  <c r="O138" i="1"/>
  <c r="P138" i="1"/>
  <c r="N139" i="1"/>
  <c r="O139" i="1"/>
  <c r="P139" i="1"/>
  <c r="N140" i="1"/>
  <c r="O140" i="1"/>
  <c r="P140" i="1"/>
  <c r="N141" i="1"/>
  <c r="O141" i="1"/>
  <c r="P141" i="1"/>
  <c r="N142" i="1"/>
  <c r="O142" i="1"/>
  <c r="P142" i="1"/>
  <c r="N143" i="1"/>
  <c r="O143" i="1"/>
  <c r="P143" i="1"/>
  <c r="N144" i="1"/>
  <c r="O144" i="1"/>
  <c r="P144" i="1"/>
  <c r="N145" i="1"/>
  <c r="O145" i="1"/>
  <c r="P145" i="1"/>
  <c r="N146" i="1"/>
  <c r="O146" i="1"/>
  <c r="P146" i="1"/>
  <c r="N149" i="1"/>
  <c r="O149" i="1"/>
  <c r="P149" i="1"/>
  <c r="N150" i="1"/>
  <c r="O150" i="1"/>
  <c r="P150" i="1"/>
  <c r="N151" i="1"/>
  <c r="O151" i="1"/>
  <c r="P151" i="1"/>
  <c r="N152" i="1"/>
  <c r="O152" i="1"/>
  <c r="P152" i="1"/>
  <c r="N154" i="1"/>
  <c r="O154" i="1"/>
  <c r="P154" i="1"/>
  <c r="N155" i="1"/>
  <c r="O155" i="1"/>
  <c r="P155" i="1"/>
  <c r="N161" i="1"/>
  <c r="O161" i="1"/>
  <c r="P161" i="1"/>
  <c r="N156" i="1"/>
  <c r="O156" i="1"/>
  <c r="P156" i="1"/>
  <c r="N157" i="1"/>
  <c r="O157" i="1"/>
  <c r="P157" i="1"/>
  <c r="N158" i="1"/>
  <c r="O158" i="1"/>
  <c r="P158" i="1"/>
  <c r="N159" i="1"/>
  <c r="O159" i="1"/>
  <c r="P159" i="1"/>
  <c r="N160" i="1"/>
  <c r="O160" i="1"/>
  <c r="P160" i="1"/>
  <c r="N88" i="1"/>
  <c r="O88" i="1"/>
  <c r="P88" i="1"/>
  <c r="N162" i="1"/>
  <c r="O162" i="1"/>
  <c r="P162" i="1"/>
  <c r="N164" i="1"/>
  <c r="O164" i="1"/>
  <c r="P164" i="1"/>
  <c r="N165" i="1"/>
  <c r="O165" i="1"/>
  <c r="P165" i="1"/>
  <c r="N167" i="1"/>
  <c r="O167" i="1"/>
  <c r="P167" i="1"/>
  <c r="N168" i="1"/>
  <c r="O168" i="1"/>
  <c r="P168" i="1"/>
  <c r="N171" i="1"/>
  <c r="O171" i="1"/>
  <c r="P171" i="1"/>
  <c r="N172" i="1"/>
  <c r="O172" i="1"/>
  <c r="P172" i="1"/>
  <c r="N173" i="1"/>
  <c r="O173" i="1"/>
  <c r="P173" i="1"/>
  <c r="N174" i="1"/>
  <c r="O174" i="1"/>
  <c r="P174" i="1"/>
  <c r="N175" i="1"/>
  <c r="O175" i="1"/>
  <c r="P175" i="1"/>
  <c r="N176" i="1"/>
  <c r="O176" i="1"/>
  <c r="P176" i="1"/>
  <c r="N177" i="1"/>
  <c r="O177" i="1"/>
  <c r="P177" i="1"/>
  <c r="N178" i="1"/>
  <c r="O178" i="1"/>
  <c r="P178" i="1"/>
  <c r="N179" i="1"/>
  <c r="O179" i="1"/>
  <c r="P179" i="1"/>
  <c r="N180" i="1"/>
  <c r="O180" i="1"/>
  <c r="P180" i="1"/>
  <c r="N181" i="1"/>
  <c r="O181" i="1"/>
  <c r="P181" i="1"/>
  <c r="N13" i="1"/>
  <c r="O13" i="1"/>
  <c r="P13" i="1"/>
  <c r="N14" i="1"/>
  <c r="O14" i="1"/>
  <c r="P14" i="1"/>
  <c r="N15" i="1"/>
  <c r="O15" i="1"/>
  <c r="P15" i="1"/>
  <c r="N16" i="1"/>
  <c r="O16" i="1"/>
  <c r="P16" i="1"/>
  <c r="N17" i="1"/>
  <c r="O17" i="1"/>
  <c r="P17" i="1"/>
  <c r="N18" i="1"/>
  <c r="O18" i="1"/>
  <c r="P18" i="1"/>
  <c r="N19" i="1"/>
  <c r="O19" i="1"/>
  <c r="P19" i="1"/>
  <c r="N20" i="1"/>
  <c r="O20" i="1"/>
  <c r="P20" i="1"/>
  <c r="N21" i="1"/>
  <c r="O21" i="1"/>
  <c r="P21" i="1"/>
  <c r="N23" i="1"/>
  <c r="O23" i="1"/>
  <c r="P23" i="1"/>
  <c r="N9" i="1"/>
  <c r="O9" i="1"/>
  <c r="P9" i="1"/>
  <c r="N6" i="1"/>
  <c r="O6" i="1"/>
  <c r="P6" i="1"/>
  <c r="N7" i="1"/>
  <c r="O7" i="1"/>
  <c r="P7" i="1"/>
  <c r="N10" i="1"/>
  <c r="O10" i="1"/>
  <c r="P10" i="1"/>
  <c r="N3" i="1"/>
  <c r="O3" i="1"/>
  <c r="P3" i="1"/>
  <c r="N4" i="1"/>
  <c r="O4" i="1"/>
  <c r="P4" i="1"/>
  <c r="P2" i="1"/>
  <c r="O2" i="1"/>
  <c r="N2" i="1"/>
  <c r="K234" i="1"/>
  <c r="AQ234" i="1"/>
  <c r="F4" i="11"/>
  <c r="E4" i="11"/>
  <c r="E5" i="11"/>
  <c r="AQ243" i="1"/>
  <c r="K243" i="1"/>
  <c r="AK241" i="1"/>
  <c r="AQ241" i="1"/>
  <c r="AK242" i="1"/>
  <c r="AQ242" i="1"/>
  <c r="AK281" i="1"/>
  <c r="AQ281" i="1"/>
  <c r="AK247" i="1"/>
  <c r="AQ247" i="1"/>
  <c r="AK251" i="1"/>
  <c r="AQ251" i="1"/>
  <c r="AK253" i="1"/>
  <c r="AQ253" i="1"/>
  <c r="AQ219" i="1"/>
  <c r="K219" i="1"/>
  <c r="AQ238" i="1"/>
  <c r="K238" i="1"/>
  <c r="K233" i="1"/>
  <c r="AQ233" i="1"/>
  <c r="AQ237" i="1"/>
  <c r="K237" i="1"/>
  <c r="K241" i="1"/>
  <c r="K242" i="1"/>
  <c r="K281" i="1"/>
  <c r="K247" i="1"/>
  <c r="AQ224" i="1"/>
  <c r="AQ223" i="1"/>
  <c r="AQ217" i="1"/>
  <c r="AQ215" i="1"/>
  <c r="K232" i="1"/>
  <c r="AQ232" i="1"/>
  <c r="K231" i="1"/>
  <c r="AQ231" i="1"/>
  <c r="K229" i="1"/>
  <c r="AQ229" i="1"/>
  <c r="AQ230" i="1"/>
  <c r="K230" i="1"/>
  <c r="AQ214" i="1"/>
  <c r="K214" i="1"/>
  <c r="K202" i="1"/>
  <c r="AQ202" i="1"/>
  <c r="AQ212" i="1"/>
  <c r="AQ210" i="1"/>
  <c r="AQ209" i="1"/>
  <c r="AQ208" i="1"/>
  <c r="AQ207" i="1"/>
  <c r="AQ206" i="1"/>
  <c r="AQ205" i="1"/>
  <c r="AQ204" i="1"/>
  <c r="AQ203" i="1"/>
  <c r="K212" i="1"/>
  <c r="K215" i="1"/>
  <c r="K217" i="1"/>
  <c r="K223" i="1"/>
  <c r="K224" i="1"/>
  <c r="K210" i="1"/>
  <c r="K209" i="1"/>
  <c r="K208" i="1"/>
  <c r="K207" i="1"/>
  <c r="K206" i="1"/>
  <c r="K205" i="1"/>
  <c r="K204" i="1"/>
  <c r="K203" i="1"/>
  <c r="K201" i="1"/>
  <c r="AQ201" i="1"/>
  <c r="AQ99" i="1"/>
  <c r="AQ143" i="1"/>
  <c r="AQ142" i="1"/>
  <c r="K196" i="1"/>
  <c r="AQ194" i="1"/>
  <c r="AQ196" i="1"/>
  <c r="K188" i="1"/>
  <c r="K194" i="1"/>
  <c r="AQ188" i="1"/>
  <c r="K149" i="1"/>
  <c r="K186" i="1"/>
  <c r="AQ186" i="1"/>
  <c r="AQ184" i="1"/>
  <c r="AQ185" i="1"/>
  <c r="AQ149" i="1"/>
  <c r="K185" i="1"/>
  <c r="K184" i="1"/>
  <c r="K2" i="1"/>
  <c r="K3" i="1"/>
  <c r="K4" i="1"/>
  <c r="K6" i="1"/>
  <c r="K7" i="1"/>
  <c r="K10" i="1"/>
  <c r="K13" i="1"/>
  <c r="K14" i="1"/>
  <c r="K16" i="1"/>
  <c r="K17" i="1"/>
  <c r="K18" i="1"/>
  <c r="K19" i="1"/>
  <c r="K20" i="1"/>
  <c r="K15" i="1"/>
  <c r="K21" i="1"/>
  <c r="K23" i="1"/>
  <c r="K9" i="1"/>
  <c r="K26" i="1"/>
  <c r="K31" i="1"/>
  <c r="K29" i="1"/>
  <c r="K30" i="1"/>
  <c r="K32" i="1"/>
  <c r="K33" i="1"/>
  <c r="K34" i="1"/>
  <c r="K35" i="1"/>
  <c r="K36" i="1"/>
  <c r="K37" i="1"/>
  <c r="K38" i="1"/>
  <c r="K39" i="1"/>
  <c r="K40" i="1"/>
  <c r="K41" i="1"/>
  <c r="K42" i="1"/>
  <c r="K43" i="1"/>
  <c r="K45" i="1"/>
  <c r="K47" i="1"/>
  <c r="K48" i="1"/>
  <c r="K49" i="1"/>
  <c r="K50" i="1"/>
  <c r="K51" i="1"/>
  <c r="K54" i="1"/>
  <c r="K55" i="1"/>
  <c r="K57" i="1"/>
  <c r="K58" i="1"/>
  <c r="K59" i="1"/>
  <c r="K61" i="1"/>
  <c r="K62" i="1"/>
  <c r="K63" i="1"/>
  <c r="K64" i="1"/>
  <c r="K65" i="1"/>
  <c r="K66" i="1"/>
  <c r="K67" i="1"/>
  <c r="K69" i="1"/>
  <c r="K70" i="1"/>
  <c r="K71" i="1"/>
  <c r="K72" i="1"/>
  <c r="K73" i="1"/>
  <c r="K74" i="1"/>
  <c r="K76" i="1"/>
  <c r="K77" i="1"/>
  <c r="K78" i="1"/>
  <c r="K79" i="1"/>
  <c r="K80" i="1"/>
  <c r="K81" i="1"/>
  <c r="K82" i="1"/>
  <c r="K84" i="1"/>
  <c r="K85" i="1"/>
  <c r="K86" i="1"/>
  <c r="K87" i="1"/>
  <c r="K88" i="1"/>
  <c r="K94" i="1"/>
  <c r="K93" i="1"/>
  <c r="K95" i="1"/>
  <c r="K98" i="1"/>
  <c r="K100" i="1"/>
  <c r="K101" i="1"/>
  <c r="K102" i="1"/>
  <c r="K103" i="1"/>
  <c r="K104" i="1"/>
  <c r="K105" i="1"/>
  <c r="K106" i="1"/>
  <c r="K107" i="1"/>
  <c r="K108" i="1"/>
  <c r="K109" i="1"/>
  <c r="K110" i="1"/>
  <c r="K112" i="1"/>
  <c r="K113" i="1"/>
  <c r="K114" i="1"/>
  <c r="K115" i="1"/>
  <c r="K117" i="1"/>
  <c r="K119" i="1"/>
  <c r="K127" i="1"/>
  <c r="K130" i="1"/>
  <c r="K132" i="1"/>
  <c r="K133" i="1"/>
  <c r="K134" i="1"/>
  <c r="K135" i="1"/>
  <c r="K136" i="1"/>
  <c r="K137" i="1"/>
  <c r="K138" i="1"/>
  <c r="K139" i="1"/>
  <c r="K140" i="1"/>
  <c r="K141" i="1"/>
  <c r="K144" i="1"/>
  <c r="K145" i="1"/>
  <c r="K146" i="1"/>
  <c r="K124" i="1"/>
  <c r="K150" i="1"/>
  <c r="K151" i="1"/>
  <c r="K152" i="1"/>
  <c r="K154" i="1"/>
  <c r="K155" i="1"/>
  <c r="K161" i="1"/>
  <c r="K156" i="1"/>
  <c r="K157" i="1"/>
  <c r="K158" i="1"/>
  <c r="K159" i="1"/>
  <c r="K160" i="1"/>
  <c r="K162" i="1"/>
  <c r="K164" i="1"/>
  <c r="K165" i="1"/>
  <c r="K167" i="1"/>
  <c r="K168" i="1"/>
  <c r="K171" i="1"/>
  <c r="K172" i="1"/>
  <c r="K173" i="1"/>
  <c r="K174" i="1"/>
  <c r="K175" i="1"/>
  <c r="K176" i="1"/>
  <c r="K177" i="1"/>
  <c r="K178" i="1"/>
  <c r="K179" i="1"/>
  <c r="K180" i="1"/>
  <c r="K181" i="1"/>
  <c r="K182" i="1"/>
  <c r="AQ139" i="1"/>
  <c r="AQ134" i="1"/>
  <c r="AQ135" i="1"/>
  <c r="AQ136" i="1"/>
  <c r="AQ137" i="1"/>
  <c r="AQ138" i="1"/>
  <c r="AQ140" i="1"/>
  <c r="AQ141" i="1"/>
  <c r="AQ144" i="1"/>
  <c r="AQ145" i="1"/>
  <c r="AQ146" i="1"/>
  <c r="AQ150" i="1"/>
  <c r="AQ151" i="1"/>
  <c r="AQ152" i="1"/>
  <c r="AQ154" i="1"/>
  <c r="AQ155" i="1"/>
  <c r="AQ161" i="1"/>
  <c r="AQ156" i="1"/>
  <c r="AQ157" i="1"/>
  <c r="AQ158" i="1"/>
  <c r="AQ159" i="1"/>
  <c r="AQ160" i="1"/>
  <c r="AQ162" i="1"/>
  <c r="AQ164" i="1"/>
  <c r="AQ165" i="1"/>
  <c r="AQ167" i="1"/>
  <c r="AQ168" i="1"/>
  <c r="AQ171" i="1"/>
  <c r="AQ172" i="1"/>
  <c r="AQ173" i="1"/>
  <c r="AQ174" i="1"/>
  <c r="AQ175" i="1"/>
  <c r="AQ176" i="1"/>
  <c r="AQ177" i="1"/>
  <c r="AQ178" i="1"/>
  <c r="AQ179" i="1"/>
  <c r="AQ180" i="1"/>
  <c r="AQ181" i="1"/>
  <c r="AQ182" i="1"/>
  <c r="AQ132" i="1"/>
  <c r="AQ133" i="1"/>
  <c r="AQ130" i="1"/>
  <c r="AQ117" i="1"/>
  <c r="AQ119" i="1"/>
  <c r="AQ127" i="1"/>
  <c r="AQ115" i="1"/>
  <c r="AQ114" i="1"/>
  <c r="AQ113" i="1"/>
  <c r="AQ112" i="1"/>
  <c r="AQ95" i="1"/>
  <c r="AQ110" i="1"/>
  <c r="M2" i="1"/>
  <c r="AQ109" i="1"/>
  <c r="AQ108" i="1"/>
  <c r="AQ107" i="1"/>
  <c r="AQ106" i="1"/>
  <c r="AQ105" i="1"/>
  <c r="AQ104" i="1"/>
  <c r="AQ103" i="1"/>
  <c r="AQ102" i="1"/>
  <c r="AQ101" i="1"/>
  <c r="AQ100" i="1"/>
  <c r="AQ98" i="1"/>
  <c r="AQ3" i="1"/>
  <c r="AQ4" i="1"/>
  <c r="AQ6" i="1"/>
  <c r="AQ7" i="1"/>
  <c r="AQ10" i="1"/>
  <c r="AQ13" i="1"/>
  <c r="AQ14" i="1"/>
  <c r="AQ16" i="1"/>
  <c r="AQ17" i="1"/>
  <c r="AQ18" i="1"/>
  <c r="AQ19" i="1"/>
  <c r="AQ20" i="1"/>
  <c r="AQ15" i="1"/>
  <c r="AQ21" i="1"/>
  <c r="AQ23" i="1"/>
  <c r="AQ9" i="1"/>
  <c r="AQ26" i="1"/>
  <c r="AQ31" i="1"/>
  <c r="AQ29" i="1"/>
  <c r="AQ30" i="1"/>
  <c r="AQ32" i="1"/>
  <c r="AQ33" i="1"/>
  <c r="AQ34" i="1"/>
  <c r="AQ35" i="1"/>
  <c r="AQ36" i="1"/>
  <c r="AQ37" i="1"/>
  <c r="AQ38" i="1"/>
  <c r="AQ39" i="1"/>
  <c r="AQ40" i="1"/>
  <c r="AQ41" i="1"/>
  <c r="AQ42" i="1"/>
  <c r="AQ43" i="1"/>
  <c r="AQ45" i="1"/>
  <c r="AQ47" i="1"/>
  <c r="AQ48" i="1"/>
  <c r="AQ49" i="1"/>
  <c r="AQ50" i="1"/>
  <c r="AQ51" i="1"/>
  <c r="AQ54" i="1"/>
  <c r="AQ55" i="1"/>
  <c r="AQ57" i="1"/>
  <c r="AQ58" i="1"/>
  <c r="AQ59" i="1"/>
  <c r="AQ61" i="1"/>
  <c r="AQ62" i="1"/>
  <c r="AQ63" i="1"/>
  <c r="AQ64" i="1"/>
  <c r="AQ65" i="1"/>
  <c r="AQ66" i="1"/>
  <c r="AQ67" i="1"/>
  <c r="AQ69" i="1"/>
  <c r="AQ70" i="1"/>
  <c r="AQ71" i="1"/>
  <c r="AQ72" i="1"/>
  <c r="AQ73" i="1"/>
  <c r="AQ74" i="1"/>
  <c r="AQ76" i="1"/>
  <c r="AQ77" i="1"/>
  <c r="AQ78" i="1"/>
  <c r="AQ79" i="1"/>
  <c r="AQ80" i="1"/>
  <c r="AQ81" i="1"/>
  <c r="AQ82" i="1"/>
  <c r="AQ84" i="1"/>
  <c r="AQ85" i="1"/>
  <c r="AQ86" i="1"/>
  <c r="AQ87" i="1"/>
  <c r="AQ88" i="1"/>
  <c r="AQ94" i="1"/>
  <c r="AQ93" i="1"/>
  <c r="AQ2" i="1"/>
  <c r="AM3" i="1"/>
  <c r="AM2" i="1"/>
  <c r="AR64" i="1"/>
  <c r="AR64" i="1" a="1"/>
  <c r="AR2" i="1"/>
  <c r="AR113" i="1"/>
  <c r="AR113" i="1" a="1"/>
  <c r="AR130" i="1"/>
  <c r="AR130" i="1" a="1"/>
  <c r="AR111" i="1"/>
  <c r="AR111" i="1" a="1"/>
  <c r="AR253" i="1"/>
  <c r="AR253" i="1" a="1"/>
  <c r="AR3" i="1"/>
  <c r="AR3" i="1" a="1"/>
  <c r="AR225" i="1"/>
  <c r="AR225" i="1" a="1"/>
  <c r="AR174" i="1"/>
  <c r="AR174" i="1" a="1"/>
  <c r="AR264" i="1"/>
  <c r="AR264" i="1" a="1"/>
  <c r="AR181" i="1"/>
  <c r="AR181" i="1" a="1"/>
  <c r="AR234" i="1"/>
  <c r="AR234" i="1" a="1"/>
  <c r="AR27" i="1"/>
  <c r="AR27" i="1" a="1"/>
  <c r="AR35" i="1"/>
  <c r="AR35" i="1" a="1"/>
  <c r="AR198" i="1"/>
  <c r="AR198" i="1" a="1"/>
  <c r="AR16" i="1"/>
  <c r="AR16" i="1" a="1"/>
  <c r="AR104" i="1"/>
  <c r="AR104" i="1" a="1"/>
  <c r="AR141" i="1"/>
  <c r="AR141" i="1" a="1"/>
  <c r="AR137" i="1"/>
  <c r="AR137" i="1" a="1"/>
  <c r="AR94" i="1"/>
  <c r="AR94" i="1" a="1"/>
  <c r="AR195" i="1"/>
  <c r="AR195" i="1" a="1"/>
  <c r="AR185" i="1"/>
  <c r="AR185" i="1" a="1"/>
  <c r="AR62" i="1"/>
  <c r="AR62" i="1" a="1"/>
  <c r="AR200" i="1"/>
  <c r="AR200" i="1" a="1"/>
  <c r="AR277" i="1"/>
  <c r="AR277" i="1" a="1"/>
  <c r="AR117" i="1"/>
  <c r="AR117" i="1" a="1"/>
  <c r="AR178" i="1"/>
  <c r="AR178" i="1" a="1"/>
  <c r="AR167" i="1"/>
  <c r="AR167" i="1" a="1"/>
  <c r="AR189" i="1"/>
  <c r="AR189" i="1" a="1"/>
  <c r="AR21" i="1"/>
  <c r="AR21" i="1" a="1"/>
  <c r="AR230" i="1"/>
  <c r="AR230" i="1" a="1"/>
  <c r="AR87" i="1"/>
  <c r="AR87" i="1" a="1"/>
  <c r="AR84" i="1"/>
  <c r="AR84" i="1" a="1"/>
  <c r="AR151" i="1"/>
  <c r="AR151" i="1" a="1"/>
  <c r="AR118" i="1"/>
  <c r="AR118" i="1" a="1"/>
  <c r="AR73" i="1"/>
  <c r="AR73" i="1" a="1"/>
  <c r="AR76" i="1"/>
  <c r="AR76" i="1" a="1"/>
  <c r="AR114" i="1"/>
  <c r="AR114" i="1" a="1"/>
  <c r="AR268" i="1"/>
  <c r="AR268" i="1" a="1"/>
  <c r="AR139" i="1"/>
  <c r="AR139" i="1" a="1"/>
  <c r="AR34" i="1"/>
  <c r="AR34" i="1" a="1"/>
  <c r="AR33" i="1"/>
  <c r="AR33" i="1" a="1"/>
  <c r="AR122" i="1"/>
  <c r="AR122" i="1" a="1"/>
  <c r="AR133" i="1"/>
  <c r="AR133" i="1" a="1"/>
  <c r="AR101" i="1"/>
  <c r="AR101" i="1" a="1"/>
  <c r="AR172" i="1"/>
  <c r="AR172" i="1" a="1"/>
  <c r="AR53" i="1"/>
  <c r="AR53" i="1" a="1"/>
  <c r="AR148" i="1"/>
  <c r="AR148" i="1" a="1"/>
  <c r="AR25" i="1"/>
  <c r="AR25" i="1" a="1"/>
  <c r="AR71" i="1"/>
  <c r="AR71" i="1" a="1"/>
  <c r="AR83" i="1"/>
  <c r="AR83" i="1" a="1"/>
  <c r="AR251" i="1"/>
  <c r="AR251" i="1" a="1"/>
  <c r="AR250" i="1"/>
  <c r="AR250" i="1" a="1"/>
  <c r="AR115" i="1"/>
  <c r="AR115" i="1" a="1"/>
  <c r="AR147" i="1"/>
  <c r="AR147" i="1" a="1"/>
  <c r="AR146" i="1"/>
  <c r="AR146" i="1" a="1"/>
  <c r="AR261" i="1"/>
  <c r="AR261" i="1" a="1"/>
  <c r="AR145" i="1"/>
  <c r="AR145" i="1" a="1"/>
  <c r="AR102" i="1"/>
  <c r="AR102" i="1" a="1"/>
  <c r="AR193" i="1"/>
  <c r="AR193" i="1" a="1"/>
  <c r="AR81" i="1"/>
  <c r="AR81" i="1" a="1"/>
  <c r="AR105" i="1"/>
  <c r="AR105" i="1" a="1"/>
  <c r="AR226" i="1"/>
  <c r="AR226" i="1" a="1"/>
  <c r="AR227" i="1"/>
  <c r="AR227" i="1" a="1"/>
  <c r="AR96" i="1"/>
  <c r="AR96" i="1" a="1"/>
  <c r="AR281" i="1"/>
  <c r="AR281" i="1" a="1"/>
  <c r="AR240" i="1"/>
  <c r="AR240" i="1" a="1"/>
  <c r="AR61" i="1"/>
  <c r="AR61" i="1" a="1"/>
  <c r="AR125" i="1"/>
  <c r="AR125" i="1" a="1"/>
  <c r="AR183" i="1"/>
  <c r="AR183" i="1" a="1"/>
  <c r="AR153" i="1"/>
  <c r="AR153" i="1" a="1"/>
  <c r="AR282" i="1"/>
  <c r="AR282" i="1" a="1"/>
  <c r="AR169" i="1"/>
  <c r="AR169" i="1" a="1"/>
  <c r="AR239" i="1"/>
  <c r="AR239" i="1" a="1"/>
  <c r="AR40" i="1"/>
  <c r="AR40" i="1" a="1"/>
  <c r="AR108" i="1"/>
  <c r="AR108" i="1" a="1"/>
  <c r="AR184" i="1"/>
  <c r="AR184" i="1" a="1"/>
  <c r="AR134" i="1"/>
  <c r="AR134" i="1" a="1"/>
  <c r="AR60" i="1"/>
  <c r="AR60" i="1" a="1"/>
  <c r="AR173" i="1"/>
  <c r="AR173" i="1" a="1"/>
  <c r="AR11" i="1"/>
  <c r="AR11" i="1" a="1"/>
  <c r="AR246" i="1"/>
  <c r="AR246" i="1" a="1"/>
  <c r="AR273" i="1"/>
  <c r="AR273" i="1" a="1"/>
  <c r="AR222" i="1"/>
  <c r="AR222" i="1" a="1"/>
  <c r="AR241" i="1"/>
  <c r="AR241" i="1" a="1"/>
  <c r="AR18" i="1"/>
  <c r="AR18" i="1" a="1"/>
  <c r="AR182" i="1"/>
  <c r="AR182" i="1" a="1"/>
  <c r="AR202" i="1"/>
  <c r="AR202" i="1" a="1"/>
  <c r="AR194" i="1"/>
  <c r="AR194" i="1" a="1"/>
  <c r="AR168" i="1"/>
  <c r="AR168" i="1" a="1"/>
  <c r="AR280" i="1"/>
  <c r="AR280" i="1" a="1"/>
  <c r="AR75" i="1"/>
  <c r="AR75" i="1" a="1"/>
  <c r="AR265" i="1"/>
  <c r="AR265" i="1" a="1"/>
  <c r="AR140" i="1"/>
  <c r="AR140" i="1" a="1"/>
  <c r="AR245" i="1"/>
  <c r="AR245" i="1" a="1"/>
  <c r="AR274" i="1"/>
  <c r="AR274" i="1" a="1"/>
  <c r="AR99" i="1"/>
  <c r="AR99" i="1" a="1"/>
  <c r="AR242" i="1"/>
  <c r="AR242" i="1" a="1"/>
  <c r="AR110" i="1"/>
  <c r="AR110" i="1" a="1"/>
  <c r="AR229" i="1"/>
  <c r="AR229" i="1" a="1"/>
  <c r="AR190" i="1"/>
  <c r="AR190" i="1" a="1"/>
  <c r="AR266" i="1"/>
  <c r="AR266" i="1" a="1"/>
  <c r="AR244" i="1"/>
  <c r="AR244" i="1" a="1"/>
  <c r="AR50" i="1"/>
  <c r="AR50" i="1" a="1"/>
  <c r="AR235" i="1"/>
  <c r="AR235" i="1" a="1"/>
  <c r="AR233" i="1"/>
  <c r="AR233" i="1" a="1"/>
  <c r="AR116" i="1"/>
  <c r="AR116" i="1" a="1"/>
  <c r="AR263" i="1"/>
  <c r="AR263" i="1" a="1"/>
  <c r="AR97" i="1"/>
  <c r="AR97" i="1" a="1"/>
  <c r="AR66" i="1"/>
  <c r="AR66" i="1" a="1"/>
  <c r="AR63" i="1"/>
  <c r="AR63" i="1" a="1"/>
  <c r="AR218" i="1"/>
  <c r="AR218" i="1" a="1"/>
  <c r="AR144" i="1"/>
  <c r="AR144" i="1" a="1"/>
  <c r="AR51" i="1"/>
  <c r="AR51" i="1" a="1"/>
  <c r="AR70" i="1"/>
  <c r="AR70" i="1" a="1"/>
  <c r="AR201" i="1"/>
  <c r="AR201" i="1" a="1"/>
  <c r="AR10" i="1"/>
  <c r="AR10" i="1" a="1"/>
  <c r="AR46" i="1"/>
  <c r="AR46" i="1" a="1"/>
  <c r="AR232" i="1"/>
  <c r="AR232" i="1" a="1"/>
  <c r="AR162" i="1"/>
  <c r="AR162" i="1" a="1"/>
  <c r="AR132" i="1"/>
  <c r="AR132" i="1" a="1"/>
  <c r="AR269" i="1"/>
  <c r="AR269" i="1" a="1"/>
  <c r="AR38" i="1"/>
  <c r="AR38" i="1" a="1"/>
  <c r="AR270" i="1"/>
  <c r="AR270" i="1" a="1"/>
  <c r="AR155" i="1"/>
  <c r="AR155" i="1" a="1"/>
  <c r="AR19" i="1"/>
  <c r="AR19" i="1" a="1"/>
  <c r="AR98" i="1"/>
  <c r="AR98" i="1" a="1"/>
  <c r="AR179" i="1"/>
  <c r="AR179" i="1" a="1"/>
  <c r="AR17" i="1"/>
  <c r="AR17" i="1" a="1"/>
  <c r="AR152" i="1"/>
  <c r="AR152" i="1" a="1"/>
  <c r="AR127" i="1"/>
  <c r="AR127" i="1" a="1"/>
  <c r="AR13" i="1"/>
  <c r="AR13" i="1" a="1"/>
  <c r="AR29" i="1"/>
  <c r="AR29" i="1" a="1"/>
  <c r="AR213" i="1"/>
  <c r="AR213" i="1" a="1"/>
  <c r="AR90" i="1"/>
  <c r="AR90" i="1" a="1"/>
  <c r="AR36" i="1"/>
  <c r="AR36" i="1" a="1"/>
  <c r="AR112" i="1"/>
  <c r="AR112" i="1" a="1"/>
  <c r="AR43" i="1"/>
  <c r="AR43" i="1" a="1"/>
  <c r="AR24" i="1"/>
  <c r="AR24" i="1" a="1"/>
  <c r="AR150" i="1"/>
  <c r="AR150" i="1" a="1"/>
  <c r="AR119" i="1"/>
  <c r="AR119" i="1" a="1"/>
  <c r="AR95" i="1"/>
  <c r="AR95" i="1" a="1"/>
  <c r="AR166" i="1"/>
  <c r="AR166" i="1" a="1"/>
  <c r="AR56" i="1"/>
  <c r="AR56" i="1" a="1"/>
  <c r="AR20" i="1"/>
  <c r="AR20" i="1" a="1"/>
  <c r="AR45" i="1"/>
  <c r="AR45" i="1" a="1"/>
  <c r="AR82" i="1"/>
  <c r="AR82" i="1" a="1"/>
  <c r="AR69" i="1"/>
  <c r="AR69" i="1" a="1"/>
  <c r="AR58" i="1"/>
  <c r="AR58" i="1" a="1"/>
  <c r="AR159" i="1"/>
  <c r="AR159" i="1" a="1"/>
  <c r="AR123" i="1"/>
  <c r="AR123" i="1" a="1"/>
  <c r="AR107" i="1"/>
  <c r="AR107" i="1" a="1"/>
  <c r="AR59" i="1"/>
  <c r="AR59" i="1" a="1"/>
  <c r="AR131" i="1"/>
  <c r="AR131" i="1" a="1"/>
  <c r="AR52" i="1"/>
  <c r="AR52" i="1" a="1"/>
  <c r="AR121" i="1"/>
  <c r="AR121" i="1" a="1"/>
  <c r="AR67" i="1"/>
  <c r="AR67" i="1" a="1"/>
  <c r="AR37" i="1"/>
  <c r="AR37" i="1" a="1"/>
  <c r="AR187" i="1"/>
  <c r="AR187" i="1" a="1"/>
  <c r="AR278" i="1"/>
  <c r="AR278" i="1" a="1"/>
  <c r="AR89" i="1"/>
  <c r="AR89" i="1" a="1"/>
  <c r="AR191" i="1"/>
  <c r="AR191" i="1" a="1"/>
  <c r="AR170" i="1"/>
  <c r="AR170" i="1" a="1"/>
  <c r="AR100" i="1"/>
  <c r="AR100" i="1" a="1"/>
  <c r="AR7" i="1"/>
  <c r="AR7" i="1" a="1"/>
  <c r="AR243" i="1"/>
  <c r="AR243" i="1" a="1"/>
  <c r="AR79" i="1"/>
  <c r="AR79" i="1" a="1"/>
  <c r="AR31" i="1"/>
  <c r="AR31" i="1" a="1"/>
  <c r="AR143" i="1"/>
  <c r="AR143" i="1" a="1"/>
  <c r="AR188" i="1"/>
  <c r="AR188" i="1" a="1"/>
  <c r="AR74" i="1"/>
  <c r="AR74" i="1" a="1"/>
  <c r="AR77" i="1"/>
  <c r="AR77" i="1" a="1"/>
  <c r="AR57" i="1"/>
  <c r="AR57" i="1" a="1"/>
  <c r="AR237" i="1"/>
  <c r="AR237" i="1" a="1"/>
  <c r="AR279" i="1"/>
  <c r="AR279" i="1" a="1"/>
  <c r="AR120" i="1"/>
  <c r="AR120" i="1" a="1"/>
  <c r="AR47" i="1"/>
  <c r="AR47" i="1" a="1"/>
  <c r="AR180" i="1"/>
  <c r="AR180" i="1" a="1"/>
  <c r="AR6" i="1"/>
  <c r="AR6" i="1" a="1"/>
  <c r="AR136" i="1"/>
  <c r="AR136" i="1" a="1"/>
  <c r="AR135" i="1"/>
  <c r="AR135" i="1" a="1"/>
  <c r="AR129" i="1"/>
  <c r="AR129" i="1" a="1"/>
  <c r="AR44" i="1"/>
  <c r="AR44" i="1" a="1"/>
  <c r="AR23" i="1"/>
  <c r="AR23" i="1" a="1"/>
  <c r="AR15" i="1"/>
  <c r="AR15" i="1" a="1"/>
  <c r="AR5" i="1"/>
  <c r="AR5" i="1" a="1"/>
  <c r="AR276" i="1"/>
  <c r="AR276" i="1" a="1"/>
  <c r="AR160" i="1"/>
  <c r="AR160" i="1" a="1"/>
  <c r="AR248" i="1"/>
  <c r="AR248" i="1" a="1"/>
  <c r="AR249" i="1"/>
  <c r="AR249" i="1" a="1"/>
  <c r="AR85" i="1"/>
  <c r="AR85" i="1" a="1"/>
  <c r="AR39" i="1"/>
  <c r="AR39" i="1" a="1"/>
  <c r="AR30" i="1"/>
  <c r="AR30" i="1" a="1"/>
  <c r="AR259" i="1"/>
  <c r="AR259" i="1" a="1"/>
  <c r="AR55" i="1"/>
  <c r="AR55" i="1" a="1"/>
  <c r="AR48" i="1"/>
  <c r="AR48" i="1" a="1"/>
  <c r="AR142" i="1"/>
  <c r="AR142" i="1" a="1"/>
  <c r="AR272" i="1"/>
  <c r="AR272" i="1" a="1"/>
  <c r="AR14" i="1"/>
  <c r="AR14" i="1" a="1"/>
  <c r="AR262" i="1"/>
  <c r="AR262" i="1" a="1"/>
  <c r="AR138" i="1"/>
  <c r="AR138" i="1" a="1"/>
  <c r="AR199" i="1"/>
  <c r="AR199" i="1" a="1"/>
  <c r="AR49" i="1"/>
  <c r="AR49" i="1" a="1"/>
  <c r="AR176" i="1"/>
  <c r="AR176" i="1" a="1"/>
  <c r="AR109" i="1"/>
  <c r="AR109" i="1" a="1"/>
  <c r="AR171" i="1"/>
  <c r="AR171" i="1" a="1"/>
  <c r="AR231" i="1"/>
  <c r="AR231" i="1" a="1"/>
  <c r="AR175" i="1"/>
  <c r="AR175" i="1" a="1"/>
  <c r="AR186" i="1"/>
  <c r="AR186" i="1" a="1"/>
  <c r="AR252" i="1"/>
  <c r="AR252" i="1" a="1"/>
  <c r="AR8" i="1"/>
  <c r="AR8" i="1" a="1"/>
  <c r="AR126" i="1"/>
  <c r="AR126" i="1" a="1"/>
  <c r="AR103" i="1"/>
  <c r="AR103" i="1" a="1"/>
  <c r="AR161" i="1"/>
  <c r="AR161" i="1" a="1"/>
  <c r="AR154" i="1"/>
  <c r="AR154" i="1" a="1"/>
  <c r="AR149" i="1"/>
  <c r="AR149" i="1" a="1"/>
  <c r="AR42" i="1"/>
  <c r="AR42" i="1" a="1"/>
  <c r="AR158" i="1"/>
  <c r="AR158" i="1" a="1"/>
  <c r="AR128" i="1"/>
  <c r="AR128" i="1" a="1"/>
  <c r="AR72" i="1"/>
  <c r="AR72" i="1" a="1"/>
  <c r="AR65" i="1"/>
  <c r="AR65" i="1" a="1"/>
  <c r="AR92" i="1"/>
  <c r="AR92" i="1" a="1"/>
  <c r="AR192" i="1"/>
  <c r="AR192" i="1" a="1"/>
  <c r="AR9" i="1"/>
  <c r="AR9" i="1" a="1"/>
  <c r="AR91" i="1"/>
  <c r="AR91" i="1" a="1"/>
  <c r="AR80" i="1"/>
  <c r="AR80" i="1" a="1"/>
  <c r="AR163" i="1"/>
  <c r="AR163" i="1" a="1"/>
  <c r="AR106" i="1"/>
  <c r="AR106" i="1" a="1"/>
  <c r="AR165" i="1"/>
  <c r="AR165" i="1" a="1"/>
  <c r="AR12" i="1"/>
  <c r="AR12" i="1" a="1"/>
  <c r="AR271" i="1"/>
  <c r="AR271" i="1" a="1"/>
  <c r="AR4" i="1"/>
  <c r="AR4" i="1" a="1"/>
  <c r="AR68" i="1"/>
  <c r="AR68" i="1" a="1"/>
  <c r="AR157" i="1"/>
  <c r="AR157" i="1" a="1"/>
  <c r="AR260" i="1"/>
  <c r="AR260" i="1" a="1"/>
  <c r="AR86" i="1"/>
  <c r="AR86" i="1" a="1"/>
  <c r="AR54" i="1"/>
  <c r="AR54" i="1" a="1"/>
  <c r="AR216" i="1"/>
  <c r="AR216" i="1" a="1"/>
  <c r="AR196" i="1"/>
  <c r="AR196" i="1" a="1"/>
  <c r="AR247" i="1"/>
  <c r="AR247" i="1" a="1"/>
  <c r="AR124" i="1"/>
  <c r="AR124" i="1" a="1"/>
  <c r="AR219" i="1"/>
  <c r="AR219" i="1" a="1"/>
  <c r="AR28" i="1"/>
  <c r="AR28" i="1" a="1"/>
  <c r="AR177" i="1"/>
  <c r="AR177" i="1" a="1"/>
  <c r="AR22" i="1"/>
  <c r="AR22" i="1" a="1"/>
  <c r="AR93" i="1"/>
  <c r="AR93" i="1" a="1"/>
  <c r="AR26" i="1"/>
  <c r="AR26" i="1" a="1"/>
  <c r="AR267" i="1"/>
  <c r="AR267" i="1" a="1"/>
  <c r="AR164" i="1"/>
  <c r="AR164" i="1" a="1"/>
  <c r="AR88" i="1"/>
  <c r="AR88" i="1" a="1"/>
  <c r="AR156" i="1"/>
  <c r="AR156" i="1" a="1"/>
  <c r="AR32" i="1"/>
  <c r="AR32" i="1" a="1"/>
  <c r="AR41" i="1"/>
  <c r="AR41" i="1" a="1"/>
  <c r="AR275" i="1"/>
  <c r="AR275" i="1" a="1"/>
  <c r="AR78" i="1"/>
  <c r="AR2" i="1" a="1"/>
  <c r="AR78"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<sst xmlns="http://schemas.openxmlformats.org/spreadsheetml/2006/main" count="8637" uniqueCount="2350">
  <si>
    <t>PAIS</t>
  </si>
  <si>
    <t>PERÚ</t>
  </si>
  <si>
    <t>pla</t>
  </si>
  <si>
    <t>(Varios elementos)</t>
  </si>
  <si>
    <t>Tipo de Accidente</t>
  </si>
  <si>
    <t>Planta</t>
  </si>
  <si>
    <t>Dirección de Responsabilidad</t>
  </si>
  <si>
    <t>Etiquetas de fila</t>
  </si>
  <si>
    <t>Cuenta de Planta</t>
  </si>
  <si>
    <t>Contratista</t>
  </si>
  <si>
    <t>PROPIO</t>
  </si>
  <si>
    <t>SENATI</t>
  </si>
  <si>
    <t>Total general</t>
  </si>
  <si>
    <t>Item</t>
  </si>
  <si>
    <t>N° ROM</t>
  </si>
  <si>
    <t>SOCIEDAD
(Razón Social)</t>
  </si>
  <si>
    <t>Predio</t>
  </si>
  <si>
    <t>Planta Sigma</t>
  </si>
  <si>
    <t>Area</t>
  </si>
  <si>
    <t>Tipo de Accidente3</t>
  </si>
  <si>
    <t>Fecha
(XX/XX/2024)</t>
  </si>
  <si>
    <t>Sem</t>
  </si>
  <si>
    <t>Día</t>
  </si>
  <si>
    <t>Mes</t>
  </si>
  <si>
    <t>Año</t>
  </si>
  <si>
    <t>Hora</t>
  </si>
  <si>
    <t>Turno</t>
  </si>
  <si>
    <t>Tipo de Trabajador</t>
  </si>
  <si>
    <t>EMPRESA</t>
  </si>
  <si>
    <t>APELLIDO PATERNO</t>
  </si>
  <si>
    <t>APELLIDO MATERNO</t>
  </si>
  <si>
    <t>NOMBRES</t>
  </si>
  <si>
    <t>SEXO</t>
  </si>
  <si>
    <t>Edad</t>
  </si>
  <si>
    <t>Puesto de Trabajo</t>
  </si>
  <si>
    <t>Fecha de Ingreso a Labores</t>
  </si>
  <si>
    <t>DESCRIPCION DEL ACCIDENTE</t>
  </si>
  <si>
    <t>Tipo de Contacto</t>
  </si>
  <si>
    <t>Parte del Cuerpo Afectada</t>
  </si>
  <si>
    <t>Parte del Cuerpo Afectada 2</t>
  </si>
  <si>
    <t>Actividad Realizada</t>
  </si>
  <si>
    <t>DIAGNOSTICO
MÉDICO</t>
  </si>
  <si>
    <t>Lesión</t>
  </si>
  <si>
    <t>Días DM Total Indicador</t>
  </si>
  <si>
    <t xml:space="preserve">Cargo ANSI </t>
  </si>
  <si>
    <t>Días de D.M.</t>
  </si>
  <si>
    <t>Situación Actual</t>
  </si>
  <si>
    <t>Tiempo experiencia
(meses)</t>
  </si>
  <si>
    <t>Antigüedad</t>
  </si>
  <si>
    <t>FUENTE DE PELIGRO</t>
  </si>
  <si>
    <t>TIPO DE CONTRATO</t>
  </si>
  <si>
    <t>Tipo de Accidente2</t>
  </si>
  <si>
    <t>Población</t>
  </si>
  <si>
    <t>Considerar</t>
  </si>
  <si>
    <t>Recategorización</t>
  </si>
  <si>
    <t>PGL23660</t>
  </si>
  <si>
    <t>ALICORP_SAA</t>
  </si>
  <si>
    <t>Distrito del Callao</t>
  </si>
  <si>
    <t>Galletería</t>
  </si>
  <si>
    <t>GALLETERA &amp; INSTANTÁNEOS</t>
  </si>
  <si>
    <t>Producción</t>
  </si>
  <si>
    <t>HORNOS</t>
  </si>
  <si>
    <t>Acc. No Incapacitante</t>
  </si>
  <si>
    <t>M</t>
  </si>
  <si>
    <t>Alicorp S.A.A.</t>
  </si>
  <si>
    <t>ASENCIO</t>
  </si>
  <si>
    <t>CANALES</t>
  </si>
  <si>
    <t>JOSE</t>
  </si>
  <si>
    <t>MASCULINO</t>
  </si>
  <si>
    <t>OPERADOR DE HORNO</t>
  </si>
  <si>
    <t>Siendo las 08:35 a.m, el operador de horno se encontraba realizando labores de limpieza de pisos en la zona de laminado Línea 1, y mientras retiraba los residuos en la parte baja de la estación de pre laminado, se golpea la cabeza contra una estructura causándole un leve sangrado.
El operador es derivado hacia tópico donde realizan limpieza de la zona afectada. Post evaluación, el trabajador firma hoja de desistimiento de traslado</t>
  </si>
  <si>
    <t>Golpeado contra</t>
  </si>
  <si>
    <t>CABEZA</t>
  </si>
  <si>
    <t>Cabeza</t>
  </si>
  <si>
    <t>LIMPIEZA  DE PISOS</t>
  </si>
  <si>
    <t>NA</t>
  </si>
  <si>
    <t>Corte/Herida</t>
  </si>
  <si>
    <t>&lt;</t>
  </si>
  <si>
    <t>Trabajando</t>
  </si>
  <si>
    <t>&gt; 10 años</t>
  </si>
  <si>
    <t>ESTRUCTURA</t>
  </si>
  <si>
    <t>CONTRATO INDEFINIDO</t>
  </si>
  <si>
    <t>PGL23719</t>
  </si>
  <si>
    <t>BAÑADOS</t>
  </si>
  <si>
    <t>T</t>
  </si>
  <si>
    <t>GARCIA</t>
  </si>
  <si>
    <t>SARAVIA</t>
  </si>
  <si>
    <t>MANUEL</t>
  </si>
  <si>
    <t>OPERADOR DE MAQUINA ENVASADORA</t>
  </si>
  <si>
    <t>Siendo las 08:40 p.m, el operador de máquina envasadora se encontraba realizando labores de limpieza del equipo de la envasadora de galletas A9 del área de bañados, y mientras retiraba los residuos en la zona, se golpea la cabeza contra la estructura de la porta bandejas que se encontraba cerca.
El operador es derivado hacia tópico donde realizan limpieza de la zona afectada, colocan crema y proceden a colocar una tira adhesiva con gasa (curita) como protector. Post evaluación, se menciona que no requiere traslado y el colaborador regresa a continuar con sus actividades en planta</t>
  </si>
  <si>
    <t>LIMPIEZA  DE LINEA</t>
  </si>
  <si>
    <t>PORTA BANDEJAS</t>
  </si>
  <si>
    <t>CONTRATO TEMPORAL</t>
  </si>
  <si>
    <t>PGL23662</t>
  </si>
  <si>
    <t>LINEA 1</t>
  </si>
  <si>
    <t>NAVARRO</t>
  </si>
  <si>
    <t>CHERO</t>
  </si>
  <si>
    <t>ZAYURI ALEXANDRA</t>
  </si>
  <si>
    <t>FEMENINO</t>
  </si>
  <si>
    <t>APRENDIZ SENATI</t>
  </si>
  <si>
    <t>Siendo las 06:30 p.m., la aprendiz de Senati se encontraba realizando labores de alimentación de galleta en la zona de envasado de galleta de la Línea 1, para ello durante la alimentación hace el traslado de jabas de producto para el abastecimiento manual, el incidente ocurrió cuando estaba abasteciendo los paquetes a la faja, su mano derecha rozo con la guía de la faja provocándole una raspadura en la parte superior de la mano. Después de lo ocurrido al no comunicar, el encargado de línea al percatarse la derivó con el coordinador e ingeniero.
La aprendiz es derivada hacia tópico, donde se realizó el lavado, aplicación de crema y colocación de curita en la zona afectada. Post evaluación, el médico concluye que no necesita traslado hacia la clínica y puede continuar con su actividad en planta</t>
  </si>
  <si>
    <t>Golpeado por</t>
  </si>
  <si>
    <t>MANO</t>
  </si>
  <si>
    <t>Mano/Muñeca/Dedos</t>
  </si>
  <si>
    <t>ALIMENTACIÓN DE PAQUETES PRIMARIOS</t>
  </si>
  <si>
    <t>&lt; 3 a 6 meses</t>
  </si>
  <si>
    <t>GUIA DE FAJA</t>
  </si>
  <si>
    <t>APRENDIZAJE SENATI</t>
  </si>
  <si>
    <t>PCO23723</t>
  </si>
  <si>
    <t>PREDIO CENTRAL</t>
  </si>
  <si>
    <t>Copsa</t>
  </si>
  <si>
    <t>COPSA</t>
  </si>
  <si>
    <t>SALSAS 3</t>
  </si>
  <si>
    <t>Acc. Incapacitante</t>
  </si>
  <si>
    <t>Alicorp S.A.A</t>
  </si>
  <si>
    <t>ABANTO</t>
  </si>
  <si>
    <t>CHAVEZ</t>
  </si>
  <si>
    <t>JUAN SALVADOR</t>
  </si>
  <si>
    <t>AYUDANTE DE SANEAMIENTO</t>
  </si>
  <si>
    <t>El colaborador se dirige a la azotea de Salsas 3 (3er piso) para recoger la cartelería que se había guardado en dicha zona, para retornarlo a su lugar de origen, al haber concluido los trabajos de pintura en la cámara de refrigeración (1er piso); en dicho trayecto se tropieza con la parte sobresaliente de unos pernos pasantes de soporte de tuberías, cayendo sobre su rodilla izquierda.
El colaborador manifiesta que se repone y continúa su trayecto llegando al 1er piso y siente un fuerte dolor en la zona afectada, procediendo a comunicar a su líder de turno.</t>
  </si>
  <si>
    <t>Caída al mismo nivel</t>
  </si>
  <si>
    <t>PIERNA</t>
  </si>
  <si>
    <t>Rodilla</t>
  </si>
  <si>
    <t>Traslado de carteles desde almacén de materiales a cámara de refrigeración</t>
  </si>
  <si>
    <t>Esguince de rodilla izquierda</t>
  </si>
  <si>
    <t>Esguince/Torcedura</t>
  </si>
  <si>
    <t>En recuperación post intervención quirúrgica</t>
  </si>
  <si>
    <t>PISO CON PERNO PASANTE SOBRESALIENTE</t>
  </si>
  <si>
    <t>SI</t>
  </si>
  <si>
    <t>-</t>
  </si>
  <si>
    <t>BOLIVIA</t>
  </si>
  <si>
    <t>ALICORP_BOLIVIA</t>
  </si>
  <si>
    <t>CBB</t>
  </si>
  <si>
    <t>PLANTA COCHABAMBA</t>
  </si>
  <si>
    <t>MANTECA MARGARINA</t>
  </si>
  <si>
    <t>N</t>
  </si>
  <si>
    <t>SAENZ</t>
  </si>
  <si>
    <t>ARRATIA</t>
  </si>
  <si>
    <t>DANIEL</t>
  </si>
  <si>
    <t>RECEPCIONISTA DE MARGARINA</t>
  </si>
  <si>
    <t xml:space="preserve">A horas 3:15 am recepcionista de margarina Daniel Sáenz se tropieza con pallet de madera al estar trasladándose por la zona de cortina de ingreso de material de empaquetado, esto ocasiona que  el colaborador se  caiga y  se contusione levemente el antebrazo derecho, el operador presenta leve dolor en brazo derecho, por prevención inmediatamente se gestiona el traslado a caja nacional de salud para su revisión. </t>
  </si>
  <si>
    <t>ANTEBRAZO</t>
  </si>
  <si>
    <t>Brazo/Codo/Hombro</t>
  </si>
  <si>
    <t>ARME CAJAS</t>
  </si>
  <si>
    <t>Policontusión</t>
  </si>
  <si>
    <t>Contusión/Trauma</t>
  </si>
  <si>
    <t>&lt; 5 a 10 años</t>
  </si>
  <si>
    <t>PISO CON OBSTACULOS</t>
  </si>
  <si>
    <t>PDF</t>
  </si>
  <si>
    <t>PLANTA DON FELIPE</t>
  </si>
  <si>
    <t>Calidad</t>
  </si>
  <si>
    <t>SOLVENTE CROWN</t>
  </si>
  <si>
    <t>SALDAÑA</t>
  </si>
  <si>
    <t>PADILLA</t>
  </si>
  <si>
    <t>ERICKA</t>
  </si>
  <si>
    <t>ANALISTA DE LABORATORIO</t>
  </si>
  <si>
    <t>Bajada violenta de carro de muestreo, el cual golpea la fosa poplítea de la pierna derecha ocasionando caída al mismo nivel.</t>
  </si>
  <si>
    <t>Pierna</t>
  </si>
  <si>
    <t>TRASLADO DE MUESTRAS</t>
  </si>
  <si>
    <t>Bursitis rodilla derecha</t>
  </si>
  <si>
    <t>PISO CON DESNIVELES</t>
  </si>
  <si>
    <t>ILU23736</t>
  </si>
  <si>
    <t>INTRADEVCO_INDUSTRIAL_SA</t>
  </si>
  <si>
    <t>Distrito de Lurín</t>
  </si>
  <si>
    <t>Intradevco</t>
  </si>
  <si>
    <t>Lurin 2_Planta principal</t>
  </si>
  <si>
    <t>SOPLADO</t>
  </si>
  <si>
    <t>Service</t>
  </si>
  <si>
    <t>Grupo Consulting</t>
  </si>
  <si>
    <t>MEJÍA</t>
  </si>
  <si>
    <t>CRISOSTOMO</t>
  </si>
  <si>
    <t>ADA KELY</t>
  </si>
  <si>
    <t>OPERARIO DE PRODUCCIÓN</t>
  </si>
  <si>
    <t>La colaboradora se encontraba empleando una cuchilla para retirar las partes del plástico contaminado de uno de los frascos (galonera 5L). Esta actividad consiste en emplear una cuchilla para cortar en forma circular alrededor de las manchas o materiales extraños detectados en el frasco.
Durante la actividad de corte, la colaboradora ejerce presión sobre la superficie que presentaba rigidez y realiza un corte ejerciendo fuerza en dirección a su cuerpo; producto de esta acción, la botella es cortada y la cuchilla alcanza la parte expuesta del antebrazo de la persona, entre el guante anticorte y el polo que se encontraba arremangado.
La colaboradora comunica lo ocurrido a su supervisora y es atendida en el tópico. Se traslada a la colaboradora a la clínica para suturar la herida.
Se procede con la investigación del accidente.</t>
  </si>
  <si>
    <t>Contacto con superficie cortante</t>
  </si>
  <si>
    <t>Retiro de contaminación en envase</t>
  </si>
  <si>
    <t>Herida en el antebrazo izquierdo</t>
  </si>
  <si>
    <t>&lt; 0.5 a 1 año</t>
  </si>
  <si>
    <t>SUPERFICIE FILOSA</t>
  </si>
  <si>
    <t>CHILE</t>
  </si>
  <si>
    <t>VITAPRO</t>
  </si>
  <si>
    <t>Chile</t>
  </si>
  <si>
    <t>Vitapro</t>
  </si>
  <si>
    <t>SALMOFOOD</t>
  </si>
  <si>
    <t>Mantenimiento</t>
  </si>
  <si>
    <t xml:space="preserve">Cernidor carga MP L3 y L4 </t>
  </si>
  <si>
    <t>TECNICO MECÁNICO</t>
  </si>
  <si>
    <t>Durante el turno de la tarde, dos trabajadores de mantención mecánica reciben llamado al radiotransmisor por falla en elevador L3 y L4, al llegar a revisar, notan que el cernidor se encontraba trabado con producto húmedo, por lo cual comienzan a golpear las paredes del equipo con un combo de goma, un trabajador golpea el lado izquierdo y el segundo trabajador golpea el lado derecho (el cual tenía el acceso y espacio de trabajo mas reducido) en el momento que trabajador procede a golpear la pared del cernidor con el mazo de goma, pasa a golpear su mano contra el cernidor con toda la fuerza del golpe mientras sostenía el combo.</t>
  </si>
  <si>
    <t>Dedo anular mano derecha</t>
  </si>
  <si>
    <t>Lesión en dedo</t>
  </si>
  <si>
    <t>&lt; 1 a 5 años</t>
  </si>
  <si>
    <t>COMBA DE GOMA</t>
  </si>
  <si>
    <t>PPI</t>
  </si>
  <si>
    <t>PLANTA PARQUE INDUSTRIAL</t>
  </si>
  <si>
    <t>RECEPCIÓN DE GRANO</t>
  </si>
  <si>
    <t>APREMEC</t>
  </si>
  <si>
    <t>ARIAS</t>
  </si>
  <si>
    <t>SALCES</t>
  </si>
  <si>
    <t>JESUS IGNACIO</t>
  </si>
  <si>
    <t>SUPERVISOR DE CUADRILLA</t>
  </si>
  <si>
    <t>El día 17/01/2023 a las 16:30 se reporta un corte superficial en la parte dorsal de la mano derecha de unos 3 cm aprox . El contratista se encontraba ajustando una tolva y cuando ejerce palanca con una barreta esta se sale de su posición y la mano se proyecta hacia la tolva golpeando un perno y ocasionándole el corte. Personal contratista fue atendido de primeros auxilios en posta médica. El corte en requirió sutura de 5 puntos y limpieza. Al otro día retornó a sus actividades restringido a realizar sus trabajos de supervisión de personal a nivel del piso.</t>
  </si>
  <si>
    <t>Contacto con superficie filosa</t>
  </si>
  <si>
    <t>AJUSTE DE TOLVA</t>
  </si>
  <si>
    <t>Corte superficial mano derecha</t>
  </si>
  <si>
    <t>PDC</t>
  </si>
  <si>
    <t>DETERGENTES CALLAO</t>
  </si>
  <si>
    <t>Escalera de servicios higiénicos - Detergentes</t>
  </si>
  <si>
    <t>TENAZOA</t>
  </si>
  <si>
    <t>AREVALO</t>
  </si>
  <si>
    <t>KEVIN</t>
  </si>
  <si>
    <t>OPERADOR DE ENFARDADO</t>
  </si>
  <si>
    <t>El Sr. Kevin Tenazoa al bajar por las gradas de los SSHH frente a planta sufre un resbalón, haciendo que su rodilla derecha sufra una contusión, originándole dolor que le impidió ponerse de pie. Fue atendido por la ambulancia y posteriormente derivado a la clínica San Gabriel.</t>
  </si>
  <si>
    <t>Bajando escaleras de SSHH</t>
  </si>
  <si>
    <t>Esguince y torcedura en rodilla derecha</t>
  </si>
  <si>
    <t>ESCALERAS</t>
  </si>
  <si>
    <t>SECADERO 67</t>
  </si>
  <si>
    <t>COAPECOM</t>
  </si>
  <si>
    <t>MARISCAL</t>
  </si>
  <si>
    <t>SIBANTY</t>
  </si>
  <si>
    <t>JULIO ALBERTO</t>
  </si>
  <si>
    <t>COORDINADOR DE CALIDAD</t>
  </si>
  <si>
    <t>La empresa COAPECOM se encontraba realizando la inspección eléctrica del sistema de transporte sin-fin de la tolva de residuos, misma que se encuentra en proceso de montaje. Como parte de la inspección, se instruyó al Supervisor de COAPECOM, Sr. Julio Mariscal, que elevara el transporte sin-fin; al accionar la manivela del equipo, se produce la caída brusca del sistema, ocasionado un giro violento de la manivela que impactó la mano derecha del supervisor.</t>
  </si>
  <si>
    <t>INSPECCIÓN ELÉCTRICA</t>
  </si>
  <si>
    <t>Fractura 5o metacarpiano derecho</t>
  </si>
  <si>
    <t>Fractura</t>
  </si>
  <si>
    <t>En recuperación post operatorio</t>
  </si>
  <si>
    <t>TRANSPORTE SIN FIN</t>
  </si>
  <si>
    <t>Distrito de Chorrillos</t>
  </si>
  <si>
    <t>Chorrillos</t>
  </si>
  <si>
    <t>PESADO</t>
  </si>
  <si>
    <t>RENGIFO</t>
  </si>
  <si>
    <t>AMASIFUEN</t>
  </si>
  <si>
    <t>DAN MICHAEL</t>
  </si>
  <si>
    <t>Trabajador refiere salpicadura de éter en espalda,  brazo y hemicara derecha. Refiere uso de EPP completo. Acudió a tópico donde se evaluó y se le brindo atención médica con reevaluación en 2 horas. 
En la reevaluación, colaborador refirió cefalea, ardor en ambos ojos y parestesia de hemicara derecha.</t>
  </si>
  <si>
    <t>Exposición a Sustancias Químicas</t>
  </si>
  <si>
    <t>Rostro/Nariz/Boca</t>
  </si>
  <si>
    <t>Trasvase de productos</t>
  </si>
  <si>
    <t>Dematitis</t>
  </si>
  <si>
    <t>Quemadura Química</t>
  </si>
  <si>
    <t>Cesado</t>
  </si>
  <si>
    <t>&lt; 1 mes</t>
  </si>
  <si>
    <t>Sustancia química</t>
  </si>
  <si>
    <t>Lurin 2_Principal</t>
  </si>
  <si>
    <t>AEROSOLES</t>
  </si>
  <si>
    <t>VILLACORTA</t>
  </si>
  <si>
    <t>ASIPALI</t>
  </si>
  <si>
    <t>ALEX</t>
  </si>
  <si>
    <t xml:space="preserve">El colaborador accidentado se encontraba realizando actividades de colocación de pulsadores a las latas, en la mesa de trabajo al lado derecho de la máquina llenadora de gas.
El colaborador se acerca hacia la izquierda para coger más latas, cuando siente la salpicadura de liquido en el ojo izquierdo. La salpicadura se dio en el llenado de gas, debido a que la válvula no fue encrimpada. </t>
  </si>
  <si>
    <t>OJOS</t>
  </si>
  <si>
    <t>Ojos</t>
  </si>
  <si>
    <t>Colocación de tapas a producto</t>
  </si>
  <si>
    <t>Irritación visutal</t>
  </si>
  <si>
    <t>Lurin 3_Sulfonación</t>
  </si>
  <si>
    <t>SULFONACIÓN</t>
  </si>
  <si>
    <t>PALOMINO</t>
  </si>
  <si>
    <t>YURIVILCA</t>
  </si>
  <si>
    <t>YESSICA</t>
  </si>
  <si>
    <t>SUPERVISOR DE SEGURIDAD</t>
  </si>
  <si>
    <t xml:space="preserve">Colaboradoras Meilin Ticona Rodriguez (CAO) y Yessica Palomino Yurivilca (CAO) Se encontraban retornando de su hora de refrigerio con dirección a tubepack, cuando transitaban por el sendero peatonal de Sulfonacion 2 , perciben olor extraño, consigo ardor de vía nasal, ardor de garganta y tos. Inmediatamente dan aviso al supervisor de Planta Arturo Gonzales. Posteriormente se trasladan al tópico. </t>
  </si>
  <si>
    <t>VÍAS RESPIRATORIAS</t>
  </si>
  <si>
    <t>Vías Respiratorias</t>
  </si>
  <si>
    <t>Desplazamiento en sendero peatonal</t>
  </si>
  <si>
    <t>Intoxicación</t>
  </si>
  <si>
    <t>ÁREA COMÚN</t>
  </si>
  <si>
    <t>MOZOMBITE</t>
  </si>
  <si>
    <t>CLARA INES</t>
  </si>
  <si>
    <t xml:space="preserve">Colaboradora se encontraba bajando las escaleras luego de almorzar, menciona que estaba usando el pasamanos, pero encontrándose en los últimos peldaños se soltó, creyendo ya pisar el nivel del piso, pero un le faltaba el último peldaño, es ahí que cae y se golpea las rodillas. 
Posteriormente da aviso a su supervisora y es trasladada al tópico </t>
  </si>
  <si>
    <t>Caída a distinto nivel</t>
  </si>
  <si>
    <t>RODILLAS</t>
  </si>
  <si>
    <t>Desplazamiento en escalera</t>
  </si>
  <si>
    <t>Contusión</t>
  </si>
  <si>
    <t>Altura estructural</t>
  </si>
  <si>
    <t>Medio Ambiente</t>
  </si>
  <si>
    <t>Compactado de residuos sólidos</t>
  </si>
  <si>
    <t>Tercero - Limpieza</t>
  </si>
  <si>
    <t>Alteliza</t>
  </si>
  <si>
    <t>DE LA TORRE</t>
  </si>
  <si>
    <t>HUAMAN</t>
  </si>
  <si>
    <t>DAVID MOISES</t>
  </si>
  <si>
    <t>OPERARIO</t>
  </si>
  <si>
    <t>El colaborador David Moises De la Torre Huaman, culminó la actividad de prensado y procedió a cerrar las dos puertas de la compactadora en simultáneo, manteniendo el dedo pulgar de la mano izquierda entre ambas puertas, produciéndose una atricción y una herida superficial</t>
  </si>
  <si>
    <t>Atrapado por Partes en Movimiento</t>
  </si>
  <si>
    <t>DEDOS DE LA MANO</t>
  </si>
  <si>
    <t>Cierre de puerta de compactadora</t>
  </si>
  <si>
    <t>Atricción</t>
  </si>
  <si>
    <t>MÁQUINA/EQUIPO</t>
  </si>
  <si>
    <t>Garita del lote 4</t>
  </si>
  <si>
    <t>GUTIERREZ</t>
  </si>
  <si>
    <t>ROJAS</t>
  </si>
  <si>
    <t>JULIA</t>
  </si>
  <si>
    <t>OPERARIA</t>
  </si>
  <si>
    <t>La colaboradora Julia Gutierrez Rojas (alteliza) estaba realizando limpieza en garita LOTE4, ya que estaba utilizando un envase con el contenido de lejía y agua, al momento de realizar la actividad el envase se le desprende de la mano y cae al suelo por lo que se rompió la rosca del gatillo y se produjo la Salpicadura en el ojo derecho, indicar que la colaborador no estaba haciendo uso de sus lentes de seguridad en plena actividad.</t>
  </si>
  <si>
    <t>Proyección de Sustancias Químicas</t>
  </si>
  <si>
    <t>Limpieza del área</t>
  </si>
  <si>
    <t>Cuerpo Extraño en Ojos</t>
  </si>
  <si>
    <t>SUSTANCIA QUÍMICA</t>
  </si>
  <si>
    <t>Lejía</t>
  </si>
  <si>
    <t>PALACIOS</t>
  </si>
  <si>
    <t>ABAD</t>
  </si>
  <si>
    <t>JOSE LUIS</t>
  </si>
  <si>
    <t>Colaborador se encontraba realizando actividades de traslado de cajas con PT,  se percata que los rodillos giratorios se encontraban mojados, motivo por la cual procede con la limpieza del rodillo mientras ésta se encontraba girando aun, continua con la limpieza hasta tener acercamiento a la faja transportadora en movimiento y sufre atrapamiento de dedos entre el rodillo y la faja. Posteriormente da aviso a la supervisora y es trasladado al tópico.</t>
  </si>
  <si>
    <t>Limpieza de polines</t>
  </si>
  <si>
    <t>Soplado</t>
  </si>
  <si>
    <t>PAREJAS</t>
  </si>
  <si>
    <t>CORNEJO</t>
  </si>
  <si>
    <t>ESTEFANI</t>
  </si>
  <si>
    <t>Colaboradora iba realizar el traslado de una paleta hacia zona demarcada de apilamiento en la máquina JH5 Procede a intentar bajar la paleta desde una ruma de 3, levanta la plataforma y por el peso se le resbala quedando el dedo atrapado entre la plataforma y el taco, causando herida en la uña. *Colaboradora no se percató del mal estado de la paleta ( el taco central, estaba separado de la plataforma) dejando un clavo expuesto *Colaboradora se encontraba sin guantes para manipulación de paletas .</t>
  </si>
  <si>
    <t>Manipulación de paletas</t>
  </si>
  <si>
    <t>Herida en dedo</t>
  </si>
  <si>
    <t>PALETA</t>
  </si>
  <si>
    <t>DETERGENTES</t>
  </si>
  <si>
    <t>CD1-CD2</t>
  </si>
  <si>
    <t>Distribución</t>
  </si>
  <si>
    <t>RANSA</t>
  </si>
  <si>
    <t>BERRIO</t>
  </si>
  <si>
    <t xml:space="preserve"> HUAMANI</t>
  </si>
  <si>
    <t xml:space="preserve"> DIANA</t>
  </si>
  <si>
    <t>OPERARIO DE DESPACHO</t>
  </si>
  <si>
    <t>Manipulando transpaleta y al estacionar para descargar recibe contusión en dedo pulgar   con paletas mal apiladas</t>
  </si>
  <si>
    <t>DEDO PULGAR IZQUIERDO</t>
  </si>
  <si>
    <t>Operación de transpaleta</t>
  </si>
  <si>
    <t>Contusion</t>
  </si>
  <si>
    <t>MCA</t>
  </si>
  <si>
    <t>Otros</t>
  </si>
  <si>
    <t>Administración</t>
  </si>
  <si>
    <t>Proyecto Vestuarios</t>
  </si>
  <si>
    <t xml:space="preserve">CONSTRUCTORA MORCONST S.A.C </t>
  </si>
  <si>
    <t>ALVAREZ</t>
  </si>
  <si>
    <t>CERVANTES</t>
  </si>
  <si>
    <t>RODOLFO</t>
  </si>
  <si>
    <t>PEON</t>
  </si>
  <si>
    <t>El 17 de enero a las 8:40 am, aproximadamente, el trabajador ALVAREZ CERVANTES ADOLFO, personal de la subcontrata de la empresa Binswanger, se encontraba descendiendo hacia dentro de la cisterna para hacer limpieza de esta.
El trabajador intentó bajar al interior de la cisterna por el área de la escotilla, el área contaba con fierros sobresalidos cada uno con capuchones*
El trabajador colocó una escalera lineal* y la cual se deslizó, provocando la expulsión de uno de los capuchones de protección con el cual el trabajador sufrió la incrustación del fierro de unos centímetros, en la altura del abdomen (zona lateral derecha).</t>
  </si>
  <si>
    <t>Abdómen</t>
  </si>
  <si>
    <t>Abdomen/Torso</t>
  </si>
  <si>
    <t>ECUADOR</t>
  </si>
  <si>
    <t>BICIS 2</t>
  </si>
  <si>
    <t>INBALNOR</t>
  </si>
  <si>
    <t>Proyectos</t>
  </si>
  <si>
    <t>Edificio de Manufactura Bicis 2</t>
  </si>
  <si>
    <t>EVA ENGINEERING</t>
  </si>
  <si>
    <t>FLORES</t>
  </si>
  <si>
    <t>GARCÍA</t>
  </si>
  <si>
    <t>DIEGO ARMANDO</t>
  </si>
  <si>
    <t>SOLDADOR</t>
  </si>
  <si>
    <t xml:space="preserve">El 17 de enero a las 2:30 pm, el trabajador DIEGO ARMANDO FLORES GARCIA, de la empresa EVA ENGINEERING se encontraba realizando soldadura de las estructuras de una plataforma metálica en construcción ubicada a 3 metros de altura aproximadamente. 
El trabajador al cambiarse de posición desenganchó su eslinga para poder trasladarse sobre la plataforma en construcción, indicó que se desvaneció en ese momento y cayó desde la plataforma hasta el nivel piso. El impacto de la caída golpea su rostro contra un equipo instalado 
</t>
  </si>
  <si>
    <t>Labio inferior</t>
  </si>
  <si>
    <t>Herida labio inferior 2cm</t>
  </si>
  <si>
    <t>PGL23738</t>
  </si>
  <si>
    <t xml:space="preserve">COTRINA </t>
  </si>
  <si>
    <t>ALANYA</t>
  </si>
  <si>
    <t>MARIBEL</t>
  </si>
  <si>
    <t>Siendo las 03:34 p.m, la señorita operaria de producción se encontraba realizando labores de alimentación de galleta en la envasadora C3 de la línea 1, debido al fin de turno procede a realizar la limpieza de su zona de trabajo, durante la actividad al querer retirar residuos de galleta del pistón de centrado de la faja de acomodo, procede a introducir la mano por debajo de la guarda de seguridad, sufriendo un atrapamiento debido a la activación del pistón</t>
  </si>
  <si>
    <t>LIMPIEZA DE LINEA</t>
  </si>
  <si>
    <t>TRAUMATISMO POR ATRAPAMIENTO DEL DEDO PULGAR Y OTROS DEDOS</t>
  </si>
  <si>
    <t>Descanso Médico</t>
  </si>
  <si>
    <t>PISTON</t>
  </si>
  <si>
    <t>MASTERBREAD</t>
  </si>
  <si>
    <t>Distrito de Cajamarquilla</t>
  </si>
  <si>
    <t>Global</t>
  </si>
  <si>
    <t>GLOBAL CAJAMARQUILLA</t>
  </si>
  <si>
    <t>Relaciones Laborales</t>
  </si>
  <si>
    <t>Planta Avena</t>
  </si>
  <si>
    <t>ALteliza</t>
  </si>
  <si>
    <t>SORIANO</t>
  </si>
  <si>
    <t>MEZA</t>
  </si>
  <si>
    <t>RUTH LUCY</t>
  </si>
  <si>
    <t>COLABORADOR DE SERVICIOS</t>
  </si>
  <si>
    <t>El día 02/02/24 a las 08:27am la trabajadora Soriano Meza, Ruth Lucy (operaria de limpieza) de la empresa Alteliza, se encontraba realizando la limpieza de pisos de la zona de paletizado de la planta de avena, retrocede sin darse cuenta de la paleta de madera y tropieza cayendo de espaldas sobre esta, inmediatamente es atendida por el operador líder de planta y trasladada al tópico, se comunica al supervisor y a la operadora líder de turno de la empresa Alteliza, luego de brindarle las primeras atenciones la trabajadora es trasladada a la Clínica Montefiori, para activar el Seguro Complementario de Trabajo de Riesgo (SCTR).</t>
  </si>
  <si>
    <t>MANO IZQUIERDA Y CADERA</t>
  </si>
  <si>
    <t>Limpieza de piso</t>
  </si>
  <si>
    <t>TRAUMATISMOS SUPERFICIALES MÚLTIPLES NO ESPECIFICADOS (MANO IZQUIERDA Y CINTURA).</t>
  </si>
  <si>
    <t>Parihuela de madera</t>
  </si>
  <si>
    <t>COMEDORES</t>
  </si>
  <si>
    <t>Comedor COPSA</t>
  </si>
  <si>
    <t>Tercero - Comedor</t>
  </si>
  <si>
    <t>BALVINITO</t>
  </si>
  <si>
    <t>DIAZ</t>
  </si>
  <si>
    <t>PAREDES</t>
  </si>
  <si>
    <t>JORGE</t>
  </si>
  <si>
    <t>COCINERO</t>
  </si>
  <si>
    <t>Cocina</t>
  </si>
  <si>
    <t>CUCHILLO</t>
  </si>
  <si>
    <t>PGL23731</t>
  </si>
  <si>
    <t>LINEA 3</t>
  </si>
  <si>
    <t>ZAPATA</t>
  </si>
  <si>
    <t>GASTELO</t>
  </si>
  <si>
    <t>OSCAR PAUL</t>
  </si>
  <si>
    <t xml:space="preserve">Siendo las 06:35, el operario de Producción Oscar Zapata Gastelo se encontraba realizando labores de alimentación de galletas en los magazines del equipo Torre Línea 3, durante la actividad su mano derecha entra en contacto con una astilla metálica en la superficie del magazine, causándole un corte en el quinto dedo de la mano derecha. </t>
  </si>
  <si>
    <t>ALIMENTACIÓN DE GALLETAS</t>
  </si>
  <si>
    <t>Herida del dedo meñique</t>
  </si>
  <si>
    <t>Distrito de Miraflores</t>
  </si>
  <si>
    <t>EDIFICIO MIRAFLORES</t>
  </si>
  <si>
    <t>Edificio Miraflores</t>
  </si>
  <si>
    <t>Tercero - Mantenimiento</t>
  </si>
  <si>
    <t>CUSHMAN &amp; WAKEFIELD</t>
  </si>
  <si>
    <t>ESPINOZA</t>
  </si>
  <si>
    <t>GERSON ELI</t>
  </si>
  <si>
    <t>OFFICE BOYS</t>
  </si>
  <si>
    <t xml:space="preserve">Siendo las 11:30 am del día 19 de febrero, el office Boys del Facility Cushman al querer unir un panel con otro, sus dedos mayor, anular y meñique de la mano izquierda quedaron aplastados entre ambos paneles generándole dolor en el momento pero sin prestarle mayor importancia ya que el dolor fue disminuyendo. Debido a ello no reportó lo sucedido.
Al día siguiente, a las 9:30 am el office Boys se dirige al tópico de Alicorp del Edificio Miraflores ya que amanecieron sus dedos inflamados. Se le indica derivarlo a la Clínica Ricardo Palma para su atención, por lo que es acompañado por su trabajador social especialista en SST (Seguridad y salud en el trabajo)
</t>
  </si>
  <si>
    <t>Movimiento de puertas</t>
  </si>
  <si>
    <t>FRACTURA FALANGE DISTAL DE MANO</t>
  </si>
  <si>
    <t>&lt; 1 a 3 meses</t>
  </si>
  <si>
    <t>PUERTA</t>
  </si>
  <si>
    <t>PLAZO DETERMINADO</t>
  </si>
  <si>
    <t>Almacen de Producto Terminado</t>
  </si>
  <si>
    <t>CLAROS</t>
  </si>
  <si>
    <t>FERNANDEZ</t>
  </si>
  <si>
    <t>LEONIDAS JHOSET</t>
  </si>
  <si>
    <t>MONTACARGUISTA</t>
  </si>
  <si>
    <t>A horas 06:30 am, el trabajador inicia su jornada de trabajo en el equipo: Tractor Massey Ferguson 290, por lo que al momento de subir por la escalera de acceso (altura escalera: 60 cm), su mano izq. resbala del agarrador, ocasionando que su mano derecha ejerza mayor fuerza de sujeción para evitar la caída, sufriendo una torcedura en la muñeca de la mano derecha.</t>
  </si>
  <si>
    <t>SUBIR AL TRACTOR</t>
  </si>
  <si>
    <t>Torcedura de muñeca derecha</t>
  </si>
  <si>
    <t>ESCALERA DE ACCESO</t>
  </si>
  <si>
    <t>APG</t>
  </si>
  <si>
    <t xml:space="preserve"> - </t>
  </si>
  <si>
    <t>BENAVIDES</t>
  </si>
  <si>
    <t>EULOGIO</t>
  </si>
  <si>
    <t>CARGADOR /APILADOR</t>
  </si>
  <si>
    <t>Durante el apilado de bolsas de harina en camión de despacho, se encontraba aguardando de la cinta transportadora la recepción de la bolsas, en ese instante siente un mareo, y procede a sentarse sobre las bolsas apiladas, sus colegas tras evidenciar que el Sr. Benavides se sientan le consultan si se encuentra bien, en ese instante pierde el conocimiento y se desmaya. Inmediatamente paran el apilado de bolsas, y solicitan apoyo de la brigada de primeros auxilios.</t>
  </si>
  <si>
    <t>Sobreesfuerzo</t>
  </si>
  <si>
    <t>APILADO DE BOLSAS</t>
  </si>
  <si>
    <t>Golpe de calor</t>
  </si>
  <si>
    <t>CONTRATO POR ZAFRA</t>
  </si>
  <si>
    <t>CHINCASA</t>
  </si>
  <si>
    <t>AYUDANTE</t>
  </si>
  <si>
    <t>Al momento de levantar las planchas, colocándolas de forma vertical, uno de los trabajadores al bajar la plancha a nivel de piso (75cm sobre el piso), se desliza y cae golpeando la parte superior al pie derecho del trabajador. El impacto se da dónde termina la puntera metálica de su bota de seguridad.</t>
  </si>
  <si>
    <t>Dedo gordo del pie derecho</t>
  </si>
  <si>
    <t xml:space="preserve">Fisura </t>
  </si>
  <si>
    <t>Lurin 4_Detergente</t>
  </si>
  <si>
    <t>Manufactura detergentes</t>
  </si>
  <si>
    <t>TENORIO</t>
  </si>
  <si>
    <t xml:space="preserve"> ACUÑA</t>
  </si>
  <si>
    <t>JOEL</t>
  </si>
  <si>
    <t>El colaborador se encontraba en el área de coches - proceso, el colaborador menciona que había jalado un coche vacío con fuerza y en el mismo momento se percata que había delante de él otro coche pero con producto fue entonces que le ganó y se impactó su talón de aquiles en la lado izquierdo.</t>
  </si>
  <si>
    <t>PIE</t>
  </si>
  <si>
    <t>Pie/Tobillo</t>
  </si>
  <si>
    <t>Transporte de coches de detergentes</t>
  </si>
  <si>
    <t>COCHE</t>
  </si>
  <si>
    <t>Empacado detergente</t>
  </si>
  <si>
    <t>GARRIDO</t>
  </si>
  <si>
    <t xml:space="preserve"> LUYA</t>
  </si>
  <si>
    <t xml:space="preserve"> VICTOR HUGO</t>
  </si>
  <si>
    <t xml:space="preserve">Manifiesta colaborador recibir contusión en pie izquierdo con baranda metal de coche en movimiento manejado por compañero </t>
  </si>
  <si>
    <t>PIE IZQUIERDO</t>
  </si>
  <si>
    <t>TORRES</t>
  </si>
  <si>
    <t xml:space="preserve"> PEREZ</t>
  </si>
  <si>
    <t xml:space="preserve"> YEFERSON BRYAN </t>
  </si>
  <si>
    <t>Colaborador se encontraba retirando muestra de detergente de la balanza N°1 para entregar a calidad mientras la compuerta estaba abierta y se llenaba el coche. El compañero Edgar Santillán ITDC jala el coche hacia atrás a pesar de que no se llenaba por completo generando así que el brazo derecho quede atrapado y presionado con el coche</t>
  </si>
  <si>
    <t>Muestreo de producto</t>
  </si>
  <si>
    <t>GASPAR</t>
  </si>
  <si>
    <t xml:space="preserve"> CHIROQUE</t>
  </si>
  <si>
    <t>JUAN CARLOS</t>
  </si>
  <si>
    <t>Manifiesta colaborador , compresión de dedo con  maquina empacadora en movimiento</t>
  </si>
  <si>
    <t>DEDO INDICE DERECHO</t>
  </si>
  <si>
    <t>Regulacion de equipo</t>
  </si>
  <si>
    <t>ENVASADORA</t>
  </si>
  <si>
    <t>QUIROZ</t>
  </si>
  <si>
    <t>PEREZ</t>
  </si>
  <si>
    <t xml:space="preserve"> ROBERTO CARLOS</t>
  </si>
  <si>
    <t>Colaborador se encontraba realizando cambio de coche de la línea 1 - máquina 1, al momento de retroceder y girar no se percata que había otro coche lleno detrás y se golpea los dedos medio y anular de la mano izquierda.</t>
  </si>
  <si>
    <t>DEDOS MEDIO Y ANULAR IZQUIERDO</t>
  </si>
  <si>
    <t>Manipulacion de coches</t>
  </si>
  <si>
    <t>ASPAJO</t>
  </si>
  <si>
    <t>VIDEIRA</t>
  </si>
  <si>
    <t>ALFONSO GABRIEL</t>
  </si>
  <si>
    <t>El colaborador se encontraba agachado recogiendo detergente derramado de la máquina neumopack, al momento de levantarse se golpea contra la guarda la parte trasera del cuello.</t>
  </si>
  <si>
    <t>CUELLO</t>
  </si>
  <si>
    <t>Manipulacion de bolsas de detergente</t>
  </si>
  <si>
    <t>GUARDA</t>
  </si>
  <si>
    <t>ROBALINO</t>
  </si>
  <si>
    <t>RUIZ</t>
  </si>
  <si>
    <t>EDWIN</t>
  </si>
  <si>
    <t>El colaborador se encontraba empujando el coche hacia el ducto, al momento de acomodar el coche agarro de los costados, fue entonces que se golpeó contra la baranda del ducto, su mano izquierda en el dedo meñique.</t>
  </si>
  <si>
    <t>DEDO MEÑIQUE IZQUIERDO</t>
  </si>
  <si>
    <t>BARANDA</t>
  </si>
  <si>
    <t>Lavavajilla</t>
  </si>
  <si>
    <t>YOVERA</t>
  </si>
  <si>
    <t>SIESQUEN</t>
  </si>
  <si>
    <t>DEILY JHONATAN</t>
  </si>
  <si>
    <t>Colaborador refiere haber estado realizando corte de un envase de plástico, al ejercer fuerza pierde el control y se provoca un corte superficial.</t>
  </si>
  <si>
    <t>Corte de envase</t>
  </si>
  <si>
    <t>Corte</t>
  </si>
  <si>
    <t>CUCHILLA</t>
  </si>
  <si>
    <t>MIRAVAL</t>
  </si>
  <si>
    <t>RAVINEZ</t>
  </si>
  <si>
    <t>MELINDA ROSALIA</t>
  </si>
  <si>
    <t>Colaboradora se encontraba sentada pegando etiqueta a las tapas de envases de pulidores. Colaborador que se encarga de abastecer las líneas, pasa por su lado con 3 paquetes apilados (25 cajas cada uno), en ese momento choca contra máquina en desuso (envasadora línea 4) y se cae parte del primer paquete sobre el hombro de la colaboradora. Cabe resaltar que primer paquete de las cajas estaba sin precinto de seguridad.</t>
  </si>
  <si>
    <t>HOMBRO</t>
  </si>
  <si>
    <t>Etiquetado de pulidores</t>
  </si>
  <si>
    <t>CAJAS DE CARTON</t>
  </si>
  <si>
    <t>Detergente</t>
  </si>
  <si>
    <t>CHIMPAY</t>
  </si>
  <si>
    <t>ORTIZ</t>
  </si>
  <si>
    <t>ADRIAN ANDERSON</t>
  </si>
  <si>
    <t>El colaborador se encontraba apilando en la línea 2, al momento de alzar el Bolsón su mano derecha colocó en los bordes del polin, fue entonces que su dedo índice de la mano derecha se llega a lastimar.</t>
  </si>
  <si>
    <t>MANO DERECHA</t>
  </si>
  <si>
    <t>Manipulacion de bolsones de detergente</t>
  </si>
  <si>
    <t>POLIN</t>
  </si>
  <si>
    <t>AREAS COMUNES</t>
  </si>
  <si>
    <t>Oficinas Jaboneria</t>
  </si>
  <si>
    <t>VIRHUEZ</t>
  </si>
  <si>
    <t>BENITEZ</t>
  </si>
  <si>
    <t>El 24 de febrero de 2024, alrededor de las 9:50a.m., el colaborador Juan Carlos Virhuez Benites, quien está asignado a ALICORP PREDIO CENTRAL en la dirección Av. Argentina N°4793 -Carmen de La Legua Reynoso, se vio involucrado en un accidente mientras se preparaba para realizar la limpieza de la Sala de Control de Jabonería en el primer piso. Durante esta tarea, al comenzar a limpiar las ventanas, optó por manipular el gatillo pulverizador, cambiándolo del modo Off al modo Spray. En este momento, unas gotas del producto químico Limpiavidrios entraron en contacto con su ojo derecho. Es relevante señalar que el colaborador no llevaba puestos lentes de seguridad en ese momento. Tras el accidente, el colaborador se dirigió a lavarse los ojos y se encontró con personal de Alicorp en el lugar, quienes decidieron trasladarlo al Tópico ante esta situación. Allí, recibió un lavado de ojos y la aplicación de unas gotas por parte del médico presente, quien determinó que podía continuar con sus actividades después del tratamiento.</t>
  </si>
  <si>
    <t>Limpieza de ventanas</t>
  </si>
  <si>
    <t>HIPEREMIA DE CONJUNTIVA</t>
  </si>
  <si>
    <t>Queratoconjuntivitis</t>
  </si>
  <si>
    <t>LIMPIAVIDRIOS</t>
  </si>
  <si>
    <t>Garita Jorge Chavez</t>
  </si>
  <si>
    <t>LECCA</t>
  </si>
  <si>
    <t>DOMINGUEZ</t>
  </si>
  <si>
    <t>ALBERT KENYI</t>
  </si>
  <si>
    <t>El 27 de febrero de 2024, alrededor de las 4:40p.m., el colaborador Albert Kenyi Lecca Dominguez, quien está asignado a ALICORP PREDIO CENTRAL en la dirección Av. Argentina N°4793-Carmen de La Legua Reynoso, se vio involucrado en un evento mientras se preparaba para salir de las instalaciones en la Garita de Ingreso de CDC. Al intentar abrir la puerta eléctrica, accionó el botón con su dedo índice derecho, lo que resultó en una herida en la yema del dedo al engancharse en el botón. Al percatarse de la herida y notar la presencia de sangre, decidió regresar para lavarse. El personal de Liderman, al presenciar la situación, contactó a Tópico para proporcionar los primeros auxilios.</t>
  </si>
  <si>
    <t>Atrapado por</t>
  </si>
  <si>
    <t>DEDO</t>
  </si>
  <si>
    <t>Abrir puerta</t>
  </si>
  <si>
    <t>HERIDA EN EL DEDO MANO DERECHA</t>
  </si>
  <si>
    <t>ILU23830</t>
  </si>
  <si>
    <t>Plasticos</t>
  </si>
  <si>
    <t>GUZMAN</t>
  </si>
  <si>
    <t>GOMEZ</t>
  </si>
  <si>
    <t xml:space="preserve"> EDER JUNIOR</t>
  </si>
  <si>
    <t xml:space="preserve">Siendo las 7:02pm. El colaborador Eder Guzman se encontraba ingresando al área de plástico zona de molienda junto a su compañero del área para el inicio de jornada laboral nocturna. Al evidenciar que la iluminaria se encontraba apagada, deja el pase a su compañero para el ingreso y procede a encender la luz apoyando la mano izquierda en la bisagra de la puerta, la puerta procede a cerrar ocasionando un aplastamiento en el dedo anular izquierdo. 
Da aviso del evento y es trasladado al tópico para recibir atención médica. 
</t>
  </si>
  <si>
    <t>DEDO ANULAR IZQUIERDO</t>
  </si>
  <si>
    <t>Ingreso a las instalaciones</t>
  </si>
  <si>
    <t>Fractura de falange</t>
  </si>
  <si>
    <t>Área común</t>
  </si>
  <si>
    <t>GABRIEL</t>
  </si>
  <si>
    <t>BALLESTEROS</t>
  </si>
  <si>
    <t>OFELIA ISABEL</t>
  </si>
  <si>
    <t xml:space="preserve">colaboradora al realizar limpieza de paredes de planta maíz sufre una irritación de la piel al levantar las manos y discurrir la dilución de detergente industrial diluido Skill Cleaner 3009 (Para limpieza de Máquinas) en la zona del antebrazo la cual no llegaba a cubrirse con el guante de seguridad.
</t>
  </si>
  <si>
    <t>Limpieza de paredes</t>
  </si>
  <si>
    <t>Dermatitis</t>
  </si>
  <si>
    <t>Dermatitis/Irritación de la piel</t>
  </si>
  <si>
    <t>Sustancia Química</t>
  </si>
  <si>
    <t>DET23858</t>
  </si>
  <si>
    <t>Planta de Elaboración</t>
  </si>
  <si>
    <t>RAMOS</t>
  </si>
  <si>
    <t>CHIRINOS</t>
  </si>
  <si>
    <t>SEBASTIAN MAXIMO JAVIER</t>
  </si>
  <si>
    <t>AYUDANTE DE PLANTA</t>
  </si>
  <si>
    <t>Durante el proceso de agregado de Slop el trabajador observa que el granel estaba compactado en el big bag, ante ello el colaborador decide golpear la parte inferior del big bag con una comba para ablandar el producto. Al momento de golpear con la comba, se golpea el dedo pulgar de su mano derecha con la que sujetaba el mango de la comba contra el big bag compactado, luego de ello alerta a su compañero que se había golpeado y se acercan a la sala de control para informar del evento y es derivado al Tópico, es evaluado y derivado a la Clínica San Gabriel, donde se descartó alguna fractura o fisura.</t>
  </si>
  <si>
    <t>DEDO PULGAR</t>
  </si>
  <si>
    <t>Agregado de SLOP</t>
  </si>
  <si>
    <t>Contusión en dedo pulgar mano derecha</t>
  </si>
  <si>
    <t>0.25</t>
  </si>
  <si>
    <t>Mango de comba</t>
  </si>
  <si>
    <t>CONTRATO A PLAZO FIJO</t>
  </si>
  <si>
    <t>Colaborador se encontraba realizando la actividad de doblar sacos y luego pasarle a su compañero para que se encargue de coser.
Al momento que pasa el saco tiene que colocarlo cerca de la máquina cosedora para que no se mueva y es ahí que debido a la condición (falta de guarda) la parte expuesta sobresale como pulsador generando el golpe en la parte del dorso de la mano derecha</t>
  </si>
  <si>
    <t>Cocido de sacos</t>
  </si>
  <si>
    <t>COCEDORA</t>
  </si>
  <si>
    <t>SOLIS</t>
  </si>
  <si>
    <t>HUAPAYA</t>
  </si>
  <si>
    <t>OSCAR</t>
  </si>
  <si>
    <t>Colaborador trasladaba paleta junto a su compañero para apilamiento de bolsones en la línea 1. Al retroceder para posicionarla no se percata de la columna y choca su mano derecha con la misma , quedando afectado el dedo índice</t>
  </si>
  <si>
    <t>Manipulacion de paleta</t>
  </si>
  <si>
    <t>contusion</t>
  </si>
  <si>
    <t>Columna metalica</t>
  </si>
  <si>
    <t>JOCOPE</t>
  </si>
  <si>
    <t>YAHUANA</t>
  </si>
  <si>
    <t>EYBI</t>
  </si>
  <si>
    <t>El Colaborador Eybi Jocope Yahuana CA., menciona que a las 3 a.m. se rozó con la parte de adelante de la máquina cocedora, al momento no sintió nada, pasando las horas a las 6:40 am aproximadamente menciona que le empezó arder la cara fue entonces que se dirigió a los servicios y se percata que su rostro una parte estaba rojo.</t>
  </si>
  <si>
    <t>ROSTRO</t>
  </si>
  <si>
    <t>irritacion</t>
  </si>
  <si>
    <t>Particulas de detergente</t>
  </si>
  <si>
    <t>MENDIETA</t>
  </si>
  <si>
    <t>QUISPE</t>
  </si>
  <si>
    <t>DANIEL CRISTIAN</t>
  </si>
  <si>
    <t>Colaborador iba a realizar cambio de hilo, pero no se percata que no había presionado correctamente el botón de apagado. Al momento del cambio, la cosedora se enciende por el sensor y es ahí donde el colaborador se golpea contra parte interna (sujetador de hilo).</t>
  </si>
  <si>
    <t>PULGAR DERECHO</t>
  </si>
  <si>
    <t>Cambio de hilo</t>
  </si>
  <si>
    <t>Cocedora</t>
  </si>
  <si>
    <t>YARLAQUE</t>
  </si>
  <si>
    <t>BENITES</t>
  </si>
  <si>
    <t>RONALD FABIAN</t>
  </si>
  <si>
    <t>Colaborador menciona haber estado realizando la labor de doblado de saco en el ducto automático para pasarlo por la cosedora, ya que el doblez lo realiza hacia si mismo, esto provocó que la polución del detergente le cayera en los ojos.
- Hizo uso del lavaojos acompañado del supervisor de 10 a 15 minutos aproximadamente 
- Colaborador tenía puesto sus lentes antiparras.</t>
  </si>
  <si>
    <t>Proyección de Material Particulado</t>
  </si>
  <si>
    <t>doblado de sacos</t>
  </si>
  <si>
    <t>Irritación</t>
  </si>
  <si>
    <t>ILU23896</t>
  </si>
  <si>
    <t xml:space="preserve">El colaborador Aspajo Videira Alfonso Gabriel CA. Estaba abasteciendo al ducto N°1 de la máquina intrapack 01, con el coche N° 94, al momento de empujar el coche se encontraba CORTADO(segun sr. Ríos ITDC, menciona  que cortado se refiere a cambio de producto). </t>
  </si>
  <si>
    <t>RODILLA IZQUIERDA</t>
  </si>
  <si>
    <t>manipulacion de coches</t>
  </si>
  <si>
    <t>Traumatismo de estructuras multiples de la rodilla</t>
  </si>
  <si>
    <t>Piso</t>
  </si>
  <si>
    <t>ICH23864</t>
  </si>
  <si>
    <t>Seguridad</t>
  </si>
  <si>
    <t>Salud Ocupacional</t>
  </si>
  <si>
    <t>D</t>
  </si>
  <si>
    <t>Clinica del Trabajador</t>
  </si>
  <si>
    <t>NUÑEZ</t>
  </si>
  <si>
    <t>BLAS</t>
  </si>
  <si>
    <t>YAKELIN</t>
  </si>
  <si>
    <t>ENFERMERA OCUPACIONAL</t>
  </si>
  <si>
    <t>Aproximadamente a las 8:50 am, durante el tránsito de la Enfermera ocupacional por el pasillo de ex– detergentes en dirección hacia el tópico, coincide con el traslado de potes impresos en una transpaleta eléctrica operada por el operario de almacén Mayco Ramos en dirección al almacén parabólico. Al momento en que el equipo se encontraba aproximándose a la ubicación de la enfermera, con la parte frontal de la carga, empuja un palet vacío ubicado delante, aprisionando ambos pies contra la estructura detrás de ella.</t>
  </si>
  <si>
    <t>Pie izquierdo y pie derecho</t>
  </si>
  <si>
    <t>Traslado a tópico (inicio de labores)</t>
  </si>
  <si>
    <t xml:space="preserve">Fractura interna en tibia izquierda y fractura en tobillo derecho. </t>
  </si>
  <si>
    <t>Transpaleta</t>
  </si>
  <si>
    <t>Indefinido</t>
  </si>
  <si>
    <t>ALAVA</t>
  </si>
  <si>
    <t>RIOS</t>
  </si>
  <si>
    <t>LUIS OSWALDO</t>
  </si>
  <si>
    <t>Colaborador se encontraba verificando la mordaza de la enfardadora N°9 (cabe mencionar que las puertas-guardas estaban abiertas) ya que durante el turno menciona ha tenido fallas generando merma. En el transcurso de la actividad aún no estaban enviando producto de plataforma y al ver la luz roja de alerta se confió y no pulsó el botón de emergencia. Al momento que activan la máquina en plataforma y caen bolsitas, la mordaza se cierra haciendo presión en dedo medio de mano derecha lo cual no tuvo contacto con la cuchilla. Por reacción propia intenta retirar la mano y al jalar su guante se queda enganchado en el soporte de la guarda quedando descubierta la parte dorsal y provoca heridas debido al impacto</t>
  </si>
  <si>
    <t>verificacion de mordaza</t>
  </si>
  <si>
    <t>Mordaza</t>
  </si>
  <si>
    <t>LAYANGO</t>
  </si>
  <si>
    <t>ORTEGA</t>
  </si>
  <si>
    <t xml:space="preserve"> JON DEYVIS</t>
  </si>
  <si>
    <t>Colaborador se encontraba haciendo la actividad de limpieza y traspaso de envase. Al momento de levantarlo para pasarlo a la compañera, el frasco se cae y causa polución, esto se debe a que el envase estaba mal tapado. Cabe resaltar que el colaborador tenía mal colocados sus lentes. Se le condujo al lavaojos por 10 minutos aproximadamente.</t>
  </si>
  <si>
    <t>Manipulacion de envases</t>
  </si>
  <si>
    <t>Cuerpo extraño en los ojos</t>
  </si>
  <si>
    <t>Producto en polvo</t>
  </si>
  <si>
    <t>PGL23885</t>
  </si>
  <si>
    <t>Elaboración</t>
  </si>
  <si>
    <t>GIRALDO</t>
  </si>
  <si>
    <t>ASCENCIO</t>
  </si>
  <si>
    <t xml:space="preserve">JORGE </t>
  </si>
  <si>
    <t>Siendo las 16:35 , el trabajador realizaba limpieza de las tuberías de la batidora N°4. Al momento de salir, realiza un mal movimiento, golpea hacia arriba y su cabeza choca con canaleta. En compañía del ingeniero de turno es derivado al tópico . Es trasladado a la clínica donde se le brinda los primeros auxilios.</t>
  </si>
  <si>
    <t>LIMPIEZA DE TUBERIAS</t>
  </si>
  <si>
    <t xml:space="preserve">Herida de la cabeza </t>
  </si>
  <si>
    <t>CANALETA DE CABLEADO</t>
  </si>
  <si>
    <t>Sala de envasado I</t>
  </si>
  <si>
    <t>CANAZA</t>
  </si>
  <si>
    <t>CAPALLA</t>
  </si>
  <si>
    <t>ALFREDO</t>
  </si>
  <si>
    <t>OPERADOR NISSEI</t>
  </si>
  <si>
    <t>A horas 07:30 am, el trabajador iniciando su jornada de trabajo, busca una herramienta para regulación del equipo NISSEI PF, motivo por el cual la tapa metálica de la caja de herramientas que se encuentra abierta, cae sobre su mano derecho sufriendo un impacto sobre la palma, ocasionando un leve corte.</t>
  </si>
  <si>
    <t>BUSQUEDA DE HERRAMIENTAS</t>
  </si>
  <si>
    <t>Trauma contuso cortante</t>
  </si>
  <si>
    <t>CAJA DE HERRAMIENTAS</t>
  </si>
  <si>
    <t>FORZA</t>
  </si>
  <si>
    <t>CHOQUE</t>
  </si>
  <si>
    <t>OLIVERT</t>
  </si>
  <si>
    <t>ESTIBADOR</t>
  </si>
  <si>
    <t xml:space="preserve">A hrs. 11:45 am el Sr. Oliver Paredes Choque, estibador de la empresa FORZA se encontraba realizando trabajo de estibaje para el carguío de bidones de aceite de 20 litros (granel) sobre la plataforma de la chata. Al finalizar el paletizado, durante la manipulación inadecuada de los bidones (2 en 2) sufre una lesión en el pulgar de la mano derecha. </t>
  </si>
  <si>
    <t>APILAMIENTO DE BIDONES 20 LITROS</t>
  </si>
  <si>
    <t>Torcedura de pulgar mano derecha</t>
  </si>
  <si>
    <t>BIDON DE 20 LITROS</t>
  </si>
  <si>
    <t>PCO23898</t>
  </si>
  <si>
    <t>SALSAS 1</t>
  </si>
  <si>
    <t>La Aprendiz Senati procede a diluir el detergente desengrasante neutro Neodegreaser en un balde con agua. Es en esa actividad que unas gotas de la sustancia caen en su ojo izquierdo provocándole una irritación, procediendo a enjuagarse con abundante agua. Procede a comunicar al líder del área y se traslada al tópico para su evaluación; posteriormente, es derivada a la Clínica San Gabriel, donde es atendida por especialista y se le brinda descanso por el resto del día.</t>
  </si>
  <si>
    <t>OJO IZQUIERDO</t>
  </si>
  <si>
    <t>Limpieza</t>
  </si>
  <si>
    <t>Queratoconjuntivitis química ojo izquierdo</t>
  </si>
  <si>
    <t>Detergente desengrasante neutro Neodegreaser</t>
  </si>
  <si>
    <t>Preparación de granos Crown</t>
  </si>
  <si>
    <t>CHAMBI</t>
  </si>
  <si>
    <t>VILLANUEVA</t>
  </si>
  <si>
    <t>DIONICIO MAXIMO</t>
  </si>
  <si>
    <t>OPERADOR DE PREPARACIÓN CROWN</t>
  </si>
  <si>
    <t>El día 05 de abril a las 16:15 aproximadamente, el operador de la Preparación de Granos se encontraba realizando la purga de condensando de vapor del sector, posterior a esta operación se dirige hacia  los laminadores para control del proceso, en este trayecto durante su recorrido da un paso largo hacia una escalera de paso a desnivel logrando sólo pisar con la punta de su pie izquierdo en el primer peldaño y cuando da el paso con la pierna derecha no logra apoyarla ocasionándole  un estiramiento muscular que le produce un desgarro en la parte baja de la pierna izquierda. Tras el suceso, el operador informa al Supervisor de Planta del hecho y es enviado a la posta médica de planta y atendido por el médico de turno. Luego el Operador asiste al centro médico laboral (Caja Nacional de Salud) para realizar una ecografía y posterior revisión por el traumatólogo de la región muscular afectada diagnosticando como un desgarro parcial del musculo gemelo izquierdo</t>
  </si>
  <si>
    <t>MUSLO GEMELO INTERNO IZQUIERDO</t>
  </si>
  <si>
    <t xml:space="preserve">DESPLAZAMIENTO HACIA LAMINADORES </t>
  </si>
  <si>
    <t xml:space="preserve">Desgarro Parcial del musculo Gemelo interno izquierdo
</t>
  </si>
  <si>
    <t>Desgarro/Estiramiento Muscular</t>
  </si>
  <si>
    <t>COMPORTAMIENTO INSEGURO</t>
  </si>
  <si>
    <t>DET23928</t>
  </si>
  <si>
    <t>INGA</t>
  </si>
  <si>
    <t>CERRALTA</t>
  </si>
  <si>
    <t>EMERSON HAROLD</t>
  </si>
  <si>
    <t xml:space="preserve">El trabajador procedió a preparar Slop, al momento de izar  el big bag mediante el tecle eléctrico no se dio cuenta que la parte inferior del big bag no estaba amarrado,  por lo cual  el polvo cayó al tq ocasionando que el polvo cayera a los costados y salpicara a su ojo derecho, acto seguido se lavó con abundante agua  sin comunicar a nadie de lo ocurrido. Al día siguiente informó al coordinador sobre el incidente ya que aun tenia un pequeño ardor en la vista, razón por la cual se le acompañó al tópico, donde le realizaron un lavado ocular e indicaron su retorno a planta, no era necesario el traslado a un centro médico. </t>
  </si>
  <si>
    <t>OJO DERECHO</t>
  </si>
  <si>
    <t>Preparación de SLOP</t>
  </si>
  <si>
    <t>HIPEREMIA DE CONJUNTIVA OJO DERECHO</t>
  </si>
  <si>
    <t>0.1</t>
  </si>
  <si>
    <t>Detergente en polvo</t>
  </si>
  <si>
    <t>FASABI</t>
  </si>
  <si>
    <t xml:space="preserve">TULER </t>
  </si>
  <si>
    <t>Manifiesta contusion de 3er  dedo  en mano derecha , con paleta el dia 18-03-2024</t>
  </si>
  <si>
    <t>Paleta</t>
  </si>
  <si>
    <t>VERDURA</t>
  </si>
  <si>
    <t>CESAR</t>
  </si>
  <si>
    <t>Durante la actividad de colocado de bobinas, el trabajador Verdura Ramos Cesar se golpeó el lado dorsal y dedo pulgar de la mano izquierda, al intentar colocar el rollo de plastico ( bobina) color amarillo en el molino N°2.</t>
  </si>
  <si>
    <t>MANO IZQUIERDA</t>
  </si>
  <si>
    <t>Colocación de bobinas</t>
  </si>
  <si>
    <t>Molino n°2</t>
  </si>
  <si>
    <t>ÑAÑA</t>
  </si>
  <si>
    <t>GLOBAL ÑANA</t>
  </si>
  <si>
    <t>VELÁSQUEZ</t>
  </si>
  <si>
    <t>CONDE</t>
  </si>
  <si>
    <t>JUDITH</t>
  </si>
  <si>
    <t xml:space="preserve">La operaria de limpieza Judith Velásquez Conde, se encontraba realizando sus labores de limpieza de pisos en la zona de indirectos 2; entre el horno secador y la sala de tableros, cuando de manera imprevista cayó agua por la parte superior de la tubería del circuito de recirculación del condensado de vapor, cayendo sobre su casco y sobre parte de sus hombros. </t>
  </si>
  <si>
    <t>Contacto con Superficie Caliente</t>
  </si>
  <si>
    <t>HOMBROS</t>
  </si>
  <si>
    <t>Limpieza de pisos</t>
  </si>
  <si>
    <t>Quemadura de primer grado</t>
  </si>
  <si>
    <t>Quemadura por Temperatura</t>
  </si>
  <si>
    <t>EQUIPO DE RECIRCULACION DE CONDENSADO DE VAPOR</t>
  </si>
  <si>
    <t>RICOPA</t>
  </si>
  <si>
    <t xml:space="preserve"> AHUANARI</t>
  </si>
  <si>
    <t>VICTOR</t>
  </si>
  <si>
    <t>TOBILLO IZQUIERDO</t>
  </si>
  <si>
    <t>Coche</t>
  </si>
  <si>
    <t>TUISIMA</t>
  </si>
  <si>
    <t>CORDOVA</t>
  </si>
  <si>
    <t>MIGUEL</t>
  </si>
  <si>
    <t>Colaborador se encontraba realizando la actividad de embolsado en la máquina VAI. Al acumularse las bolsas de presentación 5Kg en la faja dado que su compañero recién ingresaba a la línea, retira uno de ellos y al colocar en el bolsón su mano derecha impacta con la mesa metálica siendo afectado el dedo medio</t>
  </si>
  <si>
    <t>DEDO MEDIO DERECHO</t>
  </si>
  <si>
    <t>Embolsado de producto</t>
  </si>
  <si>
    <t>Mesa metalica</t>
  </si>
  <si>
    <t>ARIRAMA</t>
  </si>
  <si>
    <t xml:space="preserve"> DEL CASTILLO</t>
  </si>
  <si>
    <t>YBONE</t>
  </si>
  <si>
    <t>La colaboradora refiere al momento de cortar el film utilizo la cuchilla retráctil y no tenía puesto sus guantes G-60, fue entonces que se hizo un corte superficial en el dedo medio de la mano izquierda.</t>
  </si>
  <si>
    <t>Corte de stretch film</t>
  </si>
  <si>
    <t>cuchilla</t>
  </si>
  <si>
    <t>SIDSUR</t>
  </si>
  <si>
    <t>Sidsur</t>
  </si>
  <si>
    <t>Molino Victoria</t>
  </si>
  <si>
    <t>CASTILLO</t>
  </si>
  <si>
    <t>MAMANI</t>
  </si>
  <si>
    <t>MAURO</t>
  </si>
  <si>
    <t>AYUDANTE DE MOLINO</t>
  </si>
  <si>
    <t>El colaborador se encontraba en el 4° piso del Molino Victoria verificando que fluya el producto del pasaje C6 de forma continua, en ese momento el colaborador apoya su mano derecha sobre la tapa del motor, sintiendo un jalón de su dedo índice el cual retiro inmediatamente, cabe mencionar que la guarda del motor presentaba una abertura debido a la rotura de una de las ranuras de protección.
Posteriormente, fue socorrido por el Coordinador de Turno quien toca la alarma de emergencias y lo acompaña al tópico, siendo atendido por el Inspector de Seguridad. Se procedió a llamar a la ambulancia, la cual lo derivo a la Clínica San Juan de Dios.</t>
  </si>
  <si>
    <t>Verificando paso de producto</t>
  </si>
  <si>
    <t>Motor</t>
  </si>
  <si>
    <t>Envasado</t>
  </si>
  <si>
    <t>Masterbread</t>
  </si>
  <si>
    <t>ADAMA</t>
  </si>
  <si>
    <t xml:space="preserve">MARCOS </t>
  </si>
  <si>
    <t>OPERADOR DE ENVASADO</t>
  </si>
  <si>
    <t>El operador de envasado José Adama avisa que al levantar una bolsa con producto zuck y agregar al vibrador salida del secador de indirectos sintió un tirón causándole dolor y no podía agacharse. se procedió a llamar al servicio de ambulancia Seguricel, diagnosticándole una contractura muscular aplicándole un relajante muscular.</t>
  </si>
  <si>
    <t>ESPALDA</t>
  </si>
  <si>
    <t>Alimentación de producto para reproceso</t>
  </si>
  <si>
    <t>Contractura muscular</t>
  </si>
  <si>
    <t>Manimupación manual de cargas</t>
  </si>
  <si>
    <t>PCO23979</t>
  </si>
  <si>
    <t>TARAZONA</t>
  </si>
  <si>
    <t>LILA IRIS</t>
  </si>
  <si>
    <t>OPERADOR MANUFACTURA SALSAS</t>
  </si>
  <si>
    <t>La operadora de manufactura se encontraba trasvasando producto del tanque Mixer 2 al tanque Mixer 1, en ese momento se percata que el sensor de nivel continuaba detectando producto en el Mixer 2, por lo cual decide aperturar la tapa del tanque para validar si aún contenía producto. Cuando apertura la tapa, no la aseguró correctamente en el gancho y esta cae por su propio peso rozando el costado izquierdo de su pecho con el asa.</t>
  </si>
  <si>
    <t>Pecho</t>
  </si>
  <si>
    <t>Trasvase de producto del tanque Mixer 2 al tanque Mixer 1</t>
  </si>
  <si>
    <t>Contusión en costado izquierdo del pecho</t>
  </si>
  <si>
    <t>Asa de tapa del tanque Mixer 2</t>
  </si>
  <si>
    <t>Sicaya</t>
  </si>
  <si>
    <t>Teal</t>
  </si>
  <si>
    <t>Teal Sicaya</t>
  </si>
  <si>
    <t>Planta Caramelos</t>
  </si>
  <si>
    <t>R&amp;M</t>
  </si>
  <si>
    <t>PINCHE</t>
  </si>
  <si>
    <t>RUBEN</t>
  </si>
  <si>
    <t>OPERARIO DE LIMPIEZA</t>
  </si>
  <si>
    <t>En circunstancias que el colaborador de limpieza se encontraba realizando la operación de llenado de agua caliente al coche, aperturó la válvula de agua caliente, mientras sostenía la manguera sin el guante de seguridad correspondiente. Durante esta operación el colaborador siente un aumento de temperatura en la manguera y la suelta; provocándole quemaduras de primer grado en el antebrazo. Inmediatamente se brinda los primeros auxilios colocando la zona afectada en un caño de agua fría por más de 15 minutos.</t>
  </si>
  <si>
    <t>Contacto con agua caliente</t>
  </si>
  <si>
    <t>Antebrazo izquierdo</t>
  </si>
  <si>
    <t>Alimentación de agua caliente al coche del trapeador</t>
  </si>
  <si>
    <t>Quemadura de 1er grado</t>
  </si>
  <si>
    <t>Agua Caliente</t>
  </si>
  <si>
    <t>Planta Instantáneos</t>
  </si>
  <si>
    <t xml:space="preserve">TANTA </t>
  </si>
  <si>
    <t>HUAJAN</t>
  </si>
  <si>
    <t>RAUL</t>
  </si>
  <si>
    <t>OPERADOR MASERO</t>
  </si>
  <si>
    <t xml:space="preserve">Siendo las 20:37 , el trabajador procede a dirigirse al laboratorio de Inspección de calidad , en el trayecto, el piso se encontraba húmedo ,resbala y cae sentado.
Se pone de pie y visualiza que el letrero de piso mojado, no se encontraba cerca a la zona de caída . Es derivado al tópico y se le suministra medicación . No requiere atención en clínica.
</t>
  </si>
  <si>
    <t>Caída a diferente nivel</t>
  </si>
  <si>
    <t>Tránsito peatonal</t>
  </si>
  <si>
    <t>Golpe</t>
  </si>
  <si>
    <t>Piso mojado</t>
  </si>
  <si>
    <t>Molinos Lima</t>
  </si>
  <si>
    <t>TEJADA</t>
  </si>
  <si>
    <t xml:space="preserve">GRANDEZ </t>
  </si>
  <si>
    <t xml:space="preserve">FREDY ALDAIR </t>
  </si>
  <si>
    <t>MECANICO</t>
  </si>
  <si>
    <t xml:space="preserve">Siendo las 10:30AM, el trabajador procede a dirigirse hacia la planta para ejecutar trabajos programados. Durante el trayecto una partícula ingresa al ojo derecho del colaborador, proveniente de la descarga de trigo de la zona de recepción, donde se encontraban 02 camiones en proceso de descarga.
El colaborador continúa sus actividades, sin embargo, alrededor de las 12:30PM, hace de manifiesto su malestar por lo cual se solicita el cardio móvil para una evaluación médica. El colaborador es sometido a un lavado ocular y logra eliminar el cuerpo extraño. Posterior a la intervención, el colaborador retoma sus labores.
</t>
  </si>
  <si>
    <t>CUERPO EXTRAÑO EN EL PARPADO</t>
  </si>
  <si>
    <t>Cuerpo Extraño</t>
  </si>
  <si>
    <t>DIS24483</t>
  </si>
  <si>
    <t>CD HUACHIPA</t>
  </si>
  <si>
    <t>DISTRIBUCIÓN</t>
  </si>
  <si>
    <t>CUEVA</t>
  </si>
  <si>
    <t>MONCADA</t>
  </si>
  <si>
    <t>JOSÉ</t>
  </si>
  <si>
    <t>El colaborador se encotnraba descargando un pallet de lejía cloro sapolio, cuando realizaba la maniobra se produce la caída del material, cuando impactan con el suelo, se rompen y el OMC sufre salpicadura en del producto, inmediatamente se descontamina en el lavojos, y luego de una evaluación médica se determina una ligera irritación por lo que no es trasladado a la clínica.</t>
  </si>
  <si>
    <t>Ojo izquierdo</t>
  </si>
  <si>
    <t>Descarga de pallets</t>
  </si>
  <si>
    <t>Irritación de ojo</t>
  </si>
  <si>
    <t xml:space="preserve">Trabajando </t>
  </si>
  <si>
    <t>Gotas de lejia</t>
  </si>
  <si>
    <t>Indeterminado</t>
  </si>
  <si>
    <t>NO</t>
  </si>
  <si>
    <t>ICH23917</t>
  </si>
  <si>
    <t>Ofertado</t>
  </si>
  <si>
    <t>RAMIREZ</t>
  </si>
  <si>
    <t>SALGUEDO</t>
  </si>
  <si>
    <t xml:space="preserve">JEREMY JESUS AARON </t>
  </si>
  <si>
    <t>Aproximadamente a las 8:30, el colaborador Ramírez se encontraba realizando la verificación de producto terminado, ubicado al lado del pallet en revisión para el traslado de cajas (desde el pallet a la mesa de trabajo). En ese momento el colaborador Paucar se dispone a retirar el pallet en revisión, para ello introduce la stocką manual con fuerza, sobresaliendo estos algunos centímetros fuera del área del pallet y golpeando el empeine del pie izquierdo del colaborador Ramírez.</t>
  </si>
  <si>
    <t>Inspección de productos terminados</t>
  </si>
  <si>
    <t xml:space="preserve">ESGUINCE Y TORCEDURA </t>
  </si>
  <si>
    <t>Cesó</t>
  </si>
  <si>
    <t>STOCKA MANUAL</t>
  </si>
  <si>
    <t>Preparación de granos Tecnal</t>
  </si>
  <si>
    <t>TORNEMEC</t>
  </si>
  <si>
    <t>GONZALES</t>
  </si>
  <si>
    <t>DUMAY</t>
  </si>
  <si>
    <t>CLAUS</t>
  </si>
  <si>
    <t>TÉCNICO MECÁNICO</t>
  </si>
  <si>
    <t>A promediar las 09:30 el técnico mecánico contratista de tornemec estaba realizando el traslado del carro hidráulico para transportar la mesa rectificadora desde el laminador #3 al laminador #4. Cuando procedía al movimiento del carro hidráulico jalándolo, este resbala por lo que se encontraba en una superficie con  harina húmeda y en un desnivel ocasionando un frenado el carro, cayendo al mismo nivel y golpeando la tibia de la pierna derecha contra el ojal inferior del carro hidráulico , inmediatamente sus colegas le colaboran a reponerse de la caída, y es trasladado a la posta medica donde realiza la atención de primeros auxilios por el coordinador de SST, se realiza las curaciones presentaba una pequeña herida</t>
  </si>
  <si>
    <t>TIBIA PIERNA DERECHA</t>
  </si>
  <si>
    <t>TRASLADO DE CARRO HIDRÁULICO TRANSPORTAR MESA RECTIFICADORA</t>
  </si>
  <si>
    <t>Golpe en tibia derecha</t>
  </si>
  <si>
    <t>CARRO HIDRÁULICO</t>
  </si>
  <si>
    <t>Preparación de granos Alloco</t>
  </si>
  <si>
    <t>SMFI</t>
  </si>
  <si>
    <t>CARDOZO</t>
  </si>
  <si>
    <t>ROGER</t>
  </si>
  <si>
    <t xml:space="preserve">A promediar las 12:00 se presenta una tarea no planeada en elevador 03 de Alloco, después de realizar una inspección del equipo por parte de mantenimiento se informa a la jefatura de mantenimiento para realizar la intervención del equipo quien da la autorización para la ejecución del trabajo. Posterior a ello se asigna una cuadrilla del contratista SMFI para atender el trabajo, la tarea arranca sin ART, los contratistas (ejecutores de la tarea) no aplicaron el LOTO, este fue aplicado por el supervisor de SST contratista SMFI. A horas 12:25 la empresa SMFI concluye la reposición de cangilones de plástico, al finalizar la ejecución de la tarea se solicita desbloquear el elevador para verificar con una prueba en vacío que no presentara rozamiento de cangilones. Durante la operación de prueba del elevador, el electricista junto al operador proceden a liberar el LOTO y arrancan el equipo, simultáneamente el contratista evidencia una contratuerca aflojada en el cangilón (equipo detenido) y decide asegurarla utilizando una pistola de impacto con extensión y dado, en ese momento arranca el equipo generando que un cangilón impacte en la mano izquierda del contratista mientras sujetaba la pistola de impacto, en ese momento procede a retirar su mano de la zona de riesgo antes de sufrir un atrapamiento entre el cangilón y la ventana del elevador.
</t>
  </si>
  <si>
    <t>Mano izquierda</t>
  </si>
  <si>
    <t>CAMBIO DE CANGILONES EN ELEVADOR 03</t>
  </si>
  <si>
    <t>Lesión contusa mano izquierda</t>
  </si>
  <si>
    <t>CANGILONES</t>
  </si>
  <si>
    <t>CENTROS DE ACOPIO</t>
  </si>
  <si>
    <t>Secadora MEGA</t>
  </si>
  <si>
    <t>PROVISIONA</t>
  </si>
  <si>
    <t>BRAVO</t>
  </si>
  <si>
    <t>GIL</t>
  </si>
  <si>
    <t>REMY</t>
  </si>
  <si>
    <t>Al promediar las 05:30 AM, el personal tercero de provisiona se encontraba cerrando las puertas de la secadora para arrancar con el secado, y al momento de caminar sobre la plataforma sufre una caída al mismo nivel, ocasionándole una herida en el mentón.
 Se le dio primeros auxilios, primeramente, se limpió con agua la herida, para luego limpiarla con algodón y agua oxigenada, posteriormente se lo derivo al centro municipal de salud integral Pailón, en el cual se le realizo una sutura de la herida (2 puntos), así mismo se le suministro la vacuna antitetánica.</t>
  </si>
  <si>
    <t>MENTON</t>
  </si>
  <si>
    <t>CERRAMIENTO DE COMPUERTAS DE SECADOR</t>
  </si>
  <si>
    <t>HERIDA EN REGIÓN MAXILAR INFERIOR</t>
  </si>
  <si>
    <t>DESNIVEL EN PLATAFORMA</t>
  </si>
  <si>
    <t>SALVATIERRA</t>
  </si>
  <si>
    <t>JURADO</t>
  </si>
  <si>
    <t>BRILLITH ALEXANDRA</t>
  </si>
  <si>
    <t>Colaboradora realizaba limpieza del área y al terminar de lavar los trapos que utilizan en las líneas no tenía conocimiento dónde desechar el agua por lo que pregunta a sus compañeras y le indican que lo haga en los cilindros, sin embargo estaban llenos. La trabajadora Verónica Chumpitaz ITDC le menciona que lo deseche en segundo nivel de batidos. 
En el transcurso de subir las escaleras con el balde, tropieza y cae en el peldaño golpeándose la rodilla izquierda</t>
  </si>
  <si>
    <t>Caida al mismo nivel</t>
  </si>
  <si>
    <t>BRAZO</t>
  </si>
  <si>
    <t>Subir escaleras</t>
  </si>
  <si>
    <t>Escalera</t>
  </si>
  <si>
    <t>PACAYA</t>
  </si>
  <si>
    <t xml:space="preserve"> IJUMA</t>
  </si>
  <si>
    <t>CHARLIE EFRAIN</t>
  </si>
  <si>
    <t>El colaborador Pacaya CA
se encontraba cortando el film, tenía puesto su pie derecho entre la uña de la máquina de transpaleta, al momento de que su otro compañero transpaletista se dirigía con una paleta para almancen, se chocó contra la paleta de Pacaya CA generandole un golpe en su pie derecho.</t>
  </si>
  <si>
    <t>PIE DERECHO</t>
  </si>
  <si>
    <t>TANTA</t>
  </si>
  <si>
    <t xml:space="preserve"> CHAVEZ</t>
  </si>
  <si>
    <t xml:space="preserve"> MARIA LUISA</t>
  </si>
  <si>
    <t>Siendo 22 de abril a las 07:08 la Colaboradora se encontraba firmando el libro de charla de 5 minutos y al momento de coger una mascarilla, se le cae al suelo y al recogerla se golpea contra una estructura metálica de máquina en desuso que se encuentra al lado de escritorio(en ese momento no dio aviso), cerca de las 9pm tomó una pastilla (ibuprofeno) que le brindó una compañera, sin embargo dolor persistió hasta la hora de salida, que se acercó la colaboradora a hacernos conocimiento de lo sucedido, dolor con intensidad 7/10 (23.04 a las 7am aproximadamente, en ese momento no recibió atención médica porque le brindaron)
*DATO ADICIONAL* : Colaboradora refiere haber dado aviso a su supervisora 2 veces en el turno (9pm y 4am aproximadamente) sin embargo ella no se comunicó conmigo para informar sobre el caso.</t>
  </si>
  <si>
    <t>Llenado de registros</t>
  </si>
  <si>
    <t>Equipo en desuso</t>
  </si>
  <si>
    <t xml:space="preserve"> MARICHIN</t>
  </si>
  <si>
    <t>JUSTO HERNAN</t>
  </si>
  <si>
    <t>Colaborador se encontra jalando solo la tiza con la estoca (64 sacos), ya que sus compañeros estaban ocupados menciona (tener en cuenta que esta actividad se realiza entre dos personas), y debido a la fuerza que ejerce al jalar el pallet con producto se le resbala el pie y se golpea contra la llanta. No da aviso en el momento ya que no sentía molestias. Comunicó lo sucedido el día de hoy 27.04</t>
  </si>
  <si>
    <t>Manipulacion de stocka</t>
  </si>
  <si>
    <t>Estoca</t>
  </si>
  <si>
    <t>ALI23926</t>
  </si>
  <si>
    <t>MIRAFLORES</t>
  </si>
  <si>
    <t>Comedor MIRAFLORES</t>
  </si>
  <si>
    <t>NEWREST PERU S.A.C</t>
  </si>
  <si>
    <t>LEON</t>
  </si>
  <si>
    <t>RAYMUNDO</t>
  </si>
  <si>
    <t>YOHANA</t>
  </si>
  <si>
    <t>AYUDANTE DE COCINA</t>
  </si>
  <si>
    <t>Siendo aproximadamente las 13:00 p.m. la colaboradora del concesionario empieza a verter agua caliente en una de las bandejas gastronómicas, que se encontraban vacías, en el piso y apiladas unas sobre otras, porque iban a empezar a lavarlos. (el lavadero se encuentra a un metro de distancia); y es cuando la bandeja superior cae sobre su pie izquierdo, ocasionándole una quemadura de segundo grado, luego en compañía del jefe de operaciones de su empresa, es trasladado a la Clínica Ricardo Palma en donde se activó su SCTR. Por indicación médica la trabajadora se encuentra internada</t>
  </si>
  <si>
    <t>Limpieza de bandejas</t>
  </si>
  <si>
    <t>QUEMADURA DE SEGUNDO GRADO</t>
  </si>
  <si>
    <t>Areas comunes</t>
  </si>
  <si>
    <t>VALENCIA</t>
  </si>
  <si>
    <t>ROMAN</t>
  </si>
  <si>
    <t>PABLO</t>
  </si>
  <si>
    <t>El colaborador Pablo Velencia Román se encontraba bajando las escaleras cuando de pronto ve que sus compañeros suben corriendo y él por tratar de esquivarlos baja apresuradamente un escalón pisando en falso, ocacionando que se doble el tobillo.
Cabe mencionar que dicha zona se encuentra sin iluminación.</t>
  </si>
  <si>
    <t>TOBILLO</t>
  </si>
  <si>
    <t>Ascenso por escaleras</t>
  </si>
  <si>
    <t>ESCALERA</t>
  </si>
  <si>
    <t>Sanitarios</t>
  </si>
  <si>
    <t>AHUANARI</t>
  </si>
  <si>
    <t>PAYMA</t>
  </si>
  <si>
    <t>WILMER</t>
  </si>
  <si>
    <t>El trabajador AHUANARI presenta ampollas en las manos debido a que realiza el tapado y enroscado en la MR2, ya que la tapadora neumática en ocasiones no cierra por completo, la tapa se inclina hacia un lado ( el trabajador ejerce presión y enrosca) o en su defecto el diámetro sobrepasa la capacidad para realizar el tapado (debido a esto se hace manual).</t>
  </si>
  <si>
    <t xml:space="preserve">Contacto con </t>
  </si>
  <si>
    <t>MANO DERECHA E IZQUIERDA</t>
  </si>
  <si>
    <t>Tapado y enroscado de frascos</t>
  </si>
  <si>
    <t>Ampolla</t>
  </si>
  <si>
    <t>Quemadura por Fricción</t>
  </si>
  <si>
    <t>TAPADORA NEUMÁTICA</t>
  </si>
  <si>
    <t>AVALOS</t>
  </si>
  <si>
    <t>FASANANDO</t>
  </si>
  <si>
    <t>RAFAEL</t>
  </si>
  <si>
    <t>Colaborador Ávalos Fasanando Rafael se encontraba haciendo la actividad de colocado de bolsas, cuando se percata que una de ellas está mal puesta y al momento de acomodarla saca la mano derecha apresuradamente y se golpea contra plancha que cambia de posición automáticamente cuando los bolsones están llenos.</t>
  </si>
  <si>
    <t>Colocacion de bolsas</t>
  </si>
  <si>
    <t>PLANCHA METALICA</t>
  </si>
  <si>
    <t>CONDORI</t>
  </si>
  <si>
    <t xml:space="preserve"> LOPEZ</t>
  </si>
  <si>
    <t xml:space="preserve"> GUADALUPE ROXANA</t>
  </si>
  <si>
    <t>Colaboradora estuvo realizando encajado de potes, al terminar su rotación de actividad le indica a su compañero que saldría del área para acudir a los sshh y voltea sin percatarse de la mesa de trabajo golpeándose la rodilla izquierda</t>
  </si>
  <si>
    <t>Encajado de potes</t>
  </si>
  <si>
    <t>MESA</t>
  </si>
  <si>
    <t>Trujillo</t>
  </si>
  <si>
    <t>TRUJILLO</t>
  </si>
  <si>
    <t>Abastecimiento/Molienda</t>
  </si>
  <si>
    <t>C</t>
  </si>
  <si>
    <t>AUXLIAR DE PRODUCCIÓN</t>
  </si>
  <si>
    <t>Siendo aproximadamente las 4:05 am el auxiliar de producción manifiesta que se produjo un obstrucción de materia prima en el ducto/esclusa del tolvin en el 5to nivel de L13 circunstancias en las que, procede a desmontar la tubería que conecta con la esclusa, luego se retira los guantes de protección de la mano derecha para verificar el paso del flujo de aire y ausencia de producto con equipo encendido, lo que ocasiona contacto del dedo índice derecho con las aspas de la esclusa.
El colaborador es trasladado inmediatamente al servicio médico de turno , se evalúa al trabajador y es trasladado a la clínica para su tratamiento.</t>
  </si>
  <si>
    <t>ILU24268</t>
  </si>
  <si>
    <t>Vestuarios</t>
  </si>
  <si>
    <t>ROSALES</t>
  </si>
  <si>
    <t>FRANK</t>
  </si>
  <si>
    <t>El colaborador se encontraba colocándose el uniforme para el ingreso a su turno. Al colocarse el polo, extiende su mano izquierda, que tuvo contacto con bordes irregulares de uno de los casilleros del vestuario generando una herida en el dedo medio de la mano izquierda.</t>
  </si>
  <si>
    <t>Cambio de ropa (colocación de uniforme)</t>
  </si>
  <si>
    <t>CASILLERO</t>
  </si>
  <si>
    <t>ILU23990</t>
  </si>
  <si>
    <t>CAMACHO</t>
  </si>
  <si>
    <t>LUIS MANUEL</t>
  </si>
  <si>
    <t>El colaborador de encontraba saliendo del comedor luego de su cena, y al ver que sus demás compañeros estaban llegando para el ingreso, se baja de la vereda para abrir pase, pero no se percata que en la pista hay un desnivel, lo que ocasiona la torcedura del pie (tobillo izquierdo) y posterior caída. Se levanta con ayuda de sus compañeros y se dirige a los SSHH, pero se queda a mitad de camino ya que el dolor le impide seguir subiendo las escaleras. Es ahí donde la coordinadora que transitaba por el lugar se percata y me da aviso de lo sucedido.</t>
  </si>
  <si>
    <t>Transito por area</t>
  </si>
  <si>
    <t>PISO DE ASFALTO</t>
  </si>
  <si>
    <t>ICH23994</t>
  </si>
  <si>
    <t>Pasta Dental</t>
  </si>
  <si>
    <t>CARBONEL</t>
  </si>
  <si>
    <t>PETER</t>
  </si>
  <si>
    <t xml:space="preserve">Aproximadamente a las 11:45am, durante la operación de envasado de pasta dental en línea 6, durante un atasco de cajas unitarias producido en apilador de packs, el colaborador introduce la mano derecha al interior de la maquina para liberar el atasco, de pronto retira la mano rápidamente; encontrándose ya con el dedo lesionado. La situación fue informada a producción y seguridad industrial, a continuación es trasladado al tópico donde recibe atención, activación del SCRT, y posterior traslado a la Clínica San Pablo de Surco.
</t>
  </si>
  <si>
    <t>Desatoro de línea</t>
  </si>
  <si>
    <t>HERIDA DE DEDOS DE LA MANO, SIN DAÑO DE UÑAS</t>
  </si>
  <si>
    <t>Máquina encajadora</t>
  </si>
  <si>
    <t xml:space="preserve">Galletera - 2do piso </t>
  </si>
  <si>
    <t xml:space="preserve">BRICEÑO </t>
  </si>
  <si>
    <t>ARANIBAR</t>
  </si>
  <si>
    <t xml:space="preserve">Colaborador se encontraba en sus actividades rutinarias, cuando se retira de su zona de trabajo para dirigirse a los servicios higienicos, sufre un resbalón  del pie derecho hacia adelante, momento en el que se cae, pone su mano izquierda en el suelo, lo que causa dolor en la misma. Procede a reportarlo y posteriormente es trasladado a la clinica </t>
  </si>
  <si>
    <t xml:space="preserve">Transito </t>
  </si>
  <si>
    <t xml:space="preserve">Piso </t>
  </si>
  <si>
    <t xml:space="preserve">CONTRATO INDEFINIDO </t>
  </si>
  <si>
    <t>OSORIO</t>
  </si>
  <si>
    <t>SOLIMANO</t>
  </si>
  <si>
    <t>CARLOS DANIEL</t>
  </si>
  <si>
    <t>Colaborador realizaba actividades en la mezcladora 1, procede con la apertura del desfogue para realizar el llenado de bolsas; se completó el llenado de bolsa con material por lo que el colaborador procedia a cerrar el desfogue, actividad que consiste en empujar la tapa de metal; debido a que el material sigue cayendo y la tapa se atora el colaborador ejerce fuerza al empujar; es ahi que sintió un estirón y posteriormente dolor.</t>
  </si>
  <si>
    <t>Cierre de compuerta</t>
  </si>
  <si>
    <t>TENDINITIS POR USO EXCESIVO Y PRESION</t>
  </si>
  <si>
    <t>Aerosoles</t>
  </si>
  <si>
    <t xml:space="preserve">CHIROQUE </t>
  </si>
  <si>
    <t>JHOVANA</t>
  </si>
  <si>
    <t>El frasco pasó sin haberse encrimpado y al inyectar gas se produjo de la dispersión del líquido, menciona la colaboradora que si tenía puesto el antiparra</t>
  </si>
  <si>
    <t>Encrimpado de envases</t>
  </si>
  <si>
    <t>Irritación por Sustancias Químicas OJOS</t>
  </si>
  <si>
    <t>PRODUCTO (GRANEL DE AEROSOL)</t>
  </si>
  <si>
    <t>PGL24022 </t>
  </si>
  <si>
    <t>Alimentación</t>
  </si>
  <si>
    <t xml:space="preserve">CASTAÑEDA </t>
  </si>
  <si>
    <t>INOCENTE</t>
  </si>
  <si>
    <t xml:space="preserve">RONAL JUNIOR </t>
  </si>
  <si>
    <t>Siendo las 19:00 el colaborador refiere que al momento de bandejar las galletas sufre contacto con la faja de alimentación presentando corte en el dedo medio de la mano derecha</t>
  </si>
  <si>
    <t>contacto con superficie en movimiento</t>
  </si>
  <si>
    <t>Bandejeo de galletas</t>
  </si>
  <si>
    <t>Laceración</t>
  </si>
  <si>
    <t>Faja</t>
  </si>
  <si>
    <t>MFA24121</t>
  </si>
  <si>
    <t>CENTRAL</t>
  </si>
  <si>
    <t>MFA</t>
  </si>
  <si>
    <t>CALDERON</t>
  </si>
  <si>
    <t>HUANAMBAL</t>
  </si>
  <si>
    <t>TEOFILO MARCELINO</t>
  </si>
  <si>
    <t>OPERADOR 2 DE MOLINO</t>
  </si>
  <si>
    <t>El colaborador se encontraba en el cuarto piso del molino B realizando su inspección de turno a los plansifter donde se percata que uno de los pasajes se empezó a llenar y botar harina por la manga, él se acerca para verificar y siente que ingresa una partícula en la vista izquierda causándole molestia</t>
  </si>
  <si>
    <t>Contacto con</t>
  </si>
  <si>
    <t xml:space="preserve">Verificacion </t>
  </si>
  <si>
    <t>Polvo de Harina</t>
  </si>
  <si>
    <t>Galletera - linea 1</t>
  </si>
  <si>
    <t>CORIMANYA</t>
  </si>
  <si>
    <t>LACUTA</t>
  </si>
  <si>
    <t xml:space="preserve">FRANCISCO </t>
  </si>
  <si>
    <t xml:space="preserve">El colaborador se encontraba en el 2do. Piso del área de Galletería Línea 1, turno mañana;  y al dirigirse a cruzar del lado frontal hacia el lado posterior de la envasadora Victoria 7 para brindar soporte a su compañero a quien se le acumulaba las galletas y se caian debido a que la maquina envasadora dejó de funcionami, hace uso de la escalera puente qué cuenta con baranda, una vez cruzado el puente  al momento de bajar las escaleras hacia lado posterior de la Victoria 7 , sufre un resbalón en el segundo peldaño,  por ello pierde el equilibrio y cae sentado en el peldaño, sufriendo un  golpe en la cadera.   </t>
  </si>
  <si>
    <t xml:space="preserve">Caída a distinto nivel </t>
  </si>
  <si>
    <t xml:space="preserve">Cadera </t>
  </si>
  <si>
    <t>Descenso por escaleras</t>
  </si>
  <si>
    <t>SEPE</t>
  </si>
  <si>
    <t>TORRICO</t>
  </si>
  <si>
    <t>DENNIS</t>
  </si>
  <si>
    <t>Ayudante laboral</t>
  </si>
  <si>
    <t>El día 13 de mayo a las 20:30, aproximadamente, el contratista de la empresa SEPE se encontraba realizando las actividades para descarga de camión tipo tolva bitren con grano de soya en volcadora ubicada en la Fosa de descarga N°2 del área de Recepción de granos.
Una vez concluida la descarga de la tolva del camión, el conductor del camión se percata que quedaba una pequeña cantidad de grano dentro de la tolva debido a que el segundo registro no abre totalmente, por lo que le indica al contratista pueda acceder para retirar el sobrante. El contratista realiza las indicaciones del conductor ingresando por el registro de la descarga de la tolva e ingresando al interior, luego se posiciona en los bordes del registro e intenta vaciar el grano restante, se resbala y golpea su rodilla derecha en la parte metálica de la descarga.
Posterior al golpe, el contratista continúa sus actividades de descarga de camiones y más tarde se percata de que tiene una molestia en su rodilla, por lo que procede a revisarse y encuentra que tenía un leve corte superficial y comunica al operador del sector.
La comunicación llega al Supervisor, quien llama a los servicios de paramédicos de Emercom, quienes asisten a la persona realizándole una limpieza y realizándole una sutura de 3 puntos.
Luego de la atención el contratista concluye su turno y se retira de las instalaciones.</t>
  </si>
  <si>
    <t>DESCARGA DE CAMIONES CON GRANO</t>
  </si>
  <si>
    <t>Herida cortanten superficial en rodilla</t>
  </si>
  <si>
    <t>Tapa de registro</t>
  </si>
  <si>
    <t>CDC</t>
  </si>
  <si>
    <t>BERAUN</t>
  </si>
  <si>
    <t>VILLODAS</t>
  </si>
  <si>
    <t>BRYAN</t>
  </si>
  <si>
    <t>OPERADOR DE MONTACARGAS</t>
  </si>
  <si>
    <t>COLABORADOR REFIERE, QUE AL ENCONTRARSE LABORANDO, SE LE INTRODUCE UNA PEQUEÑA PARTICULA EN EL OJO IZQUIERDO, QUE LE OCASIONA MOLESTIA, S E LE REALIZA LAVADO OCULAR Y NO REQUIERE TRASLADO</t>
  </si>
  <si>
    <t>Descarga de sacos de harina</t>
  </si>
  <si>
    <t>Cuerpo extraño en ojo</t>
  </si>
  <si>
    <t>Sacos de harina</t>
  </si>
  <si>
    <t>Propio</t>
  </si>
  <si>
    <t>CRUZ</t>
  </si>
  <si>
    <t>CABEZAS</t>
  </si>
  <si>
    <t>DEMETRIO</t>
  </si>
  <si>
    <t>Instrumentista</t>
  </si>
  <si>
    <t>Aproximadamente a las 04:15 horas, convoca el operador de secaderos al técnico electricista para que revise una falla eléctrica, inmediatamente se desplaza el técnico desde la preparación a secaderos ; al momento de transitar por el pasillo de acondicionador rotativo a post limpieza, esquina lado noroeste de la barda de solvente Tecnal pisa la plancha corrugada de protección de canal desagüe con el pie derecho resbalando, perdió la estabilidad y asentando con su rodilla izquierda la plancha, generándole una laceración en la rodilla izquierda.
De inmediato comunica del resbalamiento, y se procede darle los primeros auxilios identificando solo una laceración generada por el impacto contra objeto agudo, después continua con su jornada laboral sin dificultad.
Acción inmediata, limpieza del área e hidro lavado  y colocado de cinta antideslizantes de 50 mm.(safety walk).</t>
  </si>
  <si>
    <t>Actividad rutinaria en puesto de trabajo</t>
  </si>
  <si>
    <t>CUERPO EXTRAÑO EN EL CUERPO CILIAR(OJO)</t>
  </si>
  <si>
    <t>Partícula</t>
  </si>
  <si>
    <t>SANDOVAL</t>
  </si>
  <si>
    <t xml:space="preserve"> RENGIFO</t>
  </si>
  <si>
    <t>JORGE  LUIS</t>
  </si>
  <si>
    <t xml:space="preserve">El colaborador  Jorge Luis Sandoval Renfigo CA. se encontraba apilando en la Vai, al momento de retirarse Gira y se golpea su codo derecho contra la Ruma de las paletas </t>
  </si>
  <si>
    <t>CODO DERECHO</t>
  </si>
  <si>
    <t>Apilado de bolsas</t>
  </si>
  <si>
    <t>Tercero</t>
  </si>
  <si>
    <t>Masculino</t>
  </si>
  <si>
    <t xml:space="preserve">Colaborador se encontraba realizando la actividad de sellado en la línea de la máquina neumopack #01 y su compañero estaba golpeando el ducto en plataforma para que baje el producto, por lo que se proyecta detergente y genera que le ingrese a sus ojos causándole irritación </t>
  </si>
  <si>
    <t>sellado de bolsas</t>
  </si>
  <si>
    <t xml:space="preserve"> HUANUIRI</t>
  </si>
  <si>
    <t xml:space="preserve"> MARDEN</t>
  </si>
  <si>
    <t xml:space="preserve">El colaborador Marpen Rojas Guanoyre CA. menciona al momento de empujar el coche, se abrió la compuerta y le cayo detergente en todo el cuerpo, generandole picazón en la vista, cabe mencionar que estában los dos coches llenos, y la compuerta se abre cada 30 segundos automáticamente, justo cuando el empuja se abre la compuerta, fue una mala coordinación. 
Asimismo el colaborador no tenía conocimiento que la compuerta se abre automáticamente. </t>
  </si>
  <si>
    <t>MENDOZA</t>
  </si>
  <si>
    <t xml:space="preserve"> QUIÑONES</t>
  </si>
  <si>
    <t xml:space="preserve"> PEDRO ALEXANDER</t>
  </si>
  <si>
    <t>Colaborador se encontraba haciendo la actividad de doblado de sacos para pasarlo a cosedora, al momento de su compañero quitar el aire, la base hace polución y le ingresa partículas al ojo izquierdo. Se dirige al lavaojos por 15 minutos, pero al cabo de ésta sigue con sensación de ardor.</t>
  </si>
  <si>
    <t>PAIMA</t>
  </si>
  <si>
    <t xml:space="preserve">AMASIFUEN </t>
  </si>
  <si>
    <t>GUILMEL</t>
  </si>
  <si>
    <t>Colaborador Paima Amasifuen Guimer se encontraban realizando la actividad de sellado en sellapack de la máquina VAI, al momento de querer retirar la bolsa, se golpea contra la mordaza el dedo pulgar izquierdo, (tenía puesto sus guantes g-60), ésto suede por querer avanzar rápidamente ya que las bolsas se le estaban acumulando en la mesa.
Cabe resaltar que no dio aviso en su momento porque no sentía molestias, al cabo de hora comunica lo sucedido. Siendo su dolor una intensidad 5/10.
Como dato adicional, colaborador tiene una deformidad en dedos de las manos, menciona que tiene las tiene así desde pequeño.</t>
  </si>
  <si>
    <t>PULGAR IZQUIERDO</t>
  </si>
  <si>
    <t>selladora</t>
  </si>
  <si>
    <t xml:space="preserve"> ORTIZ</t>
  </si>
  <si>
    <t xml:space="preserve"> LUIS MANUEL</t>
  </si>
  <si>
    <t>Colaborador Camacho Ortiz Luis se encontraba colocando film a la paleta de sacos de tiza para que sea retirado del área. Estaba cerca de la batidora N°4 y su pie derecho se queda enredado entre la batidora  y paleta generando caída. Se golpea mano derecha sintiendo dolor en dedos meñique y anular con intensidad 6/10</t>
  </si>
  <si>
    <t>DEDO MEÑIQUE Y ANULAR DERECHO</t>
  </si>
  <si>
    <t>enfilado de paleta</t>
  </si>
  <si>
    <t>paleta</t>
  </si>
  <si>
    <t>AMAZIFUEN</t>
  </si>
  <si>
    <t>MARIA NATIVIDAD</t>
  </si>
  <si>
    <t>Colaboradora se encontraba realizando la actividad de esponjado y su compañero abastecedor al pasar con 2 paquetes de cajas para colocar en la línea (25 unidades cada una) se posiciona cerca de ella ya que no tenía espacio y choca con el abastecedor de la otra línea quien también se encontraba realizando la misma actividad, por lo que ante ello inclina los paquetes y uno de ellos cae en su cabeza generando impacto con las esquinas de las cajas, siendo su dolor 2/10 y a su vez produce mareos</t>
  </si>
  <si>
    <t>colocacion de esponjas</t>
  </si>
  <si>
    <t>RUITON</t>
  </si>
  <si>
    <t xml:space="preserve"> TUTUMI</t>
  </si>
  <si>
    <t xml:space="preserve"> FLOR DE MARIA</t>
  </si>
  <si>
    <t xml:space="preserve">Colaboradora registró su asistencia ya que ingresaba a turno nocturno y al retirarse del tareo para dirigirse a los vestuarios pasa por detrás de la acumulación de personas que hacían cola, generando que pise el filo de la rampa lo que ocasiona que pierda el equilibrio y se resbale. Su caída genera golpes de ambas rodillas con intensidad de dolor 2/10, se evidencia enrojecimiento sin aumento de volumen </t>
  </si>
  <si>
    <t>piso</t>
  </si>
  <si>
    <t>RIVERA</t>
  </si>
  <si>
    <t xml:space="preserve"> JULCA</t>
  </si>
  <si>
    <t xml:space="preserve"> MARIA</t>
  </si>
  <si>
    <t xml:space="preserve">Colaboradora se encontraba realizando la actividad de esponjado y de pronto el asiento de la silla se hunde generando su caída hacia atrás dado que no tenía de dónde sujetarse. Refiere dolor en codo derecho, glúteos y costillas, enrojecimiento sin volumen, intensidad de dolor 5/10 .
Cabe mencionar que una de las patas de la silla está doblada </t>
  </si>
  <si>
    <t>silla</t>
  </si>
  <si>
    <t>Planta Molino</t>
  </si>
  <si>
    <t>Nexos</t>
  </si>
  <si>
    <t>SANTAMARIA</t>
  </si>
  <si>
    <t>CESAR AUGUSTO</t>
  </si>
  <si>
    <t>OPERARIO DE ESTIBA PT</t>
  </si>
  <si>
    <t>En circunstancias el colaborador Cesar Ruiz Santamaria,  se encontraba  acomodando la paleta que estaba en el piso, levantando por un extremo,  se desprende la madera ocasionando la caída libre de la paleta sobre los pies del colaborador, golpeando el empeine del pie izquierdo teniendo una contusión leve.</t>
  </si>
  <si>
    <t>Paletizado de sacos de harina</t>
  </si>
  <si>
    <t>REYES</t>
  </si>
  <si>
    <t>AGRAMONTE</t>
  </si>
  <si>
    <t>ANDHY LUIS</t>
  </si>
  <si>
    <t>OPERADOR DE PLANTA</t>
  </si>
  <si>
    <t xml:space="preserve">El trabajador se encontraba realizando la tarea de limpieza de los Twin en el área de Embolsado ubicado en el 7mo piso, antes de culminar con la limpieza del área el colaborador el personal se bajó al 2do piso del Embolsado para traer materiales de limpieza (escobas) sin encontrar material, posterior sube usando las escaleras del edificio de Embolsado. Al subir por las escaleras desde el 6to piso al 7mo piso el trabajador pisa en falso, el trabajador comunicó el suceso al inspector de Calidad, quien llama a los monitores de Producción Aldo Moreano Ronal Moreano e inspector de seguridad de turno Jorge Hoffman quién activó el protocolo de emergencia. El trabajador recibió los primeros auxilios por parte del inspector de seguridad, mientras llegaba la ambulancia Cardio móvil; luego de la evaluación del personal de Cardiomóvil se decide trasladarlo a la Clínica San Gabriel junto al monitor de producción.
</t>
  </si>
  <si>
    <t>RODILLA DERECHA</t>
  </si>
  <si>
    <t>Subiendo Escaleras</t>
  </si>
  <si>
    <t xml:space="preserve"> BENITES</t>
  </si>
  <si>
    <t xml:space="preserve"> RONALD FABIAN</t>
  </si>
  <si>
    <t>Colaborador se encontraba realizando cambio de bobina en máquina enfardadora número 14, al momento de colocar la varilla del lado izquierdo se produce un aplastamiento y debido a ello una herida con abertura en el dedo índice (parte dorsal, 2da falange) de la mano del mismo lado, cabe mencionar que este cambio lo realizó sin tener puesto sus guantes de seguridad y de manera apresurada ya que desde mezzanine lo estaban apurando en realizar el cambio (recién llegaba de los sshh)
Éste hecho sucedió a las 4am aproximadamente, colaborador no dio aviso, sino hasta las 6am que el coordinador del área se percató del corte que tenía en el dedo. 
- Ésta actividad la realizan sin apoyo.
- Tiene aproximadamente 2 meses aprendiendo el manejo de máquina con un compañero, y desde esta semana se encuentra en línea 2, el supervisor le estuvo dando soporte en varias ocasiones durante su turno.</t>
  </si>
  <si>
    <t>DEDO INDICE IZQUIERDO</t>
  </si>
  <si>
    <t>Cambio de bobina</t>
  </si>
  <si>
    <t>Bobina</t>
  </si>
  <si>
    <t>PECHO</t>
  </si>
  <si>
    <t>ALVA</t>
  </si>
  <si>
    <t>JESUS</t>
  </si>
  <si>
    <t xml:space="preserve">
El colaborador JESUS PECHO ALVA se encontraba sosteniendo la escalera de tijera a su compañero, quien iba a realizar la colocación de manguera en tubería por donde se transporta el aire comprimido, sólo se cuenta con una llave que es la general, y ésta no se cierra para hacer la actividad, ya que al realizarlo lo que se ocasiona es el paro de todas las líneas.
Lo que hacen es el doblez de manguera en dos puntos para cortar el aire, el compañero suelta la manguera para hacer la conexión, y es ahí donde se ocasiona el escape de aire con crema que se encontraba en el último tramo, dirigiéndose éste directamente al rostro del colaborador que se encontraba sujetando la escalera, la fuerza con la que se dio, hizo que sus lentes de seguridad salieran proyectados.</t>
  </si>
  <si>
    <t>Sostenimiento de escalera</t>
  </si>
  <si>
    <t>Cuerpo extraño en cuerpo ciliar.</t>
  </si>
  <si>
    <t>crema lavavajilla</t>
  </si>
  <si>
    <t>VILCA</t>
  </si>
  <si>
    <t>CARLOS</t>
  </si>
  <si>
    <t xml:space="preserve">
Colaborador Vilca Quispe Carlos se encontraba realizando la actividad de colocación y retiro de bolsones en la máquina neumopack 01, al querer realizar el retiro de un bolsón, es golpeado por la contadora de metal, éste gira automáticamente cuando el bolsón está lleno (en ese momento se estaba realizando el formato 1600kg - 6 deterguentes por bolsón, el giro que da es relativamente lento) ésto sucede porque el colaborador tarda en hacer el retiro del bolsón y contadora le gana produciéndose así el golpe/atrapamiento en parte dorsal de la mano izquierda (debido a la reacción que tuvo, el querer sacar la mano, es que se da el atrapamiento)</t>
  </si>
  <si>
    <t>Colocacion de bolsones</t>
  </si>
  <si>
    <t xml:space="preserve">
Contusión de otras partes de la muñeca y la mano.</t>
  </si>
  <si>
    <t>Contador de bolsones</t>
  </si>
  <si>
    <t>ZAMBRANO</t>
  </si>
  <si>
    <t>TACUCHI</t>
  </si>
  <si>
    <t xml:space="preserve">
El colaborador Zambrano Tacuchi Wilmer se encontraba realizando la actividad de abastecimiento se sacos en ducto automático.
Éste se percata que el abastecedor de producto se retiró para ver que sacos estaban saliendo mal cocidos y es ahí donde toma la decisión colocar un saco, presiona la palanca con mano derecha y su mano izquierda queda cerca al sellador, produciéndose un aplastamiento en dedo pulgar.
- Cabe resaltar que al colaborador no le dieron la indicación de realizar esa actividad, por ello no contaba con inducción.</t>
  </si>
  <si>
    <t>Pulgar izquierdo</t>
  </si>
  <si>
    <t>Colocacion de sacos</t>
  </si>
  <si>
    <t xml:space="preserve">
Contusión en dedo.</t>
  </si>
  <si>
    <t>Envasadora de sacos</t>
  </si>
  <si>
    <t>EZEQUIEL</t>
  </si>
  <si>
    <t>Colaborador se encontraba realizando la actividades de apilado, sellado y colocación de bolsas en la sagbil 39, la máquina había parado por merma y al dar nuevamente el arranque el colaborador observa que la lámina se quedó atascada tomando la iniciativa de introducir su mano por debajo de la guarda y acomodarlo estando ésta en funcionamiento, es ahí donde su dedo índice de la mano izquierda es cortado por la mordaza de la máquina, acto seguido su compañero se percata de lo sucedido y apaga el equipo.
- Colaborador se encontraba sin sus guantes de seguridad.
- No se le dio la indicación de realizar trabajos en máquina, ya que no cuenta con inducción.</t>
  </si>
  <si>
    <t>Indice izquierdo</t>
  </si>
  <si>
    <t>Desatoro de lamina</t>
  </si>
  <si>
    <t>Herida de dedo con daño en la uña</t>
  </si>
  <si>
    <t>Envasadora de detergente</t>
  </si>
  <si>
    <t>Comedor Galletera</t>
  </si>
  <si>
    <t>PROLABORA</t>
  </si>
  <si>
    <t>ILLESCAS</t>
  </si>
  <si>
    <t>TARRAGA</t>
  </si>
  <si>
    <t>SUSANA</t>
  </si>
  <si>
    <t>Al promediar las 9:10 pm la trabajadora Susana Illescas, operaria de la Línea 4, se encontraba en el comedor correspondiente al área de Galletera. Al terminar de 
cenar guarda su táper en la conservadora del comedor, se dispone a regresar a planta y es cuando camina hacia la puerta de salida, pasa cerca a los microondas 
y que observa la señalética de Pisos Resbalosos, pero decide caminar al costado del mismo. 
A consecuencia de ello se resbala y cae al piso, todo el peso de su cuerpo cae en su codo derecho, personal que se encontraba en el mismo lugar la ayudan a 
levantarse. La trabajadora se dirige a informar al supervisor de turno, el supervisor enterado de lo ocurrido va a darle el alcance y la dirige al tópico para ser 
evaluada. Al llegar al tópico, el personal de salud del cliente limpia el raspón que se ocasionó, coloca crema en el codo y por último le brinda una pastilla para el 
dolor. La trabajadora regresa a planta a continuar con sus labores</t>
  </si>
  <si>
    <t>Brazo derecho</t>
  </si>
  <si>
    <t>Transito peatonal</t>
  </si>
  <si>
    <t>Contusión Leve</t>
  </si>
  <si>
    <t>Piso Humedo</t>
  </si>
  <si>
    <t>ICH24163</t>
  </si>
  <si>
    <t>Comedor Intralab 2</t>
  </si>
  <si>
    <t>RYO</t>
  </si>
  <si>
    <t>SANCHEZ</t>
  </si>
  <si>
    <t>ANDAMAYO</t>
  </si>
  <si>
    <t>LIVIA</t>
  </si>
  <si>
    <t>COCINERA</t>
  </si>
  <si>
    <t xml:space="preserve">Siendo las 20:30 horas aproximadamente, la colaboradora de la empresa encargada de comedores R&amp;O, Sra Livia Sanchez, se encontraba sellando un trozo de cerdo congelado, en un perol con aceite caliente, en este instante, el agua que tiene el cerdo congelado reacciona con el aceite, salpicando sobre la muñeca y el rostro de la trabajadora. De inmediato la colaboradora se dirige al lavadero y se aplica agua fría sobre la zona afectada.
Al ser comunicado al inspector de SST en turno, este se acerca y atiende al accidentado, haciendo limpieza de la zona afectada y aplicando sulfadiazina de plata.
</t>
  </si>
  <si>
    <t>Cara y brazo</t>
  </si>
  <si>
    <t>Preparación de alimentos</t>
  </si>
  <si>
    <t>Quemadura de segundo grado en rostro y manos</t>
  </si>
  <si>
    <t>Linea 1</t>
  </si>
  <si>
    <t>CRISPIN</t>
  </si>
  <si>
    <t>DINA NOEMI</t>
  </si>
  <si>
    <t xml:space="preserve">Siendo las 08:30:00  am, la operario de producción se encontraba realizando labores de traslado de paquetes primarios de las envasadoras primarias a la faja de alimentación de la pack C6, durante la actividad, no se percató que la guía metálica la cual sirve como pendiente de los paquetes, tenía una zona con bordes desgastados (puntiagudo); por la cual durante la actividad se produjo una punzada con dicha estructura provocándole una herida en el costado del dedo anular 
El operador comenta a promotora de seguridad y al encargado, y es derivado hacia tópico donde realizan limpieza de la zona afectada, colocan crema y proceden a colocar una tira adhesiva (curita) como protector. Post evaluación, se menciona que no requiere traslado y el colaborador regresa a continuar con sus actividades en planta. 
</t>
  </si>
  <si>
    <t>Dedo Anula Mano izquierda</t>
  </si>
  <si>
    <t>Alimentando pack de galletas</t>
  </si>
  <si>
    <t>Superficie filosa</t>
  </si>
  <si>
    <t>Ofic. Miraflores Piso 9</t>
  </si>
  <si>
    <t>DE LAS CASAS</t>
  </si>
  <si>
    <t>UMBERT</t>
  </si>
  <si>
    <t>MARIA FERNANDA</t>
  </si>
  <si>
    <t xml:space="preserve">Gerente de Visibility &amp; FDE </t>
  </si>
  <si>
    <t xml:space="preserve">Luego de una reunión comercial que sucedió en el piso 9, Maria Fernanda procedió a retirarse por las escaleras para llegar al piso 6. Mientras bajaba las escaleras (las que están en el descanso entre piso 8 y 9) conversaba con un grupo de personas y no se percato que faltaba una escalera para terminar de bajar. Al momento que piso el pie derecho se le doblo generando la lesión. En ese momento se notificó a enfermería quienes auxiliaron a Maria Fernanda y fue trasladada a clínica para recibir atención médica. El evento continuará su proceso regular de investigación. </t>
  </si>
  <si>
    <t>Pie derecho</t>
  </si>
  <si>
    <t>Bajaba escalera</t>
  </si>
  <si>
    <t>Esguince</t>
  </si>
  <si>
    <t>Realizando trabajo remoto</t>
  </si>
  <si>
    <t>DIS24477</t>
  </si>
  <si>
    <t>EEII Copsa</t>
  </si>
  <si>
    <t>Almacen EEII</t>
  </si>
  <si>
    <t>Proveedor</t>
  </si>
  <si>
    <t>Trupal</t>
  </si>
  <si>
    <t>AGUILAR</t>
  </si>
  <si>
    <t>SIFUENTES</t>
  </si>
  <si>
    <t>JOSÉ DAVID</t>
  </si>
  <si>
    <t>ESTIBA</t>
  </si>
  <si>
    <t xml:space="preserve">Durante la descarga de la unidad AVD-785 de la empresa TRUPAL, el Sr. Aguilar inicia el proceso de descarga de insumos a las 07:50 pm desde el interior de la unidad. Para este fin, usa una ruma de pallets apilados como soporte de la descarga de cajas.  Luego de unos minutos, su compañero de descarga retira la ruma de pallets, el Sr. Aguilar pisa vacío y cae desde la plataforma del furgón de espaldas. Se notificó el accidente, brindó primeros auxilios y trasladó a la Clínica San Gabriel para recibir atención médica.
</t>
  </si>
  <si>
    <t>Espalda inferior</t>
  </si>
  <si>
    <t>Columna</t>
  </si>
  <si>
    <t>Descarga de cajas</t>
  </si>
  <si>
    <t>Fractura de la vertebra L2</t>
  </si>
  <si>
    <t>Descanso médico</t>
  </si>
  <si>
    <t>Ruma de pallets</t>
  </si>
  <si>
    <t>CENTROS DE DISTRIBUCIÓN</t>
  </si>
  <si>
    <t>BM Group</t>
  </si>
  <si>
    <t>KUNO</t>
  </si>
  <si>
    <t>LAURA</t>
  </si>
  <si>
    <t>YOSMAR</t>
  </si>
  <si>
    <t>Ayudante general Piking</t>
  </si>
  <si>
    <t>En fecha miércoles 26 de junio a horas 08:50 am durante el descarguío de producto terminado(camión), el estibador tercero de la empresa BM Group, intenta aperturar la penúltima compuerta del camión entre dos personas, quitando los seguros de esta sin percatarse de la presión contenida por el movimiento de la carga durante el transporte, inmediatamente la compuerta se abre cayéndose consigo 35 cajas de margarina(350 kg), el personal no logra contener el peso adicional de la compuerta más el producto, por lo cual, uno de los estibadores se hace a un lado y el afectado recibe un golpe con la compuerta e impacta la rodilla con el suelo donde sufre un corte en la misma, es derivado a su centro de salud donde le realizan 3 puntos en la rodilla, recomendando 2 dias de baja al trabajador.</t>
  </si>
  <si>
    <t>Rodilla izquierda</t>
  </si>
  <si>
    <t>APERTURA DE COMPUERTA LATERAL DE CAMIÓN PARA DESCARGA DE PRODUCTO</t>
  </si>
  <si>
    <t>Contusión de otras partes y las no especificadas de la pierna</t>
  </si>
  <si>
    <t>COMPUERTA METÁLICA DE CAMIÓN</t>
  </si>
  <si>
    <t>ICH24167</t>
  </si>
  <si>
    <t>Pasta dental</t>
  </si>
  <si>
    <t>RAYA</t>
  </si>
  <si>
    <t>TACURI</t>
  </si>
  <si>
    <t>DAVID HUMBERTO</t>
  </si>
  <si>
    <t>MAQUINISTA</t>
  </si>
  <si>
    <t>Aproximadamente a las 22:10, durante la operación de envasado de pasta dental en línea 7, el trabajador se encontraba acomodando los cepillos en la encartonadora y se percató que los tubos de pasta dental y los cepillos estaban mal colocados y por evitar un atoro de la línea, intentó moverlos, sufriendo un corte producto del contacto con el empujador.</t>
  </si>
  <si>
    <t>Dedo mano derecha</t>
  </si>
  <si>
    <t>Desatoro de encartonadora</t>
  </si>
  <si>
    <t>Contusión de dedo</t>
  </si>
  <si>
    <t>Encartonadora</t>
  </si>
  <si>
    <t>Contrato indefinido</t>
  </si>
  <si>
    <t>LURIN</t>
  </si>
  <si>
    <t>TOCTO</t>
  </si>
  <si>
    <t>ARCOS</t>
  </si>
  <si>
    <t>EDISON RENZO</t>
  </si>
  <si>
    <t>Aproximadamente 10:40 am del presente el trabajador Edinson Renzo Tocto Arcos de 32 años de edad perteneciente al área de Lejía, se encontraba realizando su actividades rutinarias (apilado de cajas con producto terminado). En su palet número 13, al momento de colocar la cajas en la primera cama del palets, siente un dolor a modo estirón en la parte de la zona lumbar cerca a la columna. Debido a esto se retira de la zona y se va sentar para intentar calmar el dolor pero al seguir evidenciando la misma intensidad decida acudir a tópico pero al levantarse se complica.
Se le da aviso a la supervisora del área y lo asisten para llegar a tópico.</t>
  </si>
  <si>
    <t>ILU24176</t>
  </si>
  <si>
    <t>Limpiatodo</t>
  </si>
  <si>
    <t>Lancha</t>
  </si>
  <si>
    <t>Pizango</t>
  </si>
  <si>
    <t xml:space="preserve">Jorge Luis </t>
  </si>
  <si>
    <t xml:space="preserve">El colaborador Jorge Lancha se encontraba realizando la actividad de abastecimiento manual de frascos en la línea Mengibar 2 de Limpiatodo. Esta actividad consiste en trasladar manualmente bandejas de frascos vacíos desde la paleta hasta el abastecedor automático de frascos, empleando una escalera de dos pasos. Al apoyar el pie derecho en la superficie superior, esta se rompe, por lo que el colaborador pierde la estabilidad y cae al suelo. </t>
  </si>
  <si>
    <t>Abastecimiento de frascos a línea</t>
  </si>
  <si>
    <t>Escalera subestándar</t>
  </si>
  <si>
    <t>Contrato temporal</t>
  </si>
  <si>
    <t>ILU24261</t>
  </si>
  <si>
    <t>Áreas comunes</t>
  </si>
  <si>
    <t>NICOLE MISSI</t>
  </si>
  <si>
    <t>Aproximadamente a las 1:40 de la mañana la colaboradora Nicole García Sandoval, de 22 años pasaba por el sendero peatonal por la zona de tópico a la altura del ingreso y salida de materiales de limpia todo, mientras se dirigía al área de soplado había un transpalet # 1249 conducido por el operador Miguel angel Arteaga Muñoz, que pertenecía al área de AMP #5 dejando materiales y al momento de que se detuvo la colaboradora continúo pasando, luego cuando se da cuenta que el operador retrocede sin mirar hacia atrás ni tocar clauso, para que no la impacte puso la mano derecha como medida de protección la cual recibo un golpe, al momento que sucedió el evento no le aviso al operador quien continúo con sus labores.</t>
  </si>
  <si>
    <t>Desplazamiento peatonal</t>
  </si>
  <si>
    <t>ZONA DE LAVADO</t>
  </si>
  <si>
    <t>ALICORP</t>
  </si>
  <si>
    <t>ANDRADE</t>
  </si>
  <si>
    <t>GENEBROSO</t>
  </si>
  <si>
    <t>MADELEYNE</t>
  </si>
  <si>
    <t>operario de producción</t>
  </si>
  <si>
    <t>Siendo las 20:45, la operadora se encontraba en la zona de lavado de bandejas junto con otro compañero, realizando labores de limpieza de utensilios. Al recoger residuos  y botarlos al tacho regresa para recoger la mariposa que había lavado, resbala y cae de espalda, cabe resaltar que es un área húmeda con piso mojado. Se le lleva al tópico para atención médica. No requiere traslado a la clínica</t>
  </si>
  <si>
    <t>Espalda</t>
  </si>
  <si>
    <t>Lavado de utensilios</t>
  </si>
  <si>
    <t>Laborando</t>
  </si>
  <si>
    <t>DIS24478</t>
  </si>
  <si>
    <t>CD LAMBAYEQUE</t>
  </si>
  <si>
    <t>Transportista</t>
  </si>
  <si>
    <t>Transporte Romaran</t>
  </si>
  <si>
    <t>MAURICIO</t>
  </si>
  <si>
    <t>MANUEL YONATAN</t>
  </si>
  <si>
    <t>TRANSPORTISTA</t>
  </si>
  <si>
    <t>Desde el 24/06, la puerta # 4 estaba bloqueada con paletas vacías debido a una rampa defectuosa que había sido reportada por el equipo Alicorp hacia Ransa. Como medida provisional se colocaron sogas para el ajuste en la rampa y permitir el cierre de la puerta. Entre el 24/06 y el día del accidente, el bloqueo de paletas fue retirado dando la apariencia de que el canal estaba habilitado. El día del accidente, el conductor de Transportes Romaran se acerca con su vehículo a la puerta # 4 y al comenzar la carga la soga se rompió, se libera la rampa que impactó en el brazo derecho del conductor. El DM se extiende hasta el 19/08.</t>
  </si>
  <si>
    <t>Brazo</t>
  </si>
  <si>
    <t xml:space="preserve">Descarga </t>
  </si>
  <si>
    <t>Rampa</t>
  </si>
  <si>
    <t>PISO 5</t>
  </si>
  <si>
    <t>CARRASCO</t>
  </si>
  <si>
    <t>ARAMBULO</t>
  </si>
  <si>
    <t>KELLY STEPHANIE</t>
  </si>
  <si>
    <t>ANALISTA SR DE EFICIENCIA</t>
  </si>
  <si>
    <t xml:space="preserve">Al finalizar su día laboral, la colaboradora procedió a retirarse del espacio de NRM en el piso 5. Mientras se despedía de sus compañeros, retrocedió para salir y perdió el balance al toparse con un carrito móvil (donde se colocan las mochilas y otros artículos), cayendo de espaldas hacia el lado izquierdo protegiendo su panza, ya que está embarazada. En ese momento sus compañeros notificaron a enfermería, quienes bajaron a auxiliar a Kelly. La colaboradora se retiró con sus propios medios a la clínica para recibir atención médica.
</t>
  </si>
  <si>
    <t>ESPALDA, CADERA</t>
  </si>
  <si>
    <t>Se retiraba de oficina con sus cosas</t>
  </si>
  <si>
    <t>Traumatismos superficiales múltiples– Nivel 1 - Leve</t>
  </si>
  <si>
    <t>Trabajando en remoto</t>
  </si>
  <si>
    <t>Carrito porta mochila</t>
  </si>
  <si>
    <t>PCO24267</t>
  </si>
  <si>
    <t>ACEITES</t>
  </si>
  <si>
    <t>San Miguel Industrias PET S.A.</t>
  </si>
  <si>
    <t>AYUDANTE DE PRODUCCION</t>
  </si>
  <si>
    <t>El colaborador se encontraba en el área de soplado. De repente empezó a sentir olor a pintura fresca que provenía de una actividad de pintado de piso en el área de almacenes. Comenzó a sentir dolor de cabeza y un ligero sangrado por la fosa nasal derecha. Se dirige al tópico, donde se le realiza examen físico con resultados normales y se le administra ketorolaco vía oral. Colaborador se siente bien y no requiere traslado.</t>
  </si>
  <si>
    <t>Operaciones en área de soplado de bidones</t>
  </si>
  <si>
    <t>Epistaxis (hemorragia nasal)</t>
  </si>
  <si>
    <t>Pintura</t>
  </si>
  <si>
    <t>ICH24198</t>
  </si>
  <si>
    <t>ROMERO</t>
  </si>
  <si>
    <t>MACALUPU</t>
  </si>
  <si>
    <t>CRISTIAN</t>
  </si>
  <si>
    <t>El maquinista detectó que el pistón N°6 se encontraba aplastando el frasco, esto a causa del cambio de formato de 550 ml a 225 ml; procedió a realizar la regulación sin detener la máquina. Después de introducir sus manos al interior de la máquina, realizaba el ajuste con la mano derecha, y la izquierda estaba apoyada en una plancha metálica posterior a los llenadores.
El trabajador manifiesta que empezó a regular cuando el juego de pistones estaba adelante y no se percató que su dedo anular izquierdo (afectado) se encontraba en la trayectoria de los llenadores, cuando el juego de pistones retrocede no logra retirar el dedo a tiempo y sufre el aprisionamiento.
Una vez que el juego de pistones se mueve para llenar la fila delantera, puede retirar su mano, en ese momento es donde avisa a sus compañeros y acude con dirección al tópico.</t>
  </si>
  <si>
    <t>Corte en dedo</t>
  </si>
  <si>
    <t>Maquina envasadora</t>
  </si>
  <si>
    <t>TRINIDAD</t>
  </si>
  <si>
    <t>OROSCO</t>
  </si>
  <si>
    <t>LEVI</t>
  </si>
  <si>
    <t>El colaborador Trinidad Orosco Levi se encontraba abasteciendo producto en línea 2, al momento de colocar el coche y jalar la soga para acomodar la lona en ducto de máquina 23 (estaba mal posicionado, con los pies separados y a la misma altura), ésta se rompe ocasionando que su cuerpo se vaya hacia atrás debido a la fuerza que ejerce al desatar soga y se golpee contra  la estructura metálica de otro coche el brazo y omóplato del lado derecho concentrándose el dolor en la zona del codo.</t>
  </si>
  <si>
    <t>Codo derecho</t>
  </si>
  <si>
    <t>Contusion en brazo</t>
  </si>
  <si>
    <t>Coche de detergente</t>
  </si>
  <si>
    <t>MATOS</t>
  </si>
  <si>
    <t>CAMPOS</t>
  </si>
  <si>
    <t>RANDY PAUL</t>
  </si>
  <si>
    <t xml:space="preserve">El colaborador se encontraba reiniciando la  máquina neumopack N°1, al momento de presionar el botón del contador de la plancha, se encontraba agachado cerca de la plancha y fue entonces que la plancha al reiniciarse le golpea la nariz generandole sangrado, mareo e hinchazón en la nariz
- el colaborador menciona que no calculó la distancia y se encontraba agachado para sacar la bolsa, cabe mencionar que así no la manera adecuada de la actividad. </t>
  </si>
  <si>
    <t>Nariz</t>
  </si>
  <si>
    <t>Contusion en nariz</t>
  </si>
  <si>
    <t>CHANCHARI</t>
  </si>
  <si>
    <t xml:space="preserve">HUIÑAPI </t>
  </si>
  <si>
    <t>DILVER</t>
  </si>
  <si>
    <t xml:space="preserve">Colaborador se encontraba regulando el peso debido a la variación, mientras pulsaba el botón regulador alza la mirada hacia la tornamesa y cuando ésta gira se proyecta detergente en su dirección por lo que le ingresa al ojo derecho causando irritación. Contaba con lentes de seguridad.
-Cabe mencionar que la máquina no cuenta con mica protectora 
-Se realizó un primer lavado ocular en el área, sin embargo no hubo mejoría </t>
  </si>
  <si>
    <t>Colaborador Sanchez Gutiérrez Carlos C.A, se encontraba trasladando una paleta junto a su compañero hacia la zona de ducto para traspaso de bolsones. 
Durante la actividad estuvo en retroceso por lo que no se percata de la llenadora del ducto manual y se golpea, al ocurrir ello suelta la paleta e impacta en su pie derecho.
Intensidad de dolor leve</t>
  </si>
  <si>
    <t>Contusion en pie derecho</t>
  </si>
  <si>
    <t>FIERRO</t>
  </si>
  <si>
    <t>ARCE</t>
  </si>
  <si>
    <t>EDWARD</t>
  </si>
  <si>
    <t>Trabajador Fierro Arce Edward había terminado de realizar el abastecimiento de producto en la batidora N°2, al retirar los sacos vacíos de tiza se dirige hacia la mesa de trabajo para poder dejar sus epp's.
En la batidora N°3 se encontraba apoyada la tapa del tanque de almacenamiento que había sido retirada para limpieza ya que la tubería estaba con crema pegada en su interior.
Por ser el lugar más cercano pasa entre el espacio de las batidoras N°3 y 4 quedando enganchado su pantalón en el borde de la tapa mencionada, generando una herida superficial. Cabe mencionar que en ese espacio había colocado conos de seguridad.</t>
  </si>
  <si>
    <t>Pierna izquierda</t>
  </si>
  <si>
    <t>Transito en el area</t>
  </si>
  <si>
    <t>Corte en pierna izquierda</t>
  </si>
  <si>
    <t>Planca metalica</t>
  </si>
  <si>
    <t>ARAUJO</t>
  </si>
  <si>
    <t>CHOTA</t>
  </si>
  <si>
    <t>EDINSON</t>
  </si>
  <si>
    <t>Colaborador Araujo Chota Edinson, se encontraba realizando la actividad de colocación y retiro de bolsones y es golpeado por contadora de metal en la muñeca izquierda, ésta gira automáticamente, siendo su intensidad de dolor un 4/10.</t>
  </si>
  <si>
    <t>Muñeca izquierda</t>
  </si>
  <si>
    <t>Contusion en muñeca izquierda</t>
  </si>
  <si>
    <t>Colaborador Sanchez Gutiérrez Carlos C.A se encontraba realizando la actividad de recuperado de merma por la zona de paletas y al sacudir una bolsita (ésta estaba mal sellada) se proyecta el detergente en dirección del rostro generando que le ingrese al ojo izquierdo.
-Evento sucedió aproximadamente 5:30 pm sin embargo no dió aviso a tiempo.
-Menciona que tenía colocado los lentes antiparras y aún así ingresó.</t>
  </si>
  <si>
    <t>Recuperado de merma</t>
  </si>
  <si>
    <t>CHORRILLOS</t>
  </si>
  <si>
    <t>CANAYO</t>
  </si>
  <si>
    <t>KELLY PATRICIA</t>
  </si>
  <si>
    <t xml:space="preserve">Aproximadamente a las 13:30 P.M, la colaboradora , 
Empezó su trabajo en el Área de MR2, donde se envasaría el producto desatorador de cocina, la colaboradora realizaba la colocación de tapas en los envases al promediar las 15:20 P.M, El operador de la tapadora neumatica y Kelly empujan los envases a la mesa para ser encajados, donde un envase cae en una parte que estaba Humedecida con el producto desatorador y la colaboradora Kelly se inspecciona que no le hubiera salpicado en la ropa ,luego siente que le arde el rostro Kelly jala el respirador de media ccara on los guantes de nitrilo aun puesto, es ahi donde los compañeros le observan y le aconsejan que no se toque ni se rasque, y que fuera a lavarse la parte afectada en el lavaojos, luego de ello se le derivo al tópico donde la Dra. María le brinda los primeros auxilios y le coloca la crema sulfadiazina de plata 1%, Kelly negando dolor alguno y reaccionando de manera favorable, se le indica que puede continuar sus labores en el área ofertado.
</t>
  </si>
  <si>
    <t>Cara</t>
  </si>
  <si>
    <t>Colocación de tapas</t>
  </si>
  <si>
    <t>Producto desatorador</t>
  </si>
  <si>
    <t>BEJARANO</t>
  </si>
  <si>
    <t>Colaborador se encontraba transitando con su compañera por el sendero peatonal camino al comedor en su hora de cena, al momento de doblar para subir a la vereda se abre demasiado al punto de chocar contra la caja de pase ubicada en la pared y se golpea con ella el brazo izquierdo 
Según indica el colaborador tenía la mirada al frente y lo mismo menciona su compañera, quien caminaba detrás de él.</t>
  </si>
  <si>
    <t>Brazo izquierdo</t>
  </si>
  <si>
    <t>Transito por areas comunes</t>
  </si>
  <si>
    <t>Contusion en brazo izquierdo</t>
  </si>
  <si>
    <t>Caja de paso</t>
  </si>
  <si>
    <t>colaborador de ITDC Jesus Rojas quiere bajar el motorreductor que estaba colocado sobre el coche, colaborador mete las manos para sujetar y poder bajarlo, cuando ya lo están bajando el eje interior choque con el piso y lo empuje hacia arriba lo que provoca la subida del engranaje interno y hace que aplaste el dedo medio de la mano derecha.</t>
  </si>
  <si>
    <t>Dedo medio derecho</t>
  </si>
  <si>
    <t>Manipulacion de motoreductor</t>
  </si>
  <si>
    <t>Contusion en dedo medio derecho</t>
  </si>
  <si>
    <t>Motoreductor</t>
  </si>
  <si>
    <t>CD AREQUIPA</t>
  </si>
  <si>
    <t>BARAZORDA</t>
  </si>
  <si>
    <t>ROLANDO</t>
  </si>
  <si>
    <t>Operario de montacargas</t>
  </si>
  <si>
    <t>El colaborador se encontraba realizando una llamada por teléfono fuera de la puerta principal de las oficinas del CD AREQUIPA. No se percató que se había posicionado cerca de una de las macertas de decoración, mientras hablaba por teléfono iba caminando y en un descuido tropezó con la maceta, sufrió un pequeño corte ye determina que al resultar una herida leve no requiere descanso médico.</t>
  </si>
  <si>
    <t>Caminando hablado por teléfono</t>
  </si>
  <si>
    <t>Herida leve</t>
  </si>
  <si>
    <t>Maceta</t>
  </si>
  <si>
    <t>DIS24485</t>
  </si>
  <si>
    <t>Estibador</t>
  </si>
  <si>
    <t>IOLSA</t>
  </si>
  <si>
    <t>APAZA</t>
  </si>
  <si>
    <t>HUAYHUA</t>
  </si>
  <si>
    <t>CARLOS FERNANDO</t>
  </si>
  <si>
    <t>Auxiliar de carga</t>
  </si>
  <si>
    <t xml:space="preserve">Cargando una unidad furgón, el operador de montacargas coloca un pallet de harinas en la parte interna del furgón; el Sr. Apaza Huayhua Carlos Fernando, auxiliar de carga de la empresa IOLSA, toma un saco para llevarlo al hombro sin embargo indica que le gana el peso y decide soltar el saco, pero también se desestabiliza y cae al piso golpeándose parte del hombro y espalda. Personal de alicorp e Iolsa acuden al accidentado, al preguntar por su estado el Sr. Apaza Huayhua Carlos Fernando, indica estar bien, de todas maneras, es conducido a una clínica para ser evaluado y descartar algún daño. Se descarta algún tipo de fractura o lesión grave y no se genera descanso médico. El personal de IOLSA procede a realizar la difusión y refuerzo de seguridad sobre el incidente ocurrido. </t>
  </si>
  <si>
    <t>Espalda superior</t>
  </si>
  <si>
    <t>GINEZ</t>
  </si>
  <si>
    <t>BARRERA</t>
  </si>
  <si>
    <t>Operador de equipo logístico Ginez Barrera Victor C.A realizaba actividades de ubicación de paletas de PT en la zona de pampa-patio de bombonas. Estaba designado solo para ésta actividad.
- Al observar que sus compañeros están colocando toldo a las paletas de PT, por iniciativa propia baja del equipo para así ayudar 
- Sube a las rumas de paletas con PT y se posiciona en el medio de ellas para poder jalar el toldo, en el transcurso retrocede y se enreda con el film generando que caiga en los mismos sacos, sin embargo todo el peso de su cuerpo lo apoyó en su mano derecha.
- Pasado cierto tiempo supervisor de área se acerca a realizarle la consulta al colaborador debido a que notó que hacía gestos de incomodidad, movimiento constante de muñeca. Refiere que dolor era leve durante el término de turno por lo que no dieron aviso , recién la intensidad aumentó hoy por la madrugada</t>
  </si>
  <si>
    <t>Mano derecha</t>
  </si>
  <si>
    <t>Manipulacion de toldo</t>
  </si>
  <si>
    <t>Contusion en mano derecha</t>
  </si>
  <si>
    <t>Toldo</t>
  </si>
  <si>
    <t>VIDAURE</t>
  </si>
  <si>
    <t>El colaborador Garcia Vidaure Jorge CA. se encontraba apilando en la línea 2, debido a que desde plataforma estaban mandando sacos hacia el primer nivel por medio de un ducto, mientras apilaban se llegó a acumular los sacos entre el ducto y la faja, no dio aviso a plataforma para que dejen de mandar sacos para tener tiempo de retirar los sacos acumulados y en ese momento mientras se encontraba liberando los sacos uno de estos le impacta en la mano izquierda generandole dolor, su intensidad de dolor 5/10.
Dato adicional:  el colaborador menciona que la acumulación de sacos se dio por que su compañero es nuevo  y no sabía apilar.
Los sacos que mandaban pesaba 14 kilos aproximadamente.</t>
  </si>
  <si>
    <t>Manipulacion de sacos</t>
  </si>
  <si>
    <t>Contusion en mano izquierda</t>
  </si>
  <si>
    <t>Sacos de detergente</t>
  </si>
  <si>
    <t>Refineria Cochabamba</t>
  </si>
  <si>
    <t>POCA</t>
  </si>
  <si>
    <t>TANGARA</t>
  </si>
  <si>
    <t>FLORENCIO</t>
  </si>
  <si>
    <t>Encajonador recepcionista</t>
  </si>
  <si>
    <t>En fecha viernes 05 de julio a hrs. 06:30 am el Sr. Florencio Poca Tangara, persona que se encontraba reemplazando por vacación al asistente de refinería, mismo que se encontraba transitando por planta baja en el sector del tanque de Borra de la PX 100, donde existía rastros de borra en el suelo. El trabajador se resbala, sufriendo una caída al mismo nivel (sin daño alguno). Posteriormente se llevó al trabajador a la posta médica de planta para su valoración correspondiente.</t>
  </si>
  <si>
    <t>Nalga</t>
  </si>
  <si>
    <t>Transito en vías peatonales</t>
  </si>
  <si>
    <t>Contusión región pelvica (nalga)</t>
  </si>
  <si>
    <t>Derrame de borra</t>
  </si>
  <si>
    <t>Lurin 5_20mil</t>
  </si>
  <si>
    <t>Etiquetado</t>
  </si>
  <si>
    <t>ACOSTA</t>
  </si>
  <si>
    <t>MURAYARI</t>
  </si>
  <si>
    <t>JHON</t>
  </si>
  <si>
    <t xml:space="preserve">Colaborador Acosta Murayari Jhon C.A perteneciente al área de Etiquetado estaba desempeñando labores de apoyo como operario de producción, al culminar actividades se dirige a los vestuarios. Al abrir su casillero mete la mano derecha con gran impulso para agarrar su ropa y en el transcurso su mano impacta con el borde del casillero generando un corte en el dedo medio </t>
  </si>
  <si>
    <t>Apertura de casillero</t>
  </si>
  <si>
    <t>Corte en dedo medio derecho</t>
  </si>
  <si>
    <t>DM</t>
  </si>
  <si>
    <t>Casillero</t>
  </si>
  <si>
    <t>Pasadizo auditorio</t>
  </si>
  <si>
    <t>RYCH</t>
  </si>
  <si>
    <t>Soldador</t>
  </si>
  <si>
    <t>El 02 de agosto a las 14:00 horas aprox. La empresa RYCH se encontraba realizando el desmontaje y desguace de una porción del puente a nivel del piso. En ese instante el trabajador RAFAEL FERMIN ROSALES MENDOZA (Soldador) se encontraba cortando dicha estructura a una altura de 1.85m. Luego de culminada la actividad, se dispone a bajar por la escalera y al apoyarse en la rejilla (grating) esta no se encontraba fija; por lo cual hace que pierda el equilibrio y caiga.</t>
  </si>
  <si>
    <t>Torax parte izquierda</t>
  </si>
  <si>
    <t>corte de estructuras</t>
  </si>
  <si>
    <t>contusión</t>
  </si>
  <si>
    <t>grating suelto</t>
  </si>
  <si>
    <t>Lurin 1_Hipoclorito</t>
  </si>
  <si>
    <t>SURFACE PROTECTION S.A.C</t>
  </si>
  <si>
    <t>PONCE</t>
  </si>
  <si>
    <t>TAPULLIMA</t>
  </si>
  <si>
    <t>LUIS</t>
  </si>
  <si>
    <t>OPERADOR</t>
  </si>
  <si>
    <t>Siendo las 12:44 aproximadamente el trabajador Luis Ponce Tapullima (empresa SURFACE PROTECTION S.A.C), sufrió un accidente menor al tener contacto con residuos de catolito en el interior del dique del tanque de salmuera declorada.
El contacto ocurrió cuando secaba el piso del dique que tenía restos de sustancia química, empleando trapos industriales y haciendo uso de guantes inadecuados.</t>
  </si>
  <si>
    <t>Limpieza de piso contaminado</t>
  </si>
  <si>
    <t>Quemadura química</t>
  </si>
  <si>
    <t>YAYE</t>
  </si>
  <si>
    <t>LIZBETH</t>
  </si>
  <si>
    <t>ALMACENERO 2</t>
  </si>
  <si>
    <t xml:space="preserve">Colaboradora Lizbeth Meza Yaye estaba llevando mercadería al canal y al notar que no había espacio para colocar la mercadería, procede a mover las paletas vacías al pasillo 15 para hacer espacio y así poder seguir trayendo mercadería, y en el momento de dejar las paletas en el pasillo 15, la colaboradora siente un estirón en su dedo producto de la manipulación propia del timón del traspalet. </t>
  </si>
  <si>
    <t>Dedo</t>
  </si>
  <si>
    <t>Tendinitis por contusión</t>
  </si>
  <si>
    <t>Galleteria</t>
  </si>
  <si>
    <t xml:space="preserve">BRIGIDA </t>
  </si>
  <si>
    <t>PARISUAÑA</t>
  </si>
  <si>
    <t>KARINA</t>
  </si>
  <si>
    <t xml:space="preserve">Colaboradora se encontraba en actividades en la máquina apiladora línea 1, relevando a su compañera quien salió de la linea a su refrigerio. Dicha actividad se realiza sobre una plataforma, a su vez se cuenta con una silla sobre ella. Cuando procedia a sentarse, consigo se inclina la silla puesto que las patas de la silla se encontraban al borde de la plataforma, en ese momento la colaboradora cae al suelo. Inmediatamente sus compañeros se acercan para ayudar a levantarse; luego recibe atencion de primeros auxilios por el inspector de turno. </t>
  </si>
  <si>
    <t xml:space="preserve">Brazo </t>
  </si>
  <si>
    <t xml:space="preserve">apilado de galleta </t>
  </si>
  <si>
    <t xml:space="preserve">Contusión leve </t>
  </si>
  <si>
    <t>Plataforma</t>
  </si>
  <si>
    <t>HANCCO</t>
  </si>
  <si>
    <t>JACK ANTONNY</t>
  </si>
  <si>
    <t xml:space="preserve">Colaborador se encontraba ordenando cajas debido al corte de producción, cuando el coordinador de turno le solicita apoyo para trasladar la faja de transporte de la zona de cambios a la zona de granel, entonces proceden con el traslado. Llegado al lugar, colaborador intenta levantar la faja para que el coordinador  ancle los frenos desde una posicion frontal; al no lograrlo se coloca al lado lateral, momento en el cual al levantar la faja ésa se desestabiliza y se inclina, en el intento de evitar la caida el colaborador siente el roce del metal, lugar donde estuvo sujetando la faja, inmediatamente da aviso al cooridnador de turno del corte que surfrió, entonces  lo traslada al área de seguridad industrial, posteriormente se le traslada al tópico, siendo atendido por la parte médica quien realiza la limpieza y curación. No requiere traslado a la clinica. </t>
  </si>
  <si>
    <t>Dedos indice y medio de la mano izquierda</t>
  </si>
  <si>
    <t>Traslado de faja</t>
  </si>
  <si>
    <t>Corte superficial</t>
  </si>
  <si>
    <t>Almacén de producto terminado</t>
  </si>
  <si>
    <t>CASTELLON</t>
  </si>
  <si>
    <t>CONTRERAS</t>
  </si>
  <si>
    <t>ARIEL</t>
  </si>
  <si>
    <t>En fecha 29 de julio a hrs. 07:45 am aprox. el operador de montacargas informa que se disponía a limpiar su Montacarga, buscando un trapo dentro un basurero próximo a su posición introduciendo la mano derecha (sin guantes), momento en el que sufre un corte en el dedo meñique por herramienta corto punzante que se encontraba en el interior, tras lo que comunica a un compañero de trabajo y posteriormente es evacuado en camioneta de la brigada al hospital de salud mas cercano.</t>
  </si>
  <si>
    <t>Mano</t>
  </si>
  <si>
    <t>Busqueda de materiales</t>
  </si>
  <si>
    <t>Corte dedo meñique mano derecha</t>
  </si>
  <si>
    <t>Herramienta corto punzante</t>
  </si>
  <si>
    <t xml:space="preserve"> MATUTE</t>
  </si>
  <si>
    <t xml:space="preserve">MAIZA ROSARIO </t>
  </si>
  <si>
    <t>OPERARIO LINEA LAVAVAJILLA</t>
  </si>
  <si>
    <t>Mientras se transportaba a un grupo de trabajadores a la salida del turno de amanecida, desde la sede Lurín hacia el Norte, a la altura del paradero 08 (Av. Gálvez y Av. Lima) Zarumilla, la unidad de la empresa de Transportes Gabisho (movilidad del personal) impacta contra la parte derecha de la unidad de transporte publico de placa de AMS-896, la cual realizó un giro intempestivo en la intersección de la avenida mientras el semáforo se encontraba en rojo. Producto del evento se registraron daños personales a 3 trabajadores, los cuales fueron evacuados para recibir atención médica.</t>
  </si>
  <si>
    <t>Uso de movilidad</t>
  </si>
  <si>
    <t>Contusion de rodilla</t>
  </si>
  <si>
    <t>Vehiculo</t>
  </si>
  <si>
    <t xml:space="preserve"> COYLLO</t>
  </si>
  <si>
    <t>EVA LUZMILA</t>
  </si>
  <si>
    <t>OPERARIO DE PRODUCCION</t>
  </si>
  <si>
    <t>Torax</t>
  </si>
  <si>
    <t>Traumatismo de torax</t>
  </si>
  <si>
    <t>COAGUILA</t>
  </si>
  <si>
    <t>LOYOLA LOURDES</t>
  </si>
  <si>
    <t xml:space="preserve">Colaboradora se encontraba realizando la limpieza de un puerta  de cristal con marco de metal de las oficinas de la planta de galleteria ubicada en el segundo piso de la planta, realizaba la limpieza con un trapo y tenia puesto guantes quirurgico; momento en que pasa la mano por una parte de vidrio roto sin percatarse de la condición sufre una corte superficial. Posteriormente es trasladada al tópico para recibir atención. </t>
  </si>
  <si>
    <t xml:space="preserve">Limpieza </t>
  </si>
  <si>
    <t>Vidrio roto</t>
  </si>
  <si>
    <t>Linea Panetones</t>
  </si>
  <si>
    <t>CHUCARI</t>
  </si>
  <si>
    <t>GERARDO JOSE</t>
  </si>
  <si>
    <t xml:space="preserve">En circunstancias en que el Sr. Bravo Chucari Gerardo se encontraba cortando los zunchos de paquetes de los bloques de cajas de cartón para habilitar el armado de los mismo, hace una mala maniobra y sufre un corte superficial en el pulpejo del dedo medio de la mano derecha generando un pequeño sangrado, al instante es abordado por el supervisor de producción brindándole los primeros auxilios. Cabe precisar que el trabajador no utilizo sus guantes de protección asignado al puesto. </t>
  </si>
  <si>
    <t>Dedo medio de la mano derecha</t>
  </si>
  <si>
    <t>Corte de zunchos del paquete de cajas de carton</t>
  </si>
  <si>
    <t>Herida cortante</t>
  </si>
  <si>
    <t>Cuchilla retractil estandar</t>
  </si>
  <si>
    <t>VASQUEZ</t>
  </si>
  <si>
    <t>DE JESUS</t>
  </si>
  <si>
    <t>DEYVIS</t>
  </si>
  <si>
    <t>En circunstancias en que el Sr. Vasquez de Jesus Deivys se desplazaba a otra área en la zona de amasado de Panetones, sufrió un golpe en la ceja izquierda al impactar accidentalmente con la máquina amasadora inoperativa PEERLES 1. Este incidente provocó una pequeña lesión con sangrado activo. Inmediatamente fue asistido por el Supervisor de turno, quien le brindó los primeros auxilios y lo trasladó al tópico. Inmediatamente se llamo al servicio de ambulancia HelpMed para su evaluacion y curación respectiva</t>
  </si>
  <si>
    <t>Ceja izquierda</t>
  </si>
  <si>
    <t>Superficie de maquina</t>
  </si>
  <si>
    <t>Alicorp</t>
  </si>
  <si>
    <t>MARCELO</t>
  </si>
  <si>
    <t>JAIRO</t>
  </si>
  <si>
    <t xml:space="preserve">Al presentarse falla en la maquina cosedora de línea 2 de embolsado, se solicita el soporte del mecánico de turno para su revisión de la maquina cocedora al revisar el mecánico indica cambiar la maquina cocedora, luego se dirige al taller de mantenimiento para traer otra cosedora para su cambio de la cosedora que se encontraba en falla, para desmontar la cocedora de la línea, solicita apoyo a los operadores de línea, con el apoyo del operador de planta Jairo Marcelo levantan la cocedora y al realizar el traslado hacia la mesa, el operador de planta se golpea la mano con el filo de la mesa y el peso de la cosedora.
Inmediatamente fue asistido por el Ing. de turno, quien llamo al servicio de ambulancia Alerta Medica para su evaluación y atención respectiva. </t>
  </si>
  <si>
    <t>Desmontaje cosedora</t>
  </si>
  <si>
    <t>Cosedora</t>
  </si>
  <si>
    <t>MINAYA</t>
  </si>
  <si>
    <t>VICTOR RAUL</t>
  </si>
  <si>
    <t>Operador Volante</t>
  </si>
  <si>
    <t>Siendo las 21:35, el operador se encontraba alimentando la envasadora secundaria C7 de la línea 1, de repente; se produce un atasco de paquetes en la plancha de recepción hacia la pack en mención, el operador por tratar de sacar dicho paquete, hace contacto con la plancha filosa y se corta  el pulgar derecho</t>
  </si>
  <si>
    <t>Acomodo de Galletas</t>
  </si>
  <si>
    <t>Superficie Filosa</t>
  </si>
  <si>
    <t>Lurin 6</t>
  </si>
  <si>
    <t>Planeamiento/Almacenes</t>
  </si>
  <si>
    <t>Almacen</t>
  </si>
  <si>
    <t xml:space="preserve"> LIVIA</t>
  </si>
  <si>
    <t>CESAR IVAN</t>
  </si>
  <si>
    <t>BALANCERO</t>
  </si>
  <si>
    <t>Pierna derecha</t>
  </si>
  <si>
    <t>Contusion en pierna derecha</t>
  </si>
  <si>
    <t>Gallete</t>
  </si>
  <si>
    <t>JARA</t>
  </si>
  <si>
    <t>ELVIS FELIX</t>
  </si>
  <si>
    <t>MAQUINISTA ENVASADORA</t>
  </si>
  <si>
    <t>Colaborador menciona que se encontraba realizando actividad de cortado de galletas, actividad que realizaba sentado en una silla, indica que mientras ejecutaba la actividad la silla se inclina hacia la izquierda y cae al piso golpeadose la cadera, inmediatamente se pone de pie y evidencia que la silla tenia las patas dañadas. Posterioremnte es trasladado al tópico para ser atendido</t>
  </si>
  <si>
    <t>Cadera</t>
  </si>
  <si>
    <t>Cortado de galletas</t>
  </si>
  <si>
    <t>PCO24300</t>
  </si>
  <si>
    <t>MANTENIMIENTO</t>
  </si>
  <si>
    <t>HERRERA</t>
  </si>
  <si>
    <t>FABIAN</t>
  </si>
  <si>
    <t>ROGGER JHON</t>
  </si>
  <si>
    <t>ELECTRICISTA</t>
  </si>
  <si>
    <t>El colaborador se encontraba abriendo la puerta metálica enrollable de la sala de generación para iniciar la operación de los grupos electrógenos en hora punta. Para abrir la puerta, realiza un primer movimiento para levantarla del piso a la altura del pecho y cambia de agarre para empujar la puerta hacia arriba. En dicho cambio de agarre siente un tirón y dolor en el hombro derecho, sin terminar la apertura.</t>
  </si>
  <si>
    <t>Hombro</t>
  </si>
  <si>
    <t>Apertura de puerta metálica enrollable</t>
  </si>
  <si>
    <t>Tendinosis del músculo supraespinoso en hombro derecho</t>
  </si>
  <si>
    <t>Puerta metálica enrollable</t>
  </si>
  <si>
    <t>DIS24484</t>
  </si>
  <si>
    <t>EEII Galletera</t>
  </si>
  <si>
    <t>FLAMIL</t>
  </si>
  <si>
    <t>VELIZ</t>
  </si>
  <si>
    <t>VELASQUEZ</t>
  </si>
  <si>
    <t>YARAHI</t>
  </si>
  <si>
    <t>PDR</t>
  </si>
  <si>
    <t>Durante las labores de supervisión de las actividades del equipo de trabajo en la limpieza de pallets, la PDR sufre un accidente al apoyar la mano sobre una paleta, una pequeña astilla se incrustó en el dedo índice. En ese momento, se estaban utilizando guantes industriales de hilo con palma de látex, multipropósito, con el objetivo de recoger unos cartones del suelo. Tras varios intentos fallidos de retirar la astilla por cuenta propia, acudió al tópico de Alicorp para proceder con la extracción de la misma.</t>
  </si>
  <si>
    <t>Dedo índice derecho</t>
  </si>
  <si>
    <t>Supervisión</t>
  </si>
  <si>
    <t>Cuerpo extraño en tejido blando</t>
  </si>
  <si>
    <t>No</t>
  </si>
  <si>
    <t>Miraflores</t>
  </si>
  <si>
    <t>Piso 9</t>
  </si>
  <si>
    <t>DecoClean Express</t>
  </si>
  <si>
    <t>Martinez</t>
  </si>
  <si>
    <t>Ñaupari</t>
  </si>
  <si>
    <t>Xiomara</t>
  </si>
  <si>
    <t>femenino</t>
  </si>
  <si>
    <t>Operario de limpieza</t>
  </si>
  <si>
    <t>COLABORADORA REFIERE QUE LAVANDO LOS UTENSILIOS DE COCINA, ACCIDENTALMENTE SE ROMPIO UN VASO, ORIGINANDO UNA PEQUEÑA HERIDA EN EL DEDO DE LA MANO IZQUIERDA. SE REALIZO LA CURACION RESPECTIVA.</t>
  </si>
  <si>
    <t>dedo de mano izquierda</t>
  </si>
  <si>
    <t>Lavado de vaso</t>
  </si>
  <si>
    <t>herida de dedo de mano izquierda</t>
  </si>
  <si>
    <t>vaso</t>
  </si>
  <si>
    <t>determinado</t>
  </si>
  <si>
    <t>Comedor Copsa</t>
  </si>
  <si>
    <t>Comedor</t>
  </si>
  <si>
    <t>Charlotte SA</t>
  </si>
  <si>
    <t>Reynoso</t>
  </si>
  <si>
    <t>Ipanaque</t>
  </si>
  <si>
    <t>Valentin Bryan</t>
  </si>
  <si>
    <t>masculino</t>
  </si>
  <si>
    <t>Ayudante de cocina</t>
  </si>
  <si>
    <t>El accidente sucedió aproximadamente las 14:30 p.m. momento en el que Valentin Bryan Reynoso Ypanaque, colaborador del concesionario se encontraba cortando verduras, y es cuando sufre el corte en el dedo medio de la mano derecha, ocasionándole un sangrado de regular cantidad, por ello es trasladado al tópico en donde le realizan la curación de la herida, luego en compañía de la supervisora de calidad de su empleador, es trasladado a la Clínica San Gabriel</t>
  </si>
  <si>
    <t>dedo medio de mano derecha</t>
  </si>
  <si>
    <t>Corte de verduras</t>
  </si>
  <si>
    <t>corte</t>
  </si>
  <si>
    <t>Reasignado temporalmente a otras actividades</t>
  </si>
  <si>
    <t>cuchillo de cocina</t>
  </si>
  <si>
    <t>Delgadillo</t>
  </si>
  <si>
    <t>Chau</t>
  </si>
  <si>
    <t>Yury</t>
  </si>
  <si>
    <t>Femenino</t>
  </si>
  <si>
    <t>COORDINADOR DE DESARROLLO CONSULTIVO DE CLIENTE</t>
  </si>
  <si>
    <t>REFIERE QUE SE ENCONTRABA PREPARANDO UNA INFUSION Y AL INTENTAR TOMAR LA HERVIDORA PARA LLENAR LA TAZA DE AGUA SALPICO EN EL DEDO PULGAR DE LA MANO IZQUIERDA, EL AGUA HIRVIENDO OCASIONANDO UNA QUEMADURA DE PRIMER GRADO; QUE SE PUDO CONTROLAR CON AGUA A CHORRO Y CURACION. SE INDICO REEVALUACION DENTRO DE UNA HORA, LA EVOLUCION FUE FAVORABLE. SE DIO INDICACIONES Y REGRESO A SUS LABORES.</t>
  </si>
  <si>
    <t>Dedo pulgar y muñeca de Mano izquierda</t>
  </si>
  <si>
    <t>uso de kitchenette</t>
  </si>
  <si>
    <t>hervidor</t>
  </si>
  <si>
    <t>Envasadora C3</t>
  </si>
  <si>
    <t>LOSTAUNAU</t>
  </si>
  <si>
    <t>ARANA</t>
  </si>
  <si>
    <t>FREDY</t>
  </si>
  <si>
    <t>Operador de máquina envasadora</t>
  </si>
  <si>
    <t>El colaborador estuvo regulando la plancha de ordena los paquetes a la salida de la envasadora C3, en ese momento el extremo de la llave queda atrapada con una de las tablillas, el operador al percibir el atrapamiento jala la llave y su dedo meñique sufre una contusión con una de las tablillas.</t>
  </si>
  <si>
    <t>Dedo meñique mano derecha</t>
  </si>
  <si>
    <t>Regulando plancha</t>
  </si>
  <si>
    <t>Tablillas</t>
  </si>
  <si>
    <t>Crisostomo</t>
  </si>
  <si>
    <t>Barrios</t>
  </si>
  <si>
    <t>Adian</t>
  </si>
  <si>
    <t>GERENTE SR DE CATEGORIA</t>
  </si>
  <si>
    <t>REFIERE QUE ESTABA CAMINANDO CON EL CELULAR EN LA MANO ATENDIENDO LOS MENSAJES, NO SE PERCATÓ DE LA ESTRUCTURA METALICA DE LA ESCALERA Y SE GOLPEO LA CABEZA. SE APLICO HIELO EN LA ZONA AFECTADA Y SE DIO TRATAMIENTO ANALGESICO VIA ORAL. SE DIO LA RECOMENDACION DE PERSISTIR CEFALEA O PRESENTAR ALGUNA SINTOMATOLOGIA ADICIONAL ACUDIR A SU ESTABLECIMIENTO DE SALUD. SE REALIZA SEGUIMIENTO DESPUES DE UNA HORA, REFIERE QUE SE ENCUENTRA EN UNA REUNION. LUEGO DE ELLO ACUDE A LA CLINICA SANNA DE SAN BORJA. INDICA QUE LE DIERON UNA ORDEN PARA PLACA DE RX Y SE ENCUENTRA CON TRATAMIENTO INTRAMUSCULAR.</t>
  </si>
  <si>
    <t>cabeza</t>
  </si>
  <si>
    <t>Desplazamineto por oficina</t>
  </si>
  <si>
    <t>Traumatismo superficial de la cabeza</t>
  </si>
  <si>
    <t>Fideería Lima</t>
  </si>
  <si>
    <t>Fideeria Lima</t>
  </si>
  <si>
    <t>Envasadora R - L28</t>
  </si>
  <si>
    <t>JHONATAN</t>
  </si>
  <si>
    <t>Operador de Envasado</t>
  </si>
  <si>
    <t>El accidente sucedió aproximadamente a las 06:10 a.m. momento en el que Jhonatan Quispe Alva, operador de envasado de la línea 28 de pasta larga se encontraba realizando la actividad de cambio de bobina, y es cuando al momento de colocar la bobina (20 Kg aprox) en el eje, no calcula bien y se le resbala la bobina, golpeándole la palma de la mano y muñeca contra la mesa. El colaborador es trasladado al tópico donde le revisan la mano y deciden trasladarlo a la Clínica San Gabriel en compañía del coordinador. Posteriormente le otorgan descanso médico hasta el 27/08/24</t>
  </si>
  <si>
    <t>Mano muñeca izquierda</t>
  </si>
  <si>
    <t>Cambio de bobinas</t>
  </si>
  <si>
    <t>YUMBATO</t>
  </si>
  <si>
    <t xml:space="preserve">ALEXIS EGLINTON </t>
  </si>
  <si>
    <t xml:space="preserve">El colaborador Yumbato Pacaya Alexis se encontraba apilando en la línea 1, al momento de agarrar la bolsa solo la alza con una mano (derecha) debido a ello esta se le resbala y como consecuencia se impacta su muñeca derecha contra la guarda de la faja. </t>
  </si>
  <si>
    <t>Guarda</t>
  </si>
  <si>
    <t>AHUAMAN</t>
  </si>
  <si>
    <t>PABLO GABRIEL</t>
  </si>
  <si>
    <t>El colaborador Nuñez Ahuanari se encontraba haciendo limpieza en la parte interna de la batidora número 2 con la espátula, pero la introduce demás lo que provoca que choque contra el hélice edicodial y éste rebote hacia arriba haciendo que la mano con la que manipula la parte superior de la herramienta choque contra la guarda del motor y sufra un  aplastamiento en dedo pulgar de la mano izquierda.
- La limpieza se realiza sólo en la parte superior de la olla, no es necesario introducir demasiado la espátula.
- Esta actividad la realizan con la máquina encendida.
Como dato adicional:
- Se recomienda implementar el uso de guantes antiimpacto para realizar ésta actividad y prevenir se vuelvan a dar futuros accidentes, ya que colaboradores mencionan que en ocasiones sucede que espátula choca contra hélice y se produce un rebote hacia arriba.</t>
  </si>
  <si>
    <t>Contusion en pulgar izquierdo</t>
  </si>
  <si>
    <t>Tapa de batidora</t>
  </si>
  <si>
    <t>ORUE</t>
  </si>
  <si>
    <t xml:space="preserve">JHONATHAN HANS </t>
  </si>
  <si>
    <t>Colaborador Torres Orue Jhonatan estuvo bajando por las escaleras para poder retirarse ya que era término de turno. Al haber tránsito de compañeros no pisa bien uno de los peldaños generando caída hacia atrás y se golpea su brazo derecho con el filo del antideslizante.
- Se realiza la consulta al colaborador y manifiesta que no hizo uso del pasamanos ya que "se le olvidó"
- Luminarias de escaleras no están en funcionamiento lo que dificulta la visibilidad</t>
  </si>
  <si>
    <t>Uso de escalera</t>
  </si>
  <si>
    <t>Corte en brazo derecho</t>
  </si>
  <si>
    <t xml:space="preserve">SANCHEZ </t>
  </si>
  <si>
    <t xml:space="preserve">GUTIERREZ </t>
  </si>
  <si>
    <t>CARLOS YASER</t>
  </si>
  <si>
    <t>El colaborador Sánchez Gutiérrez Carlos menciona el día de ayer  21/08/24 a las 3:00 pm se encontraba en la línea 1 apilando, mencióna que su compañero apilaba lento y los bolsones venían rápido fue entonces que se juntaron dos bolsones y al momento de alzar cruza sus brazos y su mano derecha el dedo del medio queda atrapado entre la faja y su soporte de inmediato saca su mano continúo laborando ya que no sentía dolor, no dió aviso y a las 6:30 pm le empezó doler el dedo del medio de su mano derecha  y no dió aviso a nadie, llego a su casa se puso hielo y tomo pastilla paracetamol. 
- hoy se encontraba apilando en la línea 1 y recién da aviso del dolor que siente al momento de alzar el bolsón, su intensidad de dolor es 5/10.</t>
  </si>
  <si>
    <t>Apilado de sacos</t>
  </si>
  <si>
    <t>La colaboradora se encontraba realizando la actividad de recuperado de bolsitas, al ejercer presión para revisión una de éstas se encontraba abierta, es ahí cuando el detergente se  proyecta al rostro siendo afectado su ojo izquierdo.
- Antes de la atención por tópico fue llevada al lavaojos por 15 minutos, a pesar de ello aún tenía la vista roja y sentía ardor.
- Sus lentes de seguridad no los tenía bien colocados, la colaboradora refiere que tenerlos pegados al rostro ocasiona que éstos se le empañen a causa del respirador N95 que tenía colocado.</t>
  </si>
  <si>
    <t xml:space="preserve"> SALAZAR</t>
  </si>
  <si>
    <t xml:space="preserve"> ERLITA MARIBEL</t>
  </si>
  <si>
    <t>La colaboradora se encontraba en la línea 3 encajando, da un paso para pasar la caja por la encintadora pero se resbala dado que los pisadores estaban separados, ocasionando que se resbale y se doble el pie derecho.</t>
  </si>
  <si>
    <t>Encajado</t>
  </si>
  <si>
    <t>Reposapies</t>
  </si>
  <si>
    <t xml:space="preserve"> MONRROY</t>
  </si>
  <si>
    <t xml:space="preserve"> LUIS ALFREDO </t>
  </si>
  <si>
    <t>El colaborador García Monrroy Luis  CA. se encontraba en la actividad de colocación de bolsas, al momento de colocar la bolsa al soporte metálico queda atrapado su mano izquierda con la contadora N°1, el colaborador menciona que sus lentes se encontraban empañados y es por eso que no se dió cuenta cuando giro la contadora N°1.</t>
  </si>
  <si>
    <t>WONG</t>
  </si>
  <si>
    <t xml:space="preserve"> CONDORI</t>
  </si>
  <si>
    <t xml:space="preserve"> YULIANA</t>
  </si>
  <si>
    <t>La colaboradora Wong Condori se encontraba realizando la actividad de recuperado de merma, al sacudir una de las bolsitas el Deterguente sale proyectado hacia el rostro, siendo afectado su ojo derecho.
- Se hizo uso del lavaojos durante 10 minutos, pero malestar de ardor continuó.</t>
  </si>
  <si>
    <t>Planta Cochabamba</t>
  </si>
  <si>
    <t>Manteca</t>
  </si>
  <si>
    <t>Ramos</t>
  </si>
  <si>
    <t>Yapiticona</t>
  </si>
  <si>
    <t>David</t>
  </si>
  <si>
    <t>Recepcionista de manteca</t>
  </si>
  <si>
    <t>En fecha 14 de agosto a hrs. 04:00 am aprox. el trabajador David Ramos Yapiticona (Recepcionista) persona que se encontraba reemplazando al asistente de envasado; detuvieron la línea de envasado de Manteca (Tecmar) por derrame de producto en la cinta transportadora, motivo por el cual procedió a limpiar la cinta con un trapo (huaype), momento en el que sufre un corte en el dedo índice de la mano izquierda por contacto con superficie filosa (Resguardo de la cinta transportadora). Posteriormente es evacuado a la posta médica donde se realiza los primeros auxilios.</t>
  </si>
  <si>
    <t>Limpieza de cinta de transporte</t>
  </si>
  <si>
    <t>Herida cortante superficial, menor a 1 cm en el dedo índice de la mano izquierda</t>
  </si>
  <si>
    <t>Resguardo de cinta transportadora</t>
  </si>
  <si>
    <t>Planta de frío</t>
  </si>
  <si>
    <t>Rivero</t>
  </si>
  <si>
    <t>Torrez</t>
  </si>
  <si>
    <t>Romina</t>
  </si>
  <si>
    <t>Practica de producción</t>
  </si>
  <si>
    <t>En fecha 21 de agosto a hrs 08:15 am aprox. la practicante de producción Romina Rivero Torrez, realizaba la toma de datos para el control de la dosificación de aditivos (wetcool 305) en las torres de Frio Raf en la Planta Frío. Para ello acompaño al responsable de la operación de dosificación Juan Carlos Galvez. Durante el bombeo del aditivo que se realizaba con una bomba de desplazamiento positivo, se rompe la unión patente de pvc, salpicando la sustancia de trabajo al rostro de la practicante quien se encontraba próximo al área de trabajo. Inmediatamente el operador procede a realizarle el lavado en la ducha de emergencia del área.</t>
  </si>
  <si>
    <t>Rostro</t>
  </si>
  <si>
    <t>Registro de toma de datos</t>
  </si>
  <si>
    <t>Conjuntivitis irritativa en los ojos por contacto con sustancia peligrosa</t>
  </si>
  <si>
    <t>Realizando su práctica</t>
  </si>
  <si>
    <t>Sistema de dosificación de aditivos (bomba de succión)</t>
  </si>
  <si>
    <t>Practica universitaria</t>
  </si>
  <si>
    <t>Planta Don Felipe</t>
  </si>
  <si>
    <t>Pelletizado</t>
  </si>
  <si>
    <t>Hervas</t>
  </si>
  <si>
    <t>Veizaga</t>
  </si>
  <si>
    <t>Boris</t>
  </si>
  <si>
    <t>Supervisor de producción</t>
  </si>
  <si>
    <t>Durante la rutina de supervision diaria el funcionario Boris Herbas, se encontraba desplazandose del sector de peletizado hacia el embolsado, en un momento se desestabiliza doblandose su pies izquierdo generandole una leve molestia. Inmediatamente retorna con una pequeña dificultad a las oficinas de ingenieria y comunica sobre el eventos, y se procede trasladarlo a la posta medica para su respectiva valoracion y atencion.</t>
  </si>
  <si>
    <t>Tobillo izquierdo</t>
  </si>
  <si>
    <t>Esguince grado I</t>
  </si>
  <si>
    <t>Piso con desnivel</t>
  </si>
  <si>
    <t>PCO24388</t>
  </si>
  <si>
    <t>PINEDA</t>
  </si>
  <si>
    <t>ARRIOLA</t>
  </si>
  <si>
    <t>PEDRO GUILLERMO</t>
  </si>
  <si>
    <t>JEFE DE PRODUCCION ENVASADO ACEITES</t>
  </si>
  <si>
    <t>El colaborador se encontraba en el área de paletizado automático de envasado de aceites y al caminar no se percató de la estructura metálica de la zona de salida de paletas e impactó a la altura de la pantorrilla, generándose una excoriación superficial</t>
  </si>
  <si>
    <t>Coordinación en planta</t>
  </si>
  <si>
    <t>Contusión leve</t>
  </si>
  <si>
    <t>Estructura metálica de la zona de salida de paletas</t>
  </si>
  <si>
    <t>Zuñiga</t>
  </si>
  <si>
    <t>Fernández</t>
  </si>
  <si>
    <t>Kevin</t>
  </si>
  <si>
    <t xml:space="preserve">almacenero 2	</t>
  </si>
  <si>
    <t>Aproximadamente a las 09:40 a.m., el colaborador se encontraba en el almacen de insumos ( CD2 ), trasladando mercadería a los pasillos, al momento de cargar un bloque de cajas con un peso de 42 kg, junto a un compañero, perdieron el control de la carga, y esta golpeó sobre el tobillo derecho del colaborador, el colaborador es atendido en el topico y posteriormente evacuado a la clinica</t>
  </si>
  <si>
    <t>Tobillo derecho</t>
  </si>
  <si>
    <t>Manipulacion de separadores</t>
  </si>
  <si>
    <t>Separadores</t>
  </si>
  <si>
    <t>BENDEZU</t>
  </si>
  <si>
    <t>RICARDO ALEJANDRO</t>
  </si>
  <si>
    <t>MECÁNICO</t>
  </si>
  <si>
    <t>El colaborador se acercó al tópico de emergencia solicitando atención médica por contacto de sustancia química (Mezcla de barsol con solvente dieléctrico) en el dorso de la mano izquierda.
Refiere que se contaminó al momento de realizar la limpieza en el interior de empacadora Meypack al utilizar un trapo humedo con la sustancia química, cabe indicar que usaba guantes descartable de nitrilo, que al parecer se encontraba con hueco.</t>
  </si>
  <si>
    <t>Limpieza de equipo</t>
  </si>
  <si>
    <t>Mezcla química</t>
  </si>
  <si>
    <t>Chero</t>
  </si>
  <si>
    <t>Adrian</t>
  </si>
  <si>
    <t>Sandoval</t>
  </si>
  <si>
    <r>
      <t>presenta heridad de corte en el rostro lado derecho, producido por el impacto al momento de bajar una caja llena con tapas actuadoras, golpea contra su lente d</t>
    </r>
    <r>
      <rPr>
        <b/>
        <sz val="9"/>
        <rFont val="Aptos Narrow"/>
        <family val="2"/>
        <scheme val="minor"/>
      </rPr>
      <t>e</t>
    </r>
    <r>
      <rPr>
        <sz val="9"/>
        <rFont val="Aptos Narrow"/>
        <family val="2"/>
        <scheme val="minor"/>
      </rPr>
      <t xml:space="preserve"> seguridad, generando presión sobre su rostro y produciendo un corte superficial. </t>
    </r>
  </si>
  <si>
    <t>Movimiento de cajas</t>
  </si>
  <si>
    <t>Herida</t>
  </si>
  <si>
    <t>Lente de seguridad</t>
  </si>
  <si>
    <t>Huapaya</t>
  </si>
  <si>
    <t xml:space="preserve">Ochoa </t>
  </si>
  <si>
    <t>Randy Ronald</t>
  </si>
  <si>
    <t>El colaborador Huapaya Ochoa Randy Ronald se encontraba colocando una paleta con producto terminado sobre la plataforma de la Robopack. En esas circunstancias, fue impactado en su tobillo izquierdo por la parte inferior de una paleta de madera que contenía una ruma de cajas, la cual era transportada en un transpalet eléctrico operado por el colaborador Pedro Conde (CAO).</t>
  </si>
  <si>
    <t>Pie izquierdo</t>
  </si>
  <si>
    <t>Colocación de paleta en Robopack</t>
  </si>
  <si>
    <t>TECCSI</t>
  </si>
  <si>
    <t>RODRIGUEZ</t>
  </si>
  <si>
    <t xml:space="preserve"> RAFAEL FELIPE</t>
  </si>
  <si>
    <t>Aproximadamente a las 2:40 am el colaborador Rafael Teccsi se encontraba en su área de trabajo en la zona de enfardado de detergentes, el colaborador aprecia que la bobina de enfardado de la maquina N° 04 se desplazó unos centímetros a la derecha, por lo que el colaborador opta por colocarla en su lugar de manera manual, esta acción la ejecuta mediante su pierna izquierda, con la cual eleva la bobina y con ayuda de sus manos desplaza el eje hacia la izquierda. Al ejercer esta acción, el colaborador siente un dolor intenso en el tendón de aquiles de la pierna izquierda. El trabajador da aviso de lo ocurrido y es trasladado al tópico para recibir atención.</t>
  </si>
  <si>
    <t>Colocacion de bobina</t>
  </si>
  <si>
    <t>TRAUMATISMO DEL PIE Y TOBILLO IZQUIERDO</t>
  </si>
  <si>
    <t>Portabobinas</t>
  </si>
  <si>
    <t>Oficinas</t>
  </si>
  <si>
    <t>Lazarte</t>
  </si>
  <si>
    <t>Escudero</t>
  </si>
  <si>
    <t>Gabriela</t>
  </si>
  <si>
    <t>EJECUTIVO DE MARCA CONSERVAS</t>
  </si>
  <si>
    <t>Tropiezo en escalera</t>
  </si>
  <si>
    <t>brazo</t>
  </si>
  <si>
    <t>Traumatismo superficial de antebrazo</t>
  </si>
  <si>
    <t>escalera</t>
  </si>
  <si>
    <t>ALI24533</t>
  </si>
  <si>
    <t>Exteriores vestuarios CDC</t>
  </si>
  <si>
    <t>HUAMANI</t>
  </si>
  <si>
    <t>JULIO</t>
  </si>
  <si>
    <t>El señor Julio Huamani Quispe, se encontraba bajando la escalera ubicada en la zona de los vestuarios de terceros de CDC al llegar a los últimos escalones sufre un resbalón ocasionando la caída golpeándose el tobillo. Trató de pararse sin embargo sintió dolor y, caminó hacia el almacén de Alteliza ubicado en CDC; su Supervisor contactó al Tópico posteriormente llega la ambulancia y es derivado a la Clínica San Gabriel.
Diagnóstico: esguince de 3er. Grado y es trasladado a la clínica San Gabriel activándose el SCTR.</t>
  </si>
  <si>
    <t>Bajando escaleras</t>
  </si>
  <si>
    <t>Fractura de tobillo izquierdo</t>
  </si>
  <si>
    <t>PCO24389</t>
  </si>
  <si>
    <t>FAUSTINO</t>
  </si>
  <si>
    <t>ZEVALLOS</t>
  </si>
  <si>
    <t>FRANCISCO JOSE</t>
  </si>
  <si>
    <t>OPERADOR LLENADORA ACEITE</t>
  </si>
  <si>
    <t>El colaborador se encontraba desenrollando el zuncho para el tapado de bines, con una tijera en la mano derecha. En este proceso, su mano derecha impacta contra un grupo de cajas de cartón que se encontraban a su costado y rebota en dirección hacia su rostro, golpeando con la tijera el párpado inferior de su ojo derecho.</t>
  </si>
  <si>
    <t>Ojo derecho</t>
  </si>
  <si>
    <t>Desenrollado de zuncho para el tapado de bines</t>
  </si>
  <si>
    <t>Contusión en ojo derecho</t>
  </si>
  <si>
    <t>Tijera</t>
  </si>
  <si>
    <t>En circunstancias que el señor Carlos Torres, se encontraba apilando una jaba con caramelos envueltos sobre una ruma de 3 jabas de altura (1.40 m), se distrae escuchando una conversación de sus compañeros desviando la mirada hacia otro lado y a la vez posicionando la jaba, sufriendo el aplastamiento de su dedo anular de la mano derecha entre el borde de la base de la jaba superior con la jaba inferior, provocando el traumatismo en referencia. 
Cabe precisar que el Colaborador reporto el hecho despues de 12 horas de haber ocurrido el accidente.</t>
  </si>
  <si>
    <t>Aprisionado entre</t>
  </si>
  <si>
    <t>Dedo anular de la mano derecha</t>
  </si>
  <si>
    <t>Apilamiento de jabas con caramelo duro envuelto</t>
  </si>
  <si>
    <t>Traumatismo de tendon y musculo extensor del dedo anular</t>
  </si>
  <si>
    <t>Manipulación de jabas en forma manual</t>
  </si>
  <si>
    <t xml:space="preserve">ALI24532
</t>
  </si>
  <si>
    <t>Edificio Elaboración</t>
  </si>
  <si>
    <t>EDUARDO</t>
  </si>
  <si>
    <t>El día 16/09 aproximadamente a las 9:30 am el trabajador Eduardo Gonzales Ortiz de la empresa ALTELIZA por indicación de su líder de grupo, se encontraba bajando las escaleras del edificio de Elaboración de Planta Detergentes desde el 3er al 1er nivel, en el trayecto sufre un resbalón, para no caerse hacia adelante se sostiene del pasamanos, siente un estirón y hormigueo en la pierna derecha y espalda.
El trabajador da aviso de lo ocurrido a su líder de grupo, quien le indica reposo para luego ser trasladado al tópico para recibir atención, quien luego de la evaluación del médico se decide trasladarlo a la clínica San Gabriel.
En la clínica le brindan el diagnóstico de esguince y torcedura de columna lumbar, otorgándole un descanso médico hasta el 08 de octubre.</t>
  </si>
  <si>
    <t>Zona lumbar de la Columna</t>
  </si>
  <si>
    <t>Esguince y torceduras de columna lumbar</t>
  </si>
  <si>
    <t>PCO24401</t>
  </si>
  <si>
    <t>REFINERIA</t>
  </si>
  <si>
    <t>SSAYS SAC</t>
  </si>
  <si>
    <t>CALIXTRO</t>
  </si>
  <si>
    <t>OCHOA</t>
  </si>
  <si>
    <t>HAROLD JUNIOR</t>
  </si>
  <si>
    <t xml:space="preserve">El colaborador de la empresa tercera que brinda el servicio de limpieza en planta refinería se encontraba realizando la labor de limpieza de pisos, en el transcurso de la limpieza intenta mover una plataforma con otro compañero que al momento de jalar de lado opuesto se pierde la inercia y el colaborador se resbala golpeándose el mentón en la baranda media de la plataforma, el cual le ocasiona un corte de aprox. 1.5 cm. </t>
  </si>
  <si>
    <t>Mentón</t>
  </si>
  <si>
    <t>Limpieza de planta</t>
  </si>
  <si>
    <t>Herida contusa en mentón</t>
  </si>
  <si>
    <t>Baranda de plataforma</t>
  </si>
  <si>
    <t>PGL24396</t>
  </si>
  <si>
    <t>Línea 4</t>
  </si>
  <si>
    <t>TERCERO</t>
  </si>
  <si>
    <t>Prolabora</t>
  </si>
  <si>
    <t>VALVERDE</t>
  </si>
  <si>
    <t xml:space="preserve"> BERECHE </t>
  </si>
  <si>
    <t>ROSITA ISABEL</t>
  </si>
  <si>
    <t>Operario de Producción</t>
  </si>
  <si>
    <t xml:space="preserve">La operadora se encontraba trasladando bandejas hacia la zona de bandejas vacías temporales, cuando bajando con las tres bandejas en mano resbala del primer peldaño cayendo y colocando su mano como soporte. No reportó hasta las 19:20, su supervisora la acompañó al tópico para atención médica. </t>
  </si>
  <si>
    <t>Alimentación de galletas a granel</t>
  </si>
  <si>
    <t>PGL24545</t>
  </si>
  <si>
    <t>La colaboradora se encontraba alimentando galletas en la L4 - D3  y al tratar de movilizarse pierde el equilibrio y al sostenerse para evitar su caída , se golpea ambas manos (no presenta fracturas pero si un corte en la mano izquierda). Se le brindan los primeros auxilios y se otorga un DM de 03 días.</t>
  </si>
  <si>
    <t>PGL24403</t>
  </si>
  <si>
    <t xml:space="preserve">RAMOS </t>
  </si>
  <si>
    <t xml:space="preserve">MALLQUI </t>
  </si>
  <si>
    <t>GIOVANNA NERY</t>
  </si>
  <si>
    <t xml:space="preserve">Siendo las 10:40, la operaria de producción se encontraba realizando labores de bandejeo de granel Margarita en la posición de mesa de acomodo (altura de envasadora D1), cuando de pronto su compañera Yessica Estacio quien también se encontraba realizando la misma labor en esta zona, levanta la bandeja con granel para realizar el apilado golpeando el rostro del lado izquierdo de su compañera. Se deriva a la trabajadora al tópico para evaluación y tratamiento farmacológico correspondiente. No requiere traslado.
</t>
  </si>
  <si>
    <t>Constusión en cara</t>
  </si>
  <si>
    <t>Bandeja</t>
  </si>
  <si>
    <t>Muñoz</t>
  </si>
  <si>
    <t>Rodriguez</t>
  </si>
  <si>
    <t>Richard</t>
  </si>
  <si>
    <t>Estibador de cascara</t>
  </si>
  <si>
    <t>Alrededor de las 10:00 am el estibar de cascara Richard Muñoz Rodríguez se encontraba manipulando el chimango para su acomodo dentro del almacén de cascara de soya en planta PDF.
Al momento de realizar el traslado de una posición a otra, junto con sus compañeros de trabajo (4 personas), realiza presiones con el pie izquierdo sobre una de las llantas (acción subestándar) para direccionar la misma en la posición deseada, posteriormente junto con sus compañeros empujan el chimango hacia la posición deseando, momento en el que el estibador de cascara siente un estirón en la pantorrilla de la pierna izquierda.
Inmediatamente es derivado hacia la posta media, donde recibe la atención correspondiente y se procede con la derivación a ente de salud externo para la valoración de la lesión en compañía con el medico de planta.</t>
  </si>
  <si>
    <t>Presión con pie a rueda de chimango</t>
  </si>
  <si>
    <t>Desgarro miofibrilar grado I-II Gemelo interno izquierdo</t>
  </si>
  <si>
    <t>CONTRATO POR TEMPORADA</t>
  </si>
  <si>
    <t>Si</t>
  </si>
  <si>
    <t>PCO24420</t>
  </si>
  <si>
    <t>LABORATORIO DE MICROBIOLOGIA</t>
  </si>
  <si>
    <t>SILVA</t>
  </si>
  <si>
    <t>CADENILLAS</t>
  </si>
  <si>
    <t>GERALDINE ALISSON</t>
  </si>
  <si>
    <t>TECNICO DE LABORATORIO</t>
  </si>
  <si>
    <t>La colaboradora refiere que trasladando un equipo homogenizador (vortex), éste se le resbala de las manos; al intentar evitar que el equipo caiga al piso, extiende la mano derecha, ocasionando que dicho equipo impacte contra su mano, provocando la contusión en el dorso (4to y 5to dedo)</t>
  </si>
  <si>
    <t>Traslado de equipo homogenizador (vortex)</t>
  </si>
  <si>
    <t>Contusión en dorso de mano derecha, 4to y 5to dedo</t>
  </si>
  <si>
    <t>Equipo homogenizador (vortex)</t>
  </si>
  <si>
    <t>DIS24479</t>
  </si>
  <si>
    <t>Transportes</t>
  </si>
  <si>
    <t>TRC</t>
  </si>
  <si>
    <t>MANTILLA</t>
  </si>
  <si>
    <t>ROGER MANUEL</t>
  </si>
  <si>
    <t xml:space="preserve">El accidente sucedió aproximadamente 1:30pm en la zona de fumigación del CDC. El conductor de la empresa de Transportes Rodrigo Carranza (TRC) que transportaba la unidad de placa T6W806 para realizar un Traslado Nacional, se encontraba a la espera de la fumigación de su unidad cuando intenta levantar una manta cobertora que se encontraba en el suelo con la ayuda de otro trabajador, en ese instante experimenta un fuerte dolor en la espalda baja que le impidió moverse. Se comunica el evento, con el soporte de los inspectores de seguridad el conductor 
es trasladado al tópico donde tras una evaluación inicial, se decidió derivarlo a la Clínica San Gabriel para el tratamiento médico que corresponda (En curso). 
</t>
  </si>
  <si>
    <t>Levantando una manta cobertora</t>
  </si>
  <si>
    <t>Lumbago ciática</t>
  </si>
  <si>
    <t>Manta cobertora</t>
  </si>
  <si>
    <t>PGL24546</t>
  </si>
  <si>
    <t>Comedor G&amp;I</t>
  </si>
  <si>
    <t xml:space="preserve">ZANABRIA </t>
  </si>
  <si>
    <t>AYMA</t>
  </si>
  <si>
    <t xml:space="preserve"> MELQUIADES</t>
  </si>
  <si>
    <t>El colaborador intentó retirar su táper de comida del microondas con una sola mano, lo que provocó que el envase se desestabilizara y se rompiera. Al intentar evitar la caída, sufrió un corte en la mano izquierda debido al contacto con un borde afilado.
El colaborador recibió atención en el centro médico, donde le realizaron la sutura de la herida y le han otorgado dos días de descanso médico por el momento.</t>
  </si>
  <si>
    <t>Refrigerio</t>
  </si>
  <si>
    <t>Herida en la mano</t>
  </si>
  <si>
    <t>Recipiente roto</t>
  </si>
  <si>
    <t xml:space="preserve">PGL24472 </t>
  </si>
  <si>
    <t>Bañados</t>
  </si>
  <si>
    <t xml:space="preserve"> ZEVALLOS </t>
  </si>
  <si>
    <t>ORRILLO</t>
  </si>
  <si>
    <t>EMITERIO</t>
  </si>
  <si>
    <t>El colaborador intentó desatorar la  acumulación de galletas en el magazine , al aperturar la guarda y proceder a retirar presenta contacto con una superficie por la fuerza impartida para retirar el producto , es atendido en tópico y se le brindan los primeros auxilios</t>
  </si>
  <si>
    <t>Alimentación de Galletas</t>
  </si>
  <si>
    <t>Magazine</t>
  </si>
  <si>
    <t>PCO24522</t>
  </si>
  <si>
    <t>ADEMI</t>
  </si>
  <si>
    <t>DE LA CRUZ</t>
  </si>
  <si>
    <t>EDDY GODOFREDO</t>
  </si>
  <si>
    <t>MAESTRO DE OBRA</t>
  </si>
  <si>
    <t>El colaborador de la empresa tercera se encontraba en los vestuarios para lavarse la cara luego de haber realizado trabajos de desmontajes de tuberías. Se retira el casco con careta y en ese instante le caen partículas sólidas en el ojo derecho. Se realiza un lavado en los ojos pero la molestia persiste y opta por ir al tópico. En el tópico se le realiza un lavado ocular y no requiere traslado.</t>
  </si>
  <si>
    <t>Lavado de cara en vestuarios</t>
  </si>
  <si>
    <t>Cuerpo extraño en parte externa del ojo derecho</t>
  </si>
  <si>
    <t>Partículas sólidas producto del desmontaje de tuberías</t>
  </si>
  <si>
    <t>CARDENAS</t>
  </si>
  <si>
    <t xml:space="preserve"> MELENDEZ</t>
  </si>
  <si>
    <t>MINDOR</t>
  </si>
  <si>
    <t>Colaborador se encontraba levantando la tapa del buzón- zona externa del área junto a otra persona para limpieza, ya que había charco de agua debido a que salía de la tubería rota.
Al compañero se le resbaló la tapa generando que ésta caiga y los bordes le provoque raspones en la pierna posterior derecha</t>
  </si>
  <si>
    <t>Manipulacion de tapa de buzon</t>
  </si>
  <si>
    <t>Tapa de buzon</t>
  </si>
  <si>
    <t>RUEDA</t>
  </si>
  <si>
    <t>DARLING</t>
  </si>
  <si>
    <t>Colaboradora se encontraba realizando la actividad de etiquetado de galonera de 4 litros en una línea manual, su compañera al momento de lanzar un envase sobre la piscina a una distancia de 1 metro aproximadamente, éste rebota y la punta le cae en el seno derecho.</t>
  </si>
  <si>
    <t>Seno</t>
  </si>
  <si>
    <t>Envase</t>
  </si>
  <si>
    <t>PIZARRO</t>
  </si>
  <si>
    <t xml:space="preserve"> CORONEL</t>
  </si>
  <si>
    <t>YENY</t>
  </si>
  <si>
    <t>Colaboradora se encontraba realizando la actividad de tapado de potes en la línea 2.
Al compañero que realizaba el abastecimiento se le resbaló la primera caja de esponjas generando que ésta caiga y el borde inferior impacte contra su hombro derecho.</t>
  </si>
  <si>
    <t>Hombro derecho</t>
  </si>
  <si>
    <t>Tapado de potes</t>
  </si>
  <si>
    <t>Caja</t>
  </si>
  <si>
    <t>SOLANO</t>
  </si>
  <si>
    <t>ASTRID FIORELLA</t>
  </si>
  <si>
    <t>La colaboradora menciona que estaba en la actividad de recuperado; sin embargo, indica que aún no había comenzado dicha actividad. En ese momento, no llevaba puestos sus lentes, mientras conversaba con su compañera, se rió y se agachó. Su compañera, que estaba a su lado, lanza el producto (detergente), y el filo del producto le roza el ojo izquierdo en la "esclerótica".</t>
  </si>
  <si>
    <t>Recuperado de bolsas</t>
  </si>
  <si>
    <t>Bolsa de detergente</t>
  </si>
  <si>
    <t>El colaborador se encontraba haciendo limpieza de piso en el primer nivel con la espátula, pero ésta se despega de la varilla de madera en donde estaba atada. Le solicitó cinta a la colaboradora Janeth Trigozo (itdc) y le menciona que hay una caja en la máquina intrapack (mezzanine) . El colaborador se dirige a la zona, pero al retorno, cuando bajaba las escalera, se resbala y su reacción inmediata fue sujetarse con ambas manos de las barandas, quedando con los brazos suspendidos, dicha posición le ocasionó un estiramiento en el hombro derecho.
- Colaborador menciona que bajaba sujetado de una mano en la baranda.</t>
  </si>
  <si>
    <t>Descenso de escaleras</t>
  </si>
  <si>
    <t>Estiramiento muscular</t>
  </si>
  <si>
    <t xml:space="preserve"> COQUINCHE</t>
  </si>
  <si>
    <t>MARLENI</t>
  </si>
  <si>
    <t>La colaboradora Marlene Murayari, del área de envasado de lavavajillas, se encontraba realizando la actividad de ofertado en la línea 2. Durante esta tarea, se agotó la cinta de ofertado y se realizó el cambio de rollo de inmediato. Sin embargo, no se ajustó el tornillo (1), lo que provocó que la cinta se deslizara con mayor facilidad al jalarla y quede fuera de su lugar (2).
Al notar que había una porción de cinta despegada, Marlene intentó acomodarla desde el inicio (girando el rollo) (3), sin darse cuenta de que al lado había una unión de la tubería, esto resultó en un golpe en su codo izquierdo (4). Cabe destacar que la silla estaba muy cerca del muro, lo que contribuyó al choque del codo contra la tubería.</t>
  </si>
  <si>
    <t>Codo izquierdo</t>
  </si>
  <si>
    <t>Soporte metalico</t>
  </si>
  <si>
    <t xml:space="preserve"> AGUILAR</t>
  </si>
  <si>
    <t>PILAR MELANIA</t>
  </si>
  <si>
    <t>La colaboradora estaba haciendo una anotación en un post-it mientras transitaba en una zona del área donde hay máquinas en desuso, ésta contaba con baja iluminación ya que no se realizan actividades cerca de ella, lo que ocasionó que se choque contra la estructura metálica de una de las máquinas en su pómulo del lado izquierdo.</t>
  </si>
  <si>
    <t>Pomulo izquiedo</t>
  </si>
  <si>
    <t>Transito po areas</t>
  </si>
  <si>
    <t>Estructura metalica</t>
  </si>
  <si>
    <t xml:space="preserve"> PACAYA</t>
  </si>
  <si>
    <t>ALEXIS EGLINTON</t>
  </si>
  <si>
    <t>El colaborador se encontraba realizando la actividad de colocación de bolsones en máquina neumopack 1, al notar que del lado izquierdo solo faltaban 2 bolsas para hacer el cambio, colocó de manera apresurada el bolsón del lado derecho, lo que ocasionó que al momento de retirar su mano ésta choque con la contadora que gira automáticamente generándose  un golpe en parte dorsal de la mano izquierda.</t>
  </si>
  <si>
    <t>JORGE LUIS</t>
  </si>
  <si>
    <t>El colaborador se encontraba realizando la limpieza de la tolva de la línea 3 de Lavavajillas. Mientras realizaba la actividad, de manera inesperada cae agua con restos de crema LVV sobre su cabeza y parte del cuerpo del colaborador, la caída del líquido ocasionó que se le muevan los lentes antiparras que tenía colocados, viéndose afectados ambos ojos.</t>
  </si>
  <si>
    <t>Limpieza de tolva</t>
  </si>
  <si>
    <t>Cuerpo extraño en el saco conjuntival</t>
  </si>
  <si>
    <t>Agua con residuos de pasta</t>
  </si>
  <si>
    <t>Extracción HLS</t>
  </si>
  <si>
    <t>Ruiz</t>
  </si>
  <si>
    <t>Jose</t>
  </si>
  <si>
    <t>Técnico de mantenimiento</t>
  </si>
  <si>
    <t xml:space="preserve">A las 14:00 se registra un accidente para el cual se dio atención de primeros auxilios. Personal de mantenimiento (Eléctrico de turno) se encontraba montando un sensor de temperatura analógico (de aguja) en el intercambiador de aceite mineral 440 de extracción HLS, durante el montaje, no realiza la purga del aceite sobrante en la línea y cuando retira el tapón temporal para colocar el sensor le salpica aceite mineral caliente &gt; 80 °C en la parte de la espalda al Técnico de Mantenimiento que realizaba una inspección de una bomba cerca del lugar. Comunica del hecho y se lo dirige a la posta médica para aplicación de pomada en la parte afectada. Posterior a la atención retorna a su escritorio y sale al completar su turno.
</t>
  </si>
  <si>
    <t>Inspección de bombas</t>
  </si>
  <si>
    <t>Línea de aceite mineral (sensor de temperatura analógico)</t>
  </si>
  <si>
    <t>PCO24523</t>
  </si>
  <si>
    <t>MARENGO</t>
  </si>
  <si>
    <t>PITTMAN</t>
  </si>
  <si>
    <t>JOHN ARMANDO</t>
  </si>
  <si>
    <t>LIDER LINEA FRACCIONAMIENTO</t>
  </si>
  <si>
    <t>El líder de turno procede a realizar el soplado del filtro 1 de la planta de descerado, realizando la apertura y cierre de válvulas de ingreso de nitrógeno y liberación del aceite hacia el tanque pulmón; una vez que la presión del filtro llegó a 3bar procedió con la apertura de la válvula de retorno para aliviar la presión antes de abrir el filtro para su limpieza. Al terminar esta actividad se dirigió hacia la sala de control y en ese instante sucedió la liberación intempestiva de presión del filtro, cuya onda expansiva afecta los oidos del trabajador.</t>
  </si>
  <si>
    <t>Oidos</t>
  </si>
  <si>
    <t>Oído</t>
  </si>
  <si>
    <t>Soplado y limpieza del filtro 1 de la planta de descerado</t>
  </si>
  <si>
    <t>Inflamación interna de oídos</t>
  </si>
  <si>
    <t>Onda expansiva por liberación intempestiva de presión</t>
  </si>
  <si>
    <t>CHOQUEZ </t>
  </si>
  <si>
    <t xml:space="preserve">SOTELO </t>
  </si>
  <si>
    <t>MARCO ANTONIO</t>
  </si>
  <si>
    <t>El técnico Marcos Choquez sufrió una contusión leve en el rostro, específicamente entre la nariz y el pómulo izquierdo. El incidente ocurrió mientras aflojaba la conexión roscada de una manguera hidráulica en la máquina Tincoo galonera, utilizando una llave de boca. La lesión fue provocada por el impacto de la parte metálica de la manguera hidráulica y la boca de la llave de boca.</t>
  </si>
  <si>
    <t>Desmontaje de manguera</t>
  </si>
  <si>
    <t>Llave</t>
  </si>
  <si>
    <t>PGL24524</t>
  </si>
  <si>
    <t>Instantáneos</t>
  </si>
  <si>
    <t>NEYRA</t>
  </si>
  <si>
    <t>Inspector de Calidad</t>
  </si>
  <si>
    <t>El colaborador José Neyra sufrió un accidente mientras realizaba el cambio de bolsas en el depósito recolector. Durante la operación, no se percató de que el cartel acrílico de rotulación tenía una superficie filosa, lo que le provocó una herida en el antebrazo de la mano derecha.Se brindaron los primeros auxilios en el tópico y no se requiere traslado externo.</t>
  </si>
  <si>
    <t>Retiro de bolsas</t>
  </si>
  <si>
    <t xml:space="preserve">Herida en antebrazo derecho </t>
  </si>
  <si>
    <t>Señalización</t>
  </si>
  <si>
    <t>Proyecto OVEN</t>
  </si>
  <si>
    <t>SC Ingeniería y construcción</t>
  </si>
  <si>
    <t>Mozombite</t>
  </si>
  <si>
    <t>Villacorta</t>
  </si>
  <si>
    <t>Ricky Adrian</t>
  </si>
  <si>
    <t>Ayudante</t>
  </si>
  <si>
    <t xml:space="preserve">El 02 de octubre a las 15:25 horas aprox. La empresa SC se encontraba realizando el traslado manual de restos de acero de demolición desde exteriores de Extracción Mecánica hasta el punto de acopio temporal ubicado en Extracción por solventes. En ese instante el trabajador RICKY ADRIAN  MOZOMBITE VILLACORTA (Ayudante) lanzó una varilla de ø ½¨x 1.25m para ubicarla en la zona más alta del punto de acopio, ésta, por su geometría y medida, rebota e impacta en el rostro del trabajador generándole un corte a la altura de la nariz.
</t>
  </si>
  <si>
    <t>Traslado manual de restos de acero</t>
  </si>
  <si>
    <t>Herida de nariz</t>
  </si>
  <si>
    <t>Varillas de acero</t>
  </si>
  <si>
    <t>si</t>
  </si>
  <si>
    <t>Playa de Tanques Stock (Aceite)</t>
  </si>
  <si>
    <t>ZAMBRANA</t>
  </si>
  <si>
    <t>TEODORO</t>
  </si>
  <si>
    <t>Auxiliar Granel</t>
  </si>
  <si>
    <t>En fecha 02 de septiembre a hrs 10:00 am aprox. el trabajador Teodoro Rivera Zambrana (Auxiliar de Granel), persona que se encontraba ajustando la unión danesa inoxidable entre la línea del tanque 634 y la línea de cisterna, para dicho trabajo estaba utilizando una llave de ajuste universal; cuando de repente la llave safa, impactando el dedo meñique de la mano derecha en la rosca de la línea (tubería) colindante. Posteriormente es evacuado a la posta médica donde se realiza los primeros auxilios.</t>
  </si>
  <si>
    <t>Ajuste de piezas (unión danesa)</t>
  </si>
  <si>
    <t>Herida cortante superficial, menor a 1 cm en el dedo meñique de la mano der</t>
  </si>
  <si>
    <t>Líneas de transferencia de producto terminado (tuberías y accesorios)</t>
  </si>
  <si>
    <t>Contrato Indefinido</t>
  </si>
  <si>
    <t>Secadero L22</t>
  </si>
  <si>
    <t>Clean Work</t>
  </si>
  <si>
    <t>TANANTA</t>
  </si>
  <si>
    <t>TUANAMA</t>
  </si>
  <si>
    <t>Plataformero</t>
  </si>
  <si>
    <t>El accidente sucedió aproximadamente a las 05:00 a.m. momento en el que Cristian Tananta, Plataformero de la empresa Clean Work se encontraba realizando la actividad de limpieza de plataformas y descansos, y finalizada la limpieza se percata de un fideo manchado con grasa en la zona de las cadenas laterales y decide acercarse a retirarlo sin percatarse del capacho que transporta la caña y le pellizca el dedo (con guante).</t>
  </si>
  <si>
    <t>Dedo medio de mano derecha</t>
  </si>
  <si>
    <t>Limpieza de plataforma y descansos</t>
  </si>
  <si>
    <t>Herida de dedo de la mano derecha con daño en la uña</t>
  </si>
  <si>
    <t>Cadenas en movimiento</t>
  </si>
  <si>
    <t>ARAPA</t>
  </si>
  <si>
    <t>LUZ</t>
  </si>
  <si>
    <t>APRENDIZ DE SENATI</t>
  </si>
  <si>
    <t>Colaboradora se encontraba transitado dentro del área, al lado de la línea de producción de mascotas, al evidenciar el espacio reducido para pasar detrás de una persona quien se encontraba encajando. Ella decide pasar sobre una plataforma de meta; levanta el pie tropezándose en la plataforma, cayéndose ; por consecuencia se  golpea el muslo y el tobillo</t>
  </si>
  <si>
    <t>Pie</t>
  </si>
  <si>
    <t>Transito en planta</t>
  </si>
  <si>
    <t>Contusión en el pie izquierdo</t>
  </si>
  <si>
    <t xml:space="preserve">PGL24544 </t>
  </si>
  <si>
    <t>Pasillos</t>
  </si>
  <si>
    <t>MILLONES</t>
  </si>
  <si>
    <t>CASAS</t>
  </si>
  <si>
    <t>JENY CECILIA</t>
  </si>
  <si>
    <t>El sábado 12, a las 7:01 am, la colaboradora Jeny Millones estaba saliendo del vestuario de damas para comenzar su turno de trabajo. En ese instante, se resbaló y cayó al suelo, golpeándose las rodillas y el hombro. Posteriormente, ingresó a la planta, donde se notificó del accidente y se le brindaron primeros auxilios</t>
  </si>
  <si>
    <t>Esguince y Torcedura que comprometen ligamento</t>
  </si>
  <si>
    <t>PGL24574</t>
  </si>
  <si>
    <t>Techo</t>
  </si>
  <si>
    <t>SAMANIEGO</t>
  </si>
  <si>
    <t>JERSON</t>
  </si>
  <si>
    <t>INSPECTOR DE SEGURIDAD INDUSTRIAL</t>
  </si>
  <si>
    <t>El 17 de octubre de 2024 a las 11:00 horas, el colaborador Jerson Romero se encontraba realizando el cambio de un extintor de PQS 20 lb ubicado en el techo de la planta Galletera, para su retiro debe descender por una escalera trasladando el extintor en una mano; encontrándose en el penúltimo peldaño, pierde el equilibrio y pisa en falso.  Es atendido en el tópico y derivado a la clínica San Gabriel para la atención por especialista.</t>
  </si>
  <si>
    <t>Traslado de extintores</t>
  </si>
  <si>
    <t>AYAMBO</t>
  </si>
  <si>
    <t>CAHUACHI</t>
  </si>
  <si>
    <t>BRAYAN JOSE</t>
  </si>
  <si>
    <t>En circunstancias que el Operario de Producción Brayan Ayambo procedía a retirar en reversa el coche que contiene bandejas con panetones listos para el horneado; durante la maniobra de traslado se ladea hacia los coches estacionados y la penúltima bandeja metálica choca con la estructura de esta última, deslizándose hacia el lado izquierdo golpeando con sus bordes la frente del Colaborador, generándole una herida contusa en dicha zona.</t>
  </si>
  <si>
    <t>Frente</t>
  </si>
  <si>
    <t>Traslado de coche de bandejas de panetones</t>
  </si>
  <si>
    <t>Herida contusa en la frente – lado izquierdo</t>
  </si>
  <si>
    <t>Bandeja metalica</t>
  </si>
  <si>
    <t>PGL24573</t>
  </si>
  <si>
    <t>SAUL</t>
  </si>
  <si>
    <t>El colaborador Saúl Rojas sufrió un accidente no incapacitante mientras realizaba tareas de limpieza. Durante esta actividad, que realizó con un paño, agua y detergente, le salpicó agua con detergente en el ojo izquierdo, ya que no estaba usando los lentes de seguridad correspondientes.</t>
  </si>
  <si>
    <t>Ojo</t>
  </si>
  <si>
    <t>Irritación Ocular</t>
  </si>
  <si>
    <t>Laboranod</t>
  </si>
  <si>
    <t xml:space="preserve"> CORDOVA</t>
  </si>
  <si>
    <t>CARLOS ANDY</t>
  </si>
  <si>
    <t xml:space="preserve">El colaborador se encontraba abasteciendo sacos (codificado) en la zona de ducto automático. Al momento de trasportar en dirección al ducto,se tropieza con un saco que estaba sobresalido. Al no querer caer se inclina sobre la ruma de paletas generándose un golpe. </t>
  </si>
  <si>
    <t>Contusion superficial en el torax</t>
  </si>
  <si>
    <t xml:space="preserve">ESAMAT </t>
  </si>
  <si>
    <t xml:space="preserve">BESEN </t>
  </si>
  <si>
    <t>ANTERO PEDRO</t>
  </si>
  <si>
    <t>El colaborador menciona que el brazo N°05 de la torre se encontraba compactado con la rosca, lo que le impedía retirarlo con facilidad. Por ello, al jalar con fuerza el brazo N°05, se impacta en su pómulo derecho, lo que le generó hinchazón y raspón.</t>
  </si>
  <si>
    <t>Pomulo derecho</t>
  </si>
  <si>
    <t>Manipulacion de brazo</t>
  </si>
  <si>
    <t>Contusion en pomulo</t>
  </si>
  <si>
    <t>Brazo de torre</t>
  </si>
  <si>
    <t xml:space="preserve"> VELASQUEZ</t>
  </si>
  <si>
    <t xml:space="preserve"> SEGUNDO ROBERT</t>
  </si>
  <si>
    <t>El colaborador se encontraba colocando la baranda en la zona de ducto y menciona que no se percató que el hoyo en donde ingresa estaba con agua (se había hecho baldeado de piso) estuvo realizando presión para colocarla ya que es difícil de hacerla encajar y al introducirla el líquido sale proyectado hacia el rostro siendo afectados ambos ojos.</t>
  </si>
  <si>
    <t>Manipulacion de baranda</t>
  </si>
  <si>
    <t>Irritacion en ojos</t>
  </si>
  <si>
    <t>Liquido empozado</t>
  </si>
  <si>
    <t>VARILLAS</t>
  </si>
  <si>
    <t xml:space="preserve"> GALLARDO</t>
  </si>
  <si>
    <t xml:space="preserve"> ROMER AUGUSTO</t>
  </si>
  <si>
    <t>Colaborador se encontraba realizando el traslado de coches de la balanza #01 a la zona de envasado. 
Manifiesta que colocó una mano en el soporte y la otra en la manija debido a que se estaba llenando la zona de más coches, para evitar la acumulación hizo la sujeción de manera apresurada sin realizarlo correctamente. 
Al hacer fuerza el dedo pulgar derecho se dobla generando que haya aumento de volumen en parte de la muñeca, sin embargo; no hay limitación de movimiento.</t>
  </si>
  <si>
    <t>Pulgar derecho</t>
  </si>
  <si>
    <t>Contusion en pulgar derecho</t>
  </si>
  <si>
    <t>Preparación Alloco</t>
  </si>
  <si>
    <t>TICONA</t>
  </si>
  <si>
    <t>HURTADO</t>
  </si>
  <si>
    <t>RENE FELIX</t>
  </si>
  <si>
    <t>Mecánico</t>
  </si>
  <si>
    <t>En fecha 15/10/ 2024 a horas 09:20 a.m., durante el desmontaje de la bandeja de plancha metálica del separador de cascara #1, los técnicos de mantenimiento  se encontraban retirando los seguros de los perfiles del marco de la batea, al retirar los pernos del lado sur de la plancha esta sede del lado derecho llegando a golpear sobre el tórax del técnico, (la plancha de 0,70 mts * 3 mts con un peso aproximado de  200 kg ) dicha plancha quedo anclada en uno de los soportes laterales y central no llegando a tener contacto el 100% de la plancha con el técnico.</t>
  </si>
  <si>
    <t>Desmontaje de la bandeja de plancha metálica del separador de cascara #1</t>
  </si>
  <si>
    <t>TME en tórax y abdomen por golpe</t>
  </si>
  <si>
    <t>Bandeja separador de cascara 1</t>
  </si>
  <si>
    <t>Sanitarios MR2</t>
  </si>
  <si>
    <t>FASANDO</t>
  </si>
  <si>
    <t>MANIHUARI</t>
  </si>
  <si>
    <t>OMAR</t>
  </si>
  <si>
    <t>El colaborador se encontraba encajando en ese momento empezó a gotear de una tubería quitamancha ropa color, cayéndole en el rostro y hombro, generándole una leve irritación.</t>
  </si>
  <si>
    <t>Encajando</t>
  </si>
  <si>
    <t>Irritación leve</t>
  </si>
  <si>
    <t>JULCAHUANCA</t>
  </si>
  <si>
    <t xml:space="preserve"> CARLOS ENRRIQUE</t>
  </si>
  <si>
    <t>El trabajador se encontraba realizando la actividad de tapado de Quitamancha Ropa Color (550 mL) usando guantes hyflex y sobre eso guantes estaba usando guantes touchntuff, debido a una abertura que tenia el  guantes touchntuff ingresa el producto mientras el colaborador continua realizando la actividad, despues de una hora el colaborador presenta irritación en los dedos de ambas manos.</t>
  </si>
  <si>
    <t>Dedos de la manos</t>
  </si>
  <si>
    <t>Tapado</t>
  </si>
  <si>
    <t>LOPEZ</t>
  </si>
  <si>
    <t>CALLIRGOS</t>
  </si>
  <si>
    <t>ALEX FRANCISCO</t>
  </si>
  <si>
    <t>El trabajador se encontra limpiando la maquina encintadora, en eso introduce la mano entre los rodillos quedado atrapada la mano derecha entre los espacios.</t>
  </si>
  <si>
    <t>Limpieza de encintadora</t>
  </si>
  <si>
    <t>MONTES</t>
  </si>
  <si>
    <t>HEREDIA</t>
  </si>
  <si>
    <t>El trabajador el día 17/09/2024 a las 10:20 am se encontraba paletizando al momento de colocar una paleta sobre otra con ayuda de un compañero que al soltar el la palleta superior porque su dedo meñique queda atrapado en medio por tal motivo jala su mano sin sentir dolor debido a que se encontraba con guantes</t>
  </si>
  <si>
    <t xml:space="preserve">Mano </t>
  </si>
  <si>
    <t>Colocar pallets</t>
  </si>
  <si>
    <t>Contusión en dedo meñique</t>
  </si>
  <si>
    <t>PGL24575</t>
  </si>
  <si>
    <t xml:space="preserve">ROSALES </t>
  </si>
  <si>
    <t>Siendo las 07:15 a.m la trabajadora ROSALES CRISPIN DINA NOEMI se encontraba realizando labores de acomodo de guías de alimentación de granel en línea 2 de envasado de galletas, para ello estaba parada sobre una tarima metálica, misma que tiene en todos los bordes cinta antideslizante; y cuando la trabajadora se dispone a bajar de dicha tarima pierde el equilibrio y cae golpeándose la rodilla derecha</t>
  </si>
  <si>
    <t>Acomodo de galletas</t>
  </si>
  <si>
    <t>Golpe en la rodilla derecha</t>
  </si>
  <si>
    <t>Tarima métalica</t>
  </si>
  <si>
    <t>EFFIO</t>
  </si>
  <si>
    <t xml:space="preserve"> BRACAMONTE</t>
  </si>
  <si>
    <t>INGRID BALBINA</t>
  </si>
  <si>
    <t>Colaboradora estaba realizando el abastecimiento de frascos en la línea Triner y utilizó una escalera de dos peldaños. Al hacer el abastecimiento, pisó al vacío, lo que provocó una caída desde un nivel diferente siendo afectado su tobillo derecho.</t>
  </si>
  <si>
    <t>Contusion en tobillo</t>
  </si>
  <si>
    <t xml:space="preserve">GONZALES </t>
  </si>
  <si>
    <t>FABIAN ALESSANDRO</t>
  </si>
  <si>
    <t>CAPE MANTTO</t>
  </si>
  <si>
    <t xml:space="preserve">El colaborador se encontraba realizando corte de pernos en el tornillo de banco. Una parte del cuerpo del perno se quedó sujetada en tornillo de banco y la otra parte quedó sobre la mesa. El colaborador realiza unas coordinaciones con su compañero, y en ese momento un elemento de la mesa de trabajo rueda con dirección al suelo. El colaborador trata de evitar que el elemento caiga sin percatarse que no había retirado el perno con filo vivo de la mordaza del tornillo de banco. Su brazo sufre un corte por lo cual el trabajador se dirige al tópico. El médico lo evalúa y dispone su traslado a la clínica San Gabriel.
</t>
  </si>
  <si>
    <t>Antebrazo</t>
  </si>
  <si>
    <t>Corte de perno</t>
  </si>
  <si>
    <t>Herida de otras partes del antebrazo</t>
  </si>
  <si>
    <t>Perno</t>
  </si>
  <si>
    <t>PRACTICAS_ SENATI</t>
  </si>
  <si>
    <t>DIS24634</t>
  </si>
  <si>
    <t>Latam 400</t>
  </si>
  <si>
    <t>CEVA LOGISTICS</t>
  </si>
  <si>
    <t>BENDAÑO</t>
  </si>
  <si>
    <t>AUXILIAR DE ALMACÉN</t>
  </si>
  <si>
    <t>El 29 de octubre, alrededor de las 15:15 horas un auxiliar de almacén se encontraba en la zona de canales de despacho posicionado al costado de dos paletas vacías. En ese instante un order picker ingresa a dejar mercadería en el canal continuo, que se encontraba libre, sin embargo, al momento de ingresar al canal, impacta con el filo de una de una de las paletas vacías y , por consecuencia la segunda paleta vacía choca con la parte posterior de la pierna izquierda del colaborador afectado, quien fue trasladado al centro médico para la atención con el especialista.</t>
  </si>
  <si>
    <t>Pierna Izquierda</t>
  </si>
  <si>
    <t>Contusión en pierna</t>
  </si>
  <si>
    <t>Pallets</t>
  </si>
  <si>
    <t>DIS24633</t>
  </si>
  <si>
    <t>CD PIURA</t>
  </si>
  <si>
    <t>CD Piura</t>
  </si>
  <si>
    <t>Cd Piura</t>
  </si>
  <si>
    <t>Unidad de traslado</t>
  </si>
  <si>
    <t>CABRERA</t>
  </si>
  <si>
    <t>HERNAN</t>
  </si>
  <si>
    <t>CONDUCTO A3</t>
  </si>
  <si>
    <t>En circunstancias que el OMC de Alicorp José Ramos Sullon descargaba la unidad paletizada de traslados con placa BYY750, en simultaneo, el conductor Hernan Cabrera Herrera se encontraba abriendo las cortinas del lado opuesto al que operaba el OMC. Al momento que el operador ingresa las horquillas  del montacarga a la paleta situada en la plataforma del camión, esta choca con la paleta posterior, haciendo un pequeño empuje , donde aprisiona la mano derecha del conductor entre la paleta y la cortina metálica generando un golpe en la mano derecha</t>
  </si>
  <si>
    <t>Descarga unidad</t>
  </si>
  <si>
    <t>Contusión en mano</t>
  </si>
  <si>
    <t>Cortina</t>
  </si>
  <si>
    <t>PGL24632</t>
  </si>
  <si>
    <t>ALICORP S.A.A</t>
  </si>
  <si>
    <t xml:space="preserve"> Santamaría </t>
  </si>
  <si>
    <t>Folch</t>
  </si>
  <si>
    <t>Bryan Caleb</t>
  </si>
  <si>
    <t>Siendo las 20:00, el operador se encontraba reprocesando bolsones abiertos de Gelatina Fresa. Al sellar, procede a presionar el botón de sellado manual para juntar ambas mordazas e introduce el dedo índice por el lateral de la guarda, teniendo contacto con la resistencia de la mordaza. Al presentar ardor reporta al encargado de línea, lo cual proceden a llamar al ing de turno, llevándolo al tópico para atención médica. No requiere traslado</t>
  </si>
  <si>
    <t>Sellado de empaque</t>
  </si>
  <si>
    <t>Quemadura de 1er grado en dedo índice derecho</t>
  </si>
  <si>
    <t>Selladora</t>
  </si>
  <si>
    <t>Tuesta</t>
  </si>
  <si>
    <t xml:space="preserve"> Ruiz</t>
  </si>
  <si>
    <t>Karina</t>
  </si>
  <si>
    <t>Siendo las 2:30 pm del lunes 04/11, la trabajadora Karina Tuesta (Consulting) se encontraba desempeñando sus labores en el área de etiquetado de la línea MCGS. Mientras realizaba su labor, observó que el contenedor de frascos se estaba llenando, lo que ocasionó que empiecen a caer los envases vacíos por el costado de la faja transportadora. En un intento por evitar que los frascos cayeran al suelo, la colaboradora atrapó un frasco y al momento de lanzarlo hacia el contenedor de frascos, se golpea el dedo pulgar izquierdo contra la pared del contenedor. La colaboradora accidentada observó una protuberancia entre la falange proximal y distal del dedo pulgar, por lo que solicita a su compañera Anita Canaquiri (Consulting) que le ayude, la colaboradora en mención manipula el dedo lesionado. 
Se da aviso de lo ocurrido a la supervisora del área, la cual deriva a la trabajadora accidentada al tópico. Posteriormente fue evacuada a la clínica San Pablo para recibir atención especializada.</t>
  </si>
  <si>
    <t>Dedo pulgar izquierdo</t>
  </si>
  <si>
    <t>Sujecion de envases</t>
  </si>
  <si>
    <t>Contenedor de envases</t>
  </si>
  <si>
    <t>FEM</t>
  </si>
  <si>
    <t>ECHENIQUE</t>
  </si>
  <si>
    <t xml:space="preserve"> HUAPAYA</t>
  </si>
  <si>
    <t xml:space="preserve"> GIANCARLO</t>
  </si>
  <si>
    <t xml:space="preserve"> El colaborador se encontraba en el área de formulación FEM trasladando sacos hacia las pailas y en esa actividad sintió un tirón en el antebrazo izquierdo con leve dolor.</t>
  </si>
  <si>
    <t>Antebrazo Izquierdo</t>
  </si>
  <si>
    <t>Sacos</t>
  </si>
  <si>
    <t>PCO24669</t>
  </si>
  <si>
    <t>PEQUEÑO</t>
  </si>
  <si>
    <t xml:space="preserve"> ARAMBURU </t>
  </si>
  <si>
    <t>TATIANA</t>
  </si>
  <si>
    <t xml:space="preserve">Siendo la 02:45 pm la trabajadora de la empresa de limpieza Ssays se encontraba secando el primer piso de la planta desodorización sin advertir la presencia de un tubo de fierro de ½ pulgada, el cual se encontraba apoyado solamente sobre un intercambiador de calor. El tubo al ser impactado por el jalador de agua que utilizaba la colaboradora cae golpeándole el antebrazo izquierdo.
</t>
  </si>
  <si>
    <t>Contusión antebrazo izquierdo</t>
  </si>
  <si>
    <t>tubo de fierro de ½ pulgada</t>
  </si>
  <si>
    <t>Compactación de RRSS</t>
  </si>
  <si>
    <t>Mederos</t>
  </si>
  <si>
    <t>Velez</t>
  </si>
  <si>
    <t>Carlos Alonzo</t>
  </si>
  <si>
    <t xml:space="preserve">Alrededor de las 09:40 am el personal se encontraba realizando labores de compactación de residuos y al momento de cerrar la compuerta N°1, el personal posiciona la mano izquierda al borde de la puerta para luego realizar el cierre manual; durante esta actividad se produjo la atricción del medio de la mano izquierda. </t>
  </si>
  <si>
    <t>Traumatismo por aplastamiento</t>
  </si>
  <si>
    <t>Compactadora</t>
  </si>
  <si>
    <t>QUIQUINLLA</t>
  </si>
  <si>
    <t>JUAN LEONARDO</t>
  </si>
  <si>
    <t>El 13.11.24 aproximadamente a las 3pm, el colaborador se encontraba realizando la actividad de desmontaje de un eje de transmisión de la balanza #4 de subproducto. Para dicha actividad estaba usando un martillo de bola y un disco metálico para martillar y retirar el eje, que estaba agarrotado. De forma súbita, el disco sale proyectado choca en el casco de seguridad y roza la nariz del trabajador, ocasionándole un ligero sangrado y corte superficial. El casco cayó al piso producto del impacto.
Rápidamente se llama al inspector de seguridad para brindarle los primeros auxilios y luego a la ambulancia para evaluación médica. De la evaluación se diagnostica corte superficial y se coloca un adhesivo sanitario sobre la herida.</t>
  </si>
  <si>
    <t>Desmontaje de un eje de transmisión</t>
  </si>
  <si>
    <t>Disco metálico</t>
  </si>
  <si>
    <t>Gestión de Residuos</t>
  </si>
  <si>
    <t>Transvida</t>
  </si>
  <si>
    <t>VEGA</t>
  </si>
  <si>
    <t>RICHARD</t>
  </si>
  <si>
    <t>Conductor</t>
  </si>
  <si>
    <t>Alrededor de las 03:12 p.m., mientras el conductor de la empresa Transportes S&amp;R SRL, se encontraba finalizando la actividad de succión de líquidos acidulados en el área de Refinería (Ácidos grasos), al intentar desactivar la bomba hidráulica, se produjo una expulsión de hidrolina desde la bomba, impactando directamente en su rostro y cuerpo causándole un fuerte ardor en la vista. 
Seguidamente al accidente, la ambulancia de Cardiomóvil lo traslado al tópico en donde se le brindó atención médica al conductor. Tras la evaluación, se decidió trasladarlo a la Clínica San Gabriel, otorgándose un descanso médico de 3 días.</t>
  </si>
  <si>
    <t>Desactivar la bomba hidraúlica</t>
  </si>
  <si>
    <t xml:space="preserve">Queratoconjuntivitis </t>
  </si>
  <si>
    <t>Hidrolina</t>
  </si>
  <si>
    <t>Transcom S.A.</t>
  </si>
  <si>
    <t>VARGAS</t>
  </si>
  <si>
    <t>JASSAN</t>
  </si>
  <si>
    <t xml:space="preserve">El evento ocurrió en el proceso de carga de la unidad de transporte TRANSCOM, a cargo del conductor Fernandez Vargas , quien al identificar que ya se había cargado la primera mitad de la unidad, procedió a cerrar la cortina metálica lateral pero se dio cuenta que no cerraba fácilmente y sigue intentando con mayor esfuerzo, haciendo que el 3er y 4to dedo su mano izquierda se atrapen por un instante en la estructura de las cortinas metálicas, generando lesiones en ambos dedos a pesar de estar usando sus guantes de seguridad.
</t>
  </si>
  <si>
    <t>3er  dedo de la mano izquierda</t>
  </si>
  <si>
    <t>4to dedo de la mano izquierda</t>
  </si>
  <si>
    <t xml:space="preserve">Carga </t>
  </si>
  <si>
    <t>Cortina metálica</t>
  </si>
  <si>
    <t>LURIN 2</t>
  </si>
  <si>
    <t>ALMACÉN 4</t>
  </si>
  <si>
    <t>SSGG</t>
  </si>
  <si>
    <t>ALTELIZA</t>
  </si>
  <si>
    <t>HUACHACA</t>
  </si>
  <si>
    <t>JESSICA</t>
  </si>
  <si>
    <t>Operaria de Limpieza</t>
  </si>
  <si>
    <t xml:space="preserve">Al promediar las 08:40 am del jueves 28.11 en Almacén 4 de Lurin 2, la colaboradora tercera de la empresa Alteliza se encontraba realizando sus labores de limpieza de racks.  En ese momento, pisa restos de Acido Sulfónico lineal (HLAS) presente en el piso, se resbala y logra cogerse de la estructura del Rack. Producto de esto, se dobla el tobillo derecho.
La colaboradora en todo momento se encontraba utilizando sus EPPs (Casco, chaleco de alta visibilidad y botas de seguridad).
</t>
  </si>
  <si>
    <t>tobillo</t>
  </si>
  <si>
    <t>limpieza</t>
  </si>
  <si>
    <t>esguince y torcedura</t>
  </si>
  <si>
    <t>1.5</t>
  </si>
  <si>
    <t>piso resbaloso</t>
  </si>
  <si>
    <t xml:space="preserve">PCO24725 </t>
  </si>
  <si>
    <t>Nilson SAC</t>
  </si>
  <si>
    <t xml:space="preserve">Villancida </t>
  </si>
  <si>
    <t>Perez</t>
  </si>
  <si>
    <t xml:space="preserve">Rosa Isabel </t>
  </si>
  <si>
    <t>Operario Apoyo producción</t>
  </si>
  <si>
    <t xml:space="preserve">La colaboradora se encontraba retornando de los servicios sanitarios (SSHH) en dirección a la planta Salsas 1. Debido al alto tránsito en el sendero peatonal, decidió adelantarse por el lado izquierdo sin percatarse del anillo perimétrico que protege la tapa del buzón, lo que provocó que tropezara. Al caer, sufrió golpes en la rodilla izquierda y el codo derecho.
Fue auxiliada por personas que transitaban por el área, quienes solicitaron la asistencia de la ambulancia. 
</t>
  </si>
  <si>
    <t>Constusión en rodilla y codo</t>
  </si>
  <si>
    <t>CASIHUE</t>
  </si>
  <si>
    <t>SOLIER</t>
  </si>
  <si>
    <t>CASIMIRO</t>
  </si>
  <si>
    <t>OPERADOR LIDER DE EXTRUSION</t>
  </si>
  <si>
    <t xml:space="preserve">El colaborador Casimiro Casihue se disponía a iniciar el proceso de Frutt cuando detectó que una platina del coche de corte del extrusor 4 estaba doblada. Trató de enderezar la platina con un martillo, pero el martillo se deslizó accidentalmente golpeándose contra la barra metálica de la estructura, generándole un corte en el dedo. 
</t>
  </si>
  <si>
    <t>2do dedo de la mano derecha</t>
  </si>
  <si>
    <t>Arranque de proceso Frutt</t>
  </si>
  <si>
    <t>Herida de dedo de la mano sin daño de la uña</t>
  </si>
  <si>
    <t>Estructura metálica</t>
  </si>
  <si>
    <t>COMEDOR</t>
  </si>
  <si>
    <t>MEDRANO</t>
  </si>
  <si>
    <t>CENTENO</t>
  </si>
  <si>
    <t>VAISLOV</t>
  </si>
  <si>
    <t>AUXILIAR DE COCINA</t>
  </si>
  <si>
    <t xml:space="preserve"> El trabajador, al salir del almacén con los insumos, pisa la rampa ubicada en la puerta de ingreso. Debido a su pendiente pronunciada, resbala y cae, golpeándose el brazo izquierdo y el codo derecho. El trabajador no comunica el accidente y continúa sus actividades, aunque el dolor en las áreas afectadas empieza a intensificarse.El trabajador informa del accidente a su responsable tras sentir un incremento en el dolor. Se coordina el traslado del trabajador al área médica para su evaluación.
</t>
  </si>
  <si>
    <t>Tralado</t>
  </si>
  <si>
    <t xml:space="preserve">Contusión </t>
  </si>
  <si>
    <t>APT MCA</t>
  </si>
  <si>
    <t>TALAVERA</t>
  </si>
  <si>
    <t>LUIS GUILLERMO</t>
  </si>
  <si>
    <t>OMC</t>
  </si>
  <si>
    <t>Alrededor de las 6.20 am.  el colaborador se encontraba cerrando el portón que separa el Almacén “C” con producción.
Al momento de cerrar el portón (para proceder con la fumigación del molino), la mano izquierda se encontraba en la manija quedando atrapado el dedo medio entre la manija y el marco de la puerta.
El colaborador procedió a dirigirse al segundo piso (kitchenette) a colocarse Hielo y posteriormente retirase al hospital.
Cabe precisar, que al retirarse el colaborador no informo a seguridad ni jefaturas. Se comunico a las 9.00 am fuera de su horario laboral, cuando fue atendido en el hospital.</t>
  </si>
  <si>
    <t>Dedo medio izquierdo</t>
  </si>
  <si>
    <t>Cierre del portón</t>
  </si>
  <si>
    <t>Aplastamiento del dedo medio izquierdo</t>
  </si>
  <si>
    <t>Manija del portón</t>
  </si>
  <si>
    <t xml:space="preserve">CHAVEZ </t>
  </si>
  <si>
    <t xml:space="preserve">CAHUANA </t>
  </si>
  <si>
    <t xml:space="preserve">RENE REINALDO </t>
  </si>
  <si>
    <t>Operario de producción</t>
  </si>
  <si>
    <t>Verificación de cajas</t>
  </si>
  <si>
    <t>Herida en el rostro</t>
  </si>
  <si>
    <t>Brazo Hidraulico</t>
  </si>
  <si>
    <t>Buhler 2</t>
  </si>
  <si>
    <t xml:space="preserve">RUGEL </t>
  </si>
  <si>
    <t xml:space="preserve">ZELADA </t>
  </si>
  <si>
    <t xml:space="preserve">CESAR IVAN </t>
  </si>
  <si>
    <t xml:space="preserve">Operador de Molinos- Silos </t>
  </si>
  <si>
    <t xml:space="preserve">Al promediar las 22:49 del viernes 13.12 en la zona del Buhler 2 el operador de molinos- silos se encontraba recepcionando el producto  en unas bolsas de 15 Kg aprox, al momento de trasladar la bolsa y retornar a realizar nuevamente la misma actividad,  sintió un tirón en la espalda que hizo que se quedara sentado sin poder reincorporarse. 
Se notificó el accidente, se brindó primeros auxilios por tópico y trasladó a la Clínica San Gabriel  para recibir atención médica.
DX: Lumbago con ciática 
DM: 2 días. 
Antigüedad: 25 años
Antigüedad Puesto : 1 año
</t>
  </si>
  <si>
    <t xml:space="preserve">Lumbar </t>
  </si>
  <si>
    <t>Manipulación Manual de Carga</t>
  </si>
  <si>
    <t>LUMBAGO CON CIATICA</t>
  </si>
  <si>
    <t xml:space="preserve">Bolsa de Premix </t>
  </si>
  <si>
    <t>NARCISO</t>
  </si>
  <si>
    <t xml:space="preserve"> VERGARAY</t>
  </si>
  <si>
    <t xml:space="preserve"> ENRIQUE</t>
  </si>
  <si>
    <t xml:space="preserve"> Siendo las 11:55 a.m., el operador de máquina VERGARAY ENRIQUE NARCISO CIRILO se encontraba realizando labores de limpieza fina en las canaletas de la máquina envasadora C10, y luego de culminar la misma se levanta golpeándose  la cabeza contra el pin que asegura la posición de polín de arrastre de lamina causándole un leve sangrado.
El operador es derivado hacia tópico donde realizan limpieza de la zona afectada. Post evaluación, retorna a sus labores en planta.
</t>
  </si>
  <si>
    <t xml:space="preserve">Limpieza de superficie de bandeja en nivel inferior desenergizada. </t>
  </si>
  <si>
    <t xml:space="preserve">Contusión Leve </t>
  </si>
  <si>
    <t xml:space="preserve">Polín </t>
  </si>
  <si>
    <t>GALLETERA</t>
  </si>
  <si>
    <t>SIN FECHA</t>
  </si>
  <si>
    <t> </t>
  </si>
  <si>
    <t>LUQUE</t>
  </si>
  <si>
    <t>BRUCKNER</t>
  </si>
  <si>
    <t xml:space="preserve">Según indica el trabajador, él se encontraba trasladando la artesa con contenido de ingrediente hacia la mezcladora, en dicha actividad siente un tirón en el brazo </t>
  </si>
  <si>
    <t>Traslado de artesa</t>
  </si>
  <si>
    <t>BRIGIDA</t>
  </si>
  <si>
    <t>Trabajadora se encontraba transitando para relevar el puesto a su compañera; se resbala por presencia de galleta en el suelo y se cae</t>
  </si>
  <si>
    <t>Transito</t>
  </si>
  <si>
    <t>MOLINO VICTORIA</t>
  </si>
  <si>
    <t>ELADIO</t>
  </si>
  <si>
    <t xml:space="preserve">Colaborador sufre resbalon en el segundo peldaño de la escalera, mencionando dolor posterior  al resbalon </t>
  </si>
  <si>
    <t xml:space="preserve">Espalda </t>
  </si>
  <si>
    <t>CALIDAD</t>
  </si>
  <si>
    <t>ELMER</t>
  </si>
  <si>
    <t xml:space="preserve">Inspector de calidad </t>
  </si>
  <si>
    <t>Trabajador indica que al momento de abrir la puerta de almacen de quinua , empujandolo porque estaba dura e impulsandome con el cuerpo a la pared , al realizar esta accion la puerta cede y sufre un corte con el filo de la puerta</t>
  </si>
  <si>
    <t>1.30 am</t>
  </si>
  <si>
    <t xml:space="preserve">DIAZ </t>
  </si>
  <si>
    <t>Maquinista de empaquetadora</t>
  </si>
  <si>
    <t xml:space="preserve">Trabajador menciona que al acercarse a la maquina Bosh 2 para realizar cambio de bolsa de paquetes defectuosos siente el ingreso de particula en el ojo izquierdo, esto al solplo de paquetes que realiza la maquina pero al acercarse a las aduanas no evidencia nada en el ojo; . El trabajador se retira del turno a las 5: am y a las 11:30 despues de descansar siente dolor en el ojo por lo que se acerca a un centro medico en donde le realizan limpieza y recetan gotas.  </t>
  </si>
  <si>
    <t xml:space="preserve">El 22/10/2024 aproximadamente a las 16:15 P.M en el área de sanitarios en la maquina z8, el operador CESAR MONTALVAN decide resetear la máquina (envasadora) debido a que los pistones se habían desalineado. Al parar la línea, uno de los envases con producto (ANTIHONGO) queda a la altura del empujador; en ese momento, el colaborador CHRISTIAN ARRIAGA procede a retirar aquel frasco; instantáneamente, se activa el empujador presionando el frasco con producto el cual llega a salpicar al trabajador, ALEX LOPEZ (cara, ojo izquierdo), quien se encontraba realizando la colocación de tapas del producto en mención generándole ardor especialmente en los ojos. Posteriormente, acude al lavaojos, pero este se encontraba inoperativo, por lo que, se dirigió al baño para realizarse el lavado de ojos.
Posteriormente, acudió al tópico donde fue atendido por el inspector Fernando con asesoría de la Dra. María, donde se realizó el lavado de ojos por 20 minutos y la aplicación de gotas.
Al día 23/10/2024, el trabajador manifiesta estar sin dolor, escozor ni irritación ocular. </t>
  </si>
  <si>
    <t>SAAVEDRA</t>
  </si>
  <si>
    <t>BERNALES</t>
  </si>
  <si>
    <t>HEDINZON ALBERTO</t>
  </si>
  <si>
    <t>El día 29/08/2024 dos colaboradores de pesado y dispensación hicieron caer un balde de 26.5 litros, al impactar el balde con el suelo rebota e impacta en la pierna derecha del colaborador Saavedra.</t>
  </si>
  <si>
    <t>Intralab</t>
  </si>
  <si>
    <t>El trabajador MONTES HEREDIA BRYAN,el día 17/09/2024 a las 10:20 am se encontraba paletizando al momento de colocar una paleta sobre otra con ayuda de un compañero que al soltar el la palleta superior porque su dedo meñique queda atrapado en medio por tal motivo jala su mano sin sentir dolor debido a que se encontraba con guantes</t>
  </si>
  <si>
    <t>PROAÑO</t>
  </si>
  <si>
    <t>RODRIGO RODOLFO</t>
  </si>
  <si>
    <t>Al promediar las 10:40 a.m, los colaboradores Rodrigo y Tafur se encontraban realizando la nivelación de la máquina encintadora, en la que el compañero Rodrigo al utilizar la llave para nivelar la encintadora con la mesa desafloja un soporte de la encintadora asumiendo que los otros soportes están asegurados y de golpe baja la encintadora debido a que un soporte del otro extramo se encontraba desajustado.                                                       La encintadora no impacto con el piso tampoco golpeo al trabajador debido a que el trabajador Tafur se encontraba sosteniendo la encintadora.</t>
  </si>
  <si>
    <t>INTRADEVCO</t>
  </si>
  <si>
    <t>CUBA</t>
  </si>
  <si>
    <t>El colaborador se encontraba desconectando la manguera para realizar el cambio del motor averiado cuando, al realizar dicha acción, una pequeña cantidad de producto (KlinTex) le cayó en la cara, específicamente en la frente. El Sr. César Cuba se dirigió al lavaojos más cercano, se quitó los lentes de seguridad y comenzó a limpiarse. Sin embargo, el producto escurrió hacia su ojo, por lo que dejó de usar el lavaojos debido a que el agua no fluía correctamente. Posteriormente, se retiró hacia los servicios higiénicos para continuar con el lavado. Más tarde, acudió al tópico, donde fue atendido por la enfermera. Allí se le realizó un lavado ocular durante 20 minutos y se le aplicaron las gotas correspondientes.</t>
  </si>
  <si>
    <t>ROBERTO</t>
  </si>
  <si>
    <t>El trabajador se encontraba trasladando un bidón de merma, en una carreta, al girar la carreta para acomodar el producto; el trabajador se golpea el pie con el pallet que se encontraba en el area con materiales en desuso.</t>
  </si>
  <si>
    <t>MONTENEGRO</t>
  </si>
  <si>
    <t>BAUTISTA</t>
  </si>
  <si>
    <t>ROLANDO JAIL</t>
  </si>
  <si>
    <t>El trabajador se encontraba realizando el ofertado de bipack en la línea 8, es en donde al jalar la etiqueta por el borde, el trabajador sufre un corte superficial en el dedo índice de la mano izquierda.</t>
  </si>
  <si>
    <t>DE LA VEGA</t>
  </si>
  <si>
    <t>NECOCHEA</t>
  </si>
  <si>
    <t>PERCY ALBERTO</t>
  </si>
  <si>
    <t>El trabajador se encontraba en la línea 8, acomodando la pasta dental en las canoas, es en donde su dedo índice derecho se queda atrapado entre el espacio que existe entre canoa y canoa.</t>
  </si>
  <si>
    <t xml:space="preserve">El colaborador Rolando Montenegro se encontraba realizando la actividad de paletizado, al acomodar constantemente las cajas embaladas en el pallet de manera, se produjo un hinchazón ligero de la muñeca izquierda, se aplico diclofenaco en gel con descanso 30 min y el colaborador retorna a su área de trabajo. </t>
  </si>
  <si>
    <t>GEORGE LENNON</t>
  </si>
  <si>
    <t xml:space="preserve">El colaborador George Álvarez se encontraba realizando montaje de tuberías de tuberias, no se percataron de todos los seguros estén bien puestos, el colaborador sube, se va hacia delante y se recuesta en la pared en lo que se golpea el antebrazo, se raspa el brazo y codo. </t>
  </si>
  <si>
    <t>VILLON</t>
  </si>
  <si>
    <t>GEANFRANCO</t>
  </si>
  <si>
    <t xml:space="preserve">El colaborador Arévalo Villon Geanfranco CA.  se encontraba en la VAI, colocando la paleta para que sus compañeros pudieran continuar apilando. Sin embargo, al alzar la paleta con prisa, esta se le resbaló y, debido a la caída, se le aplastó el dedo meñique de la mano izquierda. </t>
  </si>
  <si>
    <t>Meñique izquierdo</t>
  </si>
  <si>
    <t>Manipulacion de paletas</t>
  </si>
  <si>
    <t>Contusion en meñique</t>
  </si>
  <si>
    <t>GUERRA</t>
  </si>
  <si>
    <t>CINDY</t>
  </si>
  <si>
    <t xml:space="preserve">A inicios de diciembre se registró la avería de la codificadora de la línea envasadora de lejía IMSB 2; por lo que se creó una posición provisional para colocar manualmente las etiquetas en las cajas de producto terminado que salían de la línea. Este puesto de trabajo se ubicó frente a los polines libres que se ubican luego de la faja transportadora de salida del producto terminado. Las actividades de este puesto iniciaron sin contar con un análisis de riesgos.
El lunes 23/12 aproximadamente a las 12 30 pm, la colaboradora que se encontraba colocando manualmente las etiquetas, sufre el atrapamiento de su mano derecha entre la faja transportadora y el primer polín libre, generándose el aplastamiento de su mano.
</t>
  </si>
  <si>
    <t>Etiquetado manual de cajas</t>
  </si>
  <si>
    <t>Faja y polines</t>
  </si>
  <si>
    <t>Plazo fijo</t>
  </si>
  <si>
    <t>OLORTEGUI</t>
  </si>
  <si>
    <t>LEYDA</t>
  </si>
  <si>
    <t>La colaboradora Leyda Laura Olortegui CA. se encontraba en la línea 3, realizando la actividad de divisiones, al empujar la caja con el producto hacia la encintadora, notó que ésta estaba desalineada, con el objetivo de centrarla, colocó su mano izquierda sobre la caja y al momento de moverla sus dedos quedan atrapados entre la máquina y la caja, siendo afectado su dedo anular. Asimismo, menciona que rápidamente saca su mano.</t>
  </si>
  <si>
    <t>Anular izquierdo</t>
  </si>
  <si>
    <t>Manipulacion de cajas</t>
  </si>
  <si>
    <t>Contusion anular izquierdo</t>
  </si>
  <si>
    <t xml:space="preserve"> CORONADO DE YOVERA</t>
  </si>
  <si>
    <t>ROCIO DEL PILAR</t>
  </si>
  <si>
    <t xml:space="preserve">La colaboradora se dirigía a cenar a las 9:30 p.m. cuando se dio cuenta de que ya había una fila formada en la vereda, y algunas personas estaban sentadas al borde, lo que reducía el espacio disponible. En ese momento, un grupo de colaboradores (CA) que venía caminando rápido hacia la cola la empujó, lo que provocó que ella cayera de rodillas. Sin embargo, se levantó rápidamente y continuó formándose en la cola, menciona que solo sentía un ardor en la rodilla izquierda. Debido a esto, no informó de inmediato y terminó su cena. Dió aviso recién después de una hora y media, ya que al momento de caminar, le duele su rodilla Izquierda. </t>
  </si>
  <si>
    <t>JIMENEZ</t>
  </si>
  <si>
    <t xml:space="preserve">PUELLES </t>
  </si>
  <si>
    <t>PAOLA SILVIA</t>
  </si>
  <si>
    <t>Colaboradora se encontraba realizando el dosificado en la línea 2.
Al colocar los potes uno de ellos se mueve y al intentar posicionar  correctamente, la crema cae en la zona dorsal de mano derecha. 
Considerar que en esta actividad hacen uso de guantes de nitrilo y temperatura varía entre 45° a 52°</t>
  </si>
  <si>
    <t>Abastecimiento de producto</t>
  </si>
  <si>
    <t>Quemadura superficial</t>
  </si>
  <si>
    <t xml:space="preserve">ESPINOZA </t>
  </si>
  <si>
    <t>ALEXIS XAVIER</t>
  </si>
  <si>
    <t xml:space="preserve">Colaborador se encontraba realizando la actividad de abastecimiento, al ingresar a la línea 2 para colocar divisiones sufre un golpe con la varilla sobresalida de la codificadora de cajas causando un pequeño raspón y enrojecimiento en la zona región lumbar lateral baja.
Cabe mencionar que se ha tenido observaciones anteriormente debido al espacio reducido ya que está la máquina meypack </t>
  </si>
  <si>
    <t>Abastecimiento de cajas</t>
  </si>
  <si>
    <t>Contusion en region lumbar</t>
  </si>
  <si>
    <t>MELGAREJO</t>
  </si>
  <si>
    <t>GUEVARA</t>
  </si>
  <si>
    <t>ROBERTO CARLOS</t>
  </si>
  <si>
    <t>El colaborador Melgarejo se encontraba abasteciendo el ducto #2 (ducto manual) y por detrás venía el colaborador Piña Flores, quien supuso erróneamente que su compañero estaba avanzando. Sin embargo, lo que Melgarejo hacía en ese momento era acomodar el coche para el empuje. Fue en ese instante cuando Piña, al avanzar, golpeó accidentalmente a Melgarejo en el talón izquierdo con la punta de la estructura metálica que cubre la rueda.</t>
  </si>
  <si>
    <t>Manipulacion de coche</t>
  </si>
  <si>
    <t>Contusion en talon izquierdo</t>
  </si>
  <si>
    <t>CARLOS JESUS</t>
  </si>
  <si>
    <t>Colaborador se encontraba realizando la limpieza externa de la batidora #01 con una espátula debido a la parada de producción.
Retiraba la crema pegada de los bordes, luego al levantarse de manera brusca y al retroceder impacta la cabeza con el borde del tablero de control( pizarra) generando golpe en la cabeza- región parietal izquierda y a su vez sangrado por herida superficial. Intensidad de dolor moderado
Refiere que se paró varias veces, sin embargo; en la última no se percató y se ocasiona el accidente</t>
  </si>
  <si>
    <t>Limpieza del area</t>
  </si>
  <si>
    <t>Contusion en cabeza</t>
  </si>
  <si>
    <t xml:space="preserve">El colaborador estaba colocando la paleta para que sus compañeros pudieran continuar apilando, cuando, al retirar la paleta vacía, esta quedó enganchada con otra que estaba detrás. Como resultado, al jalarla, la paleta giró hacia él, golpeándolo en el vientre bajo derecho (Pelvis). Cabe mencionar que si manipuló la paleta con apoyo. </t>
  </si>
  <si>
    <t>Pelvis derecha</t>
  </si>
  <si>
    <t>Contusion en pelvis</t>
  </si>
  <si>
    <t>TANGOA</t>
  </si>
  <si>
    <t>IÑAPI</t>
  </si>
  <si>
    <t>CEILITH</t>
  </si>
  <si>
    <t>Colaboradora se encontraba realizando la actividad de esponjado en la línea 1- lado de pistones 1 y 2.
Sus compañeras mientras realizaban sus actividades de ofertado y codificado se encontraban bromeando y jugando de manos, hasta que una de ellas (la que estaba ofertando) se mueve generando que la ofertadora pierda estabilidad puesto que no tiene una posición fija.
Para evitar que caiga, lo detiene rápidamente e impacta el regulador de cinta contra el brazo derecho de la colaboradora en mención, a pesar del intento la ofertadora cae al piso.</t>
  </si>
  <si>
    <t>Colocacion de esponjas</t>
  </si>
  <si>
    <t>Contusion en brazo derecho</t>
  </si>
  <si>
    <t>PAICO</t>
  </si>
  <si>
    <t>DIAZ DE VEGA</t>
  </si>
  <si>
    <t>FLOR DIANIRA</t>
  </si>
  <si>
    <t>La colaboradora se encontraba en la línea 1 y, al momento de realizar el cambio de actividad, procedió a hacer la limpieza. Al agacharse para recoger las esponjas, su compañera, que se encontraba a su lado, rozó con la ofertadora. Debido a la inestabilidad de esta, la ofertadora se cayó, golpeando a la colaboradora en la espalda del lado izquierdo.</t>
  </si>
  <si>
    <t>Contusion en espalda</t>
  </si>
  <si>
    <t>Molino Arequipa - embolsado de harina</t>
  </si>
  <si>
    <t>d</t>
  </si>
  <si>
    <t>AMANQUI</t>
  </si>
  <si>
    <t>EDGAR</t>
  </si>
  <si>
    <t>El trabajador se encontraba embolsado harina,  cuando recibe la indicacion de colocar la bolsa mas abajo de lo normal debido a que la harina estaba con mucho volumen, al colocar la bolsa como le indicaron;  la mordaza solo sujetó la mitad por lo que era necesario retirar la bolsa, para ello el trabajador acciona el giro del carrusel y en paralelo intenta aperturar la mordaza para el retiro de la bolsa, en eso fue golpeado por la mordaza</t>
  </si>
  <si>
    <t>Embosado de harina</t>
  </si>
  <si>
    <t>herida en el antebrazo</t>
  </si>
  <si>
    <t>Cuenta de Tipo de Accidente3</t>
  </si>
  <si>
    <t>LABORATORIO</t>
  </si>
  <si>
    <t>Cuenta de NOMBRES</t>
  </si>
  <si>
    <t>PLANTAS DE CADA SOCIEDAD</t>
  </si>
  <si>
    <t>PAÍS</t>
  </si>
  <si>
    <t>RAZON_SOCIAL</t>
  </si>
  <si>
    <t>DIRECCIÓN</t>
  </si>
  <si>
    <t>TIPO DE TRABAJADOR</t>
  </si>
  <si>
    <t>ANTIGÜEDAD</t>
  </si>
  <si>
    <t>TIPO DE CONTACTO</t>
  </si>
  <si>
    <t>PARTE DEL CUERPO AFECTADA 2</t>
  </si>
  <si>
    <t>LESION</t>
  </si>
  <si>
    <t>Quemadura por Frío</t>
  </si>
  <si>
    <t>Ventanilla</t>
  </si>
  <si>
    <t>Golpeado por Equipo Logístico</t>
  </si>
  <si>
    <t>HONDURAS</t>
  </si>
  <si>
    <t>Tercero - Vigilancia</t>
  </si>
  <si>
    <t>APUDEX</t>
  </si>
  <si>
    <t>Tercero - TI</t>
  </si>
  <si>
    <t>Lurin 4_CD1/CD2</t>
  </si>
  <si>
    <t>Lurin 5_20 Mil</t>
  </si>
  <si>
    <t>Visita</t>
  </si>
  <si>
    <t>Amputación</t>
  </si>
  <si>
    <t>Lurin 6_Ex Indurama</t>
  </si>
  <si>
    <t>Servicios Generales</t>
  </si>
  <si>
    <t>Contacto con Energía Eléctrica</t>
  </si>
  <si>
    <t>Vías Digestivas</t>
  </si>
  <si>
    <t>APE</t>
  </si>
  <si>
    <t>PRACTICANTE</t>
  </si>
  <si>
    <t>F. LIMA</t>
  </si>
  <si>
    <t>ACOPIO</t>
  </si>
  <si>
    <t>EDIFICIO CENTRAL</t>
  </si>
  <si>
    <t>JABONERÍA</t>
  </si>
  <si>
    <t>Molino Paita</t>
  </si>
  <si>
    <t>MSR</t>
  </si>
  <si>
    <t>ALMACÉN DE INSUMOS</t>
  </si>
  <si>
    <t>PARQUEOS</t>
  </si>
  <si>
    <t>OFICINAS ADMINISTRATIVAS</t>
  </si>
  <si>
    <t>TEAL SAYON</t>
  </si>
  <si>
    <t>TEAL SICAYA</t>
  </si>
  <si>
    <t>MPA</t>
  </si>
  <si>
    <t>Cuenta de DESCRIPCION DEL ACCIDENTE</t>
  </si>
  <si>
    <t>Etiquetas de columna</t>
  </si>
  <si>
    <t>Enero</t>
  </si>
  <si>
    <t>Febrero</t>
  </si>
  <si>
    <t>Marzo</t>
  </si>
  <si>
    <t>Abril</t>
  </si>
  <si>
    <t>Mayo</t>
  </si>
  <si>
    <t>Junio</t>
  </si>
  <si>
    <t>Parte  Afectada</t>
  </si>
  <si>
    <t xml:space="preserve">Dias DM </t>
  </si>
  <si>
    <t>El trabajador lanzó una varilla de ø ½¨x 1.25m para ubicarla en la zona más alta del punto de acopio, ésta, por su geometría y medida, rebota e impacta en el rostro del trabajador generándole un corte a la altura de la nariz.</t>
  </si>
  <si>
    <t>El Plataformero de la empresa Clean Work se encontraba realizando la actividad de limpieza de plataformas y descansos, y finalizada la limpieza se percata de un fideo manchado con grasa en la zona de las cadenas laterales y decide acercarse a retirarlo sin percatarse del capacho que transporta la caña y le pellizca el dedo (con guante).</t>
  </si>
  <si>
    <t>La colaboradora estaba saliendo del vestuario de damas para comenzar su turno de trabajo. En ese instante, se resbaló y cayó al suelo, golpeándose las rodillas y el hombro.</t>
  </si>
  <si>
    <t xml:space="preserve">El colaborador se encontraba realizando el cambio de un extintor de PQS 20 lb ubicado en el techo de la planta Galletera, para su retiro debe descender por una escalera ; encontrándose en el penúltimo peldaño, pierde el equilibrio y pisa en falso. </t>
  </si>
  <si>
    <t>Durante la maniobra de traslado coches con bandejas con panetones, se ladea hacia los coches estacionados y la penúltima bandeja metálica choca con la estructura de esta última, deslizándose hacia el lado izquierdo golpeando con sus bordes la frente, generándole una herida contusa en dicha zona.</t>
  </si>
  <si>
    <t>alicorp S.A.A.</t>
  </si>
  <si>
    <t>Durante el desmontaje de la bandeja de plancha metálica del separador de cascara #1, los técnicos de mantenimiento  se encontraban retirando los seguros de los perfiles del marco de la batea, al retirar los pernos del lado sur de la plancha esta sede del lado derecho llegando a golpear sobre el tórax del técnico, (la plancha de 0,70 mts * 3 mts con un peso aproximado de  200 kg ) dicha plancha quedo anclada en uno de los soportes laterales y central no llegando a tener contacto el 100% de la plancha con el técnico.</t>
  </si>
  <si>
    <t xml:space="preserve">El colaborador se encontraba realizando corte de pernos en el tornillo de banco. Una parte del cuerpo del perno se quedó sujetada en tornillo de banco y la otra parte quedó sobre la mesa. El colaborador realiza unas coordinaciones con su compañero, y en ese momento un elemento de la mesa de trabajo rueda con dirección al suelo. El colaborador trata de evitar que el elemento caiga sin percatarse que no había retirado el perno con filo vivo de la mordaza del tornillo de banco. Su brazo sufre un corte por lo cual el trabajador se dirige al tópico. </t>
  </si>
  <si>
    <t>El auxiliar de almacén se encontraba en la zona de canales de despacho posicionado al costado de dos paletas vacías. En ese instante un order picker ingresa a dejar mercadería en el canal continuo, que se encontraba libre, sin embargo, al momento de ingresar al canal, impacta con el filo de una de una de las paletas vacías y , por consecuencia la segunda paleta vacía choca con la parte posterior de la pierna izquierda del colaborador afectado.</t>
  </si>
  <si>
    <t>N°</t>
  </si>
  <si>
    <t>Fecha</t>
  </si>
  <si>
    <t xml:space="preserve"> Mientras realizaba su labor, observó que el contenedor de frascos se estaba llenando. En un intento por evitar que los frascos cayeran al suelo, la colaboradora atrapó un frasco y al momento de lanzarlo hacia el contenedor de frascos, se golpea el dedo pulgar izquierdo contra la pared del contenedor. </t>
  </si>
  <si>
    <t xml:space="preserve">Se encontraba realizando labores de compactación de residuos y al momento de cerrar la compuerta N°1, el personal posiciona la mano izquierda al borde de la puerta para luego realizar el cierre manual; durante esta actividad se produjo la atricción del medio de la mano izquierda. </t>
  </si>
  <si>
    <t xml:space="preserve">El conductor, se encontraba finalizando la actividad de succión de líquidos en el área de Refinería, al intentar desactivar la bomba hidráulica, se produjo una expulsión de hidrolina desde la bomba, impactando directamente en su rostro y cuerpo causándole un fuerte ardor en la vista. </t>
  </si>
  <si>
    <t>El evento ocurrió en el proceso de carga de la unidad de transporte TRANSCOM, quien procedió a cerrar la cortina metálica lateral pero se dio cuenta que no cerraba fácilmente y sigue intentando con mayor esfuerzo, haciendo que el 3er y 4to dedo su mano izquierda se atrapen.</t>
  </si>
  <si>
    <t>La colaboradora se encontraba realizando sus labores de limpieza de racks.  En ese momento, pisa restos de Acido Sulfónico lineal (HLAS) presente en el piso, se resbala y logra cogerse de la estructura del Rack. Producto de esto, se dobla el tobillo derecho.</t>
  </si>
  <si>
    <t xml:space="preserve">El colaborador se disponía a iniciar el proceso de Frutt cuando detectó que una platina del coche de corte del extrusor 4 estaba doblada. Trató de enderezar la platina con un martillo, pero el martillo se deslizó accidentalmente golpeándose contra la barra metálica de la estructura, generándole un corte en el dedo. </t>
  </si>
  <si>
    <t>Cuenta de Tipo de Accidente</t>
  </si>
  <si>
    <t>Total Lurin 4_Detergente</t>
  </si>
  <si>
    <t>Total Lurin 6</t>
  </si>
  <si>
    <t>Total INTRADEVCO_INDUSTRIAL_SA</t>
  </si>
  <si>
    <t>Total Acc. Incapacitante</t>
  </si>
  <si>
    <t>Total PLANTA DON FELIPE</t>
  </si>
  <si>
    <t>Total ALICORP_BOLIVIA</t>
  </si>
  <si>
    <t>Total DISTRIBUCIÓN</t>
  </si>
  <si>
    <t>Total ALICORP_SAA</t>
  </si>
  <si>
    <t>Total Acc. No Incapacitante</t>
  </si>
  <si>
    <t>Total NO</t>
  </si>
  <si>
    <t>Total CENTROS DE DISTRIBUCIÓN</t>
  </si>
  <si>
    <t>Total PLANTA COCHABAMBA</t>
  </si>
  <si>
    <t>Total PLANTA PARQUE INDUSTRIAL</t>
  </si>
  <si>
    <t>Total Administración</t>
  </si>
  <si>
    <t>Total APT MCA</t>
  </si>
  <si>
    <t>Total AREAS COMUNES</t>
  </si>
  <si>
    <t>Total CDC</t>
  </si>
  <si>
    <t>Total COMEDOR</t>
  </si>
  <si>
    <t>Total Comedor Copsa</t>
  </si>
  <si>
    <t>Total COPSA</t>
  </si>
  <si>
    <t>Total DETERGENTES CALLAO</t>
  </si>
  <si>
    <t>Total EDIFICIO MIRAFLORES</t>
  </si>
  <si>
    <t>Total EEII Copsa</t>
  </si>
  <si>
    <t>Total Fideeria Lima</t>
  </si>
  <si>
    <t>Total GALLETERA &amp; INSTANTÁNEOS</t>
  </si>
  <si>
    <t>Total Latam 400</t>
  </si>
  <si>
    <t>Total MCA</t>
  </si>
  <si>
    <t>Total MFA</t>
  </si>
  <si>
    <t>Total MIRAFLORES</t>
  </si>
  <si>
    <t>Total SIDSUR</t>
  </si>
  <si>
    <t>Total ALMACÉN 4</t>
  </si>
  <si>
    <t>Total CD1-CD2</t>
  </si>
  <si>
    <t>Total Chorrillos</t>
  </si>
  <si>
    <t>Total Lurin 2_Planta principal</t>
  </si>
  <si>
    <t>Total Lurin 5_20mil</t>
  </si>
  <si>
    <t>Total GLOBAL CAJAMARQUILLA</t>
  </si>
  <si>
    <t>Total GLOBAL ÑANA</t>
  </si>
  <si>
    <t>Total Teal Sicaya</t>
  </si>
  <si>
    <t>Total MASTERBREAD</t>
  </si>
  <si>
    <t>Total SI</t>
  </si>
  <si>
    <t>(en blanco)</t>
  </si>
  <si>
    <t>Total CENTROS DE ACOPIO</t>
  </si>
  <si>
    <t>Total CD Piura</t>
  </si>
  <si>
    <t>Total COMEDORES</t>
  </si>
  <si>
    <t>Total Lurin 1_Hipoclorito</t>
  </si>
  <si>
    <t>Total Lurin 2_Principal</t>
  </si>
  <si>
    <t>Total Lurin 3_Sulfonación</t>
  </si>
  <si>
    <t>Total (en blanco)</t>
  </si>
  <si>
    <t>Total GALLETERA</t>
  </si>
  <si>
    <t>Total MOLINO VICTORIA</t>
  </si>
  <si>
    <t>Total CALIDAD</t>
  </si>
  <si>
    <t>Total  </t>
  </si>
  <si>
    <t xml:space="preserve"> </t>
  </si>
  <si>
    <t xml:space="preserve">Total  </t>
  </si>
  <si>
    <t>Cuenta de EMPRESA</t>
  </si>
  <si>
    <t>A</t>
  </si>
  <si>
    <t>B</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</si>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</sst>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7" x14ac:knownFonts="1">
    <font>
      <sz val="11"/>
      <color theme="1"/>
      <name val="Aptos Narrow"/>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10"/>
      <color theme="1"/>
      <name val="Aptos Narrow"/>
      <family val="2"/>
      <scheme val="minor"/>
    </font>
    <font>
      <sz val="8"/>
      <name val="Aptos Narrow"/>
      <family val="2"/>
      <scheme val="minor"/>
    </font>
    <font>
      <sz val="11"/>
      <color indexed="8"/>
      <name val="Calibri"/>
      <family val="2"/>
    </font>
    <font>
      <sz val="9"/>
      <name val="Aptos Narrow"/>
      <family val="2"/>
      <scheme val="minor"/>
    </font>
    <font>
      <sz val="11"/>
      <color rgb="FF000000"/>
      <name val="Calibri"/>
      <family val="2"/>
    </font>
    <font>
      <b/>
      <sz val="9"/>
      <name val="Aptos Narrow"/>
      <family val="2"/>
      <scheme val="minor"/>
    </font>
    <font>
      <sz val="9"/>
      <color rgb="FF000000"/>
      <name val="Aptos Narrow"/>
      <family val="2"/>
      <scheme val="minor"/>
    </font>
    <font>
      <b/>
      <sz val="9"/>
      <color theme="0"/>
      <name val="Aptos Narrow"/>
      <family val="2"/>
      <scheme val="minor"/>
    </font>
    <font>
      <sz val="8"/>
      <color rgb="FF000000"/>
      <name val="Aptos Narrow"/>
      <family val="2"/>
      <scheme val="minor"/>
    </font>
    <font>
      <sz val="9"/>
      <color theme="1"/>
      <name val="Aptos Narrow"/>
      <family val="2"/>
      <scheme val="minor"/>
    </font>
    <font>
      <sz val="9"/>
      <name val="Aptos Narrow"/>
      <family val="2"/>
    </font>
    <font>
      <sz val="9"/>
      <color rgb="FFFF0000"/>
      <name val="Aptos Narrow"/>
      <family val="2"/>
      <scheme val="minor"/>
    </font>
  </fonts>
  <fills count="24">
    <fill>
      <patternFill patternType="none"/>
    </fill>
    <fill>
      <patternFill patternType="gray125"/>
    </fill>
    <fill>
      <patternFill patternType="solid">
        <fgColor rgb="FF92D050"/>
        <bgColor rgb="FF92D050"/>
      </patternFill>
    </fill>
    <fill>
      <patternFill patternType="solid">
        <fgColor rgb="FFFFFF00"/>
        <bgColor rgb="FF92D050"/>
      </patternFill>
    </fill>
    <fill>
      <patternFill patternType="solid">
        <fgColor rgb="FFADB9CA"/>
        <bgColor rgb="FFADB9CA"/>
      </patternFill>
    </fill>
    <fill>
      <patternFill patternType="solid">
        <fgColor rgb="FFFFFF00"/>
        <bgColor rgb="FFADB9CA"/>
      </patternFill>
    </fill>
    <fill>
      <patternFill patternType="solid">
        <fgColor rgb="FFFFFF00"/>
        <bgColor rgb="FFFFFF00"/>
      </patternFill>
    </fill>
    <fill>
      <patternFill patternType="solid">
        <fgColor rgb="FFFFFF00"/>
        <bgColor theme="0"/>
      </patternFill>
    </fill>
    <fill>
      <patternFill patternType="solid">
        <fgColor theme="1"/>
        <bgColor theme="1"/>
      </patternFill>
    </fill>
    <fill>
      <patternFill patternType="solid">
        <fgColor rgb="FFFFFF00"/>
        <bgColor indexed="64"/>
      </patternFill>
    </fill>
    <fill>
      <patternFill patternType="solid">
        <fgColor theme="2" tint="-0.249977111117893"/>
        <bgColor rgb="FF92D050"/>
      </patternFill>
    </fill>
    <fill>
      <patternFill patternType="solid">
        <fgColor rgb="FFFF0000"/>
        <bgColor rgb="FF92D050"/>
      </patternFill>
    </fill>
    <fill>
      <patternFill patternType="solid">
        <fgColor theme="0"/>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3" tint="0.749992370372631"/>
        <bgColor indexed="64"/>
      </patternFill>
    </fill>
    <fill>
      <patternFill patternType="solid">
        <fgColor rgb="FFFFFFFF"/>
        <bgColor rgb="FF000000"/>
      </patternFill>
    </fill>
    <fill>
      <patternFill patternType="solid">
        <fgColor theme="3" tint="9.9978637043366805E-2"/>
        <bgColor rgb="FF92D050"/>
      </patternFill>
    </fill>
    <fill>
      <patternFill patternType="solid">
        <fgColor theme="3" tint="9.9978637043366805E-2"/>
        <bgColor rgb="FFADB9CA"/>
      </patternFill>
    </fill>
    <fill>
      <patternFill patternType="solid">
        <fgColor rgb="FFFFC000"/>
        <bgColor indexed="64"/>
      </patternFill>
    </fill>
    <fill>
      <patternFill patternType="solid">
        <fgColor theme="3" tint="0.249977111117893"/>
        <bgColor rgb="FF92D050"/>
      </patternFill>
    </fill>
    <fill>
      <patternFill patternType="solid">
        <fgColor theme="3" tint="0.249977111117893"/>
        <bgColor rgb="FFADB9CA"/>
      </patternFill>
    </fill>
    <fill>
      <patternFill patternType="solid">
        <fgColor theme="3" tint="0.249977111117893"/>
        <bgColor rgb="FFFFFF00"/>
      </patternFill>
    </fill>
    <fill>
      <patternFill patternType="solid">
        <fgColor rgb="FFDAF2D0"/>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right/>
      <top style="thin">
        <color theme="1"/>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rgb="FF000000"/>
      </left>
      <right style="thin">
        <color rgb="FF000000"/>
      </right>
      <top style="thin">
        <color rgb="FF000000"/>
      </top>
      <bottom/>
      <diagonal/>
    </border>
  </borders>
  <cellStyleXfs count="1">
    <xf numFmtId="0" fontId="0" fillId="0" borderId="0"/>
  </cellStyleXfs>
  <cellXfs count="133">
    <xf numFmtId="0" fontId="0" fillId="0" borderId="0" xfId="0"/>
    <xf numFmtId="0" fontId="0" fillId="0" borderId="0" xfId="0" applyAlignment="1">
      <alignment horizontal="center"/>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xf>
    <xf numFmtId="0" fontId="2" fillId="8" borderId="0" xfId="0" applyFont="1" applyFill="1" applyAlignment="1">
      <alignment horizontal="center"/>
    </xf>
    <xf numFmtId="0" fontId="2" fillId="8" borderId="4" xfId="0" applyFont="1" applyFill="1" applyBorder="1" applyAlignment="1">
      <alignment horizontal="center"/>
    </xf>
    <xf numFmtId="0" fontId="0" fillId="9" borderId="0" xfId="0" applyFill="1"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xf>
    <xf numFmtId="0" fontId="5" fillId="0" borderId="0" xfId="0" applyFont="1"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7" fillId="0" borderId="0" xfId="0" applyFont="1"/>
    <xf numFmtId="0" fontId="7" fillId="12" borderId="0" xfId="0" applyFont="1" applyFill="1"/>
    <xf numFmtId="0" fontId="0" fillId="0" borderId="0" xfId="0" applyAlignment="1">
      <alignment horizontal="left" indent="1"/>
    </xf>
    <xf numFmtId="0" fontId="0" fillId="0" borderId="0" xfId="0" applyAlignment="1">
      <alignment horizontal="left" indent="2"/>
    </xf>
    <xf numFmtId="0" fontId="0" fillId="15" borderId="0" xfId="0" applyFill="1" applyAlignment="1">
      <alignment horizontal="left" indent="2"/>
    </xf>
    <xf numFmtId="0" fontId="1" fillId="0" borderId="3" xfId="0" applyFont="1" applyBorder="1"/>
    <xf numFmtId="0" fontId="1" fillId="0" borderId="5" xfId="0" applyFont="1" applyBorder="1"/>
    <xf numFmtId="0" fontId="1" fillId="0" borderId="4" xfId="0" applyFont="1" applyBorder="1"/>
    <xf numFmtId="0" fontId="1" fillId="0" borderId="0" xfId="0" applyFont="1"/>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14" borderId="1" xfId="0" applyFont="1" applyFill="1" applyBorder="1" applyAlignment="1">
      <alignment horizontal="center" vertical="center"/>
    </xf>
    <xf numFmtId="0" fontId="8" fillId="0" borderId="7" xfId="0" applyFont="1" applyBorder="1" applyAlignment="1">
      <alignment horizontal="center" vertical="center"/>
    </xf>
    <xf numFmtId="0" fontId="8" fillId="0" borderId="6" xfId="0" applyFont="1" applyBorder="1" applyAlignment="1">
      <alignment horizontal="center" vertical="center"/>
    </xf>
    <xf numFmtId="0" fontId="9" fillId="16" borderId="12" xfId="0" applyFont="1" applyFill="1" applyBorder="1"/>
    <xf numFmtId="0" fontId="0" fillId="0" borderId="1" xfId="0" applyBorder="1" applyAlignment="1">
      <alignment horizontal="center"/>
    </xf>
    <xf numFmtId="0" fontId="0" fillId="0" borderId="1" xfId="0" applyBorder="1" applyAlignment="1">
      <alignment horizontal="left" vertical="center"/>
    </xf>
    <xf numFmtId="0" fontId="8" fillId="0" borderId="7" xfId="0" applyFont="1" applyBorder="1" applyAlignment="1">
      <alignment horizontal="center" vertical="center" wrapText="1"/>
    </xf>
    <xf numFmtId="0" fontId="0" fillId="0" borderId="1" xfId="0" applyBorder="1" applyAlignment="1">
      <alignment horizontal="center" vertical="center"/>
    </xf>
    <xf numFmtId="0" fontId="0" fillId="9" borderId="0" xfId="0" applyFill="1" applyAlignment="1">
      <alignment horizontal="left"/>
    </xf>
    <xf numFmtId="0" fontId="0" fillId="0" borderId="15" xfId="0" applyBorder="1" applyAlignment="1">
      <alignment horizontal="center"/>
    </xf>
    <xf numFmtId="0" fontId="8" fillId="2" borderId="10"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0" borderId="8" xfId="0" applyFont="1" applyBorder="1" applyAlignment="1">
      <alignment horizontal="center" vertical="center" wrapText="1"/>
    </xf>
    <xf numFmtId="164" fontId="8" fillId="0" borderId="1" xfId="0" applyNumberFormat="1" applyFont="1" applyBorder="1" applyAlignment="1">
      <alignment horizontal="center" vertical="center" wrapText="1"/>
    </xf>
    <xf numFmtId="1" fontId="8" fillId="0" borderId="1" xfId="0" applyNumberFormat="1" applyFont="1" applyBorder="1" applyAlignment="1">
      <alignment horizontal="center" vertical="center" wrapText="1"/>
    </xf>
    <xf numFmtId="20" fontId="8" fillId="0" borderId="1" xfId="0" applyNumberFormat="1" applyFont="1" applyBorder="1" applyAlignment="1">
      <alignment horizontal="center" vertical="center" wrapText="1"/>
    </xf>
    <xf numFmtId="14" fontId="8" fillId="0" borderId="1" xfId="0" applyNumberFormat="1" applyFont="1" applyBorder="1" applyAlignment="1">
      <alignment horizontal="center" vertical="center" wrapText="1"/>
    </xf>
    <xf numFmtId="0" fontId="8" fillId="13" borderId="1" xfId="0" applyFont="1" applyFill="1" applyBorder="1" applyAlignment="1">
      <alignment horizontal="center" vertical="center" wrapText="1"/>
    </xf>
    <xf numFmtId="0" fontId="8" fillId="0" borderId="1" xfId="0" quotePrefix="1" applyFont="1" applyBorder="1" applyAlignment="1">
      <alignment horizontal="center" vertical="center" wrapText="1"/>
    </xf>
    <xf numFmtId="14" fontId="8" fillId="9" borderId="1"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14" fontId="8" fillId="0" borderId="7" xfId="0" applyNumberFormat="1" applyFont="1" applyBorder="1" applyAlignment="1">
      <alignment horizontal="center" vertical="center" wrapText="1"/>
    </xf>
    <xf numFmtId="20" fontId="8" fillId="0" borderId="7" xfId="0" applyNumberFormat="1" applyFont="1" applyBorder="1" applyAlignment="1">
      <alignment horizontal="center" vertical="center" wrapText="1"/>
    </xf>
    <xf numFmtId="0" fontId="8" fillId="9" borderId="1" xfId="0" applyFont="1" applyFill="1" applyBorder="1" applyAlignment="1">
      <alignment horizontal="center" vertical="center" wrapText="1"/>
    </xf>
    <xf numFmtId="0" fontId="8" fillId="0" borderId="13" xfId="0" applyFont="1" applyBorder="1" applyAlignment="1">
      <alignment horizontal="center" vertical="center" wrapText="1"/>
    </xf>
    <xf numFmtId="0" fontId="8" fillId="0" borderId="2" xfId="0" applyFont="1" applyBorder="1" applyAlignment="1">
      <alignment horizontal="center" vertical="center" wrapText="1"/>
    </xf>
    <xf numFmtId="14" fontId="8" fillId="0" borderId="2" xfId="0" applyNumberFormat="1" applyFont="1" applyBorder="1" applyAlignment="1">
      <alignment horizontal="center" vertical="center" wrapText="1"/>
    </xf>
    <xf numFmtId="20" fontId="8" fillId="0" borderId="2" xfId="0" applyNumberFormat="1"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quotePrefix="1" applyFont="1" applyBorder="1" applyAlignment="1">
      <alignment horizontal="center" vertical="center" wrapText="1"/>
    </xf>
    <xf numFmtId="0" fontId="8" fillId="0" borderId="11" xfId="0" applyFont="1" applyBorder="1" applyAlignment="1">
      <alignment horizontal="center" vertical="center"/>
    </xf>
    <xf numFmtId="0" fontId="8" fillId="0" borderId="2" xfId="0" applyFont="1" applyBorder="1" applyAlignment="1">
      <alignment horizontal="center" vertical="center"/>
    </xf>
    <xf numFmtId="0" fontId="8" fillId="0" borderId="0" xfId="0" applyFont="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14" fontId="11" fillId="16" borderId="1" xfId="0" applyNumberFormat="1" applyFont="1" applyFill="1" applyBorder="1"/>
    <xf numFmtId="20" fontId="8" fillId="0" borderId="7" xfId="0" applyNumberFormat="1" applyFont="1" applyBorder="1" applyAlignment="1">
      <alignment horizontal="center" vertical="center"/>
    </xf>
    <xf numFmtId="14" fontId="8" fillId="0" borderId="1" xfId="0" applyNumberFormat="1" applyFont="1" applyBorder="1" applyAlignment="1">
      <alignment horizontal="center" vertical="center"/>
    </xf>
    <xf numFmtId="20" fontId="8" fillId="0" borderId="1" xfId="0" applyNumberFormat="1" applyFont="1" applyBorder="1" applyAlignment="1">
      <alignment horizontal="center" vertical="center"/>
    </xf>
    <xf numFmtId="0" fontId="8" fillId="0" borderId="8"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Alignment="1">
      <alignment horizontal="center" vertical="center" wrapText="1"/>
    </xf>
    <xf numFmtId="14" fontId="8" fillId="0" borderId="6" xfId="0" applyNumberFormat="1" applyFont="1" applyBorder="1" applyAlignment="1">
      <alignment horizontal="center" vertical="center" wrapText="1"/>
    </xf>
    <xf numFmtId="0" fontId="8" fillId="0" borderId="16" xfId="0" applyFont="1" applyBorder="1" applyAlignment="1">
      <alignment horizontal="center" vertical="center"/>
    </xf>
    <xf numFmtId="0" fontId="8" fillId="0" borderId="14" xfId="0" applyFont="1" applyBorder="1" applyAlignment="1">
      <alignment horizontal="center" vertical="center"/>
    </xf>
    <xf numFmtId="0" fontId="8" fillId="14" borderId="1" xfId="0" applyFont="1" applyFill="1" applyBorder="1" applyAlignment="1">
      <alignment horizontal="center" vertical="center" wrapText="1"/>
    </xf>
    <xf numFmtId="14" fontId="8" fillId="14" borderId="1"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8" fillId="0" borderId="9" xfId="0" applyFont="1" applyBorder="1" applyAlignment="1">
      <alignment horizontal="center" vertical="center" wrapText="1"/>
    </xf>
    <xf numFmtId="0" fontId="8" fillId="19" borderId="1" xfId="0" applyFont="1" applyFill="1" applyBorder="1" applyAlignment="1">
      <alignment horizontal="center" vertical="center" wrapText="1"/>
    </xf>
    <xf numFmtId="0" fontId="8" fillId="19" borderId="1" xfId="0" applyFont="1" applyFill="1" applyBorder="1" applyAlignment="1">
      <alignment horizontal="center" vertical="center"/>
    </xf>
    <xf numFmtId="0" fontId="8" fillId="19" borderId="1" xfId="0" quotePrefix="1" applyFont="1" applyFill="1" applyBorder="1" applyAlignment="1">
      <alignment horizontal="center" vertical="center" wrapText="1"/>
    </xf>
    <xf numFmtId="14" fontId="8" fillId="19" borderId="1" xfId="0" applyNumberFormat="1" applyFont="1" applyFill="1" applyBorder="1" applyAlignment="1">
      <alignment horizontal="center" vertical="center" wrapText="1"/>
    </xf>
    <xf numFmtId="0" fontId="8" fillId="19" borderId="6" xfId="0" applyFont="1" applyFill="1" applyBorder="1" applyAlignment="1">
      <alignment horizontal="center" vertical="center"/>
    </xf>
    <xf numFmtId="0" fontId="8" fillId="19" borderId="0" xfId="0" applyFont="1" applyFill="1" applyAlignment="1">
      <alignment horizontal="center" vertical="center"/>
    </xf>
    <xf numFmtId="0" fontId="8" fillId="0" borderId="1" xfId="0" applyFont="1" applyBorder="1" applyAlignment="1">
      <alignment vertical="center"/>
    </xf>
    <xf numFmtId="0" fontId="8" fillId="12" borderId="1" xfId="0" applyFont="1" applyFill="1" applyBorder="1" applyAlignment="1">
      <alignment horizontal="center" vertical="center" wrapText="1"/>
    </xf>
    <xf numFmtId="0" fontId="13" fillId="14" borderId="12" xfId="0" applyFont="1" applyFill="1" applyBorder="1" applyAlignment="1">
      <alignment horizontal="left" vertical="center" wrapText="1" readingOrder="1"/>
    </xf>
    <xf numFmtId="0" fontId="6" fillId="14" borderId="1" xfId="0" applyFont="1" applyFill="1" applyBorder="1" applyAlignment="1">
      <alignment horizontal="center" vertical="center" wrapText="1"/>
    </xf>
    <xf numFmtId="14" fontId="6" fillId="14" borderId="1" xfId="0" applyNumberFormat="1" applyFont="1" applyFill="1" applyBorder="1" applyAlignment="1">
      <alignment horizontal="center" vertical="center" wrapText="1"/>
    </xf>
    <xf numFmtId="0" fontId="6" fillId="14" borderId="7" xfId="0" applyFont="1" applyFill="1" applyBorder="1" applyAlignment="1">
      <alignment horizontal="center" vertical="center" wrapText="1"/>
    </xf>
    <xf numFmtId="0" fontId="6" fillId="0" borderId="1" xfId="0" applyFont="1" applyBorder="1" applyAlignment="1">
      <alignment horizontal="center" vertical="center" wrapText="1"/>
    </xf>
    <xf numFmtId="14" fontId="6" fillId="0" borderId="1" xfId="0" applyNumberFormat="1" applyFont="1" applyBorder="1" applyAlignment="1">
      <alignment horizontal="center" vertical="center" wrapText="1"/>
    </xf>
    <xf numFmtId="0" fontId="6" fillId="0" borderId="7" xfId="0" applyFont="1" applyBorder="1" applyAlignment="1">
      <alignment horizontal="center" vertical="center" wrapText="1"/>
    </xf>
    <xf numFmtId="14" fontId="6" fillId="14" borderId="1" xfId="0" applyNumberFormat="1" applyFont="1" applyFill="1" applyBorder="1" applyAlignment="1">
      <alignment horizontal="center" vertical="center"/>
    </xf>
    <xf numFmtId="0" fontId="6" fillId="14" borderId="1" xfId="0" applyFont="1" applyFill="1" applyBorder="1" applyAlignment="1">
      <alignment horizontal="center" vertical="center"/>
    </xf>
    <xf numFmtId="0" fontId="6" fillId="14" borderId="7" xfId="0" applyFont="1" applyFill="1" applyBorder="1" applyAlignment="1">
      <alignment horizontal="center" vertical="center"/>
    </xf>
    <xf numFmtId="164" fontId="6" fillId="0" borderId="1" xfId="0" applyNumberFormat="1" applyFont="1" applyBorder="1" applyAlignment="1">
      <alignment horizontal="center" vertical="center" wrapText="1"/>
    </xf>
    <xf numFmtId="0" fontId="12" fillId="20"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6" fillId="14"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7" xfId="0" applyFont="1" applyBorder="1" applyAlignment="1">
      <alignment horizontal="left" vertical="center" wrapText="1"/>
    </xf>
    <xf numFmtId="16" fontId="8" fillId="0" borderId="1" xfId="0" applyNumberFormat="1" applyFont="1" applyBorder="1" applyAlignment="1">
      <alignment horizontal="center" vertical="center"/>
    </xf>
    <xf numFmtId="14" fontId="11" fillId="16" borderId="1" xfId="0" applyNumberFormat="1" applyFont="1" applyFill="1" applyBorder="1" applyAlignment="1">
      <alignment horizontal="center"/>
    </xf>
    <xf numFmtId="14" fontId="8" fillId="14" borderId="1" xfId="0" applyNumberFormat="1" applyFont="1" applyFill="1" applyBorder="1" applyAlignment="1">
      <alignment horizontal="center" vertical="center"/>
    </xf>
    <xf numFmtId="0" fontId="10" fillId="3" borderId="1" xfId="0" applyFont="1" applyFill="1" applyBorder="1" applyAlignment="1">
      <alignment horizontal="center" vertical="center" wrapText="1"/>
    </xf>
    <xf numFmtId="0" fontId="15" fillId="23" borderId="1" xfId="0" applyFont="1" applyFill="1" applyBorder="1" applyAlignment="1">
      <alignment wrapText="1"/>
    </xf>
    <xf numFmtId="0" fontId="15" fillId="23" borderId="1" xfId="0" applyFont="1" applyFill="1" applyBorder="1"/>
    <xf numFmtId="0" fontId="15" fillId="23" borderId="6" xfId="0" applyFont="1" applyFill="1" applyBorder="1"/>
    <xf numFmtId="14" fontId="15" fillId="23" borderId="1" xfId="0" applyNumberFormat="1" applyFont="1" applyFill="1" applyBorder="1"/>
    <xf numFmtId="0" fontId="16" fillId="0" borderId="1" xfId="0" applyFont="1" applyBorder="1" applyAlignment="1">
      <alignment horizontal="center" vertical="center" wrapText="1"/>
    </xf>
    <xf numFmtId="14" fontId="8" fillId="0" borderId="7" xfId="0" applyNumberFormat="1" applyFont="1" applyBorder="1" applyAlignment="1">
      <alignment horizontal="center" vertical="center"/>
    </xf>
    <xf numFmtId="0" fontId="15" fillId="23" borderId="7" xfId="0" applyFont="1" applyFill="1" applyBorder="1"/>
    <xf numFmtId="14" fontId="8" fillId="0" borderId="2" xfId="0" applyNumberFormat="1" applyFont="1" applyBorder="1" applyAlignment="1">
      <alignment horizontal="center" vertical="center"/>
    </xf>
    <xf numFmtId="20" fontId="8" fillId="0" borderId="2" xfId="0" applyNumberFormat="1" applyFont="1" applyBorder="1" applyAlignment="1">
      <alignment horizontal="center" vertical="center"/>
    </xf>
    <xf numFmtId="0" fontId="15" fillId="23" borderId="7" xfId="0" applyFont="1" applyFill="1" applyBorder="1" applyAlignment="1">
      <alignment wrapText="1"/>
    </xf>
    <xf numFmtId="0" fontId="11" fillId="0" borderId="12" xfId="0" applyFont="1" applyBorder="1" applyAlignment="1">
      <alignment horizontal="center" vertical="center"/>
    </xf>
    <xf numFmtId="0" fontId="11" fillId="0" borderId="0" xfId="0" applyFont="1" applyAlignment="1">
      <alignment horizontal="center" vertical="center" wrapText="1"/>
    </xf>
    <xf numFmtId="0" fontId="14" fillId="0" borderId="0" xfId="0" applyFont="1" applyAlignment="1">
      <alignment horizontal="left" vertical="center" wrapText="1"/>
    </xf>
    <xf numFmtId="0" fontId="11" fillId="0" borderId="12" xfId="0" applyFont="1" applyBorder="1" applyAlignment="1">
      <alignment horizontal="left" vertical="center" wrapText="1" readingOrder="1"/>
    </xf>
    <xf numFmtId="0" fontId="11" fillId="0" borderId="12" xfId="0" applyFont="1" applyBorder="1" applyAlignment="1">
      <alignment vertical="top" wrapText="1" readingOrder="1"/>
    </xf>
    <xf numFmtId="0" fontId="15" fillId="23" borderId="2" xfId="0" applyFont="1" applyFill="1" applyBorder="1"/>
    <xf numFmtId="0" fontId="0" fillId="0" borderId="0" xfId="0" applyAlignment="1">
      <alignment horizontal="center" vertical="center"/>
    </xf>
    <xf numFmtId="0" fontId="8" fillId="19" borderId="8"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0" xfId="0" pivotButton="1" applyFont="1" applyAlignment="1">
      <alignment horizontal="center" vertical="center" wrapText="1"/>
    </xf>
  </cellXfs>
  <cellStyles count="1">
    <cellStyle name="Normal" xfId="0" builtinId="0"/>
  </cellStyles>
  <dxfs count="206">
    <dxf>
      <alignment vertical="center"/>
    </dxf>
    <dxf>
      <alignment vertical="center"/>
    </dxf>
    <dxf>
      <alignment vertical="center"/>
    </dxf>
    <dxf>
      <alignment horizontal="center"/>
    </dxf>
    <dxf>
      <alignment horizontal="center"/>
    </dxf>
    <dxf>
      <alignment vertical="center"/>
    </dxf>
    <dxf>
      <alignment horizontal="center"/>
    </dxf>
    <dxf>
      <font>
        <sz val="10"/>
      </font>
    </dxf>
    <dxf>
      <font>
        <sz val="10"/>
      </font>
    </dxf>
    <dxf>
      <alignment wrapText="1"/>
    </dxf>
    <dxf>
      <alignment wrapText="1"/>
    </dxf>
    <dxf>
      <alignment horizontal="center"/>
    </dxf>
    <dxf>
      <alignment horizontal="center"/>
    </dxf>
    <dxf>
      <alignment horizontal="center"/>
    </dxf>
    <dxf>
      <alignment horizontal="center"/>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FFFF00"/>
        </patternFill>
      </fill>
    </dxf>
    <dxf>
      <fill>
        <patternFill patternType="solid">
          <bgColor rgb="FFFFFF00"/>
        </patternFill>
      </fill>
    </dxf>
    <dxf>
      <fill>
        <patternFill patternType="solid">
          <bgColor rgb="FFFFFF00"/>
        </patternFill>
      </fill>
    </dxf>
    <dxf>
      <border>
        <top style="thin">
          <color indexed="64"/>
        </top>
        <horizontal style="thin">
          <color indexed="64"/>
        </horizontal>
      </border>
    </dxf>
    <dxf>
      <border>
        <top style="thin">
          <color indexed="64"/>
        </top>
        <horizontal style="thin">
          <color indexed="64"/>
        </horizontal>
      </bord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font>
        <sz val="9"/>
      </font>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ont>
        <sz val="9"/>
      </font>
    </dxf>
    <dxf>
      <alignment wrapText="1"/>
    </dxf>
    <dxf>
      <alignment wrapText="1"/>
    </dxf>
    <dxf>
      <alignment horizontal="center"/>
    </dxf>
    <dxf>
      <alignment vertical="center"/>
    </dxf>
    <dxf>
      <alignment vertical="center"/>
    </dxf>
    <dxf>
      <alignment horizontal="center"/>
    </dxf>
    <dxf>
      <alignment horizontal="center"/>
    </dxf>
    <dxf>
      <font>
        <sz val="10"/>
      </font>
    </dxf>
    <dxf>
      <font>
        <sz val="10"/>
      </font>
    </dxf>
    <dxf>
      <font>
        <sz val="10"/>
      </font>
    </dxf>
    <dxf>
      <font>
        <sz val="10"/>
      </font>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solid">
          <fgColor indexed="64"/>
          <bgColor theme="0"/>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border diagonalUp="0" diagonalDown="0">
        <left style="thin">
          <color theme="1"/>
        </left>
        <right style="thin">
          <color theme="1"/>
        </right>
        <top style="thin">
          <color theme="1"/>
        </top>
        <bottom/>
        <vertical/>
        <horizontal/>
      </border>
    </dxf>
    <dxf>
      <border outline="0">
        <top style="thin">
          <color theme="1"/>
        </top>
        <bottom style="thin">
          <color indexed="64"/>
        </bottom>
      </border>
    </dxf>
    <dxf>
      <font>
        <b val="0"/>
        <i val="0"/>
        <strike val="0"/>
        <condense val="0"/>
        <extend val="0"/>
        <outline val="0"/>
        <shadow val="0"/>
        <u val="none"/>
        <vertAlign val="baseline"/>
        <sz val="11"/>
        <color theme="1"/>
        <name val="Aptos Narrow"/>
        <scheme val="minor"/>
      </font>
    </dxf>
    <dxf>
      <font>
        <b/>
        <i val="0"/>
        <strike val="0"/>
        <condense val="0"/>
        <extend val="0"/>
        <outline val="0"/>
        <shadow val="0"/>
        <u val="none"/>
        <vertAlign val="baseline"/>
        <sz val="11"/>
        <color theme="0"/>
        <name val="Aptos Narrow"/>
        <scheme val="minor"/>
      </font>
      <fill>
        <patternFill patternType="solid">
          <fgColor theme="1"/>
          <bgColor theme="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border diagonalUp="0" diagonalDown="0">
        <left/>
        <right/>
        <top style="thin">
          <color theme="1"/>
        </top>
        <bottom/>
        <vertical/>
        <horizontal/>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Aptos Narrow"/>
        <scheme val="minor"/>
      </font>
    </dxf>
    <dxf>
      <font>
        <b/>
        <i val="0"/>
        <strike val="0"/>
        <condense val="0"/>
        <extend val="0"/>
        <outline val="0"/>
        <shadow val="0"/>
        <u val="none"/>
        <vertAlign val="baseline"/>
        <sz val="11"/>
        <color theme="0"/>
        <name val="Aptos Narrow"/>
        <scheme val="minor"/>
      </font>
      <fill>
        <patternFill patternType="solid">
          <fgColor theme="1"/>
          <bgColor theme="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dxf>
    <dxf>
      <border outline="0">
        <top style="thin">
          <color theme="1"/>
        </top>
      </border>
    </dxf>
    <dxf>
      <font>
        <b val="0"/>
        <i val="0"/>
        <strike val="0"/>
        <condense val="0"/>
        <extend val="0"/>
        <outline val="0"/>
        <shadow val="0"/>
        <u val="none"/>
        <vertAlign val="baseline"/>
        <sz val="11"/>
        <color theme="1"/>
        <name val="Aptos Narrow"/>
        <scheme val="minor"/>
      </font>
      <fill>
        <patternFill patternType="none">
          <fgColor indexed="64"/>
          <bgColor indexed="65"/>
        </patternFill>
      </fill>
    </dxf>
    <dxf>
      <font>
        <b val="0"/>
        <i val="0"/>
        <strike val="0"/>
        <condense val="0"/>
        <extend val="0"/>
        <outline val="0"/>
        <shadow val="0"/>
        <u val="none"/>
        <vertAlign val="baseline"/>
        <sz val="11"/>
        <color theme="1"/>
        <name val="Aptos Narrow"/>
        <scheme val="minor"/>
      </font>
    </dxf>
    <dxf>
      <border outline="0">
        <top style="thin">
          <color theme="1"/>
        </top>
      </border>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strike val="0"/>
        <condense val="0"/>
        <extend val="0"/>
        <outline val="0"/>
        <shadow val="0"/>
        <u val="none"/>
        <vertAlign val="baseline"/>
        <sz val="11"/>
        <color theme="0"/>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strike val="0"/>
        <condense val="0"/>
        <extend val="0"/>
        <outline val="0"/>
        <shadow val="0"/>
        <u val="none"/>
        <vertAlign val="baseline"/>
        <sz val="11"/>
        <color theme="0"/>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strike val="0"/>
        <condense val="0"/>
        <extend val="0"/>
        <outline val="0"/>
        <shadow val="0"/>
        <u val="none"/>
        <vertAlign val="baseline"/>
        <sz val="11"/>
        <color theme="0"/>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strike val="0"/>
        <condense val="0"/>
        <extend val="0"/>
        <outline val="0"/>
        <shadow val="0"/>
        <u val="none"/>
        <vertAlign val="baseline"/>
        <sz val="11"/>
        <color theme="0"/>
        <name val="Aptos Narrow"/>
        <scheme val="minor"/>
      </font>
      <alignment horizontal="center" vertical="bottom" textRotation="0" wrapText="0" indent="0" justifyLastLine="0" shrinkToFit="0" readingOrder="0"/>
    </dxf>
    <dxf>
      <alignment horizontal="right"/>
    </dxf>
    <dxf>
      <alignment horizontal="center"/>
    </dxf>
    <dxf>
      <alignment horizontal="center"/>
    </dxf>
    <dxf>
      <alignment horizontal="center"/>
    </dxf>
    <dxf>
      <font>
        <b val="0"/>
        <i val="0"/>
        <strike val="0"/>
        <condense val="0"/>
        <extend val="0"/>
        <outline val="0"/>
        <shadow val="0"/>
        <u val="none"/>
        <vertAlign val="baseline"/>
        <sz val="9"/>
        <color theme="1"/>
        <name val="Aptos Narrow"/>
        <family val="2"/>
        <scheme val="minor"/>
      </font>
      <border diagonalUp="0" diagonalDown="0" outline="0">
        <left/>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9"/>
        <color auto="1"/>
        <name val="Aptos Narrow"/>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numFmt numFmtId="19" formatCode="dd/mm/yyyy"/>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auto="1"/>
        <name val="Aptos Narrow"/>
        <family val="2"/>
        <scheme val="minor"/>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font>
        <strike val="0"/>
        <outline val="0"/>
        <shadow val="0"/>
        <u val="none"/>
        <vertAlign val="baseline"/>
        <sz val="9"/>
        <name val="Aptos Narrow"/>
        <family val="2"/>
        <scheme val="minor"/>
      </font>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auto="1"/>
        <name val="Aptos Narrow"/>
        <family val="2"/>
        <scheme val="minor"/>
      </font>
      <alignment horizontal="center" vertical="center" textRotation="0" indent="0" justifyLastLine="0" shrinkToFit="0" readingOrder="0"/>
    </dxf>
    <dxf>
      <border>
        <bottom style="thin">
          <color indexed="64"/>
        </bottom>
      </border>
    </dxf>
    <dxf>
      <font>
        <strike val="0"/>
        <outline val="0"/>
        <shadow val="0"/>
        <u val="none"/>
        <vertAlign val="baseline"/>
        <sz val="9"/>
        <color auto="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00000000-0011-0000-FFFF-FFFF00000000}"/>
  </tableStyles>
  <colors>
    <mruColors>
      <color rgb="FFFF7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381000</xdr:colOff>
      <xdr:row>7</xdr:row>
      <xdr:rowOff>114300</xdr:rowOff>
    </xdr:from>
    <xdr:to>
      <xdr:col>19</xdr:col>
      <xdr:colOff>76200</xdr:colOff>
      <xdr:row>29</xdr:row>
      <xdr:rowOff>28575</xdr:rowOff>
    </xdr:to>
    <xdr:pic>
      <xdr:nvPicPr>
        <xdr:cNvPr id="2" name="Imagen 1">
          <a:extLst>
            <a:ext uri="{FF2B5EF4-FFF2-40B4-BE49-F238E27FC236}">
              <a16:creationId xmlns:a16="http://schemas.microsoft.com/office/drawing/2014/main" id="{18645B4F-3735-237F-460A-C251B0EF8698}"/>
            </a:ext>
          </a:extLst>
        </xdr:cNvPr>
        <xdr:cNvPicPr>
          <a:picLocks noChangeAspect="1"/>
        </xdr:cNvPicPr>
      </xdr:nvPicPr>
      <xdr:blipFill>
        <a:blip xmlns:r="http://schemas.openxmlformats.org/officeDocument/2006/relationships" r:embed="rId1"/>
        <a:stretch>
          <a:fillRect/>
        </a:stretch>
      </xdr:blipFill>
      <xdr:spPr>
        <a:xfrm>
          <a:off x="9906000" y="1447800"/>
          <a:ext cx="4572000" cy="41052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ge Antonio Herrera Osorio" refreshedDate="45832.375765509256" createdVersion="8" refreshedVersion="8" minRefreshableVersion="3" recordCount="280" xr:uid="{2DA4AA2E-7AC1-4340-8686-F5B33C34A04A}">
  <cacheSource type="worksheet">
    <worksheetSource name="Base_Accidentes"/>
  </cacheSource>
  <cacheFields count="46">
    <cacheField name="Item" numFmtId="0">
      <sharedItems containsString="0" containsBlank="1" containsNumber="1" containsInteger="1" minValue="1" maxValue="270"/>
    </cacheField>
    <cacheField name="N° ROM" numFmtId="0">
      <sharedItems containsBlank="1" containsMixedTypes="1" containsNumber="1" containsInteger="1" minValue="246" maxValue="247"/>
    </cacheField>
    <cacheField name="PAIS" numFmtId="0">
      <sharedItems containsBlank="1" count="5">
        <s v="PERÚ"/>
        <s v="BOLIVIA"/>
        <s v="ECUADOR"/>
        <s v="CHILE"/>
        <m/>
      </sharedItems>
    </cacheField>
    <cacheField name="SOCIEDAD_x000a_(Razón Social)" numFmtId="0">
      <sharedItems containsBlank="1" count="7">
        <s v="ALICORP_SAA"/>
        <s v="ALICORP_BOLIVIA"/>
        <s v="INTRADEVCO_INDUSTRIAL_SA"/>
        <s v="VITAPRO"/>
        <s v="MASTERBREAD"/>
        <m/>
        <s v="ALICORP _SAA" u="1"/>
      </sharedItems>
    </cacheField>
    <cacheField name="Predio" numFmtId="0">
      <sharedItems containsBlank="1"/>
    </cacheField>
    <cacheField name="Planta Sigma" numFmtId="0">
      <sharedItems containsBlank="1"/>
    </cacheField>
    <cacheField name="Planta" numFmtId="0">
      <sharedItems containsBlank="1" count="45">
        <s v="GALLETERA &amp; INSTANTÁNEOS"/>
        <s v="PLANTA DON FELIPE"/>
        <s v="PLANTA COCHABAMBA"/>
        <s v="COPSA"/>
        <s v="PLANTA PARQUE INDUSTRIAL"/>
        <s v="Lurin 2_Planta principal"/>
        <s v="Chorrillos"/>
        <s v="Lurin 2_Principal"/>
        <s v="Lurin 3_Sulfonación"/>
        <s v="CD1-CD2"/>
        <s v="Administración"/>
        <s v="INBALNOR"/>
        <s v="SALMOFOOD"/>
        <s v="DETERGENTES CALLAO"/>
        <s v="COMEDORES"/>
        <s v="EDIFICIO MIRAFLORES"/>
        <s v="Lurin 4_Detergente"/>
        <s v="AREAS COMUNES"/>
        <s v="GLOBAL CAJAMARQUILLA"/>
        <s v="GLOBAL ÑANA"/>
        <s v="MIRAFLORES"/>
        <s v="Teal Sicaya"/>
        <s v="MCA"/>
        <s v="DISTRIBUCIÓN"/>
        <s v="CENTROS DE ACOPIO"/>
        <s v="SIDSUR"/>
        <s v="MFA"/>
        <s v="CENTROS DE DISTRIBUCIÓN"/>
        <s v="EEII Copsa"/>
        <s v="Lurin 5_20mil"/>
        <s v="Lurin 1_Hipoclorito"/>
        <s v="Lurin 6"/>
        <s v="TRUJILLO"/>
        <s v="Comedor Copsa"/>
        <s v="Fideeria Lima"/>
        <s v="Latam 400"/>
        <s v="CD Piura"/>
        <s v="CDC"/>
        <s v="ALMACÉN 4"/>
        <s v="COMEDOR"/>
        <s v="APT MCA"/>
        <s v="GALLETERA"/>
        <s v="MOLINO VICTORIA"/>
        <s v="CALIDAD"/>
        <m/>
      </sharedItems>
    </cacheField>
    <cacheField name="Dirección de Responsabilidad" numFmtId="0">
      <sharedItems containsBlank="1" count="11">
        <s v="Producción"/>
        <s v="Calidad"/>
        <s v="Medio Ambiente"/>
        <s v="Distribución"/>
        <s v="Administración"/>
        <s v="Proyectos"/>
        <s v="Mantenimiento"/>
        <s v="Relaciones Laborales"/>
        <s v="Seguridad"/>
        <s v="Planeamiento/Almacenes"/>
        <m/>
      </sharedItems>
    </cacheField>
    <cacheField name="Area" numFmtId="0">
      <sharedItems containsBlank="1"/>
    </cacheField>
    <cacheField name="Tipo de Accidente" numFmtId="0">
      <sharedItems containsBlank="1" count="3">
        <s v="Acc. No Incapacitante"/>
        <s v="Acc. Incapacitante"/>
        <m/>
      </sharedItems>
    </cacheField>
    <cacheField name="Tipo de Accidente3" numFmtId="0">
      <sharedItems count="3">
        <s v="Acc. No Incapacitante"/>
        <s v="Acc. Incapacitante"/>
        <s v=" "/>
      </sharedItems>
    </cacheField>
    <cacheField name="Fecha_x000a_(XX/XX/2024)" numFmtId="0">
      <sharedItems containsDate="1" containsBlank="1" containsMixedTypes="1" minDate="2024-01-02T00:00:00" maxDate="2024-12-24T00:00:00"/>
    </cacheField>
    <cacheField name="Sem" numFmtId="0">
      <sharedItems containsSemiMixedTypes="0" containsDate="1" containsString="0" containsMixedTypes="1" minDate="1899-12-31T04:01:03" maxDate="1900-01-05T09:12:04"/>
    </cacheField>
    <cacheField name="Día" numFmtId="0">
      <sharedItems containsString="0" containsBlank="1" containsNumber="1" containsInteger="1" minValue="1" maxValue="31"/>
    </cacheField>
    <cacheField name="Mes" numFmtId="0">
      <sharedItems containsSemiMixedTypes="0" containsString="0" containsNumber="1" containsInteger="1" minValue="1" maxValue="12" count="12">
        <n v="1"/>
        <n v="2"/>
        <n v="3"/>
        <n v="4"/>
        <n v="5"/>
        <n v="8"/>
        <n v="6"/>
        <n v="7"/>
        <n v="9"/>
        <n v="10"/>
        <n v="11"/>
        <n v="12"/>
      </sharedItems>
    </cacheField>
    <cacheField name="Año" numFmtId="0">
      <sharedItems containsString="0" containsBlank="1" containsNumber="1" containsInteger="1" minValue="2024" maxValue="2024"/>
    </cacheField>
    <cacheField name="Hora" numFmtId="0">
      <sharedItems containsDate="1" containsBlank="1" containsMixedTypes="1" minDate="1899-12-30T00:35:00" maxDate="1899-12-30T23:50:00"/>
    </cacheField>
    <cacheField name="Turno" numFmtId="0">
      <sharedItems containsBlank="1"/>
    </cacheField>
    <cacheField name="Tipo de Trabajador" numFmtId="0">
      <sharedItems containsBlank="1" count="12">
        <s v="PROPIO"/>
        <s v="SENATI"/>
        <s v="Contratista"/>
        <s v="Service"/>
        <s v="Tercero - Limpieza"/>
        <s v="Tercero - Comedor"/>
        <s v="Tercero - Mantenimiento"/>
        <s v="Proveedor"/>
        <s v="Transportista"/>
        <s v="Estibador"/>
        <s v="TERCERO"/>
        <m/>
      </sharedItems>
    </cacheField>
    <cacheField name="EMPRESA" numFmtId="0">
      <sharedItems containsBlank="1" count="49">
        <s v="Alicorp S.A.A."/>
        <s v="SENATI"/>
        <s v="COAPECOM"/>
        <s v="Alicorp S.A.A"/>
        <s v="APREMEC"/>
        <s v="Grupo Consulting"/>
        <s v="Alteliza"/>
        <s v="RANSA"/>
        <s v="CONSTRUCTORA MORCONST S.A.C "/>
        <s v="EVA ENGINEERING"/>
        <s v="VITAPRO"/>
        <s v="BALVINITO"/>
        <s v="CUSHMAN &amp; WAKEFIELD"/>
        <s v="CHINCASA"/>
        <s v="Intradevco"/>
        <s v="Clinica del Trabajador"/>
        <s v="FORZA"/>
        <s v="NEWREST PERU S.A.C"/>
        <s v="Masterbread"/>
        <s v="R&amp;M"/>
        <s v="TORNEMEC"/>
        <s v="SMFI"/>
        <s v="PROVISIONA"/>
        <s v="SEPE"/>
        <s v="Nexos"/>
        <s v="PROLABORA"/>
        <s v="RYO"/>
        <s v="BM Group"/>
        <s v="Trupal"/>
        <s v="Transporte Romaran"/>
        <s v="ALICORP"/>
        <s v="San Miguel Industrias PET S.A."/>
        <s v="IOLSA"/>
        <s v="SURFACE PROTECTION S.A.C"/>
        <s v="Charlotte SA"/>
        <s v="FLAMIL"/>
        <s v="DecoClean Express"/>
        <s v="RYCH"/>
        <s v="SSAYS SAC"/>
        <s v="TRC"/>
        <s v="ADEMI"/>
        <s v="SC Ingeniería y construcción"/>
        <s v="Clean Work"/>
        <s v="CEVA LOGISTICS"/>
        <s v="Unidad de traslado"/>
        <s v="Transvida"/>
        <s v="Transcom S.A."/>
        <s v="Nilson SAC"/>
        <m/>
      </sharedItems>
    </cacheField>
    <cacheField name="APELLIDO PATERNO" numFmtId="0">
      <sharedItems containsBlank="1"/>
    </cacheField>
    <cacheField name="APELLIDO MATERNO" numFmtId="0">
      <sharedItems containsBlank="1"/>
    </cacheField>
    <cacheField name="NOMBRES" numFmtId="0">
      <sharedItems containsBlank="1"/>
    </cacheField>
    <cacheField name="SEXO" numFmtId="0">
      <sharedItems containsBlank="1"/>
    </cacheField>
    <cacheField name="Edad" numFmtId="0">
      <sharedItems containsBlank="1" containsMixedTypes="1" containsNumber="1" containsInteger="1" minValue="18" maxValue="62"/>
    </cacheField>
    <cacheField name="Puesto de Trabajo" numFmtId="0">
      <sharedItems containsBlank="1"/>
    </cacheField>
    <cacheField name="Fecha de Ingreso a Labores" numFmtId="0">
      <sharedItems containsDate="1" containsBlank="1" containsMixedTypes="1" minDate="1995-10-02T00:00:00" maxDate="2024-11-15T00:00:00"/>
    </cacheField>
    <cacheField name="DESCRIPCION DEL ACCIDENTE" numFmtId="0">
      <sharedItems containsBlank="1" longText="1"/>
    </cacheField>
    <cacheField name="Tipo de Contacto" numFmtId="0">
      <sharedItems containsBlank="1"/>
    </cacheField>
    <cacheField name="Parte del Cuerpo Afectada" numFmtId="0">
      <sharedItems containsBlank="1"/>
    </cacheField>
    <cacheField name="Parte del Cuerpo Afectada 2" numFmtId="0">
      <sharedItems containsBlank="1"/>
    </cacheField>
    <cacheField name="Actividad Realizada" numFmtId="0">
      <sharedItems containsBlank="1"/>
    </cacheField>
    <cacheField name="DIAGNOSTICO_x000a_MÉDICO" numFmtId="0">
      <sharedItems containsBlank="1"/>
    </cacheField>
    <cacheField name="Lesión" numFmtId="0">
      <sharedItems containsBlank="1"/>
    </cacheField>
    <cacheField name="Días DM Total Indicador" numFmtId="0">
      <sharedItems containsBlank="1" containsMixedTypes="1" containsNumber="1" containsInteger="1" minValue="0" maxValue="180"/>
    </cacheField>
    <cacheField name="Cargo ANSI " numFmtId="0">
      <sharedItems containsBlank="1" containsMixedTypes="1" containsNumber="1" containsInteger="1" minValue="0" maxValue="0"/>
    </cacheField>
    <cacheField name="Días de D.M." numFmtId="0">
      <sharedItems containsString="0" containsBlank="1" containsNumber="1" containsInteger="1" minValue="0" maxValue="180"/>
    </cacheField>
    <cacheField name="Situación Actual" numFmtId="0">
      <sharedItems containsBlank="1"/>
    </cacheField>
    <cacheField name="Tiempo experiencia_x000a_(meses)" numFmtId="0">
      <sharedItems containsBlank="1" containsMixedTypes="1" containsNumber="1" minValue="0" maxValue="2190"/>
    </cacheField>
    <cacheField name="Antigüedad" numFmtId="0">
      <sharedItems containsBlank="1"/>
    </cacheField>
    <cacheField name="FUENTE DE PELIGRO" numFmtId="0">
      <sharedItems containsBlank="1"/>
    </cacheField>
    <cacheField name="TIPO DE CONTRATO" numFmtId="0">
      <sharedItems containsBlank="1"/>
    </cacheField>
    <cacheField name="Tipo de Accidente2" numFmtId="0">
      <sharedItems containsMixedTypes="1" containsNumber="1" containsInteger="1" minValue="0" maxValue="0"/>
    </cacheField>
    <cacheField name="Población" numFmtId="0">
      <sharedItems containsString="0" containsBlank="1" containsNumber="1" containsInteger="1" minValue="0" maxValue="0"/>
    </cacheField>
    <cacheField name="Considerar" numFmtId="0">
      <sharedItems containsBlank="1" count="4">
        <m/>
        <s v="SI"/>
        <s v="NO"/>
        <s v=" "/>
      </sharedItems>
    </cacheField>
    <cacheField name="Recategorización"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ge Antonio Herrera Osorio" refreshedDate="45832.375765972225" createdVersion="8" refreshedVersion="8" minRefreshableVersion="3" recordCount="88" xr:uid="{00000000-000A-0000-FFFF-FFFF01000000}">
  <cacheSource type="worksheet">
    <worksheetSource ref="D1:AP89" sheet="Base"/>
  </cacheSource>
  <cacheFields count="39">
    <cacheField name="SOCIEDAD_x000a_(Razón Social)" numFmtId="0">
      <sharedItems containsBlank="1" count="6">
        <s v="ALICORP_SAA"/>
        <s v="ALICORP_BOLIVIA"/>
        <s v="INTRADEVCO_INDUSTRIAL_SA"/>
        <s v="VITAPRO"/>
        <s v="MASTERBREAD"/>
        <m u="1"/>
      </sharedItems>
    </cacheField>
    <cacheField name="Predio" numFmtId="0">
      <sharedItems containsBlank="1"/>
    </cacheField>
    <cacheField name="Planta Sigma" numFmtId="0">
      <sharedItems/>
    </cacheField>
    <cacheField name="Planta" numFmtId="0">
      <sharedItems containsBlank="1" count="35">
        <s v="GALLETERA &amp; INSTANTÁNEOS"/>
        <s v="PLANTA DON FELIPE"/>
        <s v="PLANTA COCHABAMBA"/>
        <s v="COPSA"/>
        <s v="PLANTA PARQUE INDUSTRIAL"/>
        <s v="Lurin 2_Planta principal"/>
        <s v="Chorrillos"/>
        <s v="Lurin 2_Principal"/>
        <s v="Lurin 3_Sulfonación"/>
        <s v="CD1-CD2"/>
        <s v="Administración"/>
        <s v="INBALNOR"/>
        <s v="SALMOFOOD"/>
        <s v="DETERGENTES CALLAO"/>
        <s v="COMEDORES"/>
        <s v="EDIFICIO MIRAFLORES"/>
        <s v="Lurin 4_Detergente"/>
        <s v="AREAS COMUNES"/>
        <s v="GLOBAL CAJAMARQUILLA"/>
        <s v="GLOBAL ÑANA"/>
        <s v="MIRAFLORES"/>
        <s v="Teal Sicaya"/>
        <s v="MCA"/>
        <s v="DISTRIBUCIÓN"/>
        <s v="CENTROS DE ACOPIO"/>
        <s v="SIDSUR"/>
        <s v="Lurin 5_20mil" u="1"/>
        <s v="GALLETERA" u="1"/>
        <s v="MOLINO VICTORIA" u="1"/>
        <s v="CALIDAD" u="1"/>
        <s v="Lurin 2_Panta principal" u="1"/>
        <s v="TRUJILLO" u="1"/>
        <s v="Lurin 4_CD1/CD2" u="1"/>
        <s v="MFA" u="1"/>
        <m u="1"/>
      </sharedItems>
    </cacheField>
    <cacheField name="Dirección de Responsabilidad" numFmtId="0">
      <sharedItems containsBlank="1" count="10">
        <s v="Producción"/>
        <s v="Calidad"/>
        <s v="Medio Ambiente"/>
        <s v="Distribución"/>
        <s v="Administración"/>
        <s v="Proyectos"/>
        <s v="Mantenimiento"/>
        <s v="Relaciones Laborales"/>
        <s v="Seguridad"/>
        <m u="1"/>
      </sharedItems>
    </cacheField>
    <cacheField name="Area" numFmtId="0">
      <sharedItems/>
    </cacheField>
    <cacheField name="Tipo de Accidente" numFmtId="0">
      <sharedItems/>
    </cacheField>
    <cacheField name="Tipo de Accidente3" numFmtId="0">
      <sharedItems/>
    </cacheField>
    <cacheField name="Fecha_x000a_(XX/XX/2024)" numFmtId="0">
      <sharedItems containsSemiMixedTypes="0" containsNonDate="0" containsDate="1" containsString="0" minDate="2024-01-02T00:00:00" maxDate="2024-08-17T00:00:00"/>
    </cacheField>
    <cacheField name="Sem" numFmtId="1">
      <sharedItems containsSemiMixedTypes="0" containsString="0" containsNumber="1" containsInteger="1" minValue="1" maxValue="33"/>
    </cacheField>
    <cacheField name="Día" numFmtId="0">
      <sharedItems containsSemiMixedTypes="0" containsString="0" containsNumber="1" containsInteger="1" minValue="1" maxValue="31"/>
    </cacheField>
    <cacheField name="Mes" numFmtId="0">
      <sharedItems containsSemiMixedTypes="0" containsString="0" containsNumber="1" containsInteger="1" minValue="1" maxValue="8"/>
    </cacheField>
    <cacheField name="Año" numFmtId="0">
      <sharedItems containsSemiMixedTypes="0" containsString="0" containsNumber="1" containsInteger="1" minValue="2024" maxValue="2024"/>
    </cacheField>
    <cacheField name="Hora" numFmtId="20">
      <sharedItems containsDate="1" containsMixedTypes="1" minDate="1899-12-30T00:35:00" maxDate="1899-12-30T23:47:00"/>
    </cacheField>
    <cacheField name="Turno" numFmtId="0">
      <sharedItems/>
    </cacheField>
    <cacheField name="Tipo de Trabajador" numFmtId="0">
      <sharedItems/>
    </cacheField>
    <cacheField name="EMPRESA" numFmtId="0">
      <sharedItems/>
    </cacheField>
    <cacheField name="APELLIDO PATERNO" numFmtId="0">
      <sharedItems/>
    </cacheField>
    <cacheField name="APELLIDO MATERNO" numFmtId="0">
      <sharedItems/>
    </cacheField>
    <cacheField name="NOMBRES" numFmtId="0">
      <sharedItems/>
    </cacheField>
    <cacheField name="SEXO" numFmtId="0">
      <sharedItems/>
    </cacheField>
    <cacheField name="Edad" numFmtId="0">
      <sharedItems containsMixedTypes="1" containsNumber="1" containsInteger="1" minValue="19" maxValue="62"/>
    </cacheField>
    <cacheField name="Puesto de Trabajo" numFmtId="0">
      <sharedItems/>
    </cacheField>
    <cacheField name="Fecha de Ingreso a Labores" numFmtId="14">
      <sharedItems containsDate="1" containsMixedTypes="1" minDate="1995-10-02T00:00:00" maxDate="2024-05-02T00:00:00"/>
    </cacheField>
    <cacheField name="DESCRIPCION DEL ACCIDENTE" numFmtId="0">
      <sharedItems longText="1"/>
    </cacheField>
    <cacheField name="Tipo de Contacto" numFmtId="0">
      <sharedItems/>
    </cacheField>
    <cacheField name="Parte del Cuerpo Afectada" numFmtId="0">
      <sharedItems/>
    </cacheField>
    <cacheField name="Parte del Cuerpo Afectada 2" numFmtId="0">
      <sharedItems/>
    </cacheField>
    <cacheField name="Actividad Realizada" numFmtId="0">
      <sharedItems/>
    </cacheField>
    <cacheField name="DIAGNOSTICO_x000a_MÉDICO" numFmtId="0">
      <sharedItems containsBlank="1"/>
    </cacheField>
    <cacheField name="Lesión" numFmtId="0">
      <sharedItems containsBlank="1"/>
    </cacheField>
    <cacheField name="Días DM Total Indicador" numFmtId="0">
      <sharedItems containsBlank="1" containsMixedTypes="1" containsNumber="1" containsInteger="1" minValue="0" maxValue="180"/>
    </cacheField>
    <cacheField name="Cargo ANSI " numFmtId="0">
      <sharedItems containsBlank="1" containsMixedTypes="1" containsNumber="1" containsInteger="1" minValue="0" maxValue="0"/>
    </cacheField>
    <cacheField name="Días de D.M." numFmtId="0">
      <sharedItems containsString="0" containsBlank="1" containsNumber="1" containsInteger="1" minValue="0" maxValue="180"/>
    </cacheField>
    <cacheField name="Situación Actual" numFmtId="0">
      <sharedItems containsBlank="1"/>
    </cacheField>
    <cacheField name="Tiempo experiencia_x000a_(meses)" numFmtId="0">
      <sharedItems containsBlank="1" containsMixedTypes="1" containsNumber="1" minValue="0" maxValue="348"/>
    </cacheField>
    <cacheField name="Antigüedad" numFmtId="0">
      <sharedItems containsBlank="1"/>
    </cacheField>
    <cacheField name="FUENTE DE PELIGRO" numFmtId="0">
      <sharedItems containsBlank="1"/>
    </cacheField>
    <cacheField name="TIPO DE CONTRATO"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ge Antonio Herrera Osorio" refreshedDate="45832.375766319441" createdVersion="8" refreshedVersion="8" minRefreshableVersion="3" recordCount="280" xr:uid="{00000000-000A-0000-FFFF-FFFF00000000}">
  <cacheSource type="worksheet">
    <worksheetSource ref="A1:AP282" sheet="Base"/>
  </cacheSource>
  <cacheFields count="42">
    <cacheField name="Item" numFmtId="0">
      <sharedItems containsString="0" containsBlank="1" containsNumber="1" containsInteger="1" minValue="1" maxValue="270"/>
    </cacheField>
    <cacheField name="N° ROM" numFmtId="0">
      <sharedItems containsBlank="1" containsMixedTypes="1" containsNumber="1" containsInteger="1" minValue="246" maxValue="247"/>
    </cacheField>
    <cacheField name="PAIS" numFmtId="0">
      <sharedItems containsBlank="1"/>
    </cacheField>
    <cacheField name="SOCIEDAD_x000a_(Razón Social)" numFmtId="0">
      <sharedItems containsBlank="1" count="7">
        <s v="ALICORP_SAA"/>
        <s v="ALICORP_BOLIVIA"/>
        <s v="INTRADEVCO_INDUSTRIAL_SA"/>
        <s v="VITAPRO"/>
        <s v="MASTERBREAD"/>
        <m/>
        <s v="ALICORP _SAA" u="1"/>
      </sharedItems>
    </cacheField>
    <cacheField name="Predio" numFmtId="0">
      <sharedItems containsBlank="1"/>
    </cacheField>
    <cacheField name="Planta Sigma" numFmtId="0">
      <sharedItems containsBlank="1"/>
    </cacheField>
    <cacheField name="Planta" numFmtId="0">
      <sharedItems containsBlank="1" count="48">
        <s v="GALLETERA &amp; INSTANTÁNEOS"/>
        <s v="PLANTA DON FELIPE"/>
        <s v="PLANTA COCHABAMBA"/>
        <s v="COPSA"/>
        <s v="PLANTA PARQUE INDUSTRIAL"/>
        <s v="Lurin 2_Planta principal"/>
        <s v="Chorrillos"/>
        <s v="Lurin 2_Principal"/>
        <s v="Lurin 3_Sulfonación"/>
        <s v="CD1-CD2"/>
        <s v="Administración"/>
        <s v="INBALNOR"/>
        <s v="SALMOFOOD"/>
        <s v="DETERGENTES CALLAO"/>
        <s v="COMEDORES"/>
        <s v="EDIFICIO MIRAFLORES"/>
        <s v="Lurin 4_Detergente"/>
        <s v="AREAS COMUNES"/>
        <s v="GLOBAL CAJAMARQUILLA"/>
        <s v="GLOBAL ÑANA"/>
        <s v="MIRAFLORES"/>
        <s v="Teal Sicaya"/>
        <s v="MCA"/>
        <s v="DISTRIBUCIÓN"/>
        <s v="CENTROS DE ACOPIO"/>
        <s v="SIDSUR"/>
        <s v="MFA"/>
        <s v="CENTROS DE DISTRIBUCIÓN"/>
        <s v="EEII Copsa"/>
        <s v="Lurin 5_20mil"/>
        <s v="Lurin 1_Hipoclorito"/>
        <s v="Lurin 6"/>
        <s v="TRUJILLO"/>
        <s v="Comedor Copsa"/>
        <s v="Fideeria Lima"/>
        <s v="Latam 400"/>
        <s v="CD Piura"/>
        <s v="CDC"/>
        <s v="ALMACÉN 4"/>
        <s v="COMEDOR"/>
        <s v="APT MCA"/>
        <s v="GALLETERA"/>
        <s v="MOLINO VICTORIA"/>
        <s v="CALIDAD"/>
        <m/>
        <s v="Lurin 2_Panta principal" u="1"/>
        <s v="Lurin 4_CD1/CD2" u="1"/>
        <s v="JABONERÍA" u="1"/>
      </sharedItems>
    </cacheField>
    <cacheField name="Dirección de Responsabilidad" numFmtId="0">
      <sharedItems containsBlank="1" count="11">
        <s v="Producción"/>
        <s v="Calidad"/>
        <s v="Medio Ambiente"/>
        <s v="Distribución"/>
        <s v="Administración"/>
        <s v="Proyectos"/>
        <s v="Mantenimiento"/>
        <s v="Relaciones Laborales"/>
        <s v="Seguridad"/>
        <s v="Planeamiento/Almacenes"/>
        <m/>
      </sharedItems>
    </cacheField>
    <cacheField name="Area" numFmtId="0">
      <sharedItems containsBlank="1"/>
    </cacheField>
    <cacheField name="Tipo de Accidente" numFmtId="0">
      <sharedItems containsBlank="1" count="3">
        <s v="Acc. No Incapacitante"/>
        <s v="Acc. Incapacitante"/>
        <m/>
      </sharedItems>
    </cacheField>
    <cacheField name="Tipo de Accidente3" numFmtId="0">
      <sharedItems/>
    </cacheField>
    <cacheField name="Fecha_x000a_(XX/XX/2024)" numFmtId="0">
      <sharedItems containsDate="1" containsBlank="1" containsMixedTypes="1" minDate="2024-01-02T00:00:00" maxDate="2024-12-24T00:00:00"/>
    </cacheField>
    <cacheField name="Sem" numFmtId="0">
      <sharedItems containsSemiMixedTypes="0" containsDate="1" containsString="0" containsMixedTypes="1" minDate="1899-12-31T04:01:03" maxDate="1900-01-05T09:12:04"/>
    </cacheField>
    <cacheField name="Día" numFmtId="0">
      <sharedItems containsString="0" containsBlank="1" containsNumber="1" containsInteger="1" minValue="1" maxValue="31"/>
    </cacheField>
    <cacheField name="Mes" numFmtId="0">
      <sharedItems containsSemiMixedTypes="0" containsString="0" containsNumber="1" containsInteger="1" minValue="1" maxValue="12" count="12">
        <n v="1"/>
        <n v="2"/>
        <n v="3"/>
        <n v="4"/>
        <n v="5"/>
        <n v="8"/>
        <n v="6"/>
        <n v="7"/>
        <n v="9"/>
        <n v="10"/>
        <n v="11"/>
        <n v="12"/>
      </sharedItems>
    </cacheField>
    <cacheField name="Año" numFmtId="0">
      <sharedItems containsString="0" containsBlank="1" containsNumber="1" containsInteger="1" minValue="2024" maxValue="2024"/>
    </cacheField>
    <cacheField name="Hora" numFmtId="0">
      <sharedItems containsDate="1" containsBlank="1" containsMixedTypes="1" minDate="1899-12-30T00:35:00" maxDate="1899-12-30T23:50:00"/>
    </cacheField>
    <cacheField name="Turno" numFmtId="0">
      <sharedItems containsBlank="1"/>
    </cacheField>
    <cacheField name="Tipo de Trabajador" numFmtId="0">
      <sharedItems containsBlank="1"/>
    </cacheField>
    <cacheField name="EMPRESA" numFmtId="0">
      <sharedItems containsBlank="1"/>
    </cacheField>
    <cacheField name="APELLIDO PATERNO" numFmtId="0">
      <sharedItems containsBlank="1"/>
    </cacheField>
    <cacheField name="APELLIDO MATERNO" numFmtId="0">
      <sharedItems containsBlank="1"/>
    </cacheField>
    <cacheField name="NOMBRES" numFmtId="0">
      <sharedItems containsBlank="1"/>
    </cacheField>
    <cacheField name="SEXO" numFmtId="0">
      <sharedItems containsBlank="1"/>
    </cacheField>
    <cacheField name="Edad" numFmtId="0">
      <sharedItems containsBlank="1" containsMixedTypes="1" containsNumber="1" containsInteger="1" minValue="18" maxValue="62"/>
    </cacheField>
    <cacheField name="Puesto de Trabajo" numFmtId="0">
      <sharedItems containsBlank="1"/>
    </cacheField>
    <cacheField name="Fecha de Ingreso a Labores" numFmtId="0">
      <sharedItems containsDate="1" containsBlank="1" containsMixedTypes="1" minDate="1995-10-02T00:00:00" maxDate="2024-11-15T00:00:00"/>
    </cacheField>
    <cacheField name="DESCRIPCION DEL ACCIDENTE" numFmtId="0">
      <sharedItems containsBlank="1" longText="1"/>
    </cacheField>
    <cacheField name="Tipo de Contacto" numFmtId="0">
      <sharedItems containsBlank="1"/>
    </cacheField>
    <cacheField name="Parte del Cuerpo Afectada" numFmtId="0">
      <sharedItems containsBlank="1"/>
    </cacheField>
    <cacheField name="Parte del Cuerpo Afectada 2" numFmtId="0">
      <sharedItems containsBlank="1"/>
    </cacheField>
    <cacheField name="Actividad Realizada" numFmtId="0">
      <sharedItems containsBlank="1"/>
    </cacheField>
    <cacheField name="DIAGNOSTICO_x000a_MÉDICO" numFmtId="0">
      <sharedItems containsBlank="1"/>
    </cacheField>
    <cacheField name="Lesión" numFmtId="0">
      <sharedItems containsBlank="1"/>
    </cacheField>
    <cacheField name="Días DM Total Indicador" numFmtId="0">
      <sharedItems containsBlank="1" containsMixedTypes="1" containsNumber="1" containsInteger="1" minValue="0" maxValue="180"/>
    </cacheField>
    <cacheField name="Cargo ANSI " numFmtId="0">
      <sharedItems containsBlank="1" containsMixedTypes="1" containsNumber="1" containsInteger="1" minValue="0" maxValue="0"/>
    </cacheField>
    <cacheField name="Días de D.M." numFmtId="0">
      <sharedItems containsString="0" containsBlank="1" containsNumber="1" containsInteger="1" minValue="0" maxValue="180"/>
    </cacheField>
    <cacheField name="Situación Actual" numFmtId="0">
      <sharedItems containsBlank="1"/>
    </cacheField>
    <cacheField name="Tiempo experiencia_x000a_(meses)" numFmtId="0">
      <sharedItems containsBlank="1" containsMixedTypes="1" containsNumber="1" minValue="0" maxValue="2190"/>
    </cacheField>
    <cacheField name="Antigüedad" numFmtId="0">
      <sharedItems containsBlank="1"/>
    </cacheField>
    <cacheField name="FUENTE DE PELIGRO" numFmtId="0">
      <sharedItems containsBlank="1"/>
    </cacheField>
    <cacheField name="TIPO DE CONTRATO"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ge Antonio Herrera Osorio" refreshedDate="45832.37576678241" createdVersion="8" refreshedVersion="8" minRefreshableVersion="3" recordCount="263" xr:uid="{389FB750-A666-4627-AF53-738144CCA8D6}">
  <cacheSource type="worksheet">
    <worksheetSource ref="A1:AS264" sheet="Base"/>
  </cacheSource>
  <cacheFields count="45">
    <cacheField name="Item" numFmtId="0">
      <sharedItems containsSemiMixedTypes="0" containsString="0" containsNumber="1" containsInteger="1" minValue="1" maxValue="266"/>
    </cacheField>
    <cacheField name="N° ROM" numFmtId="0">
      <sharedItems containsBlank="1" containsMixedTypes="1" containsNumber="1" containsInteger="1" minValue="247" maxValue="247"/>
    </cacheField>
    <cacheField name="PAIS" numFmtId="0">
      <sharedItems containsBlank="1"/>
    </cacheField>
    <cacheField name="SOCIEDAD_x000a_(Razón Social)" numFmtId="0">
      <sharedItems/>
    </cacheField>
    <cacheField name="Predio" numFmtId="0">
      <sharedItems containsBlank="1"/>
    </cacheField>
    <cacheField name="Planta Sigma" numFmtId="0">
      <sharedItems count="14">
        <s v="Galletería"/>
        <s v="PDF"/>
        <s v="CBB"/>
        <s v="Copsa"/>
        <s v="PPI"/>
        <s v="Intradevco"/>
        <s v="Otros"/>
        <s v="Vitapro"/>
        <s v="PDC"/>
        <s v="Global"/>
        <s v="Teal"/>
        <s v="Molinos Lima"/>
        <s v="Sidsur"/>
        <s v="Fideería Lima"/>
      </sharedItems>
    </cacheField>
    <cacheField name="Planta" numFmtId="0">
      <sharedItems/>
    </cacheField>
    <cacheField name="Dirección de Responsabilidad" numFmtId="0">
      <sharedItems/>
    </cacheField>
    <cacheField name="Area" numFmtId="0">
      <sharedItems count="117">
        <s v="HORNOS"/>
        <s v="BAÑADOS"/>
        <s v="LINEA 1"/>
        <s v="SECADERO 67"/>
        <s v="MANTECA MARGARINA"/>
        <s v="SOLVENTE CROWN"/>
        <s v="SALSAS 3"/>
        <s v="RECEPCIÓN DE GRANO"/>
        <s v="LINEA 3"/>
        <s v="SOPLADO"/>
        <s v="PESADO"/>
        <s v="AEROSOLES"/>
        <s v="SULFONACIÓN"/>
        <s v="ÁREA COMÚN"/>
        <s v="Compactado de residuos sólidos"/>
        <s v="Garita del lote 4"/>
        <s v="Lejía"/>
        <s v="Distribución"/>
        <s v="Proyecto Vestuarios"/>
        <s v="Edificio de Manufactura Bicis 2"/>
        <s v="Cernidor carga MP L3 y L4 "/>
        <s v="Escalera de servicios higiénicos - Detergentes"/>
        <s v="Comedor COPSA"/>
        <s v="Edificio Miraflores"/>
        <s v="Almacen de Producto Terminado"/>
        <s v="APG"/>
        <s v="Plasticos"/>
        <s v="Manufactura detergentes"/>
        <s v="Empacado detergente"/>
        <s v="Lavavajilla"/>
        <s v="Detergente"/>
        <s v="Oficinas Jaboneria"/>
        <s v="Garita Jorge Chavez"/>
        <s v="Planta Avena"/>
        <s v="Planta de Elaboración"/>
        <s v="Elaboración"/>
        <s v="Salud Ocupacional"/>
        <s v="Sala de envasado I"/>
        <s v="SALSAS 1"/>
        <s v="Ofertado"/>
        <s v="Producción"/>
        <s v="Comedor MIRAFLORES"/>
        <s v="Envasado"/>
        <s v="Planta Caramelos"/>
        <s v="Planta Instantáneos"/>
        <s v="Mantenimiento"/>
        <s v="Preparación de granos Crown"/>
        <s v="Preparación de granos Tecnal"/>
        <s v="Preparación de granos Alloco"/>
        <s v="Secadora MEGA"/>
        <s v="Areas comunes"/>
        <s v="Sanitarios"/>
        <s v="Molino Victoria"/>
        <s v="Pasta Dental"/>
        <s v="Vestuarios"/>
        <s v="Alimentación"/>
        <s v="Galletera - 2do piso "/>
        <s v="Galletera - linea 1"/>
        <s v="CDC"/>
        <s v="Planta Molino"/>
        <s v="Comedor Galletera"/>
        <s v="Comedor Intralab 2"/>
        <s v="Ofic. Miraflores Piso 9"/>
        <s v="Almacen EEII"/>
        <s v="Limpiatodo"/>
        <s v="CD LAMBAYEQUE"/>
        <s v="ZONA DE LAVADO"/>
        <s v="PISO 5"/>
        <s v="ACEITES"/>
        <s v="Almacén de producto terminado"/>
        <s v="CD AREQUIPA"/>
        <s v="Refineria Cochabamba"/>
        <s v="Etiquetado"/>
        <s v="Áreas comunes"/>
        <s v="Galleteria"/>
        <s v="Almacen"/>
        <s v="Limpieza"/>
        <s v="Linea Panetones"/>
        <s v="Abastecimiento/Molienda"/>
        <s v="Gallete"/>
        <s v="Comedor"/>
        <s v="EEII Galletera"/>
        <s v="Piso 9"/>
        <s v="Envasadora C3"/>
        <s v="Envasadora R - L28"/>
        <s v="Pasadizo auditorio"/>
        <s v="Manteca"/>
        <s v="Planta de frío"/>
        <s v="Pelletizado"/>
        <s v="Exteriores vestuarios CDC"/>
        <s v="Oficinas"/>
        <s v="Edificio Elaboración"/>
        <s v="REFINERIA"/>
        <s v="Línea 4"/>
        <s v="LABORATORIO DE MICROBIOLOGIA"/>
        <s v="Transportes"/>
        <s v="Comedor G&amp;I"/>
        <s v="Extracción HLS"/>
        <s v="Instantáneos"/>
        <s v="Proyecto OVEN"/>
        <s v="Playa de Tanques Stock (Aceite)"/>
        <s v="Secadero L22"/>
        <s v="Pasillos"/>
        <s v="Techo"/>
        <s v="Preparación Alloco"/>
        <s v="Sanitarios MR2"/>
        <s v="Chorrillos"/>
        <s v="Latam 400"/>
        <s v="Cd Piura"/>
        <s v="FEM"/>
        <s v="Compactación de RRSS"/>
        <s v="Gestión de Residuos"/>
        <s v="SSGG"/>
        <s v="APT MCA"/>
        <s v="Buhler 2"/>
        <s v="Intralab"/>
        <s v="Molino Arequipa - embolsado de harina" u="1"/>
      </sharedItems>
    </cacheField>
    <cacheField name="Tipo de Accidente" numFmtId="0">
      <sharedItems count="2">
        <s v="Acc. No Incapacitante"/>
        <s v="Acc. Incapacitante"/>
      </sharedItems>
    </cacheField>
    <cacheField name="Tipo de Accidente3" numFmtId="0">
      <sharedItems/>
    </cacheField>
    <cacheField name="Fecha_x000a_(XX/XX/2024)" numFmtId="0">
      <sharedItems containsDate="1" containsMixedTypes="1" minDate="2024-01-02T00:00:00" maxDate="2024-12-24T00:00:00"/>
    </cacheField>
    <cacheField name="Sem" numFmtId="0">
      <sharedItems containsSemiMixedTypes="0" containsString="0" containsNumber="1" containsInteger="1" minValue="1" maxValue="52"/>
    </cacheField>
    <cacheField name="Día" numFmtId="0">
      <sharedItems containsSemiMixedTypes="0" containsString="0" containsNumber="1" containsInteger="1" minValue="1" maxValue="31"/>
    </cacheField>
    <cacheField name="Mes" numFmtId="0">
      <sharedItems containsSemiMixedTypes="0" containsString="0" containsNumber="1" containsInteger="1" minValue="1" maxValue="12" count="12">
        <n v="1"/>
        <n v="2"/>
        <n v="3"/>
        <n v="4"/>
        <n v="5"/>
        <n v="8"/>
        <n v="6"/>
        <n v="7"/>
        <n v="9"/>
        <n v="10"/>
        <n v="11"/>
        <n v="12"/>
      </sharedItems>
    </cacheField>
    <cacheField name="Año" numFmtId="0">
      <sharedItems containsSemiMixedTypes="0" containsString="0" containsNumber="1" containsInteger="1" minValue="2024" maxValue="2024"/>
    </cacheField>
    <cacheField name="Hora" numFmtId="0">
      <sharedItems containsDate="1" containsMixedTypes="1" minDate="1899-12-30T00:35:00" maxDate="1899-12-30T23:50:00"/>
    </cacheField>
    <cacheField name="Turno" numFmtId="0">
      <sharedItems/>
    </cacheField>
    <cacheField name="Tipo de Trabajador" numFmtId="0">
      <sharedItems count="11">
        <s v="PROPIO"/>
        <s v="SENATI"/>
        <s v="Contratista"/>
        <s v="Service"/>
        <s v="Tercero - Limpieza"/>
        <s v="Tercero - Comedor"/>
        <s v="Tercero - Mantenimiento"/>
        <s v="Proveedor"/>
        <s v="Transportista"/>
        <s v="Estibador"/>
        <s v="TERCERO"/>
      </sharedItems>
    </cacheField>
    <cacheField name="EMPRESA" numFmtId="0">
      <sharedItems count="49">
        <s v="Alicorp S.A.A."/>
        <s v="SENATI"/>
        <s v="COAPECOM"/>
        <s v="Alicorp S.A.A"/>
        <s v="APREMEC"/>
        <s v="Grupo Consulting"/>
        <s v="Alteliza"/>
        <s v="RANSA"/>
        <s v="CONSTRUCTORA MORCONST S.A.C "/>
        <s v="EVA ENGINEERING"/>
        <s v="VITAPRO"/>
        <s v="BALVINITO"/>
        <s v="CUSHMAN &amp; WAKEFIELD"/>
        <s v="CHINCASA"/>
        <s v="Intradevco"/>
        <s v="Clinica del Trabajador"/>
        <s v="FORZA"/>
        <s v="NEWREST PERU S.A.C"/>
        <s v="Masterbread"/>
        <s v="R&amp;M"/>
        <s v="TORNEMEC"/>
        <s v="SMFI"/>
        <s v="PROVISIONA"/>
        <s v="SEPE"/>
        <s v="Nexos"/>
        <s v="PROLABORA"/>
        <s v="RYO"/>
        <s v="BM Group"/>
        <s v="Trupal"/>
        <s v="Transporte Romaran"/>
        <s v="ALICORP"/>
        <s v="San Miguel Industrias PET S.A."/>
        <s v="IOLSA"/>
        <s v="SURFACE PROTECTION S.A.C"/>
        <s v="Charlotte SA"/>
        <s v="FLAMIL"/>
        <s v="DecoClean Express"/>
        <s v="RYCH"/>
        <s v="SSAYS SAC"/>
        <s v="TRC"/>
        <s v="ADEMI"/>
        <s v="SC Ingeniería y construcción"/>
        <s v="Clean Work"/>
        <s v="CEVA LOGISTICS"/>
        <s v="Unidad de traslado"/>
        <s v="Transvida"/>
        <s v="Transcom S.A."/>
        <s v="Nilson SAC"/>
        <s v="Charlotte" u="1"/>
      </sharedItems>
    </cacheField>
    <cacheField name="APELLIDO PATERNO" numFmtId="0">
      <sharedItems/>
    </cacheField>
    <cacheField name="APELLIDO MATERNO" numFmtId="0">
      <sharedItems containsBlank="1"/>
    </cacheField>
    <cacheField name="NOMBRES" numFmtId="0">
      <sharedItems/>
    </cacheField>
    <cacheField name="SEXO" numFmtId="0">
      <sharedItems/>
    </cacheField>
    <cacheField name="Edad" numFmtId="0">
      <sharedItems containsBlank="1" containsMixedTypes="1" containsNumber="1" containsInteger="1" minValue="18" maxValue="62"/>
    </cacheField>
    <cacheField name="Puesto de Trabajo" numFmtId="0">
      <sharedItems/>
    </cacheField>
    <cacheField name="Fecha de Ingreso a Labores" numFmtId="0">
      <sharedItems containsDate="1" containsBlank="1" containsMixedTypes="1" minDate="1995-10-02T00:00:00" maxDate="2024-11-15T00:00:00"/>
    </cacheField>
    <cacheField name="DESCRIPCION DEL ACCIDENTE" numFmtId="0">
      <sharedItems containsBlank="1" longText="1"/>
    </cacheField>
    <cacheField name="Tipo de Contacto" numFmtId="0">
      <sharedItems/>
    </cacheField>
    <cacheField name="Parte del Cuerpo Afectada" numFmtId="0">
      <sharedItems containsBlank="1"/>
    </cacheField>
    <cacheField name="Parte del Cuerpo Afectada 2" numFmtId="0">
      <sharedItems containsBlank="1"/>
    </cacheField>
    <cacheField name="Actividad Realizada" numFmtId="0">
      <sharedItems containsBlank="1"/>
    </cacheField>
    <cacheField name="DIAGNOSTICO_x000a_MÉDICO" numFmtId="0">
      <sharedItems containsBlank="1"/>
    </cacheField>
    <cacheField name="Lesión" numFmtId="0">
      <sharedItems containsBlank="1"/>
    </cacheField>
    <cacheField name="Días DM Total Indicador" numFmtId="0">
      <sharedItems containsBlank="1" containsMixedTypes="1" containsNumber="1" containsInteger="1" minValue="0" maxValue="180"/>
    </cacheField>
    <cacheField name="Cargo ANSI " numFmtId="0">
      <sharedItems containsBlank="1" containsMixedTypes="1" containsNumber="1" containsInteger="1" minValue="0" maxValue="0"/>
    </cacheField>
    <cacheField name="Días de D.M." numFmtId="0">
      <sharedItems containsString="0" containsBlank="1" containsNumber="1" containsInteger="1" minValue="0" maxValue="180"/>
    </cacheField>
    <cacheField name="Situación Actual" numFmtId="0">
      <sharedItems containsBlank="1"/>
    </cacheField>
    <cacheField name="Tiempo experiencia_x000a_(meses)" numFmtId="0">
      <sharedItems containsBlank="1" containsMixedTypes="1" containsNumber="1" minValue="0" maxValue="2190"/>
    </cacheField>
    <cacheField name="Antigüedad" numFmtId="0">
      <sharedItems containsBlank="1"/>
    </cacheField>
    <cacheField name="FUENTE DE PELIGRO" numFmtId="0">
      <sharedItems containsBlank="1"/>
    </cacheField>
    <cacheField name="TIPO DE CONTRATO" numFmtId="0">
      <sharedItems containsBlank="1"/>
    </cacheField>
    <cacheField name="Tipo de Accidente2" numFmtId="0">
      <sharedItems/>
    </cacheField>
    <cacheField name="Población" numFmtId="0">
      <sharedItems containsString="0" containsBlank="1" containsNumber="1" containsInteger="1" minValue="0" maxValue="0"/>
    </cacheField>
    <cacheField name="Considera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n v="1"/>
    <s v="PGL23660"/>
    <x v="0"/>
    <x v="0"/>
    <s v="Distrito del Callao"/>
    <s v="Galletería"/>
    <x v="0"/>
    <x v="0"/>
    <s v="HORNOS"/>
    <x v="0"/>
    <x v="0"/>
    <d v="2024-01-13T00:00:00"/>
    <n v="2"/>
    <n v="13"/>
    <x v="0"/>
    <n v="2024"/>
    <d v="1899-12-30T08:35:00"/>
    <s v="M"/>
    <x v="0"/>
    <x v="0"/>
    <s v="ASENCIO"/>
    <s v="CANALES"/>
    <s v="JOSE"/>
    <s v="MASCULINO"/>
    <n v="45"/>
    <s v="OPERADOR DE HORNO"/>
    <d v="2002-11-27T00:00:00"/>
    <s v="Siendo las 08:35 a.m, el operador de horno se encontraba realizando labores de limpieza de pisos en la zona de laminado Línea 1, y mientras retiraba los residuos en la parte baja de la estación de pre laminado, se golpea la cabeza contra una estructura causándole un leve sangrado._x000a_ _x000a_El operador es derivado hacia tópico donde realizan limpieza de la zona afectada. Post evaluación, el trabajador firma hoja de desistimiento de traslado"/>
    <s v="Golpeado contra"/>
    <s v="CABEZA"/>
    <s v="Cabeza"/>
    <s v="LIMPIEZA  DE PISOS"/>
    <s v="NA"/>
    <s v="Corte/Herida"/>
    <s v="&lt;"/>
    <n v="0"/>
    <n v="0"/>
    <s v="Trabajando"/>
    <n v="252"/>
    <s v="&gt; 10 años"/>
    <s v="ESTRUCTURA"/>
    <s v="CONTRATO INDEFINIDO"/>
    <s v="Acc. No Incapacitante"/>
    <n v="0"/>
    <x v="0"/>
    <m/>
  </r>
  <r>
    <n v="2"/>
    <s v="PGL23719"/>
    <x v="0"/>
    <x v="0"/>
    <s v="Distrito del Callao"/>
    <s v="Galletería"/>
    <x v="0"/>
    <x v="0"/>
    <s v="BAÑADOS"/>
    <x v="0"/>
    <x v="0"/>
    <d v="2024-01-27T00:00:00"/>
    <n v="4"/>
    <n v="27"/>
    <x v="0"/>
    <n v="2024"/>
    <d v="1899-12-30T08:40:00"/>
    <s v="T"/>
    <x v="0"/>
    <x v="0"/>
    <s v="GARCIA"/>
    <s v="SARAVIA"/>
    <s v="MANUEL"/>
    <s v="MASCULINO"/>
    <n v="58"/>
    <s v="OPERADOR DE MAQUINA ENVASADORA"/>
    <d v="2014-12-19T00:00:00"/>
    <s v="Siendo las 08:40 p.m, el operador de máquina envasadora se encontraba realizando labores de limpieza del equipo de la envasadora de galletas A9 del área de bañados, y mientras retiraba los residuos en la zona, se golpea la cabeza contra la estructura de la porta bandejas que se encontraba cerca._x000a__x000a_El operador es derivado hacia tópico donde realizan limpieza de la zona afectada, colocan crema y proceden a colocar una tira adhesiva con gasa (curita) como protector. Post evaluación, se menciona que no requiere traslado y el colaborador regresa a continuar con sus actividades en planta"/>
    <s v="Golpeado contra"/>
    <s v="CABEZA"/>
    <s v="Cabeza"/>
    <s v="LIMPIEZA  DE LINEA"/>
    <s v="NA"/>
    <s v="Corte/Herida"/>
    <n v="0"/>
    <n v="0"/>
    <n v="0"/>
    <s v="Trabajando"/>
    <n v="336"/>
    <s v="&gt; 10 años"/>
    <s v="PORTA BANDEJAS"/>
    <s v="CONTRATO INDEFINIDO"/>
    <s v="Acc. No Incapacitante"/>
    <n v="0"/>
    <x v="0"/>
    <m/>
  </r>
  <r>
    <n v="3"/>
    <s v="PGL23662"/>
    <x v="0"/>
    <x v="0"/>
    <s v="Distrito del Callao"/>
    <s v="Galletería"/>
    <x v="0"/>
    <x v="0"/>
    <s v="LINEA 1"/>
    <x v="0"/>
    <x v="0"/>
    <d v="2024-01-10T00:00:00"/>
    <n v="2"/>
    <n v="10"/>
    <x v="0"/>
    <n v="2024"/>
    <d v="1899-12-30T16:30:00"/>
    <s v="T"/>
    <x v="1"/>
    <x v="1"/>
    <s v="NAVARRO"/>
    <s v="CHERO"/>
    <s v="ZAYURI ALEXANDRA"/>
    <s v="FEMENINO"/>
    <n v="19"/>
    <s v="APRENDIZ SENATI"/>
    <d v="2023-08-03T00:00:00"/>
    <s v="Siendo las 06:30 p.m., la aprendiz de Senati se encontraba realizando labores de alimentación de galleta en la zona de envasado de galleta de la Línea 1, para ello durante la alimentación hace el traslado de jabas de producto para el abastecimiento manual, el incidente ocurrió cuando estaba abasteciendo los paquetes a la faja, su mano derecha rozo con la guía de la faja provocándole una raspadura en la parte superior de la mano. Después de lo ocurrido al no comunicar, el encargado de línea al percatarse la derivó con el coordinador e ingeniero._x000a__x000a_La aprendiz es derivada hacia tópico, donde se realizó el lavado, aplicación de crema y colocación de curita en la zona afectada. Post evaluación, el médico concluye que no necesita traslado hacia la clínica y puede continuar con su actividad en planta"/>
    <s v="Golpeado por"/>
    <s v="MANO"/>
    <s v="Mano/Muñeca/Dedos"/>
    <s v="ALIMENTACIÓN DE PAQUETES PRIMARIOS"/>
    <s v="NA"/>
    <s v="Corte/Herida"/>
    <n v="0"/>
    <n v="0"/>
    <n v="0"/>
    <s v="Trabajando"/>
    <n v="5"/>
    <s v="&lt; 3 a 6 meses"/>
    <s v="GUIA DE FAJA"/>
    <s v="APRENDIZAJE SENATI"/>
    <s v="Acc. No Incapacitante"/>
    <n v="0"/>
    <x v="0"/>
    <m/>
  </r>
  <r>
    <n v="4"/>
    <s v="-"/>
    <x v="1"/>
    <x v="1"/>
    <m/>
    <s v="PDF"/>
    <x v="1"/>
    <x v="0"/>
    <s v="SECADERO 67"/>
    <x v="1"/>
    <x v="1"/>
    <d v="2024-01-08T00:00:00"/>
    <n v="2"/>
    <n v="8"/>
    <x v="0"/>
    <n v="2024"/>
    <d v="1899-12-30T11:35:00"/>
    <s v="M"/>
    <x v="2"/>
    <x v="2"/>
    <s v="MARISCAL"/>
    <s v="SIBANTY"/>
    <s v="JULIO ALBERTO"/>
    <s v="MASCULINO"/>
    <n v="35"/>
    <s v="COORDINADOR DE CALIDAD"/>
    <d v="2023-11-13T00:00:00"/>
    <s v="La empresa COAPECOM se encontraba realizando la inspección eléctrica del sistema de transporte sin-fin de la tolva de residuos, misma que se encuentra en proceso de montaje. Como parte de la inspección, se instruyó al Supervisor de COAPECOM, Sr. Julio Mariscal, que elevara el transporte sin-fin; al accionar la manivela del equipo, se produce la caída brusca del sistema, ocasionado un giro violento de la manivela que impactó la mano derecha del supervisor."/>
    <s v="Golpeado por"/>
    <s v="MANO"/>
    <s v="Mano/Muñeca/Dedos"/>
    <s v="INSPECCIÓN ELÉCTRICA"/>
    <s v="Fractura 5o metacarpiano derecho"/>
    <s v="Fractura"/>
    <n v="24"/>
    <n v="0"/>
    <n v="24"/>
    <s v="En recuperación post operatorio"/>
    <n v="120"/>
    <s v="&lt; 1 a 5 años"/>
    <s v="TRANSPORTE SIN FIN"/>
    <s v="CONTRATO INDEFINIDO"/>
    <s v="Acc. Incapacitante"/>
    <n v="0"/>
    <x v="1"/>
    <m/>
  </r>
  <r>
    <n v="5"/>
    <s v="-"/>
    <x v="1"/>
    <x v="1"/>
    <m/>
    <s v="CBB"/>
    <x v="2"/>
    <x v="0"/>
    <s v="MANTECA MARGARINA"/>
    <x v="0"/>
    <x v="0"/>
    <d v="2024-01-18T00:00:00"/>
    <n v="3"/>
    <n v="18"/>
    <x v="0"/>
    <n v="2024"/>
    <d v="1899-12-30T03:15:00"/>
    <s v="N"/>
    <x v="0"/>
    <x v="0"/>
    <s v="SAENZ"/>
    <s v="ARRATIA"/>
    <s v="DANIEL"/>
    <s v="MASCULINO"/>
    <n v="43"/>
    <s v="RECEPCIONISTA DE MARGARINA"/>
    <d v="2014-03-01T00:00:00"/>
    <s v="A horas 3:15 am recepcionista de margarina Daniel Sáenz se tropieza con pallet de madera al estar trasladándose por la zona de cortina de ingreso de material de empaquetado, esto ocasiona que  el colaborador se  caiga y  se contusione levemente el antebrazo derecho, el operador presenta leve dolor en brazo derecho, por prevención inmediatamente se gestiona el traslado a caja nacional de salud para su revisión. "/>
    <s v="Caída al mismo nivel"/>
    <s v="ANTEBRAZO"/>
    <s v="Brazo/Codo/Hombro"/>
    <s v="ARME CAJAS"/>
    <s v="Policontusión"/>
    <s v="Contusión/Trauma"/>
    <n v="0"/>
    <s v="-"/>
    <n v="0"/>
    <s v="Trabajando"/>
    <n v="118"/>
    <s v="&lt; 5 a 10 años"/>
    <s v="PISO CON OBSTACULOS"/>
    <s v="CONTRATO INDEFINIDO"/>
    <s v="Acc. No Incapacitante"/>
    <n v="0"/>
    <x v="0"/>
    <m/>
  </r>
  <r>
    <n v="6"/>
    <s v="-"/>
    <x v="1"/>
    <x v="1"/>
    <m/>
    <s v="PDF"/>
    <x v="1"/>
    <x v="1"/>
    <s v="SOLVENTE CROWN"/>
    <x v="0"/>
    <x v="0"/>
    <d v="2024-01-03T00:00:00"/>
    <n v="1"/>
    <n v="3"/>
    <x v="0"/>
    <n v="2024"/>
    <d v="1899-12-30T00:35:00"/>
    <s v="N"/>
    <x v="0"/>
    <x v="0"/>
    <s v="SALDAÑA"/>
    <s v="PADILLA"/>
    <s v="ERICKA"/>
    <s v="FEMENINO"/>
    <n v="53"/>
    <s v="ANALISTA DE LABORATORIO"/>
    <d v="2003-04-01T00:00:00"/>
    <s v="Bajada violenta de carro de muestreo, el cual golpea la fosa poplítea de la pierna derecha ocasionando caída al mismo nivel."/>
    <s v="Caída al mismo nivel"/>
    <s v="PIERNA"/>
    <s v="Pierna"/>
    <s v="TRASLADO DE MUESTRAS"/>
    <s v="Bursitis rodilla derecha"/>
    <s v="Contusión/Trauma"/>
    <n v="0"/>
    <s v="-"/>
    <n v="0"/>
    <s v="Trabajando"/>
    <n v="248"/>
    <s v="&gt; 10 años"/>
    <s v="PISO CON DESNIVELES"/>
    <s v="CONTRATO INDEFINIDO"/>
    <s v="Acc. No Incapacitante"/>
    <n v="0"/>
    <x v="0"/>
    <m/>
  </r>
  <r>
    <n v="7"/>
    <s v="PCO23723"/>
    <x v="0"/>
    <x v="0"/>
    <s v="PREDIO CENTRAL"/>
    <s v="Copsa"/>
    <x v="3"/>
    <x v="0"/>
    <s v="SALSAS 3"/>
    <x v="1"/>
    <x v="1"/>
    <d v="2024-01-02T00:00:00"/>
    <n v="1"/>
    <n v="2"/>
    <x v="0"/>
    <n v="2024"/>
    <d v="1899-12-30T08:35:00"/>
    <s v="M"/>
    <x v="0"/>
    <x v="3"/>
    <s v="ABANTO"/>
    <s v="CHAVEZ"/>
    <s v="JUAN SALVADOR"/>
    <s v="MASCULINO"/>
    <n v="60"/>
    <s v="AYUDANTE DE SANEAMIENTO"/>
    <d v="2006-10-05T00:00:00"/>
    <s v="El colaborador se dirige a la azotea de Salsas 3 (3er piso) para recoger la cartelería que se había guardado en dicha zona, para retornarlo a su lugar de origen, al haber concluido los trabajos de pintura en la cámara de refrigeración (1er piso); en dicho trayecto se tropieza con la parte sobresaliente de unos pernos pasantes de soporte de tuberías, cayendo sobre su rodilla izquierda._x000a_El colaborador manifiesta que se repone y continúa su trayecto llegando al 1er piso y siente un fuerte dolor en la zona afectada, procediendo a comunicar a su líder de turno."/>
    <s v="Caída al mismo nivel"/>
    <s v="PIERNA"/>
    <s v="Rodilla"/>
    <s v="Traslado de carteles desde almacén de materiales a cámara de refrigeración"/>
    <s v="Esguince de rodilla izquierda"/>
    <s v="Esguince/Torcedura"/>
    <n v="180"/>
    <n v="0"/>
    <n v="180"/>
    <s v="En recuperación post intervención quirúrgica"/>
    <n v="207"/>
    <s v="&gt; 10 años"/>
    <s v="PISO CON PERNO PASANTE SOBRESALIENTE"/>
    <s v="CONTRATO INDEFINIDO"/>
    <s v="Acc. Incapacitante"/>
    <n v="0"/>
    <x v="1"/>
    <m/>
  </r>
  <r>
    <n v="8"/>
    <s v="PGL23738"/>
    <x v="0"/>
    <x v="0"/>
    <s v="Distrito del Callao"/>
    <s v="Galletería"/>
    <x v="0"/>
    <x v="0"/>
    <s v="LINEA 1"/>
    <x v="1"/>
    <x v="1"/>
    <d v="2024-02-02T00:00:00"/>
    <n v="5"/>
    <n v="2"/>
    <x v="1"/>
    <n v="2024"/>
    <d v="1899-12-30T15:34:00"/>
    <s v="M"/>
    <x v="0"/>
    <x v="3"/>
    <s v="COTRINA "/>
    <s v="ALANYA"/>
    <s v="MARIBEL"/>
    <s v="FEMENINO"/>
    <n v="25"/>
    <s v="OPERARIO DE PRODUCCIÓN"/>
    <d v="2024-01-24T00:00:00"/>
    <s v="Siendo las 03:34 p.m, la señorita operaria de producción se encontraba realizando labores de alimentación de galleta en la envasadora C3 de la línea 1, debido al fin de turno procede a realizar la limpieza de su zona de trabajo, durante la actividad al querer retirar residuos de galleta del pistón de centrado de la faja de acomodo, procede a introducir la mano por debajo de la guarda de seguridad, sufriendo un atrapamiento debido a la activación del pistón"/>
    <s v="Atrapado por Partes en Movimiento"/>
    <s v="MANO"/>
    <s v="Mano/Muñeca/Dedos"/>
    <s v="LIMPIEZA DE LINEA"/>
    <s v="TRAUMATISMO POR ATRAPAMIENTO DEL DEDO PULGAR Y OTROS DEDOS"/>
    <s v="Contusión/Trauma"/>
    <n v="30"/>
    <n v="0"/>
    <n v="30"/>
    <s v="Descanso Médico"/>
    <n v="0"/>
    <s v="&lt; 1 mes"/>
    <s v="PISTON"/>
    <s v="CONTRATO INDEFINIDO"/>
    <s v="Acc. Incapacitante"/>
    <n v="0"/>
    <x v="1"/>
    <m/>
  </r>
  <r>
    <n v="9"/>
    <s v="-"/>
    <x v="1"/>
    <x v="1"/>
    <m/>
    <s v="PPI"/>
    <x v="4"/>
    <x v="0"/>
    <s v="RECEPCIÓN DE GRANO"/>
    <x v="0"/>
    <x v="0"/>
    <d v="2024-01-17T00:00:00"/>
    <n v="3"/>
    <n v="17"/>
    <x v="0"/>
    <n v="2024"/>
    <d v="1899-12-30T16:30:00"/>
    <s v="T"/>
    <x v="2"/>
    <x v="4"/>
    <s v="ARIAS"/>
    <s v="SALCES"/>
    <s v="JESUS IGNACIO"/>
    <s v="MASCULINO"/>
    <n v="40"/>
    <s v="SUPERVISOR DE CUADRILLA"/>
    <d v="2024-01-07T00:00:00"/>
    <s v="El día 17/01/2023 a las 16:30 se reporta un corte superficial en la parte dorsal de la mano derecha de unos 3 cm aprox . El contratista se encontraba ajustando una tolva y cuando ejerce palanca con una barreta esta se sale de su posición y la mano se proyecta hacia la tolva golpeando un perno y ocasionándole el corte. Personal contratista fue atendido de primeros auxilios en posta médica. El corte en requirió sutura de 5 puntos y limpieza. Al otro día retornó a sus actividades restringido a realizar sus trabajos de supervisión de personal a nivel del piso."/>
    <s v="Contacto con superficie filosa"/>
    <s v="MANO"/>
    <s v="Mano/Muñeca/Dedos"/>
    <s v="AJUSTE DE TOLVA"/>
    <s v="Corte superficial mano derecha"/>
    <s v="Corte/Herida"/>
    <n v="0"/>
    <n v="0"/>
    <n v="0"/>
    <s v="Trabajando"/>
    <n v="120"/>
    <s v="&lt; 1 a 5 años"/>
    <s v="SUPERFICIE FILOSA"/>
    <s v="CONTRATO TEMPORAL"/>
    <s v="Acc. No Incapacitante"/>
    <n v="0"/>
    <x v="0"/>
    <m/>
  </r>
  <r>
    <n v="10"/>
    <s v="PGL23731"/>
    <x v="0"/>
    <x v="0"/>
    <s v="Distrito del Callao"/>
    <s v="Galletería"/>
    <x v="0"/>
    <x v="0"/>
    <s v="LINEA 3"/>
    <x v="1"/>
    <x v="1"/>
    <d v="2024-02-06T00:00:00"/>
    <n v="6"/>
    <n v="6"/>
    <x v="1"/>
    <n v="2024"/>
    <d v="1899-12-30T06:40:00"/>
    <s v="M"/>
    <x v="0"/>
    <x v="3"/>
    <s v="ZAPATA"/>
    <s v="GASTELO"/>
    <s v="OSCAR PAUL"/>
    <s v="MASCULINO"/>
    <s v="-"/>
    <s v="OPERARIO DE PRODUCCIÓN"/>
    <s v="-"/>
    <s v="Siendo las 06:35, el operario de Producción Oscar Zapata Gastelo se encontraba realizando labores de alimentación de galletas en los magazines del equipo Torre Línea 3, durante la actividad su mano derecha entra en contacto con una astilla metálica en la superficie del magazine, causándole un corte en el quinto dedo de la mano derecha. "/>
    <s v="Contacto con superficie filosa"/>
    <s v="MANO"/>
    <s v="Mano/Muñeca/Dedos"/>
    <s v="ALIMENTACIÓN DE GALLETAS"/>
    <s v="Herida del dedo meñique"/>
    <s v="Corte/Herida"/>
    <n v="2"/>
    <n v="0"/>
    <n v="2"/>
    <s v="Descanso Médico"/>
    <n v="62"/>
    <s v="&lt; 5 a 10 años"/>
    <s v="SUPERFICIE FILOSA"/>
    <s v="CONTRATO INDEFINIDO"/>
    <s v="Acc. Incapacitante"/>
    <n v="0"/>
    <x v="1"/>
    <m/>
  </r>
  <r>
    <n v="11"/>
    <s v="ILU23736"/>
    <x v="0"/>
    <x v="2"/>
    <s v="Distrito de Lurín"/>
    <s v="Intradevco"/>
    <x v="5"/>
    <x v="0"/>
    <s v="SOPLADO"/>
    <x v="1"/>
    <x v="1"/>
    <d v="2024-01-03T00:00:00"/>
    <n v="1"/>
    <n v="3"/>
    <x v="0"/>
    <n v="2024"/>
    <d v="1899-12-30T08:00:00"/>
    <s v="M"/>
    <x v="3"/>
    <x v="5"/>
    <s v="MEJÍA"/>
    <s v="CRISOSTOMO"/>
    <s v="ADA KELY"/>
    <s v="FEMENINO"/>
    <n v="23"/>
    <s v="OPERARIO DE PRODUCCIÓN"/>
    <d v="2023-04-01T00:00:00"/>
    <s v="La colaboradora se encontraba empleando una cuchilla para retirar las partes del plástico contaminado de uno de los frascos (galonera 5L). Esta actividad consiste en emplear una cuchilla para cortar en forma circular alrededor de las manchas o materiales extraños detectados en el frasco._x000a__x000a_Durante la actividad de corte, la colaboradora ejerce presión sobre la superficie que presentaba rigidez y realiza un corte ejerciendo fuerza en dirección a su cuerpo; producto de esta acción, la botella es cortada y la cuchilla alcanza la parte expuesta del antebrazo de la persona, entre el guante anticorte y el polo que se encontraba arremangado._x000a__x000a_La colaboradora comunica lo ocurrido a su supervisora y es atendida en el tópico. Se traslada a la colaboradora a la clínica para suturar la herida._x000a__x000a_Se procede con la investigación del accidente."/>
    <s v="Contacto con superficie cortante"/>
    <s v="ANTEBRAZO"/>
    <s v="Brazo/Codo/Hombro"/>
    <s v="Retiro de contaminación en envase"/>
    <s v="Herida en el antebrazo izquierdo"/>
    <s v="Corte/Herida"/>
    <n v="9"/>
    <n v="0"/>
    <n v="9"/>
    <s v="Trabajando"/>
    <n v="8"/>
    <s v="&lt; 0.5 a 1 año"/>
    <s v="SUPERFICIE FILOSA"/>
    <s v="CONTRATO TEMPORAL"/>
    <s v="Acc. Incapacitante"/>
    <n v="0"/>
    <x v="1"/>
    <m/>
  </r>
  <r>
    <n v="12"/>
    <s v="-"/>
    <x v="0"/>
    <x v="2"/>
    <s v="Distrito de Chorrillos"/>
    <s v="Intradevco"/>
    <x v="6"/>
    <x v="0"/>
    <s v="PESADO"/>
    <x v="0"/>
    <x v="0"/>
    <d v="2024-01-09T00:00:00"/>
    <n v="2"/>
    <n v="9"/>
    <x v="0"/>
    <n v="2024"/>
    <d v="1899-12-30T07:50:00"/>
    <s v="M"/>
    <x v="3"/>
    <x v="5"/>
    <s v="RENGIFO"/>
    <s v="AMASIFUEN"/>
    <s v="DAN MICHAEL"/>
    <s v="MASCULINO"/>
    <n v="34"/>
    <s v="OPERARIO DE PRODUCCIÓN"/>
    <d v="2024-01-02T00:00:00"/>
    <s v="Trabajador refiere salpicadura de éter en espalda,  brazo y hemicara derecha. Refiere uso de EPP completo. Acudió a tópico donde se evaluó y se le brindo atención médica con reevaluación en 2 horas. _x000a_En la reevaluación, colaborador refirió cefalea, ardor en ambos ojos y parestesia de hemicara derecha."/>
    <s v="Exposición a Sustancias Químicas"/>
    <s v="CABEZA"/>
    <s v="Rostro/Nariz/Boca"/>
    <s v="Trasvase de productos"/>
    <s v="Dematitis"/>
    <s v="Quemadura Química"/>
    <n v="0"/>
    <n v="0"/>
    <n v="0"/>
    <s v="Cesado"/>
    <n v="0"/>
    <s v="&lt; 1 mes"/>
    <s v="Sustancia química"/>
    <s v="CONTRATO TEMPORAL"/>
    <s v="Acc. No Incapacitante"/>
    <n v="0"/>
    <x v="0"/>
    <m/>
  </r>
  <r>
    <n v="13"/>
    <s v="-"/>
    <x v="0"/>
    <x v="2"/>
    <s v="Distrito de Lurín"/>
    <s v="Intradevco"/>
    <x v="7"/>
    <x v="0"/>
    <s v="AEROSOLES"/>
    <x v="0"/>
    <x v="0"/>
    <d v="2024-01-19T00:00:00"/>
    <n v="3"/>
    <n v="19"/>
    <x v="0"/>
    <n v="2024"/>
    <d v="1899-12-30T06:00:00"/>
    <s v="M"/>
    <x v="3"/>
    <x v="5"/>
    <s v="VILLACORTA"/>
    <s v="ASIPALI"/>
    <s v="ALEX"/>
    <s v="MASCULINO"/>
    <n v="25"/>
    <s v="OPERARIO DE PRODUCCIÓN"/>
    <d v="2023-05-25T00:00:00"/>
    <s v="El colaborador accidentado se encontraba realizando actividades de colocación de pulsadores a las latas, en la mesa de trabajo al lado derecho de la máquina llenadora de gas._x000a__x000a_El colaborador se acerca hacia la izquierda para coger más latas, cuando siente la salpicadura de liquido en el ojo izquierdo. La salpicadura se dio en el llenado de gas, debido a que la válvula no fue encrimpada. "/>
    <s v="Exposición a Sustancias Químicas"/>
    <s v="OJOS"/>
    <s v="Ojos"/>
    <s v="Colocación de tapas a producto"/>
    <s v="Irritación visutal"/>
    <s v="Quemadura Química"/>
    <n v="0"/>
    <n v="0"/>
    <n v="0"/>
    <s v="Trabajando"/>
    <n v="8"/>
    <s v="&lt; 0.5 a 1 año"/>
    <s v="Sustancia química"/>
    <s v="CONTRATO TEMPORAL"/>
    <s v="Acc. No Incapacitante"/>
    <n v="0"/>
    <x v="0"/>
    <m/>
  </r>
  <r>
    <n v="14"/>
    <s v="-"/>
    <x v="0"/>
    <x v="2"/>
    <s v="Distrito de Lurín"/>
    <s v="Intradevco"/>
    <x v="8"/>
    <x v="0"/>
    <s v="SULFONACIÓN"/>
    <x v="0"/>
    <x v="0"/>
    <d v="2024-01-31T00:00:00"/>
    <n v="5"/>
    <n v="31"/>
    <x v="0"/>
    <n v="2024"/>
    <d v="1899-12-30T13:55:00"/>
    <s v="M"/>
    <x v="3"/>
    <x v="5"/>
    <s v="PALOMINO"/>
    <s v="YURIVILCA"/>
    <s v="YESSICA"/>
    <s v="FEMENINO"/>
    <n v="26"/>
    <s v="SUPERVISOR DE SEGURIDAD"/>
    <d v="2022-03-17T00:00:00"/>
    <s v="Colaboradoras Meilin Ticona Rodriguez (CAO) y Yessica Palomino Yurivilca (CAO) Se encontraban retornando de su hora de refrigerio con dirección a tubepack, cuando transitaban por el sendero peatonal de Sulfonacion 2 , perciben olor extraño, consigo ardor de vía nasal, ardor de garganta y tos. Inmediatamente dan aviso al supervisor de Planta Arturo Gonzales. Posteriormente se trasladan al tópico. "/>
    <s v="Exposición a Sustancias Químicas"/>
    <s v="VÍAS RESPIRATORIAS"/>
    <s v="Vías Respiratorias"/>
    <s v="Desplazamiento en sendero peatonal"/>
    <s v="Intoxicación"/>
    <s v="Intoxicación"/>
    <n v="0"/>
    <n v="0"/>
    <n v="0"/>
    <s v="Trabajando"/>
    <n v="22"/>
    <s v="&lt; 1 a 5 años"/>
    <s v="Sustancia química"/>
    <s v="CONTRATO TEMPORAL"/>
    <s v="Acc. No Incapacitante"/>
    <n v="0"/>
    <x v="0"/>
    <m/>
  </r>
  <r>
    <n v="15"/>
    <s v="-"/>
    <x v="0"/>
    <x v="2"/>
    <s v="Distrito de Lurín"/>
    <s v="Intradevco"/>
    <x v="7"/>
    <x v="0"/>
    <s v="ÁREA COMÚN"/>
    <x v="0"/>
    <x v="0"/>
    <d v="2024-02-03T00:00:00"/>
    <n v="5"/>
    <n v="3"/>
    <x v="1"/>
    <n v="2024"/>
    <d v="1899-12-30T12:15:00"/>
    <s v="M"/>
    <x v="3"/>
    <x v="5"/>
    <s v="MOZOMBITE"/>
    <s v="GARCIA"/>
    <s v="CLARA INES"/>
    <s v="FEMENINO"/>
    <n v="22"/>
    <s v="OPERARIO DE PRODUCCIÓN"/>
    <d v="2024-01-05T00:00:00"/>
    <s v="Colaboradora se encontraba bajando las escaleras luego de almorzar, menciona que estaba usando el pasamanos, pero encontrándose en los últimos peldaños se soltó, creyendo ya pisar el nivel del piso, pero un le faltaba el último peldaño, es ahí que cae y se golpea las rodillas. _x000a__x000a_Posteriormente da aviso a su supervisora y es trasladada al tópico "/>
    <s v="Caída a distinto nivel"/>
    <s v="RODILLAS"/>
    <s v="Rodilla"/>
    <s v="Desplazamiento en escalera"/>
    <s v="Contusión"/>
    <s v="Contusión/Trauma"/>
    <n v="0"/>
    <n v="0"/>
    <n v="0"/>
    <s v="Trabajando"/>
    <n v="0"/>
    <s v="&lt; 1 mes"/>
    <s v="Altura estructural"/>
    <s v="CONTRATO TEMPORAL"/>
    <s v="Acc. No Incapacitante"/>
    <n v="0"/>
    <x v="0"/>
    <m/>
  </r>
  <r>
    <n v="16"/>
    <s v="-"/>
    <x v="0"/>
    <x v="2"/>
    <s v="Distrito de Lurín"/>
    <s v="Intradevco"/>
    <x v="7"/>
    <x v="2"/>
    <s v="Compactado de residuos sólidos"/>
    <x v="0"/>
    <x v="0"/>
    <d v="2024-02-10T00:00:00"/>
    <n v="6"/>
    <n v="10"/>
    <x v="1"/>
    <n v="2024"/>
    <d v="1899-12-30T10:35:00"/>
    <s v="M"/>
    <x v="4"/>
    <x v="6"/>
    <s v="DE LA TORRE"/>
    <s v="HUAMAN"/>
    <s v="DAVID MOISES"/>
    <s v="MASCULINO"/>
    <s v="-"/>
    <s v="OPERARIO"/>
    <s v="-"/>
    <s v="El colaborador David Moises De la Torre Huaman, culminó la actividad de prensado y procedió a cerrar las dos puertas de la compactadora en simultáneo, manteniendo el dedo pulgar de la mano izquierda entre ambas puertas, produciéndose una atricción y una herida superficial"/>
    <s v="Atrapado por Partes en Movimiento"/>
    <s v="DEDOS DE LA MANO"/>
    <s v="Mano/Muñeca/Dedos"/>
    <s v="Cierre de puerta de compactadora"/>
    <s v="Atricción"/>
    <s v="Contusión/Trauma"/>
    <n v="0"/>
    <n v="0"/>
    <n v="0"/>
    <s v="Trabajando"/>
    <m/>
    <m/>
    <s v="MÁQUINA/EQUIPO"/>
    <s v="CONTRATO TEMPORAL"/>
    <s v="Acc. No Incapacitante"/>
    <n v="0"/>
    <x v="0"/>
    <m/>
  </r>
  <r>
    <n v="17"/>
    <s v="-"/>
    <x v="0"/>
    <x v="2"/>
    <s v="Distrito de Lurín"/>
    <s v="Intradevco"/>
    <x v="7"/>
    <x v="0"/>
    <s v="Garita del lote 4"/>
    <x v="0"/>
    <x v="0"/>
    <d v="2024-02-13T00:00:00"/>
    <n v="7"/>
    <n v="13"/>
    <x v="1"/>
    <n v="2024"/>
    <d v="1899-12-30T09:15:00"/>
    <s v="N"/>
    <x v="4"/>
    <x v="6"/>
    <s v="GUTIERREZ"/>
    <s v="ROJAS"/>
    <s v="JULIA"/>
    <s v="FEMENINO"/>
    <s v="-"/>
    <s v="OPERARIA"/>
    <s v="-"/>
    <s v="La colaboradora Julia Gutierrez Rojas (alteliza) estaba realizando limpieza en garita LOTE4, ya que estaba utilizando un envase con el contenido de lejía y agua, al momento de realizar la actividad el envase se le desprende de la mano y cae al suelo por lo que se rompió la rosca del gatillo y se produjo la Salpicadura en el ojo derecho, indicar que la colaborador no estaba haciendo uso de sus lentes de seguridad en plena actividad."/>
    <s v="Proyección de Sustancias Químicas"/>
    <s v="OJOS"/>
    <s v="Ojos"/>
    <s v="Limpieza del área"/>
    <s v="Irritación visutal"/>
    <s v="Cuerpo Extraño en Ojos"/>
    <n v="0"/>
    <n v="0"/>
    <n v="0"/>
    <s v="Trabajando"/>
    <m/>
    <m/>
    <s v="Sustancia química"/>
    <s v="CONTRATO TEMPORAL"/>
    <s v="Acc. No Incapacitante"/>
    <n v="0"/>
    <x v="0"/>
    <m/>
  </r>
  <r>
    <n v="18"/>
    <s v="-"/>
    <x v="0"/>
    <x v="2"/>
    <s v="Distrito de Lurín"/>
    <s v="Intradevco"/>
    <x v="7"/>
    <x v="0"/>
    <s v="Lejía"/>
    <x v="0"/>
    <x v="0"/>
    <d v="2024-02-13T00:00:00"/>
    <n v="7"/>
    <n v="13"/>
    <x v="1"/>
    <n v="2024"/>
    <s v="-"/>
    <s v="-"/>
    <x v="2"/>
    <x v="5"/>
    <s v="PALACIOS"/>
    <s v="ABAD"/>
    <s v="JOSE LUIS"/>
    <s v="MASCULINO"/>
    <s v="-"/>
    <s v="OPERARIO DE PRODUCCIÓN"/>
    <s v="-"/>
    <s v="Colaborador se encontraba realizando actividades de traslado de cajas con PT,  se percata que los rodillos giratorios se encontraban mojados, motivo por la cual procede con la limpieza del rodillo mientras ésta se encontraba girando aun, continua con la limpieza hasta tener acercamiento a la faja transportadora en movimiento y sufre atrapamiento de dedos entre el rodillo y la faja. Posteriormente da aviso a la supervisora y es trasladado al tópico."/>
    <s v="Atrapado por Partes en Movimiento"/>
    <s v="MANO"/>
    <s v="Mano/Muñeca/Dedos"/>
    <s v="Limpieza de polines"/>
    <s v="Atricción"/>
    <s v="Contusión/Trauma"/>
    <n v="0"/>
    <n v="0"/>
    <n v="0"/>
    <s v="Trabajando"/>
    <m/>
    <m/>
    <s v="MÁQUINA/EQUIPO"/>
    <s v="CONTRATO TEMPORAL"/>
    <s v="Acc. No Incapacitante"/>
    <n v="0"/>
    <x v="0"/>
    <m/>
  </r>
  <r>
    <n v="19"/>
    <s v="-"/>
    <x v="0"/>
    <x v="2"/>
    <s v="Distrito de Lurín"/>
    <s v="Intradevco"/>
    <x v="7"/>
    <x v="0"/>
    <s v="SOPLADO"/>
    <x v="0"/>
    <x v="0"/>
    <d v="2024-03-30T00:00:00"/>
    <n v="13"/>
    <n v="30"/>
    <x v="2"/>
    <n v="2024"/>
    <d v="1899-12-30T22:00:00"/>
    <s v="N"/>
    <x v="3"/>
    <x v="5"/>
    <s v="PAREJAS"/>
    <s v="CORNEJO"/>
    <s v="ESTEFANI"/>
    <s v="FEMENINO"/>
    <n v="25"/>
    <s v="OPERARIO DE PRODUCCIÓN"/>
    <d v="2024-05-01T00:00:00"/>
    <s v="Colaboradora iba realizar el traslado de una paleta hacia zona demarcada de apilamiento en la máquina JH5 Procede a intentar bajar la paleta desde una ruma de 3, levanta la plataforma y por el peso se le resbala quedando el dedo atrapado entre la plataforma y el taco, causando herida en la uña. *Colaboradora no se percató del mal estado de la paleta ( el taco central, estaba separado de la plataforma) dejando un clavo expuesto *Colaboradora se encontraba sin guantes para manipulación de paletas ."/>
    <s v="Contacto con superficie cortante"/>
    <s v="MANO"/>
    <s v="Mano/Muñeca/Dedos"/>
    <s v="Manipulación de paletas"/>
    <s v="Herida en dedo"/>
    <s v="Corte/Herida"/>
    <n v="0"/>
    <n v="0"/>
    <n v="0"/>
    <s v="Trabajando"/>
    <n v="10"/>
    <s v="&lt; 0.5 a 1 año"/>
    <s v="PALETA"/>
    <s v="CONTRATO TEMPORAL"/>
    <s v="Acc. No Incapacitante"/>
    <n v="0"/>
    <x v="0"/>
    <m/>
  </r>
  <r>
    <n v="20"/>
    <s v="-"/>
    <x v="0"/>
    <x v="2"/>
    <s v="DETERGENTES"/>
    <s v="Intradevco"/>
    <x v="9"/>
    <x v="3"/>
    <s v="Distribución"/>
    <x v="0"/>
    <x v="0"/>
    <d v="2024-01-08T00:00:00"/>
    <n v="2"/>
    <n v="8"/>
    <x v="0"/>
    <n v="2024"/>
    <d v="1899-12-30T22:30:00"/>
    <s v="N"/>
    <x v="3"/>
    <x v="7"/>
    <s v="BERRIO"/>
    <s v=" HUAMANI"/>
    <s v=" DIANA"/>
    <s v="FEMENINO"/>
    <n v="29"/>
    <s v="OPERARIO DE DESPACHO"/>
    <d v="2024-01-01T00:00:00"/>
    <s v="Manipulando transpaleta y al estacionar para descargar recibe contusión en dedo pulgar   con paletas mal apiladas"/>
    <s v="Golpeado por"/>
    <s v="DEDO PULGAR IZQUIERDO"/>
    <s v="Mano/Muñeca/Dedos"/>
    <s v="Operación de transpaleta"/>
    <s v="Contusion"/>
    <s v="Contusión/Trauma"/>
    <n v="0"/>
    <n v="0"/>
    <n v="0"/>
    <s v="Trabajando"/>
    <n v="0.23"/>
    <s v="&lt; 1 mes"/>
    <s v="PALETA"/>
    <s v="CONTRATO TEMPORAL"/>
    <s v="Acc. No Incapacitante"/>
    <n v="0"/>
    <x v="0"/>
    <m/>
  </r>
  <r>
    <n v="21"/>
    <s v="-"/>
    <x v="0"/>
    <x v="0"/>
    <s v="MCA"/>
    <s v="Otros"/>
    <x v="10"/>
    <x v="4"/>
    <s v="Proyecto Vestuarios"/>
    <x v="1"/>
    <x v="1"/>
    <d v="2024-01-17T00:00:00"/>
    <n v="3"/>
    <n v="17"/>
    <x v="0"/>
    <n v="2024"/>
    <d v="1899-12-30T08:40:00"/>
    <s v="M"/>
    <x v="2"/>
    <x v="8"/>
    <s v="ALVAREZ"/>
    <s v="CERVANTES"/>
    <s v="RODOLFO"/>
    <s v="MASCULINO"/>
    <n v="33"/>
    <s v="PEON"/>
    <s v="-"/>
    <s v="El 17 de enero a las 8:40 am, aproximadamente, el trabajador ALVAREZ CERVANTES ADOLFO, personal de la subcontrata de la empresa Binswanger, se encontraba descendiendo hacia dentro de la cisterna para hacer limpieza de esta._x000a_El trabajador intentó bajar al interior de la cisterna por el área de la escotilla, el área contaba con fierros sobresalidos cada uno con capuchones*_x000a_El trabajador colocó una escalera lineal* y la cual se deslizó, provocando la expulsión de uno de los capuchones de protección con el cual el trabajador sufrió la incrustación del fierro de unos centímetros, en la altura del abdomen (zona lateral derecha)."/>
    <s v="Caída a distinto nivel"/>
    <s v="Abdómen"/>
    <s v="Abdomen/Torso"/>
    <s v="-"/>
    <m/>
    <s v="Contusión/Trauma"/>
    <n v="16"/>
    <n v="0"/>
    <n v="16"/>
    <m/>
    <n v="60"/>
    <s v="&lt; 1 a 5 años"/>
    <m/>
    <m/>
    <s v="Acc. Incapacitante"/>
    <n v="0"/>
    <x v="1"/>
    <m/>
  </r>
  <r>
    <n v="22"/>
    <s v="-"/>
    <x v="2"/>
    <x v="3"/>
    <s v="BICIS 2"/>
    <s v="Vitapro"/>
    <x v="11"/>
    <x v="5"/>
    <s v="Edificio de Manufactura Bicis 2"/>
    <x v="1"/>
    <x v="1"/>
    <d v="2024-01-17T00:00:00"/>
    <n v="3"/>
    <n v="17"/>
    <x v="0"/>
    <n v="2024"/>
    <d v="1899-12-30T14:30:00"/>
    <s v="M"/>
    <x v="2"/>
    <x v="9"/>
    <s v="FLORES"/>
    <s v="GARCÍA"/>
    <s v="DIEGO ARMANDO"/>
    <s v="MASCULINO"/>
    <n v="30"/>
    <s v="SOLDADOR"/>
    <s v="-"/>
    <s v="El 17 de enero a las 2:30 pm, el trabajador DIEGO ARMANDO FLORES GARCIA, de la empresa EVA ENGINEERING se encontraba realizando soldadura de las estructuras de una plataforma metálica en construcción ubicada a 3 metros de altura aproximadamente. _x000a__x000a_El trabajador al cambiarse de posición desenganchó su eslinga para poder trasladarse sobre la plataforma en construcción, indicó que se desvaneció en ese momento y cayó desde la plataforma hasta el nivel piso. El impacto de la caída golpea su rostro contra un equipo instalado _x000a_"/>
    <s v="Caída a distinto nivel"/>
    <s v="Labio inferior"/>
    <s v="Rostro/Nariz/Boca"/>
    <s v="-"/>
    <s v="Herida labio inferior 2cm"/>
    <s v="Corte/Herida"/>
    <n v="3"/>
    <n v="0"/>
    <n v="3"/>
    <m/>
    <m/>
    <s v="&lt; 5 a 10 años"/>
    <m/>
    <m/>
    <s v="Acc. Incapacitante"/>
    <n v="0"/>
    <x v="1"/>
    <m/>
  </r>
  <r>
    <n v="23"/>
    <s v="-"/>
    <x v="3"/>
    <x v="3"/>
    <s v="Chile"/>
    <s v="Vitapro"/>
    <x v="12"/>
    <x v="6"/>
    <s v="Cernidor carga MP L3 y L4 "/>
    <x v="1"/>
    <x v="1"/>
    <d v="2024-01-04T00:00:00"/>
    <n v="1"/>
    <n v="4"/>
    <x v="0"/>
    <n v="2024"/>
    <d v="1899-12-30T15:00:00"/>
    <s v="M"/>
    <x v="0"/>
    <x v="10"/>
    <s v="-"/>
    <s v="-"/>
    <s v="-"/>
    <s v="MASCULINO"/>
    <n v="28"/>
    <s v="TECNICO MECÁNICO"/>
    <s v="-"/>
    <s v="Durante el turno de la tarde, dos trabajadores de mantención mecánica reciben llamado al radiotransmisor por falla en elevador L3 y L4, al llegar a revisar, notan que el cernidor se encontraba trabado con producto húmedo, por lo cual comienzan a golpear las paredes del equipo con un combo de goma, un trabajador golpea el lado izquierdo y el segundo trabajador golpea el lado derecho (el cual tenía el acceso y espacio de trabajo mas reducido) en el momento que trabajador procede a golpear la pared del cernidor con el mazo de goma, pasa a golpear su mano contra el cernidor con toda la fuerza del golpe mientras sostenía el combo."/>
    <s v="Golpeado contra"/>
    <s v="Dedo anular mano derecha"/>
    <s v="Mano/Muñeca/Dedos"/>
    <s v="-"/>
    <s v="Lesión en dedo"/>
    <s v="Contusión/Trauma"/>
    <n v="9"/>
    <n v="0"/>
    <n v="9"/>
    <m/>
    <n v="20"/>
    <s v="&lt; 1 a 5 años"/>
    <s v="COMBA DE GOMA"/>
    <m/>
    <s v="Acc. Incapacitante"/>
    <n v="0"/>
    <x v="1"/>
    <m/>
  </r>
  <r>
    <n v="24"/>
    <s v="-"/>
    <x v="0"/>
    <x v="0"/>
    <s v="Distrito del Callao"/>
    <s v="PDC"/>
    <x v="13"/>
    <x v="0"/>
    <s v="Escalera de servicios higiénicos - Detergentes"/>
    <x v="1"/>
    <x v="1"/>
    <d v="2024-01-05T00:00:00"/>
    <n v="1"/>
    <n v="5"/>
    <x v="0"/>
    <n v="2024"/>
    <d v="1899-12-30T02:30:00"/>
    <s v="N"/>
    <x v="0"/>
    <x v="3"/>
    <s v="TENAZOA"/>
    <s v="AREVALO"/>
    <s v="KEVIN"/>
    <s v="MASCULINO"/>
    <n v="38"/>
    <s v="OPERADOR DE ENFARDADO"/>
    <d v="2014-01-20T00:00:00"/>
    <s v="El Sr. Kevin Tenazoa al bajar por las gradas de los SSHH frente a planta sufre un resbalón, haciendo que su rodilla derecha sufra una contusión, originándole dolor que le impidió ponerse de pie. Fue atendido por la ambulancia y posteriormente derivado a la clínica San Gabriel."/>
    <s v="Caída al mismo nivel"/>
    <s v="PIERNA"/>
    <s v="Rodilla"/>
    <s v="Bajando escaleras de SSHH"/>
    <s v="Esguince y torcedura en rodilla derecha"/>
    <s v="Esguince/Torcedura"/>
    <n v="180"/>
    <n v="0"/>
    <n v="180"/>
    <s v="Trabajando"/>
    <n v="119"/>
    <s v="&lt; 5 a 10 años"/>
    <s v="ESCALERAS"/>
    <s v="CONTRATO INDEFINIDO"/>
    <s v="Acc. Incapacitante"/>
    <n v="0"/>
    <x v="1"/>
    <s v="SI"/>
  </r>
  <r>
    <n v="25"/>
    <s v="-"/>
    <x v="0"/>
    <x v="0"/>
    <s v="Distrito del Callao"/>
    <s v="Otros"/>
    <x v="14"/>
    <x v="7"/>
    <s v="Comedor COPSA"/>
    <x v="0"/>
    <x v="0"/>
    <d v="2024-02-18T00:00:00"/>
    <n v="7"/>
    <n v="18"/>
    <x v="1"/>
    <n v="2024"/>
    <d v="1899-12-30T17:05:00"/>
    <s v="T"/>
    <x v="5"/>
    <x v="11"/>
    <s v="DIAZ"/>
    <s v="PAREDES"/>
    <s v="JORGE"/>
    <s v="MASCULINO"/>
    <s v="-"/>
    <s v="COCINERO"/>
    <s v="-"/>
    <s v="-"/>
    <s v="Contacto con superficie filosa"/>
    <s v="MANO"/>
    <s v="Mano/Muñeca/Dedos"/>
    <s v="Cocina"/>
    <s v="NA"/>
    <s v="Corte/Herida"/>
    <n v="0"/>
    <n v="0"/>
    <n v="0"/>
    <s v="Trabajando"/>
    <m/>
    <m/>
    <s v="CUCHILLO"/>
    <s v="CONTRATO INDEFINIDO"/>
    <s v="Acc. No Incapacitante"/>
    <n v="0"/>
    <x v="0"/>
    <m/>
  </r>
  <r>
    <n v="26"/>
    <s v="-"/>
    <x v="0"/>
    <x v="0"/>
    <s v="Distrito de Miraflores"/>
    <s v="Otros"/>
    <x v="15"/>
    <x v="4"/>
    <s v="Edificio Miraflores"/>
    <x v="1"/>
    <x v="1"/>
    <d v="2024-02-19T00:00:00"/>
    <n v="8"/>
    <n v="19"/>
    <x v="1"/>
    <n v="2024"/>
    <d v="1899-12-30T11:30:00"/>
    <s v="M"/>
    <x v="6"/>
    <x v="12"/>
    <s v="ESPINOZA"/>
    <s v="HUAMAN"/>
    <s v="GERSON ELI"/>
    <s v="MASCULINO"/>
    <n v="30"/>
    <s v="OFFICE BOYS"/>
    <s v="-"/>
    <s v="Siendo las 11:30 am del día 19 de febrero, el office Boys del Facility Cushman al querer unir un panel con otro, sus dedos mayor, anular y meñique de la mano izquierda quedaron aplastados entre ambos paneles generándole dolor en el momento pero sin prestarle mayor importancia ya que el dolor fue disminuyendo. Debido a ello no reportó lo sucedido._x000a_Al día siguiente, a las 9:30 am el office Boys se dirige al tópico de Alicorp del Edificio Miraflores ya que amanecieron sus dedos inflamados. Se le indica derivarlo a la Clínica Ricardo Palma para su atención, por lo que es acompañado por su trabajador social especialista en SST (Seguridad y salud en el trabajo)_x000a_"/>
    <s v="Atrapado por Partes en Movimiento"/>
    <s v="MANO"/>
    <s v="Mano/Muñeca/Dedos"/>
    <s v="Movimiento de puertas"/>
    <s v="FRACTURA FALANGE DISTAL DE MANO"/>
    <s v="Fractura"/>
    <n v="7"/>
    <n v="0"/>
    <n v="7"/>
    <s v="Trabajando"/>
    <n v="2"/>
    <s v="&lt; 1 a 3 meses"/>
    <s v="PUERTA"/>
    <s v="PLAZO DETERMINADO"/>
    <s v="Acc. Incapacitante"/>
    <n v="0"/>
    <x v="1"/>
    <m/>
  </r>
  <r>
    <n v="27"/>
    <s v="-"/>
    <x v="2"/>
    <x v="3"/>
    <s v="BICIS 2"/>
    <s v="Vitapro"/>
    <x v="11"/>
    <x v="5"/>
    <s v="Edificio de Manufactura Bicis 2"/>
    <x v="1"/>
    <x v="1"/>
    <d v="2024-02-27T00:00:00"/>
    <n v="9"/>
    <n v="27"/>
    <x v="1"/>
    <n v="2024"/>
    <d v="1899-12-30T09:30:00"/>
    <s v="M"/>
    <x v="2"/>
    <x v="13"/>
    <s v="-"/>
    <s v="-"/>
    <s v="-"/>
    <s v="MASCULINO"/>
    <n v="55"/>
    <s v="AYUDANTE"/>
    <s v="-"/>
    <s v="Al momento de levantar las planchas, colocándolas de forma vertical, uno de los trabajadores al bajar la plancha a nivel de piso (75cm sobre el piso), se desliza y cae golpeando la parte superior al pie derecho del trabajador. El impacto se da dónde termina la puntera metálica de su bota de seguridad."/>
    <s v="Golpeado por"/>
    <s v="Dedo gordo del pie derecho"/>
    <s v="Mano/Muñeca/Dedos"/>
    <s v="-"/>
    <s v="Fisura "/>
    <s v="Fractura"/>
    <n v="30"/>
    <n v="0"/>
    <n v="30"/>
    <m/>
    <m/>
    <s v="&lt; 1 a 3 meses"/>
    <m/>
    <m/>
    <s v="Acc. Incapacitante"/>
    <n v="0"/>
    <x v="1"/>
    <m/>
  </r>
  <r>
    <n v="28"/>
    <s v="-"/>
    <x v="1"/>
    <x v="1"/>
    <m/>
    <s v="CBB"/>
    <x v="2"/>
    <x v="3"/>
    <s v="Almacen de Producto Terminado"/>
    <x v="0"/>
    <x v="0"/>
    <d v="2024-02-09T00:00:00"/>
    <n v="6"/>
    <n v="9"/>
    <x v="1"/>
    <n v="2024"/>
    <d v="1899-12-30T06:30:00"/>
    <s v="M"/>
    <x v="0"/>
    <x v="0"/>
    <s v="CLAROS"/>
    <s v="FERNANDEZ"/>
    <s v="LEONIDAS JHOSET"/>
    <s v="MASCULINO"/>
    <n v="32"/>
    <s v="MONTACARGUISTA"/>
    <d v="2014-09-01T00:00:00"/>
    <s v="A horas 06:30 am, el trabajador inicia su jornada de trabajo en el equipo: Tractor Massey Ferguson 290, por lo que al momento de subir por la escalera de acceso (altura escalera: 60 cm), su mano izq. resbala del agarrador, ocasionando que su mano derecha ejerza mayor fuerza de sujeción para evitar la caída, sufriendo una torcedura en la muñeca de la mano derecha."/>
    <s v="Caída al mismo nivel"/>
    <s v="MANO"/>
    <s v="Mano/Muñeca/Dedos"/>
    <s v="SUBIR AL TRACTOR"/>
    <s v="Torcedura de muñeca derecha"/>
    <s v="Esguince/Torcedura"/>
    <n v="0"/>
    <n v="0"/>
    <n v="0"/>
    <s v="Trabajando"/>
    <n v="114"/>
    <s v="&lt; 5 a 10 años"/>
    <s v="ESCALERA DE ACCESO"/>
    <s v="CONTRATO INDEFINIDO"/>
    <s v="Acc. No Incapacitante"/>
    <n v="0"/>
    <x v="0"/>
    <m/>
  </r>
  <r>
    <n v="29"/>
    <s v="-"/>
    <x v="1"/>
    <x v="1"/>
    <m/>
    <s v="PDF"/>
    <x v="1"/>
    <x v="3"/>
    <s v="APG"/>
    <x v="0"/>
    <x v="0"/>
    <d v="2024-02-27T00:00:00"/>
    <n v="9"/>
    <n v="27"/>
    <x v="1"/>
    <n v="2024"/>
    <d v="1899-12-30T13:20:00"/>
    <s v="M"/>
    <x v="0"/>
    <x v="0"/>
    <s v=" - "/>
    <s v="BENAVIDES"/>
    <s v="EULOGIO"/>
    <s v="MASCULINO"/>
    <n v="48"/>
    <s v="CARGADOR /APILADOR"/>
    <d v="2024-01-03T00:00:00"/>
    <s v="Durante el apilado de bolsas de harina en camión de despacho, se encontraba aguardando de la cinta transportadora la recepción de la bolsas, en ese instante siente un mareo, y procede a sentarse sobre las bolsas apiladas, sus colegas tras evidenciar que el Sr. Benavides se sientan le consultan si se encuentra bien, en ese instante pierde el conocimiento y se desmaya. Inmediatamente paran el apilado de bolsas, y solicitan apoyo de la brigada de primeros auxilios."/>
    <s v="Sobreesfuerzo"/>
    <s v="-"/>
    <s v="Mano/Muñeca/Dedos"/>
    <s v="APILADO DE BOLSAS"/>
    <s v="Golpe de calor"/>
    <m/>
    <m/>
    <m/>
    <m/>
    <s v="Trabajando"/>
    <n v="40"/>
    <s v="&lt; 1 a 5 años"/>
    <m/>
    <s v="CONTRATO POR ZAFRA"/>
    <s v="Acc. No Incapacitante"/>
    <n v="0"/>
    <x v="0"/>
    <m/>
  </r>
  <r>
    <n v="30"/>
    <s v="ILU23830"/>
    <x v="0"/>
    <x v="2"/>
    <s v="Distrito de Lurín"/>
    <s v="Intradevco"/>
    <x v="16"/>
    <x v="0"/>
    <s v="Plasticos"/>
    <x v="1"/>
    <x v="1"/>
    <d v="2024-02-28T00:00:00"/>
    <n v="9"/>
    <n v="28"/>
    <x v="1"/>
    <n v="2024"/>
    <d v="1899-12-30T19:01:00"/>
    <s v="M"/>
    <x v="3"/>
    <x v="5"/>
    <s v="GUZMAN"/>
    <s v="GOMEZ"/>
    <s v=" EDER JUNIOR"/>
    <s v="MASCULINO"/>
    <n v="34"/>
    <s v="OPERARIO DE PRODUCCIÓN"/>
    <d v="2023-08-09T00:00:00"/>
    <s v="Siendo las 7:02pm. El colaborador Eder Guzman se encontraba ingresando al área de plástico zona de molienda junto a su compañero del área para el inicio de jornada laboral nocturna. Al evidenciar que la iluminaria se encontraba apagada, deja el pase a su compañero para el ingreso y procede a encender la luz apoyando la mano izquierda en la bisagra de la puerta, la puerta procede a cerrar ocasionando un aplastamiento en el dedo anular izquierdo. _x000a_Da aviso del evento y es trasladado al tópico para recibir atención médica. _x000a_"/>
    <s v="Golpeado por"/>
    <s v="DEDO ANULAR IZQUIERDO"/>
    <s v="Mano/Muñeca/Dedos"/>
    <s v="Ingreso a las instalaciones"/>
    <s v="Fractura de falange"/>
    <s v="Fractura"/>
    <n v="31"/>
    <n v="0"/>
    <n v="31"/>
    <s v="Trabajando"/>
    <n v="7"/>
    <s v="&lt; 0.5 a 1 año"/>
    <s v="PUERTA"/>
    <s v="CONTRATO TEMPORAL"/>
    <s v="Acc. Incapacitante"/>
    <n v="0"/>
    <x v="1"/>
    <m/>
  </r>
  <r>
    <n v="31"/>
    <s v="-"/>
    <x v="0"/>
    <x v="2"/>
    <s v="Distrito de Lurín"/>
    <s v="Intradevco"/>
    <x v="16"/>
    <x v="0"/>
    <s v="Manufactura detergentes"/>
    <x v="0"/>
    <x v="0"/>
    <d v="2024-01-08T00:00:00"/>
    <n v="2"/>
    <n v="8"/>
    <x v="0"/>
    <n v="2024"/>
    <d v="1899-12-30T13:45:00"/>
    <s v="M"/>
    <x v="3"/>
    <x v="5"/>
    <s v="TENORIO"/>
    <s v=" ACUÑA"/>
    <s v="JOEL"/>
    <s v="MASCULINO"/>
    <n v="24"/>
    <s v="OPERARIO DE PRODUCCIÓN"/>
    <d v="2023-12-19T00:00:00"/>
    <s v="El colaborador se encontraba en el área de coches - proceso, el colaborador menciona que había jalado un coche vacío con fuerza y en el mismo momento se percata que había delante de él otro coche pero con producto fue entonces que le ganó y se impactó su talón de aquiles en la lado izquierdo."/>
    <s v="Golpeado por"/>
    <s v="PIE"/>
    <s v="Pie/Tobillo"/>
    <s v="Transporte de coches de detergentes"/>
    <s v="Contusion"/>
    <s v="Contusión/Trauma"/>
    <n v="0"/>
    <n v="0"/>
    <n v="0"/>
    <s v="Trabajando"/>
    <n v="0.6"/>
    <s v="&lt; 1 mes"/>
    <s v="COCHE"/>
    <s v="CONTRATO TEMPORAL"/>
    <s v="Acc. No Incapacitante"/>
    <n v="0"/>
    <x v="0"/>
    <m/>
  </r>
  <r>
    <n v="32"/>
    <s v="-"/>
    <x v="0"/>
    <x v="2"/>
    <s v="Distrito de Lurín"/>
    <s v="Intradevco"/>
    <x v="16"/>
    <x v="0"/>
    <s v="Empacado detergente"/>
    <x v="0"/>
    <x v="0"/>
    <d v="2024-01-22T00:00:00"/>
    <n v="4"/>
    <n v="22"/>
    <x v="0"/>
    <n v="2024"/>
    <d v="1899-12-30T17:50:00"/>
    <s v="N"/>
    <x v="3"/>
    <x v="5"/>
    <s v="GARRIDO"/>
    <s v=" LUYA"/>
    <s v=" VICTOR HUGO"/>
    <s v="MASCULINO"/>
    <n v="35"/>
    <s v="OPERARIO DE PRODUCCIÓN"/>
    <d v="2024-01-16T00:00:00"/>
    <s v="Manifiesta colaborador recibir contusión en pie izquierdo con baranda metal de coche en movimiento manejado por compañero "/>
    <s v="Golpeado por"/>
    <s v="PIE IZQUIERDO"/>
    <s v="Pie/Tobillo"/>
    <s v="Transporte de coches de detergentes"/>
    <s v="Contusion"/>
    <s v="Contusión/Trauma"/>
    <n v="0"/>
    <n v="0"/>
    <n v="0"/>
    <s v="Cesado"/>
    <n v="0.2"/>
    <s v="&lt; 1 mes"/>
    <s v="COCHE"/>
    <s v="CONTRATO TEMPORAL"/>
    <s v="Acc. No Incapacitante"/>
    <n v="0"/>
    <x v="0"/>
    <m/>
  </r>
  <r>
    <n v="33"/>
    <s v="-"/>
    <x v="0"/>
    <x v="2"/>
    <s v="Distrito de Lurín"/>
    <s v="Intradevco"/>
    <x v="16"/>
    <x v="0"/>
    <s v="Manufactura detergentes"/>
    <x v="0"/>
    <x v="0"/>
    <d v="2024-01-26T00:00:00"/>
    <n v="4"/>
    <n v="26"/>
    <x v="0"/>
    <n v="2024"/>
    <d v="1899-12-30T15:56:00"/>
    <s v="M"/>
    <x v="3"/>
    <x v="5"/>
    <s v="TORRES"/>
    <s v=" PEREZ"/>
    <s v=" YEFERSON BRYAN "/>
    <s v="MASCULINO"/>
    <n v="25"/>
    <s v="OPERARIO DE PRODUCCIÓN"/>
    <d v="2023-07-04T00:00:00"/>
    <s v="Colaborador se encontraba retirando muestra de detergente de la balanza N°1 para entregar a calidad mientras la compuerta estaba abierta y se llenaba el coche. El compañero Edgar Santillán ITDC jala el coche hacia atrás a pesar de que no se llenaba por completo generando así que el brazo derecho quede atrapado y presionado con el coche"/>
    <s v="Golpeado por"/>
    <s v="ANTEBRAZO"/>
    <s v="Brazo/Codo/Hombro"/>
    <s v="Muestreo de producto"/>
    <s v="Contusion"/>
    <s v="Contusión/Trauma"/>
    <n v="0"/>
    <n v="0"/>
    <n v="0"/>
    <s v="Trabajando"/>
    <n v="6"/>
    <s v="&lt; 0.5 a 1 año"/>
    <s v="COCHE"/>
    <s v="CONTRATO TEMPORAL"/>
    <s v="Acc. No Incapacitante"/>
    <n v="0"/>
    <x v="0"/>
    <m/>
  </r>
  <r>
    <n v="34"/>
    <s v="-"/>
    <x v="0"/>
    <x v="2"/>
    <s v="Distrito de Lurín"/>
    <s v="Intradevco"/>
    <x v="16"/>
    <x v="0"/>
    <s v="Empacado detergente"/>
    <x v="0"/>
    <x v="0"/>
    <d v="2024-01-31T00:00:00"/>
    <n v="5"/>
    <n v="31"/>
    <x v="0"/>
    <n v="2024"/>
    <d v="1899-12-30T06:53:00"/>
    <s v="M"/>
    <x v="0"/>
    <x v="14"/>
    <s v="GASPAR"/>
    <s v=" CHIROQUE"/>
    <s v="JUAN CARLOS"/>
    <s v="MASCULINO"/>
    <n v="35"/>
    <s v="OPERARIO DE PRODUCCIÓN"/>
    <d v="2021-02-03T00:00:00"/>
    <s v="Manifiesta colaborador , compresión de dedo con  maquina empacadora en movimiento"/>
    <s v="Atrapado por Partes en Movimiento"/>
    <s v="DEDO INDICE DERECHO"/>
    <s v="Mano/Muñeca/Dedos"/>
    <s v="Regulacion de equipo"/>
    <s v="Contusion"/>
    <s v="Contusión/Trauma"/>
    <n v="0"/>
    <n v="0"/>
    <n v="0"/>
    <s v="Trabajando"/>
    <n v="36"/>
    <s v="&lt; 1 a 5 años"/>
    <s v="ENVASADORA"/>
    <s v="CONTRATO INDEFINIDO"/>
    <s v="Acc. No Incapacitante"/>
    <n v="0"/>
    <x v="0"/>
    <m/>
  </r>
  <r>
    <n v="35"/>
    <s v="-"/>
    <x v="0"/>
    <x v="2"/>
    <s v="Distrito de Lurín"/>
    <s v="Intradevco"/>
    <x v="16"/>
    <x v="0"/>
    <s v="Empacado detergente"/>
    <x v="0"/>
    <x v="0"/>
    <d v="2024-02-01T00:00:00"/>
    <n v="5"/>
    <n v="1"/>
    <x v="1"/>
    <n v="2024"/>
    <d v="1899-12-30T05:27:00"/>
    <s v="M"/>
    <x v="3"/>
    <x v="5"/>
    <s v="QUIROZ"/>
    <s v="PEREZ"/>
    <s v=" ROBERTO CARLOS"/>
    <s v="MASCULINO"/>
    <n v="23"/>
    <s v="OPERARIO DE PRODUCCIÓN"/>
    <d v="2023-09-08T00:00:00"/>
    <s v="Colaborador se encontraba realizando cambio de coche de la línea 1 - máquina 1, al momento de retroceder y girar no se percata que había otro coche lleno detrás y se golpea los dedos medio y anular de la mano izquierda."/>
    <s v="Golpeado contra"/>
    <s v="DEDOS MEDIO Y ANULAR IZQUIERDO"/>
    <s v="Mano/Muñeca/Dedos"/>
    <s v="Manipulacion de coches"/>
    <s v="Contusion"/>
    <s v="Contusión/Trauma"/>
    <n v="0"/>
    <n v="0"/>
    <n v="0"/>
    <s v="Trabajando"/>
    <n v="5"/>
    <s v="&lt; 3 a 6 meses"/>
    <m/>
    <s v="CONTRATO TEMPORAL"/>
    <s v="Acc. No Incapacitante"/>
    <n v="0"/>
    <x v="0"/>
    <m/>
  </r>
  <r>
    <n v="36"/>
    <s v="-"/>
    <x v="0"/>
    <x v="2"/>
    <s v="Distrito de Lurín"/>
    <s v="Intradevco"/>
    <x v="16"/>
    <x v="0"/>
    <s v="Empacado detergente"/>
    <x v="0"/>
    <x v="0"/>
    <d v="2024-02-03T00:00:00"/>
    <n v="5"/>
    <n v="3"/>
    <x v="1"/>
    <n v="2024"/>
    <d v="1899-12-30T04:20:00"/>
    <s v="M"/>
    <x v="3"/>
    <x v="5"/>
    <s v="ASPAJO"/>
    <s v="VIDEIRA"/>
    <s v="ALFONSO GABRIEL"/>
    <s v="MASCULINO"/>
    <n v="39"/>
    <s v="OPERARIO DE PRODUCCIÓN"/>
    <d v="2024-01-09T00:00:00"/>
    <s v="El colaborador se encontraba agachado recogiendo detergente derramado de la máquina neumopack, al momento de levantarse se golpea contra la guarda la parte trasera del cuello."/>
    <s v="Golpeado contra"/>
    <s v="CUELLO"/>
    <s v="Cabeza"/>
    <s v="Manipulacion de bolsas de detergente"/>
    <s v="Contusion"/>
    <s v="Contusión/Trauma"/>
    <n v="0"/>
    <n v="0"/>
    <n v="0"/>
    <s v="Trabajando"/>
    <n v="1"/>
    <s v="&lt; 1 a 3 meses"/>
    <s v="GUARDA"/>
    <s v="CONTRATO TEMPORAL"/>
    <s v="Acc. No Incapacitante"/>
    <n v="0"/>
    <x v="0"/>
    <m/>
  </r>
  <r>
    <n v="37"/>
    <s v="-"/>
    <x v="0"/>
    <x v="2"/>
    <s v="Distrito de Lurín"/>
    <s v="Intradevco"/>
    <x v="16"/>
    <x v="0"/>
    <s v="Empacado detergente"/>
    <x v="0"/>
    <x v="0"/>
    <d v="2024-02-09T00:00:00"/>
    <n v="6"/>
    <n v="9"/>
    <x v="1"/>
    <n v="2024"/>
    <d v="1899-12-30T15:03:00"/>
    <s v="M"/>
    <x v="3"/>
    <x v="5"/>
    <s v="ROBALINO"/>
    <s v="RUIZ"/>
    <s v="EDWIN"/>
    <s v="MASCULINO"/>
    <n v="30"/>
    <s v="OPERARIO DE PRODUCCIÓN"/>
    <d v="2024-01-03T00:00:00"/>
    <s v="El colaborador se encontraba empujando el coche hacia el ducto, al momento de acomodar el coche agarro de los costados, fue entonces que se golpeó contra la baranda del ducto, su mano izquierda en el dedo meñique."/>
    <s v="Golpeado contra"/>
    <s v="DEDO MEÑIQUE IZQUIERDO"/>
    <s v="Mano/Muñeca/Dedos"/>
    <s v="Manipulacion de coches"/>
    <s v="Contusion"/>
    <s v="Contusión/Trauma"/>
    <n v="0"/>
    <n v="0"/>
    <n v="0"/>
    <s v="Trabajando"/>
    <n v="1"/>
    <s v="&lt; 1 a 3 meses"/>
    <s v="BARANDA"/>
    <s v="CONTRATO TEMPORAL"/>
    <s v="Acc. No Incapacitante"/>
    <n v="0"/>
    <x v="0"/>
    <m/>
  </r>
  <r>
    <n v="38"/>
    <s v="-"/>
    <x v="0"/>
    <x v="2"/>
    <s v="Distrito de Lurín"/>
    <s v="Intradevco"/>
    <x v="16"/>
    <x v="0"/>
    <s v="Lavavajilla"/>
    <x v="0"/>
    <x v="0"/>
    <d v="2024-02-14T00:00:00"/>
    <n v="7"/>
    <n v="14"/>
    <x v="1"/>
    <n v="2024"/>
    <d v="1899-12-30T12:25:00"/>
    <s v="M"/>
    <x v="3"/>
    <x v="5"/>
    <s v="YOVERA"/>
    <s v="SIESQUEN"/>
    <s v="DEILY JHONATAN"/>
    <s v="MASCULINO"/>
    <n v="29"/>
    <s v="OPERARIO DE PRODUCCIÓN"/>
    <d v="2024-01-16T00:00:00"/>
    <s v="Colaborador refiere haber estado realizando corte de un envase de plástico, al ejercer fuerza pierde el control y se provoca un corte superficial."/>
    <s v="Contacto con superficie filosa"/>
    <s v="-"/>
    <s v="Mano/Muñeca/Dedos"/>
    <s v="Corte de envase"/>
    <s v="Corte"/>
    <s v="Corte/Herida"/>
    <n v="0"/>
    <n v="0"/>
    <n v="0"/>
    <s v="Trabajando"/>
    <n v="1"/>
    <s v="&lt; 1 a 3 meses"/>
    <s v="CUCHILLA"/>
    <s v="CONTRATO TEMPORAL"/>
    <s v="Acc. No Incapacitante"/>
    <n v="0"/>
    <x v="0"/>
    <m/>
  </r>
  <r>
    <n v="39"/>
    <s v="-"/>
    <x v="0"/>
    <x v="2"/>
    <s v="Distrito de Lurín"/>
    <s v="Intradevco"/>
    <x v="16"/>
    <x v="0"/>
    <s v="Lavavajilla"/>
    <x v="0"/>
    <x v="0"/>
    <d v="2024-02-20T00:00:00"/>
    <n v="8"/>
    <n v="20"/>
    <x v="1"/>
    <n v="2024"/>
    <d v="1899-12-30T12:45:00"/>
    <s v="M"/>
    <x v="3"/>
    <x v="5"/>
    <s v="MIRAVAL"/>
    <s v="RAVINEZ"/>
    <s v="MELINDA ROSALIA"/>
    <s v="FEMENINO"/>
    <n v="23"/>
    <s v="OPERARIO DE PRODUCCIÓN"/>
    <d v="2024-02-19T00:00:00"/>
    <s v="Colaboradora se encontraba sentada pegando etiqueta a las tapas de envases de pulidores. Colaborador que se encarga de abastecer las líneas, pasa por su lado con 3 paquetes apilados (25 cajas cada uno), en ese momento choca contra máquina en desuso (envasadora línea 4) y se cae parte del primer paquete sobre el hombro de la colaboradora. Cabe resaltar que primer paquete de las cajas estaba sin precinto de seguridad."/>
    <s v="Golpeado contra"/>
    <s v="HOMBRO"/>
    <s v="Brazo/Codo/Hombro"/>
    <s v="Etiquetado de pulidores"/>
    <s v="Contusion"/>
    <s v="Contusión/Trauma"/>
    <n v="0"/>
    <n v="0"/>
    <n v="0"/>
    <s v="Trabajando"/>
    <n v="0"/>
    <s v="&lt; 1 mes"/>
    <s v="CAJAS DE CARTON"/>
    <s v="CONTRATO TEMPORAL"/>
    <s v="Acc. No Incapacitante"/>
    <n v="0"/>
    <x v="0"/>
    <m/>
  </r>
  <r>
    <n v="40"/>
    <s v="-"/>
    <x v="0"/>
    <x v="2"/>
    <s v="Distrito de Lurín"/>
    <s v="Intradevco"/>
    <x v="16"/>
    <x v="0"/>
    <s v="Detergente"/>
    <x v="0"/>
    <x v="0"/>
    <d v="2024-02-22T00:00:00"/>
    <n v="8"/>
    <n v="22"/>
    <x v="1"/>
    <n v="2024"/>
    <d v="1899-12-30T22:20:00"/>
    <s v="M"/>
    <x v="3"/>
    <x v="5"/>
    <s v="CHIMPAY"/>
    <s v="ORTIZ"/>
    <s v="ADRIAN ANDERSON"/>
    <s v="MASCULINO"/>
    <n v="25"/>
    <s v="OPERARIO DE PRODUCCIÓN"/>
    <d v="2024-01-01T00:00:00"/>
    <s v="El colaborador se encontraba apilando en la línea 2, al momento de alzar el Bolsón su mano derecha colocó en los bordes del polin, fue entonces que su dedo índice de la mano derecha se llega a lastimar."/>
    <s v="Atrapado por Partes en Movimiento"/>
    <s v="MANO DERECHA"/>
    <s v="Mano/Muñeca/Dedos"/>
    <s v="Manipulacion de bolsones de detergente"/>
    <s v="Contusion"/>
    <s v="Contusión/Trauma"/>
    <n v="0"/>
    <n v="0"/>
    <n v="0"/>
    <s v="Trabajando"/>
    <m/>
    <m/>
    <s v="POLIN"/>
    <s v="CONTRATO TEMPORAL"/>
    <s v="Acc. No Incapacitante"/>
    <n v="0"/>
    <x v="0"/>
    <m/>
  </r>
  <r>
    <n v="41"/>
    <s v="-"/>
    <x v="0"/>
    <x v="0"/>
    <s v="Distrito del Callao"/>
    <s v="Otros"/>
    <x v="17"/>
    <x v="4"/>
    <s v="Oficinas Jaboneria"/>
    <x v="0"/>
    <x v="0"/>
    <d v="2024-02-24T00:00:00"/>
    <n v="8"/>
    <n v="24"/>
    <x v="1"/>
    <n v="2024"/>
    <d v="1899-12-30T10:00:00"/>
    <s v="M"/>
    <x v="4"/>
    <x v="6"/>
    <s v="VIRHUEZ"/>
    <s v="BENITEZ"/>
    <s v="JUAN CARLOS"/>
    <s v="MASCULINO"/>
    <n v="44"/>
    <s v="COLABORADOR DE SERVICIOS"/>
    <s v="-"/>
    <s v="El 24 de febrero de 2024, alrededor de las 9:50a.m., el colaborador Juan Carlos Virhuez Benites, quien está asignado a ALICORP PREDIO CENTRAL en la dirección Av. Argentina N°4793 -Carmen de La Legua Reynoso, se vio involucrado en un accidente mientras se preparaba para realizar la limpieza de la Sala de Control de Jabonería en el primer piso. Durante esta tarea, al comenzar a limpiar las ventanas, optó por manipular el gatillo pulverizador, cambiándolo del modo Off al modo Spray. En este momento, unas gotas del producto químico Limpiavidrios entraron en contacto con su ojo derecho. Es relevante señalar que el colaborador no llevaba puestos lentes de seguridad en ese momento. Tras el accidente, el colaborador se dirigió a lavarse los ojos y se encontró con personal de Alicorp en el lugar, quienes decidieron trasladarlo al Tópico ante esta situación. Allí, recibió un lavado de ojos y la aplicación de unas gotas por parte del médico presente, quien determinó que podía continuar con sus actividades después del tratamiento."/>
    <s v="Exposición a Sustancias Químicas"/>
    <s v="OJOS"/>
    <s v="Ojos"/>
    <s v="Limpieza de ventanas"/>
    <s v="HIPEREMIA DE CONJUNTIVA"/>
    <s v="Queratoconjuntivitis"/>
    <n v="0"/>
    <n v="0"/>
    <n v="0"/>
    <s v="Trabajando"/>
    <n v="88"/>
    <s v="&lt; 5 a 10 años"/>
    <s v="LIMPIAVIDRIOS"/>
    <s v="PLAZO DETERMINADO"/>
    <s v="Acc. No Incapacitante"/>
    <n v="0"/>
    <x v="0"/>
    <m/>
  </r>
  <r>
    <n v="42"/>
    <s v="-"/>
    <x v="0"/>
    <x v="0"/>
    <s v="Distrito del Callao"/>
    <s v="Otros"/>
    <x v="17"/>
    <x v="4"/>
    <s v="Garita Jorge Chavez"/>
    <x v="0"/>
    <x v="0"/>
    <d v="2024-02-27T00:00:00"/>
    <n v="9"/>
    <n v="27"/>
    <x v="1"/>
    <n v="2024"/>
    <d v="1899-12-30T16:40:00"/>
    <s v="M"/>
    <x v="4"/>
    <x v="6"/>
    <s v="LECCA"/>
    <s v="DOMINGUEZ"/>
    <s v="ALBERT KENYI"/>
    <s v="MASCULINO"/>
    <n v="24"/>
    <s v="COLABORADOR DE SERVICIOS"/>
    <s v="-"/>
    <s v="El 27 de febrero de 2024, alrededor de las 4:40p.m., el colaborador Albert Kenyi Lecca Dominguez, quien está asignado a ALICORP PREDIO CENTRAL en la dirección Av. Argentina N°4793-Carmen de La Legua Reynoso, se vio involucrado en un evento mientras se preparaba para salir de las instalaciones en la Garita de Ingreso de CDC. Al intentar abrir la puerta eléctrica, accionó el botón con su dedo índice derecho, lo que resultó en una herida en la yema del dedo al engancharse en el botón. Al percatarse de la herida y notar la presencia de sangre, decidió regresar para lavarse. El personal de Liderman, al presenciar la situación, contactó a Tópico para proporcionar los primeros auxilios."/>
    <s v="Atrapado por"/>
    <s v="DEDO"/>
    <s v="Mano/Muñeca/Dedos"/>
    <s v="Abrir puerta"/>
    <s v="HERIDA EN EL DEDO MANO DERECHA"/>
    <s v="Corte/Herida"/>
    <n v="0"/>
    <n v="0"/>
    <n v="0"/>
    <s v="Trabajando"/>
    <n v="33"/>
    <s v="&lt; 1 a 5 años"/>
    <s v="PUERTA"/>
    <s v="PLAZO DETERMINADO"/>
    <s v="Acc. No Incapacitante"/>
    <n v="0"/>
    <x v="0"/>
    <m/>
  </r>
  <r>
    <n v="43"/>
    <s v="-"/>
    <x v="0"/>
    <x v="4"/>
    <s v="Distrito de Cajamarquilla"/>
    <s v="Global"/>
    <x v="18"/>
    <x v="7"/>
    <s v="Planta Avena"/>
    <x v="1"/>
    <x v="1"/>
    <d v="2024-02-02T00:00:00"/>
    <n v="5"/>
    <n v="2"/>
    <x v="1"/>
    <n v="2024"/>
    <d v="1899-12-30T08:27:00"/>
    <s v="M"/>
    <x v="4"/>
    <x v="6"/>
    <s v="SORIANO"/>
    <s v="MEZA"/>
    <s v="RUTH LUCY"/>
    <s v="FEMENINO"/>
    <n v="42"/>
    <s v="COLABORADOR DE SERVICIOS"/>
    <s v="-"/>
    <s v="El día 02/02/24 a las 08:27am la trabajadora Soriano Meza, Ruth Lucy (operaria de limpieza) de la empresa Alteliza, se encontraba realizando la limpieza de pisos de la zona de paletizado de la planta de avena, retrocede sin darse cuenta de la paleta de madera y tropieza cayendo de espaldas sobre esta, inmediatamente es atendida por el operador líder de planta y trasladada al tópico, se comunica al supervisor y a la operadora líder de turno de la empresa Alteliza, luego de brindarle las primeras atenciones la trabajadora es trasladada a la Clínica Montefiori, para activar el Seguro Complementario de Trabajo de Riesgo (SCTR)."/>
    <s v="Caída al mismo nivel"/>
    <s v="MANO IZQUIERDA Y CADERA"/>
    <s v="Brazo/Codo/Hombro"/>
    <s v="Limpieza de piso"/>
    <s v="TRAUMATISMOS SUPERFICIALES MÚLTIPLES NO ESPECIFICADOS (MANO IZQUIERDA Y CINTURA)."/>
    <s v="Contusión/Trauma"/>
    <n v="8"/>
    <n v="0"/>
    <n v="8"/>
    <s v="Cesado"/>
    <n v="31"/>
    <s v="&lt; 1 a 5 años"/>
    <s v="Parihuela de madera"/>
    <s v="CONTRATO TEMPORAL"/>
    <s v="Acc. Incapacitante"/>
    <n v="0"/>
    <x v="1"/>
    <m/>
  </r>
  <r>
    <n v="44"/>
    <s v="-"/>
    <x v="0"/>
    <x v="4"/>
    <s v="Distrito de Cajamarquilla"/>
    <s v="Otros"/>
    <x v="18"/>
    <x v="7"/>
    <s v="Área común"/>
    <x v="0"/>
    <x v="0"/>
    <d v="2024-02-21T00:00:00"/>
    <n v="8"/>
    <n v="21"/>
    <x v="1"/>
    <n v="2024"/>
    <d v="1899-12-30T09:30:00"/>
    <s v="M"/>
    <x v="4"/>
    <x v="6"/>
    <s v="GABRIEL"/>
    <s v="BALLESTEROS"/>
    <s v="OFELIA ISABEL"/>
    <s v="FEMENINO"/>
    <n v="35"/>
    <s v="COLABORADOR DE SERVICIOS"/>
    <s v="-"/>
    <s v="colaboradora al realizar limpieza de paredes de planta maíz sufre una irritación de la piel al levantar las manos y discurrir la dilución de detergente industrial diluido Skill Cleaner 3009 (Para limpieza de Máquinas) en la zona del antebrazo la cual no llegaba a cubrirse con el guante de seguridad._x000a_"/>
    <s v="Exposición a Sustancias Químicas"/>
    <s v="ANTEBRAZO"/>
    <s v="Brazo/Codo/Hombro"/>
    <s v="Limpieza de paredes"/>
    <s v="Dermatitis"/>
    <s v="Dermatitis/Irritación de la piel"/>
    <n v="0"/>
    <n v="0"/>
    <n v="0"/>
    <s v="Trabajando"/>
    <n v="27"/>
    <s v="&lt; 1 mes"/>
    <s v="Sustancia química"/>
    <s v="CONTRATO TEMPORAL"/>
    <s v="Acc. No Incapacitante"/>
    <n v="0"/>
    <x v="0"/>
    <m/>
  </r>
  <r>
    <n v="45"/>
    <s v="DET23858"/>
    <x v="0"/>
    <x v="0"/>
    <s v="Distrito del Callao"/>
    <s v="PDC"/>
    <x v="13"/>
    <x v="0"/>
    <s v="Planta de Elaboración"/>
    <x v="1"/>
    <x v="1"/>
    <d v="2024-03-16T00:00:00"/>
    <n v="11"/>
    <n v="16"/>
    <x v="2"/>
    <n v="2024"/>
    <d v="1899-12-30T01:40:00"/>
    <s v="N"/>
    <x v="0"/>
    <x v="3"/>
    <s v="RAMOS"/>
    <s v="CHIRINOS"/>
    <s v="SEBASTIAN MAXIMO JAVIER"/>
    <s v="MASCULINO"/>
    <n v="22"/>
    <s v="AYUDANTE DE PLANTA"/>
    <d v="2024-03-07T00:00:00"/>
    <s v="Durante el proceso de agregado de Slop el trabajador observa que el granel estaba compactado en el big bag, ante ello el colaborador decide golpear la parte inferior del big bag con una comba para ablandar el producto. Al momento de golpear con la comba, se golpea el dedo pulgar de su mano derecha con la que sujetaba el mango de la comba contra el big bag compactado, luego de ello alerta a su compañero que se había golpeado y se acercan a la sala de control para informar del evento y es derivado al Tópico, es evaluado y derivado a la Clínica San Gabriel, donde se descartó alguna fractura o fisura."/>
    <s v="Golpeado contra"/>
    <s v="DEDO PULGAR"/>
    <s v="Mano/Muñeca/Dedos"/>
    <s v="Agregado de SLOP"/>
    <s v="Contusión en dedo pulgar mano derecha"/>
    <s v="Contusión/Trauma"/>
    <n v="7"/>
    <n v="0"/>
    <n v="7"/>
    <s v="Trabajando"/>
    <s v="0.25"/>
    <s v="&lt; 1 mes"/>
    <s v="Mango de comba"/>
    <s v="CONTRATO A PLAZO FIJO"/>
    <s v="Acc. Incapacitante"/>
    <n v="0"/>
    <x v="1"/>
    <m/>
  </r>
  <r>
    <n v="46"/>
    <s v="-"/>
    <x v="0"/>
    <x v="2"/>
    <s v="Distrito de Lurín"/>
    <s v="Intradevco"/>
    <x v="16"/>
    <x v="0"/>
    <s v="Empacado detergente"/>
    <x v="0"/>
    <x v="0"/>
    <d v="2024-02-23T00:00:00"/>
    <n v="8"/>
    <n v="23"/>
    <x v="1"/>
    <n v="2024"/>
    <d v="1899-12-30T10:24:00"/>
    <s v="M"/>
    <x v="3"/>
    <x v="5"/>
    <s v="ASPAJO"/>
    <s v="VIDEIRA"/>
    <s v="ALFONSO GABRIEL"/>
    <s v="MASCULINO"/>
    <n v="39"/>
    <s v="OPERARIO DE PRODUCCIÓN"/>
    <d v="2024-01-09T00:00:00"/>
    <s v="Colaborador se encontraba realizando la actividad de doblar sacos y luego pasarle a su compañero para que se encargue de coser._x000a_Al momento que pasa el saco tiene que colocarlo cerca de la máquina cosedora para que no se mueva y es ahí que debido a la condición (falta de guarda) la parte expuesta sobresale como pulsador generando el golpe en la parte del dorso de la mano derecha"/>
    <s v="Atrapado por Partes en Movimiento"/>
    <s v="MANO DERECHA"/>
    <s v="Mano/Muñeca/Dedos"/>
    <s v="Cocido de sacos"/>
    <s v="Contusion"/>
    <s v="Contusión/Trauma"/>
    <n v="0"/>
    <n v="0"/>
    <n v="0"/>
    <s v="Trabajando"/>
    <n v="1"/>
    <s v="&lt; 1 mes"/>
    <s v="COCEDORA"/>
    <s v="CONTRATO TEMPORAL"/>
    <s v="Acc. No Incapacitante"/>
    <n v="0"/>
    <x v="0"/>
    <m/>
  </r>
  <r>
    <n v="47"/>
    <s v="-"/>
    <x v="0"/>
    <x v="2"/>
    <s v="Distrito de Lurín"/>
    <s v="Intradevco"/>
    <x v="16"/>
    <x v="0"/>
    <s v="Empacado detergente"/>
    <x v="0"/>
    <x v="0"/>
    <d v="2024-03-07T00:00:00"/>
    <n v="10"/>
    <n v="7"/>
    <x v="2"/>
    <n v="2024"/>
    <d v="1899-12-30T03:58:00"/>
    <s v="N"/>
    <x v="3"/>
    <x v="5"/>
    <s v="SOLIS"/>
    <s v="HUAPAYA"/>
    <s v="OSCAR"/>
    <s v="MASCULINO"/>
    <n v="27"/>
    <s v="OPERARIO DE PRODUCCIÓN"/>
    <d v="2024-01-11T00:00:00"/>
    <s v="Colaborador trasladaba paleta junto a su compañero para apilamiento de bolsones en la línea 1. Al retroceder para posicionarla no se percata de la columna y choca su mano derecha con la misma , quedando afectado el dedo índice"/>
    <s v="Golpeado contra"/>
    <s v="MANO DERECHA"/>
    <s v="Mano/Muñeca/Dedos"/>
    <s v="Manipulacion de paleta"/>
    <s v="contusion"/>
    <s v="Contusión/Trauma"/>
    <n v="0"/>
    <n v="0"/>
    <n v="0"/>
    <s v="Trabajando"/>
    <n v="2"/>
    <s v="&lt; 1 a 3 meses"/>
    <s v="Columna metalica"/>
    <s v="CONTRATO TEMPORAL"/>
    <s v="Acc. No Incapacitante"/>
    <n v="0"/>
    <x v="0"/>
    <m/>
  </r>
  <r>
    <n v="48"/>
    <s v="-"/>
    <x v="0"/>
    <x v="2"/>
    <s v="Distrito de Lurín"/>
    <s v="Intradevco"/>
    <x v="16"/>
    <x v="0"/>
    <s v="Empacado detergente"/>
    <x v="0"/>
    <x v="0"/>
    <d v="2024-03-07T00:00:00"/>
    <n v="10"/>
    <n v="7"/>
    <x v="2"/>
    <n v="2024"/>
    <d v="1899-12-30T07:30:00"/>
    <s v="M"/>
    <x v="3"/>
    <x v="5"/>
    <s v="JOCOPE"/>
    <s v="YAHUANA"/>
    <s v="EYBI"/>
    <s v="MASCULINO"/>
    <n v="26"/>
    <s v="OPERARIO DE PRODUCCIÓN"/>
    <d v="2024-02-19T00:00:00"/>
    <s v="El Colaborador Eybi Jocope Yahuana CA., menciona que a las 3 a.m. se rozó con la parte de adelante de la máquina cocedora, al momento no sintió nada, pasando las horas a las 6:40 am aproximadamente menciona que le empezó arder la cara fue entonces que se dirigió a los servicios y se percata que su rostro una parte estaba rojo."/>
    <s v="Exposición a Sustancias Químicas"/>
    <s v="ROSTRO"/>
    <s v="Rostro/Nariz/Boca"/>
    <s v="Cocido de sacos"/>
    <s v="irritacion"/>
    <s v="Dermatitis/Irritación de la piel"/>
    <n v="0"/>
    <n v="0"/>
    <n v="0"/>
    <s v="Trabajando"/>
    <n v="1"/>
    <s v="&lt; 1 mes"/>
    <s v="Particulas de detergente"/>
    <s v="CONTRATO TEMPORAL"/>
    <s v="Acc. No Incapacitante"/>
    <n v="0"/>
    <x v="0"/>
    <m/>
  </r>
  <r>
    <n v="49"/>
    <s v="-"/>
    <x v="0"/>
    <x v="2"/>
    <s v="Distrito de Lurín"/>
    <s v="Intradevco"/>
    <x v="16"/>
    <x v="0"/>
    <s v="Empacado detergente"/>
    <x v="0"/>
    <x v="0"/>
    <d v="2024-03-11T00:00:00"/>
    <n v="11"/>
    <n v="11"/>
    <x v="2"/>
    <n v="2024"/>
    <d v="1899-12-30T20:15:00"/>
    <s v="N"/>
    <x v="3"/>
    <x v="5"/>
    <s v="MENDIETA"/>
    <s v="QUISPE"/>
    <s v="DANIEL CRISTIAN"/>
    <s v="MASCULINO"/>
    <n v="22"/>
    <s v="OPERARIO DE PRODUCCIÓN"/>
    <d v="2023-05-16T00:00:00"/>
    <s v="Colaborador iba a realizar cambio de hilo, pero no se percata que no había presionado correctamente el botón de apagado. Al momento del cambio, la cosedora se enciende por el sensor y es ahí donde el colaborador se golpea contra parte interna (sujetador de hilo)."/>
    <s v="Golpeado por"/>
    <s v="PULGAR DERECHO"/>
    <s v="Mano/Muñeca/Dedos"/>
    <s v="Cambio de hilo"/>
    <s v="contusion"/>
    <s v="Contusión/Trauma"/>
    <n v="0"/>
    <n v="0"/>
    <n v="0"/>
    <s v="Trabajando"/>
    <n v="10"/>
    <s v="&lt; 0.5 a 1 año"/>
    <s v="Cocedora"/>
    <s v="CONTRATO TEMPORAL"/>
    <s v="Acc. No Incapacitante"/>
    <n v="0"/>
    <x v="0"/>
    <m/>
  </r>
  <r>
    <n v="50"/>
    <s v="-"/>
    <x v="0"/>
    <x v="2"/>
    <s v="Distrito de Lurín"/>
    <s v="Intradevco"/>
    <x v="16"/>
    <x v="0"/>
    <s v="Empacado detergente"/>
    <x v="0"/>
    <x v="0"/>
    <d v="2024-03-13T00:00:00"/>
    <n v="11"/>
    <n v="13"/>
    <x v="2"/>
    <n v="2024"/>
    <d v="1899-12-30T04:23:00"/>
    <s v="N"/>
    <x v="3"/>
    <x v="5"/>
    <s v="YARLAQUE"/>
    <s v="BENITES"/>
    <s v="RONALD FABIAN"/>
    <s v="MASCULINO"/>
    <n v="29"/>
    <s v="OPERARIO DE PRODUCCIÓN"/>
    <d v="2023-09-20T00:00:00"/>
    <s v="Colaborador menciona haber estado realizando la labor de doblado de saco en el ducto automático para pasarlo por la cosedora, ya que el doblez lo realiza hacia si mismo, esto provocó que la polución del detergente le cayera en los ojos._x000a_- Hizo uso del lavaojos acompañado del supervisor de 10 a 15 minutos aproximadamente _x000a_- Colaborador tenía puesto sus lentes antiparras."/>
    <s v="Proyección de Material Particulado"/>
    <s v="OJOS"/>
    <s v="Ojos"/>
    <s v="doblado de sacos"/>
    <s v="Irritación"/>
    <s v="Cuerpo Extraño en Ojos"/>
    <n v="0"/>
    <n v="0"/>
    <n v="0"/>
    <s v="Trabajando"/>
    <n v="5"/>
    <s v="&lt; 3 a 6 meses"/>
    <s v="Particulas de detergente"/>
    <s v="CONTRATO TEMPORAL"/>
    <s v="Acc. No Incapacitante"/>
    <n v="0"/>
    <x v="0"/>
    <m/>
  </r>
  <r>
    <n v="51"/>
    <s v="ILU23896"/>
    <x v="0"/>
    <x v="2"/>
    <s v="Distrito de Lurín"/>
    <s v="Intradevco"/>
    <x v="16"/>
    <x v="0"/>
    <s v="Empacado detergente"/>
    <x v="1"/>
    <x v="1"/>
    <d v="2024-03-15T00:00:00"/>
    <n v="11"/>
    <n v="15"/>
    <x v="2"/>
    <n v="2024"/>
    <d v="1899-12-30T09:50:00"/>
    <s v="M"/>
    <x v="3"/>
    <x v="5"/>
    <s v="ASPAJO"/>
    <s v="VIDEIRA"/>
    <s v="ALFONSO GABRIEL"/>
    <s v="MASCULINO"/>
    <n v="32"/>
    <s v="OPERARIO DE PRODUCCIÓN"/>
    <d v="2024-01-09T00:00:00"/>
    <s v="El colaborador Aspajo Videira Alfonso Gabriel CA. Estaba abasteciendo al ducto N°1 de la máquina intrapack 01, con el coche N° 94, al momento de empujar el coche se encontraba CORTADO(segun sr. Ríos ITDC, menciona  que cortado se refiere a cambio de producto). "/>
    <s v="Caída al mismo nivel"/>
    <s v="RODILLA IZQUIERDA"/>
    <s v="Rodilla"/>
    <s v="manipulacion de coches"/>
    <s v="Traumatismo de estructuras multiples de la rodilla"/>
    <s v="Contusión/Trauma"/>
    <n v="19"/>
    <n v="0"/>
    <n v="19"/>
    <s v="Trabajando"/>
    <n v="2"/>
    <s v="&lt; 1 a 3 meses"/>
    <s v="Piso"/>
    <s v="CONTRATO TEMPORAL"/>
    <s v="Acc. Incapacitante"/>
    <n v="0"/>
    <x v="1"/>
    <m/>
  </r>
  <r>
    <n v="52"/>
    <s v="PGL23885"/>
    <x v="0"/>
    <x v="0"/>
    <s v="Distrito del Callao"/>
    <s v="Galletería"/>
    <x v="0"/>
    <x v="0"/>
    <s v="Elaboración"/>
    <x v="1"/>
    <x v="1"/>
    <d v="2024-03-27T00:00:00"/>
    <n v="13"/>
    <n v="27"/>
    <x v="2"/>
    <n v="2024"/>
    <d v="1899-12-30T17:30:00"/>
    <s v="T"/>
    <x v="0"/>
    <x v="3"/>
    <s v="GIRALDO"/>
    <s v="ASCENCIO"/>
    <s v="JORGE "/>
    <s v="MASCULINO"/>
    <n v="39"/>
    <s v="OPERARIO DE PRODUCCIÓN"/>
    <d v="2007-03-01T00:00:00"/>
    <s v="Siendo las 16:35 , el trabajador realizaba limpieza de las tuberías de la batidora N°4. Al momento de salir, realiza un mal movimiento, golpea hacia arriba y su cabeza choca con canaleta. En compañía del ingeniero de turno es derivado al tópico . Es trasladado a la clínica donde se le brinda los primeros auxilios."/>
    <s v="Golpeado contra"/>
    <s v="CABEZA"/>
    <s v="Cabeza"/>
    <s v="LIMPIEZA DE TUBERIAS"/>
    <s v="Herida de la cabeza "/>
    <s v="Corte/Herida"/>
    <n v="8"/>
    <n v="0"/>
    <n v="8"/>
    <s v="Descanso Médico"/>
    <n v="204"/>
    <s v="&gt; 10 años"/>
    <s v="CANALETA DE CABLEADO"/>
    <s v="CONTRATO INDEFINIDO"/>
    <s v="Acc. Incapacitante"/>
    <n v="0"/>
    <x v="1"/>
    <m/>
  </r>
  <r>
    <n v="53"/>
    <s v="-"/>
    <x v="0"/>
    <x v="2"/>
    <s v="Distrito de Lurín"/>
    <s v="Intradevco"/>
    <x v="16"/>
    <x v="0"/>
    <s v="Empacado detergente"/>
    <x v="0"/>
    <x v="0"/>
    <d v="2024-03-13T00:00:00"/>
    <n v="11"/>
    <n v="13"/>
    <x v="2"/>
    <n v="2024"/>
    <d v="1899-12-30T16:15:00"/>
    <s v="M"/>
    <x v="3"/>
    <x v="5"/>
    <s v="ALAVA"/>
    <s v="RIOS"/>
    <s v="LUIS OSWALDO"/>
    <s v="MASCULINO"/>
    <n v="33"/>
    <s v="OPERARIO DE PRODUCCIÓN"/>
    <d v="2022-10-05T00:00:00"/>
    <s v="Colaborador se encontraba verificando la mordaza de la enfardadora N°9 (cabe mencionar que las puertas-guardas estaban abiertas) ya que durante el turno menciona ha tenido fallas generando merma. En el transcurso de la actividad aún no estaban enviando producto de plataforma y al ver la luz roja de alerta se confió y no pulsó el botón de emergencia. Al momento que activan la máquina en plataforma y caen bolsitas, la mordaza se cierra haciendo presión en dedo medio de mano derecha lo cual no tuvo contacto con la cuchilla. Por reacción propia intenta retirar la mano y al jalar su guante se queda enganchado en el soporte de la guarda quedando descubierta la parte dorsal y provoca heridas debido al impacto"/>
    <s v="Atrapado por Partes en Movimiento"/>
    <s v="MANO DERECHA"/>
    <s v="Mano/Muñeca/Dedos"/>
    <s v="verificacion de mordaza"/>
    <s v="Contusion"/>
    <s v="Contusión/Trauma"/>
    <n v="0"/>
    <n v="0"/>
    <n v="0"/>
    <s v="Trabajando"/>
    <n v="17"/>
    <s v="&lt; 1 a 5 años"/>
    <s v="Mordaza"/>
    <s v="CONTRATO TEMPORAL"/>
    <s v="Acc. No Incapacitante"/>
    <n v="0"/>
    <x v="0"/>
    <m/>
  </r>
  <r>
    <n v="54"/>
    <s v="-"/>
    <x v="0"/>
    <x v="2"/>
    <s v="Distrito de Lurín"/>
    <s v="Intradevco"/>
    <x v="16"/>
    <x v="0"/>
    <s v="Lavavajilla"/>
    <x v="0"/>
    <x v="0"/>
    <d v="2024-03-19T00:00:00"/>
    <n v="12"/>
    <n v="19"/>
    <x v="2"/>
    <n v="2024"/>
    <d v="1899-12-30T21:40:00"/>
    <s v="N"/>
    <x v="3"/>
    <x v="5"/>
    <s v="LAYANGO"/>
    <s v="ORTEGA"/>
    <s v=" JON DEYVIS"/>
    <s v="MASCULINO"/>
    <n v="42"/>
    <s v="OPERARIO DE PRODUCCIÓN"/>
    <d v="2024-01-09T00:00:00"/>
    <s v="Colaborador se encontraba haciendo la actividad de limpieza y traspaso de envase. Al momento de levantarlo para pasarlo a la compañera, el frasco se cae y causa polución, esto se debe a que el envase estaba mal tapado. Cabe resaltar que el colaborador tenía mal colocados sus lentes. Se le condujo al lavaojos por 10 minutos aproximadamente."/>
    <s v="Proyección de Material Particulado"/>
    <s v="OJOS"/>
    <s v="Ojos"/>
    <s v="Manipulacion de envases"/>
    <s v="Cuerpo extraño en los ojos"/>
    <s v="Cuerpo Extraño en Ojos"/>
    <n v="0"/>
    <n v="0"/>
    <n v="0"/>
    <s v="Trabajando"/>
    <n v="2"/>
    <s v="&lt; 1 a 3 meses"/>
    <s v="Producto en polvo"/>
    <s v="CONTRATO TEMPORAL"/>
    <s v="Acc. No Incapacitante"/>
    <n v="0"/>
    <x v="0"/>
    <m/>
  </r>
  <r>
    <n v="55"/>
    <s v="ICH23864"/>
    <x v="0"/>
    <x v="2"/>
    <s v="Distrito de Chorrillos"/>
    <s v="Intradevco"/>
    <x v="6"/>
    <x v="8"/>
    <s v="Salud Ocupacional"/>
    <x v="1"/>
    <x v="1"/>
    <d v="2024-03-21T00:00:00"/>
    <n v="12"/>
    <n v="21"/>
    <x v="2"/>
    <n v="2024"/>
    <d v="1899-12-30T08:45:00"/>
    <s v="D"/>
    <x v="3"/>
    <x v="15"/>
    <s v="NUÑEZ"/>
    <s v="BLAS"/>
    <s v="YAKELIN"/>
    <s v="FEMENINO"/>
    <n v="35"/>
    <s v="ENFERMERA OCUPACIONAL"/>
    <d v="2020-01-08T00:00:00"/>
    <s v="Aproximadamente a las 8:50 am, durante el tránsito de la Enfermera ocupacional por el pasillo de ex– detergentes en dirección hacia el tópico, coincide con el traslado de potes impresos en una transpaleta eléctrica operada por el operario de almacén Mayco Ramos en dirección al almacén parabólico. Al momento en que el equipo se encontraba aproximándose a la ubicación de la enfermera, con la parte frontal de la carga, empuja un palet vacío ubicado delante, aprisionando ambos pies contra la estructura detrás de ella."/>
    <s v="Golpeado por"/>
    <s v="Pie izquierdo y pie derecho"/>
    <s v="Pie/Tobillo"/>
    <s v="Traslado a tópico (inicio de labores)"/>
    <s v="Fractura interna en tibia izquierda y fractura en tobillo derecho. "/>
    <s v="Fractura"/>
    <n v="180"/>
    <n v="0"/>
    <n v="180"/>
    <s v="Descanso Médico"/>
    <n v="48"/>
    <s v="&lt; 1 a 5 años"/>
    <s v="Transpaleta"/>
    <s v="Indefinido"/>
    <s v="Acc. Incapacitante"/>
    <n v="0"/>
    <x v="1"/>
    <s v="SI"/>
  </r>
  <r>
    <n v="56"/>
    <s v="-"/>
    <x v="1"/>
    <x v="1"/>
    <m/>
    <s v="CBB"/>
    <x v="2"/>
    <x v="0"/>
    <s v="Sala de envasado I"/>
    <x v="0"/>
    <x v="0"/>
    <d v="2024-03-26T00:00:00"/>
    <n v="13"/>
    <n v="26"/>
    <x v="2"/>
    <n v="2024"/>
    <d v="1899-12-30T07:30:00"/>
    <s v="M"/>
    <x v="0"/>
    <x v="0"/>
    <s v="CANAZA"/>
    <s v="CAPALLA"/>
    <s v="ALFREDO"/>
    <s v="MASCULINO"/>
    <n v="56"/>
    <s v="OPERADOR NISSEI"/>
    <d v="1999-02-01T00:00:00"/>
    <s v="A horas 07:30 am, el trabajador iniciando su jornada de trabajo, busca una herramienta para regulación del equipo NISSEI PF, motivo por el cual la tapa metálica de la caja de herramientas que se encuentra abierta, cae sobre su mano derecho sufriendo un impacto sobre la palma, ocasionando un leve corte."/>
    <s v="Golpeado por"/>
    <s v="MANO"/>
    <s v="Mano/Muñeca/Dedos"/>
    <s v="BUSQUEDA DE HERRAMIENTAS"/>
    <s v="Trauma contuso cortante"/>
    <s v="Corte/Herida"/>
    <n v="0"/>
    <n v="0"/>
    <n v="0"/>
    <s v="Trabajando"/>
    <n v="306"/>
    <s v="&lt; 5 a 10 años"/>
    <s v="CAJA DE HERRAMIENTAS"/>
    <s v="CONTRATO INDEFINIDO"/>
    <s v="Acc. No Incapacitante"/>
    <n v="0"/>
    <x v="0"/>
    <m/>
  </r>
  <r>
    <n v="57"/>
    <s v="-"/>
    <x v="1"/>
    <x v="1"/>
    <m/>
    <s v="CBB"/>
    <x v="2"/>
    <x v="3"/>
    <s v="Almacen de Producto Terminado"/>
    <x v="0"/>
    <x v="0"/>
    <d v="2024-03-30T00:00:00"/>
    <n v="13"/>
    <n v="30"/>
    <x v="2"/>
    <n v="2024"/>
    <d v="1899-12-30T11:45:00"/>
    <s v="M"/>
    <x v="2"/>
    <x v="16"/>
    <s v="PAREDES"/>
    <s v="CHOQUE"/>
    <s v="OLIVERT"/>
    <s v="MASCULINO"/>
    <n v="25"/>
    <s v="ESTIBADOR"/>
    <d v="2023-02-15T00:00:00"/>
    <s v="A hrs. 11:45 am el Sr. Oliver Paredes Choque, estibador de la empresa FORZA se encontraba realizando trabajo de estibaje para el carguío de bidones de aceite de 20 litros (granel) sobre la plataforma de la chata. Al finalizar el paletizado, durante la manipulación inadecuada de los bidones (2 en 2) sufre una lesión en el pulgar de la mano derecha. "/>
    <s v="Golpeado por"/>
    <s v="MANO"/>
    <s v="Mano/Muñeca/Dedos"/>
    <s v="APILAMIENTO DE BIDONES 20 LITROS"/>
    <s v="Torcedura de pulgar mano derecha"/>
    <s v="Esguince/Torcedura"/>
    <n v="0"/>
    <n v="0"/>
    <n v="0"/>
    <s v="Trabajando"/>
    <n v="13"/>
    <s v="&lt; 5 a 10 años"/>
    <s v="BIDON DE 20 LITROS"/>
    <s v="CONTRATO A PLAZO FIJO"/>
    <s v="Acc. No Incapacitante"/>
    <n v="0"/>
    <x v="0"/>
    <m/>
  </r>
  <r>
    <n v="58"/>
    <s v="PCO23898"/>
    <x v="0"/>
    <x v="0"/>
    <s v="PREDIO CENTRAL"/>
    <s v="Copsa"/>
    <x v="3"/>
    <x v="0"/>
    <s v="SALSAS 1"/>
    <x v="0"/>
    <x v="0"/>
    <d v="2024-04-06T00:00:00"/>
    <n v="14"/>
    <n v="6"/>
    <x v="3"/>
    <n v="2024"/>
    <d v="1899-12-30T07:30:00"/>
    <s v="M"/>
    <x v="1"/>
    <x v="1"/>
    <s v="NAVARRO"/>
    <s v="CHERO"/>
    <s v="ZAYURI ALEXANDRA"/>
    <s v="FEMENINO"/>
    <n v="19"/>
    <s v="APRENDIZ SENATI"/>
    <d v="2023-08-03T00:00:00"/>
    <s v="La Aprendiz Senati procede a diluir el detergente desengrasante neutro Neodegreaser en un balde con agua. Es en esa actividad que unas gotas de la sustancia caen en su ojo izquierdo provocándole una irritación, procediendo a enjuagarse con abundante agua. Procede a comunicar al líder del área y se traslada al tópico para su evaluación; posteriormente, es derivada a la Clínica San Gabriel, donde es atendida por especialista y se le brinda descanso por el resto del día."/>
    <s v="Exposición a Sustancias Químicas"/>
    <s v="OJO IZQUIERDO"/>
    <s v="Ojos"/>
    <s v="Limpieza"/>
    <s v="Queratoconjuntivitis química ojo izquierdo"/>
    <s v="Queratoconjuntivitis"/>
    <n v="0"/>
    <n v="0"/>
    <n v="0"/>
    <s v="Trabajando"/>
    <n v="2"/>
    <s v="&lt; 1 a 3 meses"/>
    <s v="Detergente desengrasante neutro Neodegreaser"/>
    <s v="APRENDIZAJE SENATI"/>
    <s v="Acc. No Incapacitante"/>
    <n v="0"/>
    <x v="0"/>
    <m/>
  </r>
  <r>
    <n v="59"/>
    <s v="ICH23917"/>
    <x v="0"/>
    <x v="2"/>
    <s v="Distrito de Chorrillos"/>
    <s v="Intradevco"/>
    <x v="6"/>
    <x v="0"/>
    <s v="Ofertado"/>
    <x v="1"/>
    <x v="1"/>
    <d v="2024-04-09T00:00:00"/>
    <n v="15"/>
    <n v="9"/>
    <x v="3"/>
    <n v="2024"/>
    <d v="1899-12-30T08:30:00"/>
    <s v="D"/>
    <x v="3"/>
    <x v="5"/>
    <s v="RAMIREZ"/>
    <s v="SALGUEDO"/>
    <s v="JEREMY JESUS AARON "/>
    <s v="MASCULINO"/>
    <n v="27"/>
    <s v="OPERARIO DE PRODUCCIÓN"/>
    <d v="2024-03-01T00:00:00"/>
    <s v="Aproximadamente a las 8:30, el colaborador Ramírez se encontraba realizando la verificación de producto terminado, ubicado al lado del pallet en revisión para el traslado de cajas (desde el pallet a la mesa de trabajo). En ese momento el colaborador Paucar se dispone a retirar el pallet en revisión, para ello introduce la stocką manual con fuerza, sobresaliendo estos algunos centímetros fuera del área del pallet y golpeando el empeine del pie izquierdo del colaborador Ramírez."/>
    <s v="Golpeado por"/>
    <s v="PIE IZQUIERDO"/>
    <s v="Pie/Tobillo"/>
    <s v="Inspección de productos terminados"/>
    <s v="ESGUINCE Y TORCEDURA "/>
    <s v="Esguince/Torcedura"/>
    <n v="4"/>
    <n v="0"/>
    <n v="4"/>
    <s v="Cesó"/>
    <n v="1"/>
    <s v="&lt; 1 a 3 meses"/>
    <s v="STOCKA MANUAL"/>
    <s v="CONTRATO TEMPORAL"/>
    <s v="Acc. Incapacitante"/>
    <n v="0"/>
    <x v="1"/>
    <m/>
  </r>
  <r>
    <n v="60"/>
    <s v="DET23928"/>
    <x v="0"/>
    <x v="0"/>
    <s v="Distrito del Callao"/>
    <s v="PDC"/>
    <x v="13"/>
    <x v="0"/>
    <s v="Elaboración"/>
    <x v="0"/>
    <x v="0"/>
    <d v="2024-04-12T00:00:00"/>
    <n v="15"/>
    <n v="12"/>
    <x v="3"/>
    <n v="2024"/>
    <d v="1899-12-30T13:00:00"/>
    <s v="D"/>
    <x v="0"/>
    <x v="0"/>
    <s v="INGA"/>
    <s v="CERRALTA"/>
    <s v="EMERSON HAROLD"/>
    <s v="MASCULINO"/>
    <n v="24"/>
    <s v="AYUDANTE DE PLANTA"/>
    <d v="2024-04-09T00:00:00"/>
    <s v="El trabajador procedió a preparar Slop, al momento de izar  el big bag mediante el tecle eléctrico no se dio cuenta que la parte inferior del big bag no estaba amarrado,  por lo cual  el polvo cayó al tq ocasionando que el polvo cayera a los costados y salpicara a su ojo derecho, acto seguido se lavó con abundante agua  sin comunicar a nadie de lo ocurrido. Al día siguiente informó al coordinador sobre el incidente ya que aun tenia un pequeño ardor en la vista, razón por la cual se le acompañó al tópico, donde le realizaron un lavado ocular e indicaron su retorno a planta, no era necesario el traslado a un centro médico. "/>
    <s v="Exposición a Sustancias Químicas"/>
    <s v="OJO DERECHO"/>
    <s v="Ojos"/>
    <s v="Preparación de SLOP"/>
    <s v="HIPEREMIA DE CONJUNTIVA OJO DERECHO"/>
    <s v="Cuerpo Extraño en Ojos"/>
    <n v="0"/>
    <n v="0"/>
    <n v="0"/>
    <s v="Trabajando"/>
    <s v="0.1"/>
    <s v="&lt; 1 mes"/>
    <s v="Detergente en polvo"/>
    <s v="CONTRATO A PLAZO FIJO"/>
    <s v="Acc. No Incapacitante"/>
    <n v="0"/>
    <x v="0"/>
    <m/>
  </r>
  <r>
    <n v="61"/>
    <s v="-"/>
    <x v="0"/>
    <x v="2"/>
    <s v="Distrito de Lurín"/>
    <s v="Intradevco"/>
    <x v="16"/>
    <x v="0"/>
    <s v="Empacado detergente"/>
    <x v="0"/>
    <x v="0"/>
    <d v="2024-03-19T00:00:00"/>
    <n v="12"/>
    <n v="19"/>
    <x v="2"/>
    <n v="2024"/>
    <d v="1899-12-30T23:47:00"/>
    <s v="N"/>
    <x v="3"/>
    <x v="5"/>
    <s v="FASABI"/>
    <s v="FASABI"/>
    <s v="TULER "/>
    <s v="MASCULINO"/>
    <n v="45"/>
    <s v="OPERARIO DE PRODUCCIÓN"/>
    <d v="2024-01-11T00:00:00"/>
    <s v="Manifiesta contusion de 3er  dedo  en mano derecha , con paleta el dia 18-03-2024"/>
    <s v="Golpeado por"/>
    <s v="MANO DERECHA"/>
    <s v="Mano/Muñeca/Dedos"/>
    <s v="Manipulacion de paleta"/>
    <s v="Contusion"/>
    <s v="Contusión/Trauma"/>
    <n v="0"/>
    <n v="0"/>
    <n v="0"/>
    <s v="Trabajando"/>
    <n v="2"/>
    <s v="&lt; 1 a 3 meses"/>
    <s v="Paleta"/>
    <s v="CONTRATO TEMPORAL"/>
    <s v="Acc. No Incapacitante"/>
    <n v="0"/>
    <x v="0"/>
    <m/>
  </r>
  <r>
    <n v="62"/>
    <s v="-"/>
    <x v="0"/>
    <x v="2"/>
    <s v="Distrito de Chorrillos"/>
    <s v="Intradevco"/>
    <x v="6"/>
    <x v="0"/>
    <s v="Plasticos"/>
    <x v="0"/>
    <x v="0"/>
    <d v="2024-04-01T00:00:00"/>
    <n v="14"/>
    <n v="1"/>
    <x v="3"/>
    <n v="2024"/>
    <d v="1899-12-30T15:00:00"/>
    <s v="D"/>
    <x v="3"/>
    <x v="5"/>
    <s v="VERDURA"/>
    <s v="RAMOS"/>
    <s v="CESAR"/>
    <s v="MASCULINO"/>
    <n v="41"/>
    <s v="OPERARIO DE PRODUCCIÓN"/>
    <d v="2024-02-20T00:00:00"/>
    <s v="Durante la actividad de colocado de bobinas, el trabajador Verdura Ramos Cesar se golpeó el lado dorsal y dedo pulgar de la mano izquierda, al intentar colocar el rollo de plastico ( bobina) color amarillo en el molino N°2."/>
    <s v="Golpeado por"/>
    <s v="MANO IZQUIERDA"/>
    <s v="Mano/Muñeca/Dedos"/>
    <s v="Colocación de bobinas"/>
    <s v="Contusion"/>
    <s v="Contusión/Trauma"/>
    <n v="0"/>
    <n v="0"/>
    <n v="0"/>
    <s v="Trabajando"/>
    <n v="1"/>
    <s v="&lt; 1 a 3 meses"/>
    <s v="Molino n°2"/>
    <s v="CONTRATO TEMPORAL"/>
    <s v="Acc. No Incapacitante"/>
    <n v="0"/>
    <x v="0"/>
    <m/>
  </r>
  <r>
    <n v="63"/>
    <s v="-"/>
    <x v="0"/>
    <x v="4"/>
    <s v="ÑAÑA"/>
    <s v="Global"/>
    <x v="19"/>
    <x v="7"/>
    <s v="Producción"/>
    <x v="0"/>
    <x v="0"/>
    <d v="2024-04-02T00:00:00"/>
    <n v="14"/>
    <n v="2"/>
    <x v="3"/>
    <n v="2024"/>
    <d v="1899-12-30T14:10:00"/>
    <s v="D"/>
    <x v="4"/>
    <x v="6"/>
    <s v="VELÁSQUEZ"/>
    <s v="CONDE"/>
    <s v="JUDITH"/>
    <s v="FEMENINO"/>
    <n v="35"/>
    <s v="COLABORADOR DE SERVICIOS"/>
    <d v="2023-03-20T00:00:00"/>
    <s v="La operaria de limpieza Judith Velásquez Conde, se encontraba realizando sus labores de limpieza de pisos en la zona de indirectos 2; entre el horno secador y la sala de tableros, cuando de manera imprevista cayó agua por la parte superior de la tubería del circuito de recirculación del condensado de vapor, cayendo sobre su casco y sobre parte de sus hombros. "/>
    <s v="Contacto con Superficie Caliente"/>
    <s v="HOMBROS"/>
    <s v="Brazo/Codo/Hombro"/>
    <s v="Limpieza de pisos"/>
    <s v="Quemadura de primer grado"/>
    <s v="Quemadura por Temperatura"/>
    <n v="0"/>
    <n v="0"/>
    <n v="0"/>
    <s v="Trabajando"/>
    <n v="1"/>
    <s v="&lt; 0.5 a 1 año"/>
    <s v="EQUIPO DE RECIRCULACION DE CONDENSADO DE VAPOR"/>
    <s v="CONTRATO TEMPORAL"/>
    <s v="Acc. No Incapacitante"/>
    <n v="0"/>
    <x v="0"/>
    <m/>
  </r>
  <r>
    <n v="64"/>
    <s v="-"/>
    <x v="0"/>
    <x v="2"/>
    <s v="Distrito de Lurín"/>
    <s v="Intradevco"/>
    <x v="16"/>
    <x v="0"/>
    <s v="Empacado detergente"/>
    <x v="0"/>
    <x v="0"/>
    <d v="2024-04-03T00:00:00"/>
    <n v="14"/>
    <n v="3"/>
    <x v="3"/>
    <n v="2024"/>
    <d v="1899-12-30T17:21:00"/>
    <s v="D"/>
    <x v="3"/>
    <x v="5"/>
    <s v="RICOPA"/>
    <s v=" AHUANARI"/>
    <s v="VICTOR"/>
    <s v="MASCULINO"/>
    <n v="36"/>
    <s v="OPERARIO DE PRODUCCIÓN"/>
    <d v="2023-11-13T00:00:00"/>
    <s v="Colaborador se encontraba haciendo la actividad de limpieza y traspaso de envase. Al momento de levantarlo para pasarlo a la compañera, el frasco se cae y causa polución, esto se debe a que el envase estaba mal tapado. Cabe resaltar que el colaborador tenía mal colocados sus lentes. Se le condujo al lavaojos por 10 minutos aproximadamente."/>
    <s v="Golpeado por"/>
    <s v="TOBILLO IZQUIERDO"/>
    <s v="Pie/Tobillo"/>
    <s v="Manipulacion de coches"/>
    <s v="Contusion"/>
    <s v="Contusión/Trauma"/>
    <n v="0"/>
    <n v="0"/>
    <n v="0"/>
    <s v="Trabajando"/>
    <n v="5"/>
    <s v="&lt; 3 a 6 meses"/>
    <s v="Coche"/>
    <s v="CONTRATO TEMPORAL"/>
    <s v="Acc. No Incapacitante"/>
    <n v="0"/>
    <x v="0"/>
    <m/>
  </r>
  <r>
    <n v="65"/>
    <s v="-"/>
    <x v="0"/>
    <x v="2"/>
    <s v="Distrito de Lurín"/>
    <s v="Intradevco"/>
    <x v="16"/>
    <x v="0"/>
    <s v="Empacado detergente"/>
    <x v="0"/>
    <x v="0"/>
    <d v="2024-04-09T00:00:00"/>
    <n v="15"/>
    <n v="9"/>
    <x v="3"/>
    <n v="2024"/>
    <d v="1899-12-30T23:15:00"/>
    <s v="N"/>
    <x v="3"/>
    <x v="5"/>
    <s v="TUISIMA"/>
    <s v="CORDOVA"/>
    <s v="MIGUEL"/>
    <s v="MASCULINO"/>
    <n v="24"/>
    <s v="OPERARIO DE PRODUCCIÓN"/>
    <d v="2023-11-15T00:00:00"/>
    <s v="Colaborador se encontraba realizando la actividad de embolsado en la máquina VAI. Al acumularse las bolsas de presentación 5Kg en la faja dado que su compañero recién ingresaba a la línea, retira uno de ellos y al colocar en el bolsón su mano derecha impacta con la mesa metálica siendo afectado el dedo medio"/>
    <s v="Golpeado contra"/>
    <s v="DEDO MEDIO DERECHO"/>
    <s v="Mano/Muñeca/Dedos"/>
    <s v="Embolsado de producto"/>
    <s v="Contusion"/>
    <s v="Contusión/Trauma"/>
    <n v="0"/>
    <n v="0"/>
    <n v="0"/>
    <s v="Trabajando"/>
    <n v="5"/>
    <s v="&lt; 3 a 6 meses"/>
    <s v="Mesa metalica"/>
    <s v="CONTRATO TEMPORAL"/>
    <s v="Acc. No Incapacitante"/>
    <n v="0"/>
    <x v="0"/>
    <m/>
  </r>
  <r>
    <n v="66"/>
    <s v="-"/>
    <x v="0"/>
    <x v="2"/>
    <s v="Distrito de Lurín"/>
    <s v="Intradevco"/>
    <x v="16"/>
    <x v="0"/>
    <s v="Empacado detergente"/>
    <x v="0"/>
    <x v="0"/>
    <d v="2024-04-14T00:00:00"/>
    <n v="15"/>
    <n v="14"/>
    <x v="3"/>
    <n v="2024"/>
    <d v="1899-12-30T14:15:00"/>
    <s v="D"/>
    <x v="3"/>
    <x v="5"/>
    <s v="ARIRAMA"/>
    <s v=" DEL CASTILLO"/>
    <s v="YBONE"/>
    <s v="FEMENINO"/>
    <n v="37"/>
    <s v="OPERARIO DE PRODUCCIÓN"/>
    <d v="2023-01-31T00:00:00"/>
    <s v="La colaboradora refiere al momento de cortar el film utilizo la cuchilla retráctil y no tenía puesto sus guantes G-60, fue entonces que se hizo un corte superficial en el dedo medio de la mano izquierda."/>
    <s v="Contacto con superficie filosa"/>
    <s v="MANO IZQUIERDA"/>
    <s v="Mano/Muñeca/Dedos"/>
    <s v="Corte de stretch film"/>
    <s v="Corte"/>
    <s v="Corte/Herida"/>
    <n v="0"/>
    <n v="0"/>
    <n v="0"/>
    <s v="Trabajando"/>
    <n v="2"/>
    <s v="&lt; 1 a 3 meses"/>
    <s v="cuchilla"/>
    <s v="CONTRATO TEMPORAL"/>
    <s v="Acc. No Incapacitante"/>
    <n v="0"/>
    <x v="0"/>
    <m/>
  </r>
  <r>
    <n v="67"/>
    <s v="ALI23926"/>
    <x v="0"/>
    <x v="0"/>
    <s v="Distrito de Miraflores"/>
    <s v="Otros"/>
    <x v="20"/>
    <x v="7"/>
    <s v="Comedor MIRAFLORES"/>
    <x v="1"/>
    <x v="1"/>
    <d v="2024-04-09T00:00:00"/>
    <n v="15"/>
    <n v="9"/>
    <x v="3"/>
    <n v="2024"/>
    <d v="1899-12-30T13:00:00"/>
    <s v="D"/>
    <x v="5"/>
    <x v="17"/>
    <s v="LEON"/>
    <s v="RAYMUNDO"/>
    <s v="YOHANA"/>
    <s v="FEMENINO"/>
    <n v="40"/>
    <s v="AYUDANTE DE COCINA"/>
    <s v="-"/>
    <s v="Siendo aproximadamente las 13:00 p.m. la colaboradora del concesionario empieza a verter agua caliente en una de las bandejas gastronómicas, que se encontraban vacías, en el piso y apiladas unas sobre otras, porque iban a empezar a lavarlos. (el lavadero se encuentra a un metro de distancia); y es cuando la bandeja superior cae sobre su pie izquierdo, ocasionándole una quemadura de segundo grado, luego en compañía del jefe de operaciones de su empresa, es trasladado a la Clínica Ricardo Palma en donde se activó su SCTR. Por indicación médica la trabajadora se encuentra internada"/>
    <s v="Contacto con Superficie Caliente"/>
    <s v="PIE IZQUIERDO"/>
    <s v="Pie/Tobillo"/>
    <s v="Limpieza de bandejas"/>
    <s v="QUEMADURA DE SEGUNDO GRADO"/>
    <s v="Quemadura por Temperatura"/>
    <n v="20"/>
    <n v="0"/>
    <n v="20"/>
    <s v="Descanso Médico"/>
    <n v="115"/>
    <s v="&lt; 0.5 a 1 año"/>
    <s v="Agua Caliente"/>
    <m/>
    <s v="Acc. Incapacitante"/>
    <n v="0"/>
    <x v="1"/>
    <m/>
  </r>
  <r>
    <n v="68"/>
    <s v="-"/>
    <x v="0"/>
    <x v="4"/>
    <s v="ÑAÑA"/>
    <s v="Global"/>
    <x v="19"/>
    <x v="0"/>
    <s v="Envasado"/>
    <x v="0"/>
    <x v="0"/>
    <d v="2024-04-16T00:00:00"/>
    <n v="16"/>
    <n v="16"/>
    <x v="3"/>
    <n v="2024"/>
    <d v="1899-12-30T06:30:00"/>
    <s v="D"/>
    <x v="0"/>
    <x v="18"/>
    <s v="ADAMA"/>
    <s v="MARCOS "/>
    <s v="JOSE LUIS"/>
    <s v="MASCULINO"/>
    <n v="33"/>
    <s v="OPERADOR DE ENVASADO"/>
    <d v="2016-10-01T00:00:00"/>
    <s v="El operador de envasado José Adama avisa que al levantar una bolsa con producto zuck y agregar al vibrador salida del secador de indirectos sintió un tirón causándole dolor y no podía agacharse. se procedió a llamar al servicio de ambulancia Seguricel, diagnosticándole una contractura muscular aplicándole un relajante muscular."/>
    <s v="Sobreesfuerzo"/>
    <s v="ESPALDA"/>
    <s v="Abdomen/Torso"/>
    <s v="Alimentación de producto para reproceso"/>
    <s v="Contractura muscular"/>
    <s v="Desgarro/Estiramiento Muscular"/>
    <n v="0"/>
    <n v="0"/>
    <n v="0"/>
    <s v="Trabajando"/>
    <n v="96"/>
    <s v="&lt; 5 a 10 años"/>
    <s v="Manimupación manual de cargas"/>
    <s v="Indefinido"/>
    <s v="Acc. No Incapacitante"/>
    <n v="0"/>
    <x v="0"/>
    <m/>
  </r>
  <r>
    <n v="69"/>
    <s v="PCO23979"/>
    <x v="0"/>
    <x v="0"/>
    <s v="PREDIO CENTRAL"/>
    <s v="Copsa"/>
    <x v="3"/>
    <x v="0"/>
    <s v="SALSAS 1"/>
    <x v="0"/>
    <x v="0"/>
    <d v="2024-04-17T00:00:00"/>
    <n v="16"/>
    <n v="17"/>
    <x v="3"/>
    <n v="2024"/>
    <d v="1899-12-30T07:30:00"/>
    <s v="D"/>
    <x v="0"/>
    <x v="0"/>
    <s v="PALOMINO"/>
    <s v="TARAZONA"/>
    <s v="LILA IRIS"/>
    <s v="FEMENINO"/>
    <n v="51"/>
    <s v="OPERADOR MANUFACTURA SALSAS"/>
    <d v="2003-11-24T00:00:00"/>
    <s v="La operadora de manufactura se encontraba trasvasando producto del tanque Mixer 2 al tanque Mixer 1, en ese momento se percata que el sensor de nivel continuaba detectando producto en el Mixer 2, por lo cual decide aperturar la tapa del tanque para validar si aún contenía producto. Cuando apertura la tapa, no la aseguró correctamente en el gancho y esta cae por su propio peso rozando el costado izquierdo de su pecho con el asa."/>
    <s v="Golpeado por"/>
    <s v="Pecho"/>
    <s v="Abdomen/Torso"/>
    <s v="Trasvase de producto del tanque Mixer 2 al tanque Mixer 1"/>
    <s v="Contusión en costado izquierdo del pecho"/>
    <s v="Contusión/Trauma"/>
    <n v="0"/>
    <n v="0"/>
    <n v="0"/>
    <s v="Trabajando"/>
    <n v="31"/>
    <s v="&lt; 1 a 5 años"/>
    <s v="Asa de tapa del tanque Mixer 2"/>
    <s v="CONTRATO INDEFINIDO"/>
    <s v="Acc. No Incapacitante"/>
    <n v="0"/>
    <x v="0"/>
    <m/>
  </r>
  <r>
    <n v="70"/>
    <s v="-"/>
    <x v="0"/>
    <x v="4"/>
    <s v="Sicaya"/>
    <s v="Teal"/>
    <x v="21"/>
    <x v="0"/>
    <s v="Planta Caramelos"/>
    <x v="0"/>
    <x v="0"/>
    <d v="2024-04-20T00:00:00"/>
    <n v="16"/>
    <n v="20"/>
    <x v="3"/>
    <n v="2024"/>
    <d v="1899-12-30T21:30:00"/>
    <s v="N"/>
    <x v="4"/>
    <x v="19"/>
    <s v="TORRES"/>
    <s v="PINCHE"/>
    <s v="RUBEN"/>
    <s v="MASCULINO"/>
    <n v="23"/>
    <s v="OPERARIO DE LIMPIEZA"/>
    <d v="2024-04-22T00:00:00"/>
    <s v="En circunstancias que el colaborador de limpieza se encontraba realizando la operación de llenado de agua caliente al coche, aperturó la válvula de agua caliente, mientras sostenía la manguera sin el guante de seguridad correspondiente. Durante esta operación el colaborador siente un aumento de temperatura en la manguera y la suelta; provocándole quemaduras de primer grado en el antebrazo. Inmediatamente se brinda los primeros auxilios colocando la zona afectada en un caño de agua fría por más de 15 minutos."/>
    <s v="Contacto con agua caliente"/>
    <s v="Antebrazo izquierdo"/>
    <s v="Brazo/Codo/Hombro"/>
    <s v="Alimentación de agua caliente al coche del trapeador"/>
    <s v="Quemadura de 1er grado"/>
    <s v="Quemadura por Temperatura"/>
    <n v="0"/>
    <n v="0"/>
    <n v="0"/>
    <s v="Trabajando"/>
    <n v="24"/>
    <s v="&lt; 1 mes"/>
    <s v="Agua Caliente"/>
    <s v="CONTRATO TEMPORAL"/>
    <s v="Acc. No Incapacitante"/>
    <n v="0"/>
    <x v="0"/>
    <m/>
  </r>
  <r>
    <n v="71"/>
    <s v="-"/>
    <x v="0"/>
    <x v="0"/>
    <s v="Distrito del Callao"/>
    <s v="Galletería"/>
    <x v="0"/>
    <x v="0"/>
    <s v="Planta Instantáneos"/>
    <x v="0"/>
    <x v="0"/>
    <d v="2024-04-25T00:00:00"/>
    <n v="17"/>
    <n v="25"/>
    <x v="3"/>
    <n v="2024"/>
    <d v="1899-12-30T22:37:00"/>
    <s v="T"/>
    <x v="0"/>
    <x v="0"/>
    <s v="TANTA "/>
    <s v="HUAJAN"/>
    <s v="RAUL"/>
    <s v="MASCULINO"/>
    <n v="57"/>
    <s v="OPERADOR MASERO"/>
    <d v="1995-10-02T00:00:00"/>
    <s v="Siendo las 20:37 , el trabajador procede a dirigirse al laboratorio de Inspección de calidad , en el trayecto, el piso se encontraba húmedo ,resbala y cae sentado._x000a_Se pone de pie y visualiza que el letrero de piso mojado, no se encontraba cerca a la zona de caída . Es derivado al tópico y se le suministra medicación . No requiere atención en clínica._x000a_"/>
    <s v="Caída a diferente nivel"/>
    <s v="Pierna"/>
    <s v="Pierna"/>
    <s v="Tránsito peatonal"/>
    <s v="Golpe"/>
    <s v="Contusión/Trauma"/>
    <n v="0"/>
    <n v="0"/>
    <n v="0"/>
    <s v="Trabajando"/>
    <n v="348"/>
    <s v="&gt; 10 años"/>
    <s v="Piso mojado"/>
    <s v="Indefinido"/>
    <s v="Acc. No Incapacitante"/>
    <n v="0"/>
    <x v="0"/>
    <m/>
  </r>
  <r>
    <n v="72"/>
    <s v="-"/>
    <x v="0"/>
    <x v="0"/>
    <s v="MCA"/>
    <s v="Molinos Lima"/>
    <x v="22"/>
    <x v="6"/>
    <s v="Mantenimiento"/>
    <x v="0"/>
    <x v="0"/>
    <d v="2024-04-30T00:00:00"/>
    <n v="18"/>
    <n v="30"/>
    <x v="3"/>
    <n v="2024"/>
    <d v="1899-12-30T10:15:00"/>
    <s v="D"/>
    <x v="0"/>
    <x v="0"/>
    <s v="TEJADA"/>
    <s v="GRANDEZ "/>
    <s v="FREDY ALDAIR "/>
    <s v="MASCULINO"/>
    <n v="24"/>
    <s v="MECANICO"/>
    <d v="2024-04-30T00:00:00"/>
    <s v="Siendo las 10:30AM, el trabajador procede a dirigirse hacia la planta para ejecutar trabajos programados. Durante el trayecto una partícula ingresa al ojo derecho del colaborador, proveniente de la descarga de trigo de la zona de recepción, donde se encontraban 02 camiones en proceso de descarga._x000a_El colaborador continúa sus actividades, sin embargo, alrededor de las 12:30PM, hace de manifiesto su malestar por lo cual se solicita el cardio móvil para una evaluación médica. El colaborador es sometido a un lavado ocular y logra eliminar el cuerpo extraño. Posterior a la intervención, el colaborador retoma sus labores._x000a_"/>
    <s v="Proyección de Material Particulado"/>
    <s v="Ojos"/>
    <s v="Ojos"/>
    <s v="Tránsito peatonal"/>
    <s v="CUERPO EXTRAÑO EN EL PARPADO"/>
    <s v="Cuerpo Extraño en Ojos"/>
    <n v="0"/>
    <n v="0"/>
    <n v="0"/>
    <s v="Trabajando"/>
    <n v="7"/>
    <s v="&lt; 0.5 a 1 año"/>
    <s v="Cuerpo Extraño"/>
    <s v="Indefinido"/>
    <s v="Acc. No Incapacitante"/>
    <n v="0"/>
    <x v="0"/>
    <m/>
  </r>
  <r>
    <n v="73"/>
    <s v="DIS24483"/>
    <x v="0"/>
    <x v="0"/>
    <s v="CD HUACHIPA"/>
    <s v="Otros"/>
    <x v="23"/>
    <x v="3"/>
    <s v="Distribución"/>
    <x v="0"/>
    <x v="0"/>
    <d v="2024-03-15T00:00:00"/>
    <n v="11"/>
    <n v="15"/>
    <x v="2"/>
    <n v="2024"/>
    <d v="1899-12-30T23:30:00"/>
    <s v="N"/>
    <x v="0"/>
    <x v="0"/>
    <s v="CUEVA"/>
    <s v="MONCADA"/>
    <s v="JOSÉ"/>
    <s v="MASCULINO"/>
    <s v="-"/>
    <s v="-"/>
    <s v="-"/>
    <s v="El colaborador se encotnraba descargando un pallet de lejía cloro sapolio, cuando realizaba la maniobra se produce la caída del material, cuando impactan con el suelo, se rompen y el OMC sufre salpicadura en del producto, inmediatamente se descontamina en el lavojos, y luego de una evaluación médica se determina una ligera irritación por lo que no es trasladado a la clínica."/>
    <s v="Exposición a Sustancias Químicas"/>
    <s v="Ojo izquierdo"/>
    <s v="Ojos"/>
    <s v="Descarga de pallets"/>
    <s v="Irritación de ojo"/>
    <s v="Cuerpo Extraño en Ojos"/>
    <n v="0"/>
    <m/>
    <m/>
    <s v="Trabajando "/>
    <n v="15"/>
    <s v="&lt; 1 a 5 años"/>
    <s v="Gotas de lejia"/>
    <s v="Indeterminado"/>
    <s v="Acc. No Incapacitante"/>
    <n v="0"/>
    <x v="2"/>
    <m/>
  </r>
  <r>
    <n v="74"/>
    <s v="-"/>
    <x v="1"/>
    <x v="1"/>
    <m/>
    <s v="PPI"/>
    <x v="4"/>
    <x v="0"/>
    <s v="Preparación de granos Crown"/>
    <x v="1"/>
    <x v="1"/>
    <d v="2024-04-05T00:00:00"/>
    <n v="14"/>
    <n v="5"/>
    <x v="3"/>
    <n v="2024"/>
    <d v="1899-12-30T16:15:00"/>
    <s v="T"/>
    <x v="0"/>
    <x v="3"/>
    <s v="CHAMBI"/>
    <s v="VILLANUEVA"/>
    <s v="DIONICIO MAXIMO"/>
    <s v="MASCULINO"/>
    <n v="53"/>
    <s v="OPERADOR DE PREPARACIÓN CROWN"/>
    <d v="1998-02-26T00:00:00"/>
    <s v="El día 05 de abril a las 16:15 aproximadamente, el operador de la Preparación de Granos se encontraba realizando la purga de condensando de vapor del sector, posterior a esta operación se dirige hacia  los laminadores para control del proceso, en este trayecto durante su recorrido da un paso largo hacia una escalera de paso a desnivel logrando sólo pisar con la punta de su pie izquierdo en el primer peldaño y cuando da el paso con la pierna derecha no logra apoyarla ocasionándole  un estiramiento muscular que le produce un desgarro en la parte baja de la pierna izquierda. Tras el suceso, el operador informa al Supervisor de Planta del hecho y es enviado a la posta médica de planta y atendido por el médico de turno. Luego el Operador asiste al centro médico laboral (Caja Nacional de Salud) para realizar una ecografía y posterior revisión por el traumatólogo de la región muscular afectada diagnosticando como un desgarro parcial del musculo gemelo izquierdo"/>
    <s v="Sobreesfuerzo"/>
    <s v="MUSLO GEMELO INTERNO IZQUIERDO"/>
    <s v="Pierna"/>
    <s v="DESPLAZAMIENTO HACIA LAMINADORES "/>
    <s v="Desgarro Parcial del musculo Gemelo interno izquierdo_x000a_"/>
    <s v="Desgarro/Estiramiento Muscular"/>
    <n v="15"/>
    <n v="0"/>
    <n v="15"/>
    <s v="Trabajando"/>
    <n v="312"/>
    <s v="&gt; 10 años"/>
    <s v="COMPORTAMIENTO INSEGURO"/>
    <s v="CONTRATO A PLAZO FIJO"/>
    <s v="Acc. Incapacitante"/>
    <n v="0"/>
    <x v="1"/>
    <m/>
  </r>
  <r>
    <n v="75"/>
    <s v="-"/>
    <x v="1"/>
    <x v="1"/>
    <m/>
    <s v="PDF"/>
    <x v="1"/>
    <x v="0"/>
    <s v="Preparación de granos Tecnal"/>
    <x v="0"/>
    <x v="0"/>
    <d v="2024-04-13T00:00:00"/>
    <n v="15"/>
    <n v="13"/>
    <x v="3"/>
    <n v="2024"/>
    <d v="1899-12-30T09:30:00"/>
    <s v="M"/>
    <x v="2"/>
    <x v="20"/>
    <s v="GONZALES"/>
    <s v="DUMAY"/>
    <s v="CLAUS"/>
    <s v="MASCULINO"/>
    <n v="26"/>
    <s v="TÉCNICO MECÁNICO"/>
    <d v="2023-02-14T00:00:00"/>
    <s v="A promediar las 09:30 el técnico mecánico contratista de tornemec estaba realizando el traslado del carro hidráulico para transportar la mesa rectificadora desde el laminador #3 al laminador #4. Cuando procedía al movimiento del carro hidráulico jalándolo, este resbala por lo que se encontraba en una superficie con  harina húmeda y en un desnivel ocasionando un frenado el carro, cayendo al mismo nivel y golpeando la tibia de la pierna derecha contra el ojal inferior del carro hidráulico , inmediatamente sus colegas le colaboran a reponerse de la caída, y es trasladado a la posta medica donde realiza la atención de primeros auxilios por el coordinador de SST, se realiza las curaciones presentaba una pequeña herida"/>
    <s v="Golpeado contra"/>
    <s v="TIBIA PIERNA DERECHA"/>
    <s v="Pierna"/>
    <s v="TRASLADO DE CARRO HIDRÁULICO TRANSPORTAR MESA RECTIFICADORA"/>
    <s v="Golpe en tibia derecha"/>
    <s v="Contusión/Trauma"/>
    <n v="0"/>
    <n v="0"/>
    <n v="0"/>
    <s v="Trabajando"/>
    <n v="12"/>
    <s v="&lt; 0.5 a 1 año"/>
    <s v="CARRO HIDRÁULICO"/>
    <s v="CONTRATO TEMPORAL"/>
    <s v="Acc. No Incapacitante"/>
    <n v="0"/>
    <x v="0"/>
    <m/>
  </r>
  <r>
    <n v="76"/>
    <s v="-"/>
    <x v="1"/>
    <x v="1"/>
    <m/>
    <s v="PDF"/>
    <x v="1"/>
    <x v="0"/>
    <s v="Preparación de granos Alloco"/>
    <x v="0"/>
    <x v="0"/>
    <d v="2024-04-24T00:00:00"/>
    <n v="17"/>
    <n v="24"/>
    <x v="3"/>
    <n v="2024"/>
    <d v="1899-12-30T12:30:00"/>
    <s v="M"/>
    <x v="2"/>
    <x v="21"/>
    <s v="CARDOZO"/>
    <s v="PEREZ"/>
    <s v="ROGER"/>
    <s v="MASCULINO"/>
    <n v="40"/>
    <s v="TÉCNICO MECÁNICO"/>
    <d v="2022-07-27T00:00:00"/>
    <s v="A promediar las 12:00 se presenta una tarea no planeada en elevador 03 de Alloco, después de realizar una inspección del equipo por parte de mantenimiento se informa a la jefatura de mantenimiento para realizar la intervención del equipo quien da la autorización para la ejecución del trabajo. Posterior a ello se asigna una cuadrilla del contratista SMFI para atender el trabajo, la tarea arranca sin ART, los contratistas (ejecutores de la tarea) no aplicaron el LOTO, este fue aplicado por el supervisor de SST contratista SMFI. A horas 12:25 la empresa SMFI concluye la reposición de cangilones de plástico, al finalizar la ejecución de la tarea se solicita desbloquear el elevador para verificar con una prueba en vacío que no presentara rozamiento de cangilones. Durante la operación de prueba del elevador, el electricista junto al operador proceden a liberar el LOTO y arrancan el equipo, simultáneamente el contratista evidencia una contratuerca aflojada en el cangilón (equipo detenido) y decide asegurarla utilizando una pistola de impacto con extensión y dado, en ese momento arranca el equipo generando que un cangilón impacte en la mano izquierda del contratista mientras sujetaba la pistola de impacto, en ese momento procede a retirar su mano de la zona de riesgo antes de sufrir un atrapamiento entre el cangilón y la ventana del elevador._x000a_"/>
    <s v="Golpeado por"/>
    <s v="Mano izquierda"/>
    <s v="Mano/Muñeca/Dedos"/>
    <s v="CAMBIO DE CANGILONES EN ELEVADOR 03"/>
    <s v="Lesión contusa mano izquierda"/>
    <s v="Contusión/Trauma"/>
    <n v="0"/>
    <n v="0"/>
    <n v="0"/>
    <s v="Trabajando"/>
    <n v="12"/>
    <s v="&lt; 0.5 a 1 año"/>
    <s v="CANGILONES"/>
    <s v="CONTRATO TEMPORAL"/>
    <s v="Acc. No Incapacitante"/>
    <n v="0"/>
    <x v="0"/>
    <m/>
  </r>
  <r>
    <n v="77"/>
    <s v="-"/>
    <x v="1"/>
    <x v="1"/>
    <m/>
    <s v="Otros"/>
    <x v="24"/>
    <x v="0"/>
    <s v="Secadora MEGA"/>
    <x v="0"/>
    <x v="0"/>
    <d v="2024-04-26T00:00:00"/>
    <n v="17"/>
    <n v="26"/>
    <x v="3"/>
    <n v="2024"/>
    <d v="1899-12-30T05:30:00"/>
    <s v="M"/>
    <x v="2"/>
    <x v="22"/>
    <s v="BRAVO"/>
    <s v="GIL"/>
    <s v="REMY"/>
    <s v="MASCULINO"/>
    <n v="28"/>
    <s v="AYUDANTE DE PLANTA"/>
    <d v="2024-04-23T00:00:00"/>
    <s v="Al promediar las 05:30 AM, el personal tercero de provisiona se encontraba cerrando las puertas de la secadora para arrancar con el secado, y al momento de caminar sobre la plataforma sufre una caída al mismo nivel, ocasionándole una herida en el mentón._x000a_ Se le dio primeros auxilios, primeramente, se limpió con agua la herida, para luego limpiarla con algodón y agua oxigenada, posteriormente se lo derivo al centro municipal de salud integral Pailón, en el cual se le realizo una sutura de la herida (2 puntos), así mismo se le suministro la vacuna antitetánica."/>
    <s v="Golpeado contra"/>
    <s v="MENTON"/>
    <s v="Rostro/Nariz/Boca"/>
    <s v="CERRAMIENTO DE COMPUERTAS DE SECADOR"/>
    <s v="HERIDA EN REGIÓN MAXILAR INFERIOR"/>
    <s v="Corte/Herida"/>
    <n v="0"/>
    <n v="0"/>
    <n v="0"/>
    <s v="Trabajando"/>
    <n v="18"/>
    <s v="&lt; 1 a 5 años"/>
    <s v="DESNIVEL EN PLATAFORMA"/>
    <s v="CONTRATO TEMPORAL"/>
    <s v="Acc. No Incapacitante"/>
    <n v="0"/>
    <x v="0"/>
    <m/>
  </r>
  <r>
    <n v="78"/>
    <s v="-"/>
    <x v="0"/>
    <x v="2"/>
    <s v="Distrito de Lurín"/>
    <s v="Intradevco"/>
    <x v="16"/>
    <x v="0"/>
    <s v="Lavavajilla"/>
    <x v="0"/>
    <x v="0"/>
    <d v="2024-04-17T00:00:00"/>
    <n v="16"/>
    <n v="17"/>
    <x v="3"/>
    <n v="2024"/>
    <d v="1899-12-30T18:43:00"/>
    <s v="D"/>
    <x v="3"/>
    <x v="5"/>
    <s v="SALVATIERRA"/>
    <s v="JURADO"/>
    <s v="BRILLITH ALEXANDRA"/>
    <s v="FEMENINO"/>
    <n v="38"/>
    <s v="OPERARIO DE PRODUCCIÓN"/>
    <d v="2023-11-21T00:00:00"/>
    <s v="Colaboradora realizaba limpieza del área y al terminar de lavar los trapos que utilizan en las líneas no tenía conocimiento dónde desechar el agua por lo que pregunta a sus compañeras y le indican que lo haga en los cilindros, sin embargo estaban llenos. La trabajadora Verónica Chumpitaz ITDC le menciona que lo deseche en segundo nivel de batidos. _x000a_En el transcurso de subir las escaleras con el balde, tropieza y cae en el peldaño golpeándose la rodilla izquierda"/>
    <s v="Caida al mismo nivel"/>
    <s v="BRAZO"/>
    <s v="Brazo/Codo/Hombro"/>
    <s v="Subir escaleras"/>
    <s v="Contusion"/>
    <s v="Contusión/Trauma"/>
    <n v="0"/>
    <n v="0"/>
    <n v="0"/>
    <s v="Trabajando"/>
    <n v="5"/>
    <s v="&lt; 3 a 6 meses"/>
    <s v="Escalera"/>
    <s v="CONTRATO TEMPORAL"/>
    <s v="Acc. No Incapacitante"/>
    <n v="0"/>
    <x v="0"/>
    <m/>
  </r>
  <r>
    <n v="79"/>
    <s v="-"/>
    <x v="0"/>
    <x v="2"/>
    <s v="Distrito de Lurín"/>
    <s v="Intradevco"/>
    <x v="16"/>
    <x v="0"/>
    <s v="Empacado detergente"/>
    <x v="0"/>
    <x v="0"/>
    <d v="2024-04-22T00:00:00"/>
    <n v="17"/>
    <n v="22"/>
    <x v="3"/>
    <n v="2024"/>
    <d v="1899-12-30T17:00:00"/>
    <s v="D"/>
    <x v="3"/>
    <x v="5"/>
    <s v="PACAYA"/>
    <s v=" IJUMA"/>
    <s v="CHARLIE EFRAIN"/>
    <s v="MASCULINO"/>
    <n v="25"/>
    <s v="OPERARIO DE PRODUCCIÓN"/>
    <d v="2023-06-14T00:00:00"/>
    <s v="El colaborador Pacaya CA_x000a_se encontraba cortando el film, tenía puesto su pie derecho entre la uña de la máquina de transpaleta, al momento de que su otro compañero transpaletista se dirigía con una paleta para almancen, se chocó contra la paleta de Pacaya CA generandole un golpe en su pie derecho."/>
    <s v="Golpeado por"/>
    <s v="PIE DERECHO"/>
    <s v="Pie/Tobillo"/>
    <s v="Corte de stretch film"/>
    <s v="Contusion"/>
    <s v="Contusion"/>
    <n v="0"/>
    <n v="0"/>
    <n v="0"/>
    <s v="Trabajando"/>
    <n v="10"/>
    <s v="&lt; 0.5 a 1 año"/>
    <s v="Paleta"/>
    <s v="CONTRATO TEMPORAL"/>
    <s v="Acc. No Incapacitante"/>
    <n v="0"/>
    <x v="0"/>
    <m/>
  </r>
  <r>
    <n v="80"/>
    <s v="-"/>
    <x v="0"/>
    <x v="2"/>
    <s v="Distrito de Lurín"/>
    <s v="Intradevco"/>
    <x v="16"/>
    <x v="0"/>
    <s v="Lavavajilla"/>
    <x v="0"/>
    <x v="0"/>
    <d v="2024-04-22T00:00:00"/>
    <n v="17"/>
    <n v="22"/>
    <x v="3"/>
    <n v="2024"/>
    <d v="1899-12-30T19:08:00"/>
    <s v="N"/>
    <x v="3"/>
    <x v="5"/>
    <s v="TANTA"/>
    <s v=" CHAVEZ"/>
    <s v=" MARIA LUISA"/>
    <s v="FEMENINO"/>
    <n v="47"/>
    <s v="OPERARIO DE PRODUCCIÓN"/>
    <d v="2023-04-18T00:00:00"/>
    <s v="Siendo 22 de abril a las 07:08 la Colaboradora se encontraba firmando el libro de charla de 5 minutos y al momento de coger una mascarilla, se le cae al suelo y al recogerla se golpea contra una estructura metálica de máquina en desuso que se encuentra al lado de escritorio(en ese momento no dio aviso), cerca de las 9pm tomó una pastilla (ibuprofeno) que le brindó una compañera, sin embargo dolor persistió hasta la hora de salida, que se acercó la colaboradora a hacernos conocimiento de lo sucedido, dolor con intensidad 7/10 (23.04 a las 7am aproximadamente, en ese momento no recibió atención médica porque le brindaron)_x000a_*DATO ADICIONAL* : Colaboradora refiere haber dado aviso a su supervisora 2 veces en el turno (9pm y 4am aproximadamente) sin embargo ella no se comunicó conmigo para informar sobre el caso."/>
    <s v="Golpeado contra"/>
    <s v="CABEZA"/>
    <s v="Cabeza"/>
    <s v="Llenado de registros"/>
    <s v="Contusion"/>
    <s v="Contusion"/>
    <n v="0"/>
    <n v="0"/>
    <n v="0"/>
    <s v="Trabajando"/>
    <n v="0"/>
    <s v="&lt; 1 mes"/>
    <s v="Equipo en desuso"/>
    <s v="CONTRATO TEMPORAL"/>
    <s v="Acc. No Incapacitante"/>
    <n v="0"/>
    <x v="0"/>
    <m/>
  </r>
  <r>
    <n v="81"/>
    <s v="-"/>
    <x v="0"/>
    <x v="2"/>
    <s v="Distrito de Lurín"/>
    <s v="Intradevco"/>
    <x v="16"/>
    <x v="0"/>
    <s v="Lavavajilla"/>
    <x v="0"/>
    <x v="0"/>
    <d v="2024-04-25T00:00:00"/>
    <n v="17"/>
    <n v="25"/>
    <x v="3"/>
    <n v="2024"/>
    <d v="1899-12-30T20:00:00"/>
    <s v="N"/>
    <x v="3"/>
    <x v="5"/>
    <s v="PEREZ"/>
    <s v=" MARICHIN"/>
    <s v="JUSTO HERNAN"/>
    <s v="MASCULINO"/>
    <n v="44"/>
    <s v="OPERARIO DE PRODUCCIÓN"/>
    <d v="2022-10-25T00:00:00"/>
    <s v="Colaborador se encontra jalando solo la tiza con la estoca (64 sacos), ya que sus compañeros estaban ocupados menciona (tener en cuenta que esta actividad se realiza entre dos personas), y debido a la fuerza que ejerce al jalar el pallet con producto se le resbala el pie y se golpea contra la llanta. No da aviso en el momento ya que no sentía molestias. Comunicó lo sucedido el día de hoy 27.04"/>
    <s v="Golpeado por"/>
    <s v="PIE"/>
    <s v="Pie/Tobillo"/>
    <s v="Manipulacion de stocka"/>
    <s v="Contusion"/>
    <s v="Contusion"/>
    <n v="0"/>
    <n v="0"/>
    <n v="0"/>
    <s v="Trabajando"/>
    <n v="18"/>
    <s v="&lt; 1 a 5 años"/>
    <s v="Estoca"/>
    <s v="CONTRATO TEMPORAL"/>
    <s v="Acc. No Incapacitante"/>
    <n v="0"/>
    <x v="0"/>
    <m/>
  </r>
  <r>
    <n v="82"/>
    <s v="ILU23990"/>
    <x v="0"/>
    <x v="2"/>
    <s v="Distrito de Lurín"/>
    <s v="Intradevco"/>
    <x v="16"/>
    <x v="0"/>
    <s v="Lavavajilla"/>
    <x v="1"/>
    <x v="1"/>
    <d v="2024-04-25T00:00:00"/>
    <n v="17"/>
    <n v="25"/>
    <x v="3"/>
    <n v="2024"/>
    <d v="1899-12-30T22:24:00"/>
    <s v="N"/>
    <x v="3"/>
    <x v="5"/>
    <s v="CAMACHO"/>
    <s v="ORTIZ"/>
    <s v="LUIS MANUEL"/>
    <s v="MASCULINO"/>
    <n v="26"/>
    <s v="OPERARIO DE PRODUCCIÓN"/>
    <d v="2024-04-10T00:00:00"/>
    <s v="El colaborador de encontraba saliendo del comedor luego de su cena, y al ver que sus demás compañeros estaban llegando para el ingreso, se baja de la vereda para abrir pase, pero no se percata que en la pista hay un desnivel, lo que ocasiona la torcedura del pie (tobillo izquierdo) y posterior caída. Se levanta con ayuda de sus compañeros y se dirige a los SSHH, pero se queda a mitad de camino ya que el dolor le impide seguir subiendo las escaleras. Es ahí donde la coordinadora que transitaba por el lugar se percata y me da aviso de lo sucedido."/>
    <s v="Caída al mismo nivel"/>
    <s v="TOBILLO IZQUIERDO"/>
    <s v="Pie/Tobillo"/>
    <s v="Transito por area"/>
    <s v="Contusion"/>
    <s v="Contusión/Trauma"/>
    <n v="11"/>
    <n v="0"/>
    <n v="11"/>
    <s v="Trabajando"/>
    <n v="1"/>
    <s v="&lt; 1 a 3 meses"/>
    <s v="PISO DE ASFALTO"/>
    <s v="CONTRATO TEMPORAL"/>
    <s v="Acc. Incapacitante"/>
    <n v="0"/>
    <x v="1"/>
    <m/>
  </r>
  <r>
    <n v="83"/>
    <s v="-"/>
    <x v="0"/>
    <x v="2"/>
    <s v="Distrito de Lurín"/>
    <s v="Intradevco"/>
    <x v="16"/>
    <x v="0"/>
    <s v="Areas comunes"/>
    <x v="0"/>
    <x v="0"/>
    <d v="2024-04-27T00:00:00"/>
    <n v="17"/>
    <n v="27"/>
    <x v="3"/>
    <n v="2024"/>
    <d v="1899-12-30T22:26:00"/>
    <s v="N"/>
    <x v="3"/>
    <x v="5"/>
    <s v="VALENCIA"/>
    <s v="ROMAN"/>
    <s v="PABLO"/>
    <s v="MASCULINO"/>
    <n v="43"/>
    <s v="OPERARIO DE PRODUCCIÓN"/>
    <d v="2024-04-12T00:00:00"/>
    <s v="El colaborador Pablo Velencia Román se encontraba bajando las escaleras cuando de pronto ve que sus compañeros suben corriendo y él por tratar de esquivarlos baja apresuradamente un escalón pisando en falso, ocacionando que se doble el tobillo._x000a_Cabe mencionar que dicha zona se encuentra sin iluminación."/>
    <s v="Caida al mismo nivel"/>
    <s v="TOBILLO"/>
    <s v="Pie/Tobillo"/>
    <s v="Ascenso por escaleras"/>
    <s v="Contusion"/>
    <s v="Contusión/Trauma"/>
    <n v="0"/>
    <n v="0"/>
    <n v="0"/>
    <s v="Trabajando"/>
    <n v="1"/>
    <s v="&lt; 1 a 3 meses"/>
    <s v="ESCALERA"/>
    <s v="CONTRATO TEMPORAL"/>
    <s v="Acc. No Incapacitante"/>
    <n v="0"/>
    <x v="0"/>
    <m/>
  </r>
  <r>
    <n v="84"/>
    <s v="-"/>
    <x v="0"/>
    <x v="2"/>
    <s v="Distrito de Chorrillos"/>
    <s v="Intradevco"/>
    <x v="6"/>
    <x v="0"/>
    <s v="Sanitarios"/>
    <x v="0"/>
    <x v="0"/>
    <d v="2024-04-29T00:00:00"/>
    <n v="18"/>
    <n v="29"/>
    <x v="3"/>
    <n v="2024"/>
    <d v="1899-12-30T12:30:00"/>
    <s v="D"/>
    <x v="3"/>
    <x v="5"/>
    <s v="AHUANARI"/>
    <s v="PAYMA"/>
    <s v="WILMER"/>
    <s v="MASCULINO"/>
    <n v="33"/>
    <s v="OPERARIO DE PRODUCCIÓN"/>
    <d v="2024-02-07T00:00:00"/>
    <s v="El trabajador AHUANARI presenta ampollas en las manos debido a que realiza el tapado y enroscado en la MR2, ya que la tapadora neumática en ocasiones no cierra por completo, la tapa se inclina hacia un lado ( el trabajador ejerce presión y enrosca) o en su defecto el diámetro sobrepasa la capacidad para realizar el tapado (debido a esto se hace manual)."/>
    <s v="Contacto con "/>
    <s v="MANO DERECHA E IZQUIERDA"/>
    <s v="Mano/Muñeca/Dedos"/>
    <s v="Tapado y enroscado de frascos"/>
    <s v="Ampolla"/>
    <s v="Quemadura por Fricción"/>
    <n v="0"/>
    <n v="0"/>
    <n v="0"/>
    <s v="Trabajando"/>
    <n v="2"/>
    <s v="&lt; 1 a 3 meses"/>
    <s v="TAPADORA NEUMÁTICA"/>
    <s v="CONTRATO TEMPORAL"/>
    <s v="Acc. No Incapacitante"/>
    <n v="0"/>
    <x v="0"/>
    <m/>
  </r>
  <r>
    <n v="85"/>
    <s v="-"/>
    <x v="0"/>
    <x v="2"/>
    <s v="Distrito de Lurín"/>
    <s v="Intradevco"/>
    <x v="16"/>
    <x v="0"/>
    <s v="Empacado detergente"/>
    <x v="0"/>
    <x v="0"/>
    <d v="2024-05-02T00:00:00"/>
    <n v="18"/>
    <n v="2"/>
    <x v="4"/>
    <n v="2024"/>
    <d v="1899-12-30T03:09:00"/>
    <s v="N"/>
    <x v="3"/>
    <x v="5"/>
    <s v="AVALOS"/>
    <s v="FASANANDO"/>
    <s v="RAFAEL"/>
    <s v="MASCULINO"/>
    <n v="35"/>
    <s v="OPERARIO DE PRODUCCIÓN"/>
    <d v="2024-04-17T00:00:00"/>
    <s v="Colaborador Ávalos Fasanando Rafael se encontraba haciendo la actividad de colocado de bolsas, cuando se percata que una de ellas está mal puesta y al momento de acomodarla saca la mano derecha apresuradamente y se golpea contra plancha que cambia de posición automáticamente cuando los bolsones están llenos."/>
    <s v="Golpeado contra"/>
    <s v="MANO DERECHA"/>
    <s v="Mano/Muñeca/Dedos"/>
    <s v="Colocacion de bolsas"/>
    <s v="Contusion"/>
    <s v="Contusión/Trauma"/>
    <n v="0"/>
    <n v="0"/>
    <n v="0"/>
    <s v="Trabajando"/>
    <n v="1"/>
    <s v="&lt; 1 a 3 meses"/>
    <s v="PLANCHA METALICA"/>
    <s v="CONTRATO TEMPORAL"/>
    <s v="Acc. No Incapacitante"/>
    <n v="0"/>
    <x v="0"/>
    <m/>
  </r>
  <r>
    <n v="86"/>
    <s v="-"/>
    <x v="0"/>
    <x v="2"/>
    <s v="Distrito de Lurín"/>
    <s v="Intradevco"/>
    <x v="16"/>
    <x v="0"/>
    <s v="Lavavajilla"/>
    <x v="0"/>
    <x v="0"/>
    <d v="2024-05-02T00:00:00"/>
    <n v="18"/>
    <n v="2"/>
    <x v="4"/>
    <n v="2024"/>
    <d v="1899-12-30T12:58:00"/>
    <s v="D"/>
    <x v="3"/>
    <x v="5"/>
    <s v="CONDORI"/>
    <s v=" LOPEZ"/>
    <s v=" GUADALUPE ROXANA"/>
    <s v="FEMENINO"/>
    <n v="41"/>
    <s v="OPERARIO DE PRODUCCIÓN"/>
    <d v="2023-03-30T00:00:00"/>
    <s v="Colaboradora estuvo realizando encajado de potes, al terminar su rotación de actividad le indica a su compañero que saldría del área para acudir a los sshh y voltea sin percatarse de la mesa de trabajo golpeándose la rodilla izquierda"/>
    <s v="Golpeado contra"/>
    <s v="RODILLA IZQUIERDA"/>
    <s v="Rodilla"/>
    <s v="Encajado de potes"/>
    <s v="Contusion"/>
    <s v="Contusión/Trauma"/>
    <n v="0"/>
    <n v="0"/>
    <n v="0"/>
    <s v="Trabajando"/>
    <n v="13"/>
    <s v="&lt; 1 a 5 años"/>
    <s v="MESA"/>
    <s v="CONTRATO TEMPORAL"/>
    <s v="Acc. No Incapacitante"/>
    <n v="0"/>
    <x v="0"/>
    <m/>
  </r>
  <r>
    <n v="87"/>
    <s v="-"/>
    <x v="0"/>
    <x v="0"/>
    <s v="SIDSUR"/>
    <s v="Sidsur"/>
    <x v="25"/>
    <x v="0"/>
    <s v="Molino Victoria"/>
    <x v="1"/>
    <x v="1"/>
    <d v="2024-04-04T00:00:00"/>
    <n v="14"/>
    <n v="4"/>
    <x v="3"/>
    <n v="2024"/>
    <d v="1899-12-30T08:00:00"/>
    <s v="D"/>
    <x v="0"/>
    <x v="3"/>
    <s v="CASTILLO"/>
    <s v="MAMANI"/>
    <s v="MAURO"/>
    <s v="MASCULINO"/>
    <n v="62"/>
    <s v="AYUDANTE DE MOLINO"/>
    <s v="-"/>
    <s v="El colaborador se encontraba en el 4° piso del Molino Victoria verificando que fluya el producto del pasaje C6 de forma continua, en ese momento el colaborador apoya su mano derecha sobre la tapa del motor, sintiendo un jalón de su dedo índice el cual retiro inmediatamente, cabe mencionar que la guarda del motor presentaba una abertura debido a la rotura de una de las ranuras de protección._x000a_Posteriormente, fue socorrido por el Coordinador de Turno quien toca la alarma de emergencias y lo acompaña al tópico, siendo atendido por el Inspector de Seguridad. Se procedió a llamar a la ambulancia, la cual lo derivo a la Clínica San Juan de Dios."/>
    <s v="Atrapado por Partes en Movimiento"/>
    <s v="Dedo anular mano derecha"/>
    <s v="Mano/Muñeca/Dedos"/>
    <s v="Verificando paso de producto"/>
    <s v="Fractura"/>
    <s v="Fractura"/>
    <n v="120"/>
    <n v="0"/>
    <n v="120"/>
    <s v="Trabajando"/>
    <n v="252"/>
    <s v="&gt; 10 años"/>
    <s v="Motor"/>
    <s v="Indefinido"/>
    <s v="Acc. Incapacitante"/>
    <n v="0"/>
    <x v="1"/>
    <m/>
  </r>
  <r>
    <n v="88"/>
    <s v="PCO24300"/>
    <x v="0"/>
    <x v="0"/>
    <s v="PREDIO CENTRAL"/>
    <s v="Copsa"/>
    <x v="3"/>
    <x v="6"/>
    <s v="MANTENIMIENTO"/>
    <x v="1"/>
    <x v="1"/>
    <d v="2024-08-16T00:00:00"/>
    <n v="33"/>
    <n v="16"/>
    <x v="5"/>
    <n v="2024"/>
    <d v="1899-12-30T17:20:00"/>
    <s v="T"/>
    <x v="0"/>
    <x v="3"/>
    <s v="HERRERA"/>
    <s v="FABIAN"/>
    <s v="ROGGER JHON"/>
    <s v="MASCULINO"/>
    <n v="52"/>
    <s v="ELECTRICISTA"/>
    <d v="2007-03-01T00:00:00"/>
    <s v="El colaborador se encontraba abriendo la puerta metálica enrollable de la sala de generación para iniciar la operación de los grupos electrógenos en hora punta. Para abrir la puerta, realiza un primer movimiento para levantarla del piso a la altura del pecho y cambia de agarre para empujar la puerta hacia arriba. En dicho cambio de agarre siente un tirón y dolor en el hombro derecho, sin terminar la apertura."/>
    <s v="Sobreesfuerzo"/>
    <s v="Hombro"/>
    <s v="Brazo/Codo/Hombro"/>
    <s v="Apertura de puerta metálica enrollable"/>
    <s v="Tendinosis del músculo supraespinoso en hombro derecho"/>
    <s v="Desgarro/Estiramiento Muscular"/>
    <n v="137"/>
    <n v="0"/>
    <n v="137"/>
    <s v="DM"/>
    <n v="209"/>
    <s v="&gt; 10 años"/>
    <s v="Puerta metálica enrollable"/>
    <s v="CONTRATO INDEFINIDO"/>
    <s v="Acc. Incapacitante"/>
    <n v="0"/>
    <x v="1"/>
    <m/>
  </r>
  <r>
    <n v="89"/>
    <s v="ICH23994"/>
    <x v="0"/>
    <x v="2"/>
    <s v="Distrito de Chorrillos"/>
    <s v="Intradevco"/>
    <x v="6"/>
    <x v="0"/>
    <s v="Pasta Dental"/>
    <x v="1"/>
    <x v="1"/>
    <d v="2024-05-04T00:00:00"/>
    <n v="18"/>
    <n v="4"/>
    <x v="4"/>
    <n v="2024"/>
    <d v="1899-12-30T11:45:00"/>
    <s v="D"/>
    <x v="0"/>
    <x v="14"/>
    <s v="GARCIA"/>
    <s v="CARBONEL"/>
    <s v="PETER"/>
    <s v="MASCULINO"/>
    <n v="51"/>
    <s v="OPERARIO DE PRODUCCIÓN"/>
    <s v="-"/>
    <s v="Aproximadamente a las 11:45am, durante la operación de envasado de pasta dental en línea 6, durante un atasco de cajas unitarias producido en apilador de packs, el colaborador introduce la mano derecha al interior de la maquina para liberar el atasco, de pronto retira la mano rápidamente; encontrándose ya con el dedo lesionado. La situación fue informada a producción y seguridad industrial, a continuación es trasladado al tópico donde recibe atención, activación del SCRT, y posterior traslado a la Clínica San Pablo de Surco._x000a_"/>
    <s v="Atrapado por Partes en Movimiento"/>
    <s v="MANO"/>
    <s v="Mano/Muñeca/Dedos"/>
    <s v="Desatoro de línea"/>
    <s v="HERIDA DE DEDOS DE LA MANO, SIN DAÑO DE UÑAS"/>
    <s v="Corte/Herida"/>
    <n v="21"/>
    <n v="0"/>
    <n v="21"/>
    <s v="Cesó"/>
    <n v="330"/>
    <s v="&gt; 10 años"/>
    <s v="Máquina encajadora"/>
    <s v="CONTRATO INDEFINIDO"/>
    <s v="Acc. Incapacitante"/>
    <n v="0"/>
    <x v="1"/>
    <m/>
  </r>
  <r>
    <n v="90"/>
    <s v="MFA24121"/>
    <x v="0"/>
    <x v="0"/>
    <s v="CENTRAL"/>
    <s v="Molinos Lima"/>
    <x v="26"/>
    <x v="0"/>
    <s v="Producción"/>
    <x v="1"/>
    <x v="1"/>
    <d v="2024-05-22T00:00:00"/>
    <n v="21"/>
    <n v="22"/>
    <x v="4"/>
    <n v="2024"/>
    <d v="1899-12-30T17:10:00"/>
    <s v="T"/>
    <x v="0"/>
    <x v="3"/>
    <s v="CALDERON"/>
    <s v="HUANAMBAL"/>
    <s v="TEOFILO MARCELINO"/>
    <s v="MASCULINO"/>
    <n v="60"/>
    <s v="OPERADOR 2 DE MOLINO"/>
    <d v="2000-08-01T00:00:00"/>
    <s v="El colaborador se encontraba en el cuarto piso del molino B realizando su inspección de turno a los plansifter donde se percata que uno de los pasajes se empezó a llenar y botar harina por la manga, él se acerca para verificar y siente que ingresa una partícula en la vista izquierda causándole molestia"/>
    <s v="Contacto con"/>
    <s v="OJO IZQUIERDO"/>
    <s v="Ojos"/>
    <s v="Verificacion "/>
    <s v="Cuerpo Extraño en Ojos"/>
    <s v="Cuerpo Extraño en Ojos"/>
    <n v="1"/>
    <n v="0"/>
    <n v="1"/>
    <s v="Descanso Médico"/>
    <n v="163"/>
    <s v="&gt; 10 años"/>
    <s v="Polvo de Harina"/>
    <s v="Indefinido"/>
    <s v="Acc. Incapacitante"/>
    <n v="0"/>
    <x v="1"/>
    <m/>
  </r>
  <r>
    <n v="91"/>
    <s v="ILU24268"/>
    <x v="0"/>
    <x v="2"/>
    <s v="Distrito de Lurín"/>
    <s v="Intradevco"/>
    <x v="5"/>
    <x v="0"/>
    <s v="Vestuarios"/>
    <x v="1"/>
    <x v="1"/>
    <d v="2024-04-15T00:00:00"/>
    <n v="16"/>
    <n v="15"/>
    <x v="3"/>
    <n v="2024"/>
    <d v="1899-12-30T07:00:00"/>
    <s v="D"/>
    <x v="3"/>
    <x v="5"/>
    <s v="ROSALES"/>
    <s v="BLAS"/>
    <s v="FRANK"/>
    <s v="MASCULINO"/>
    <n v="28"/>
    <s v="OPERARIO DE PRODUCCIÓN"/>
    <d v="2024-01-15T00:00:00"/>
    <s v="El colaborador se encontraba colocándose el uniforme para el ingreso a su turno. Al colocarse el polo, extiende su mano izquierda, que tuvo contacto con bordes irregulares de uno de los casilleros del vestuario generando una herida en el dedo medio de la mano izquierda."/>
    <s v="Contacto con superficie filosa"/>
    <s v="MANO"/>
    <s v="Mano/Muñeca/Dedos"/>
    <s v="Cambio de ropa (colocación de uniforme)"/>
    <s v="Herida en dedo"/>
    <s v="Corte/Herida"/>
    <n v="11"/>
    <n v="0"/>
    <n v="11"/>
    <s v="Trabajando"/>
    <n v="3"/>
    <s v="&lt; 3 a 6 meses"/>
    <s v="CASILLERO"/>
    <s v="CONTRATO TEMPORAL"/>
    <s v="Acc. Incapacitante"/>
    <n v="0"/>
    <x v="1"/>
    <s v="SI"/>
  </r>
  <r>
    <n v="92"/>
    <s v="-"/>
    <x v="0"/>
    <x v="2"/>
    <s v="Distrito de Lurín"/>
    <s v="Intradevco"/>
    <x v="7"/>
    <x v="0"/>
    <s v="Soplado"/>
    <x v="0"/>
    <x v="0"/>
    <d v="2024-04-18T00:00:00"/>
    <n v="16"/>
    <n v="18"/>
    <x v="3"/>
    <n v="2024"/>
    <d v="1899-12-30T16:00:00"/>
    <s v="D"/>
    <x v="3"/>
    <x v="5"/>
    <s v="OSORIO"/>
    <s v="SOLIMANO"/>
    <s v="CARLOS DANIEL"/>
    <s v="MASCULINO"/>
    <s v="-"/>
    <s v="OPERARIO DE PRODUCCIÓN"/>
    <s v="-"/>
    <s v="Colaborador realizaba actividades en la mezcladora 1, procede con la apertura del desfogue para realizar el llenado de bolsas; se completó el llenado de bolsa con material por lo que el colaborador procedia a cerrar el desfogue, actividad que consiste en empujar la tapa de metal; debido a que el material sigue cayendo y la tapa se atora el colaborador ejerce fuerza al empujar; es ahi que sintió un estirón y posteriormente dolor."/>
    <s v="Sobreesfuerzo"/>
    <s v="MANO"/>
    <s v="Mano/Muñeca/Dedos"/>
    <s v="Cierre de compuerta"/>
    <s v="TENDINITIS POR USO EXCESIVO Y PRESION"/>
    <s v="Esguince/Torcedura"/>
    <n v="0"/>
    <m/>
    <m/>
    <s v="Trabajando"/>
    <m/>
    <m/>
    <m/>
    <m/>
    <s v="Acc. No Incapacitante"/>
    <n v="0"/>
    <x v="0"/>
    <m/>
  </r>
  <r>
    <n v="93"/>
    <s v="-"/>
    <x v="0"/>
    <x v="2"/>
    <s v="Distrito de Lurín"/>
    <s v="Intradevco"/>
    <x v="7"/>
    <x v="0"/>
    <s v="Aerosoles"/>
    <x v="0"/>
    <x v="0"/>
    <d v="2024-04-27T00:00:00"/>
    <n v="17"/>
    <n v="27"/>
    <x v="3"/>
    <n v="2024"/>
    <d v="1899-12-30T12:00:00"/>
    <s v="D"/>
    <x v="3"/>
    <x v="5"/>
    <s v="INGA"/>
    <s v="CHIROQUE "/>
    <s v="JHOVANA"/>
    <s v="FEMENINO"/>
    <s v="-"/>
    <s v="OPERARIO DE PRODUCCIÓN"/>
    <s v="-"/>
    <s v="El frasco pasó sin haberse encrimpado y al inyectar gas se produjo de la dispersión del líquido, menciona la colaboradora que si tenía puesto el antiparra"/>
    <s v="Exposición a Sustancias Químicas"/>
    <s v="OJOS"/>
    <s v="Ojos"/>
    <s v="Encrimpado de envases"/>
    <s v="Irritación por Sustancias Químicas OJOS"/>
    <s v="Quemadura Química"/>
    <n v="0"/>
    <n v="0"/>
    <n v="0"/>
    <s v="Trabajando"/>
    <m/>
    <m/>
    <s v="PRODUCTO (GRANEL DE AEROSOL)"/>
    <s v="CONTRATO TEMPORAL"/>
    <s v="Acc. No Incapacitante"/>
    <n v="0"/>
    <x v="0"/>
    <m/>
  </r>
  <r>
    <n v="94"/>
    <s v="PGL24022 "/>
    <x v="0"/>
    <x v="0"/>
    <s v="Distrito del Callao"/>
    <s v="Galletería"/>
    <x v="0"/>
    <x v="0"/>
    <s v="Alimentación"/>
    <x v="0"/>
    <x v="0"/>
    <d v="2024-05-18T00:00:00"/>
    <n v="20"/>
    <n v="18"/>
    <x v="4"/>
    <n v="2024"/>
    <d v="1899-12-30T19:00:00"/>
    <s v="T"/>
    <x v="0"/>
    <x v="0"/>
    <s v="CASTAÑEDA "/>
    <s v="INOCENTE"/>
    <s v="RONAL JUNIOR "/>
    <s v="MASCULINO"/>
    <n v="28"/>
    <s v="OPERARIO DE PRODUCCIÓN"/>
    <d v="2023-11-13T00:00:00"/>
    <s v="Siendo las 19:00 el colaborador refiere que al momento de bandejar las galletas sufre contacto con la faja de alimentación presentando corte en el dedo medio de la mano derecha"/>
    <s v="contacto con superficie en movimiento"/>
    <s v="DEDO"/>
    <s v="Mano/Muñeca/Dedos"/>
    <s v="Bandejeo de galletas"/>
    <s v="Corte"/>
    <s v="Laceración"/>
    <n v="0"/>
    <n v="0"/>
    <n v="0"/>
    <s v="Trabajando"/>
    <n v="3"/>
    <s v="&lt; 0.5 a 1 año"/>
    <s v="Faja"/>
    <s v="CONTRATO INDEFINIDO"/>
    <s v="Acc. No Incapacitante"/>
    <n v="0"/>
    <x v="0"/>
    <m/>
  </r>
  <r>
    <n v="95"/>
    <s v="-"/>
    <x v="0"/>
    <x v="0"/>
    <s v="SIDSUR"/>
    <s v="Sidsur"/>
    <x v="25"/>
    <x v="0"/>
    <s v="Galletera - 2do piso "/>
    <x v="1"/>
    <x v="1"/>
    <d v="2024-05-07T00:00:00"/>
    <n v="19"/>
    <n v="7"/>
    <x v="4"/>
    <n v="2024"/>
    <d v="1899-12-30T15:40:00"/>
    <s v="T"/>
    <x v="0"/>
    <x v="3"/>
    <s v="BRICEÑO "/>
    <s v="ARANIBAR"/>
    <s v="JUAN CARLOS"/>
    <s v="MASCULINO"/>
    <n v="47"/>
    <s v="OPERARIO DE PRODUCCIÓN"/>
    <s v="-"/>
    <s v="Colaborador se encontraba en sus actividades rutinarias, cuando se retira de su zona de trabajo para dirigirse a los servicios higienicos, sufre un resbalón  del pie derecho hacia adelante, momento en el que se cae, pone su mano izquierda en el suelo, lo que causa dolor en la misma. Procede a reportarlo y posteriormente es trasladado a la clinica "/>
    <s v="Caída al mismo nivel"/>
    <s v="Mano izquierda"/>
    <s v="Mano/Muñeca/Dedos"/>
    <s v="Transito "/>
    <m/>
    <s v="Esguince/Torcedura"/>
    <n v="13"/>
    <n v="0"/>
    <n v="13"/>
    <s v="Trabajando"/>
    <n v="11"/>
    <s v="&lt; 0.5 a 1 año"/>
    <s v="Piso "/>
    <s v="CONTRATO INDEFINIDO "/>
    <s v="Acc. Incapacitante"/>
    <n v="0"/>
    <x v="1"/>
    <m/>
  </r>
  <r>
    <n v="96"/>
    <s v="-"/>
    <x v="0"/>
    <x v="0"/>
    <s v="SIDSUR"/>
    <s v="Sidsur"/>
    <x v="25"/>
    <x v="0"/>
    <s v="Galletera - linea 1"/>
    <x v="1"/>
    <x v="1"/>
    <d v="2024-05-21T00:00:00"/>
    <n v="21"/>
    <n v="21"/>
    <x v="4"/>
    <n v="2024"/>
    <d v="1899-12-30T11:30:00"/>
    <s v="D"/>
    <x v="0"/>
    <x v="3"/>
    <s v="CORIMANYA"/>
    <s v="LACUTA"/>
    <s v="FRANCISCO "/>
    <s v="MASCULINO"/>
    <n v="49"/>
    <s v="OPERARIO DE PRODUCCIÓN"/>
    <s v="-"/>
    <s v="El colaborador se encontraba en el 2do. Piso del área de Galletería Línea 1, turno mañana;  y al dirigirse a cruzar del lado frontal hacia el lado posterior de la envasadora Victoria 7 para brindar soporte a su compañero a quien se le acumulaba las galletas y se caian debido a que la maquina envasadora dejó de funcionami, hace uso de la escalera puente qué cuenta con baranda, una vez cruzado el puente  al momento de bajar las escaleras hacia lado posterior de la Victoria 7 , sufre un resbalón en el segundo peldaño,  por ello pierde el equilibrio y cae sentado en el peldaño, sufriendo un  golpe en la cadera.   "/>
    <s v="Caída a distinto nivel "/>
    <s v="Cadera "/>
    <s v="Cadera "/>
    <s v="Descenso por escaleras"/>
    <m/>
    <s v="Contusión/Trauma"/>
    <n v="3"/>
    <n v="0"/>
    <n v="3"/>
    <s v="Trabajando "/>
    <n v="263"/>
    <s v="&gt; 10 años"/>
    <s v="Escalera"/>
    <s v="CONTRATO INDEFINIDO "/>
    <s v="Acc. Incapacitante"/>
    <n v="0"/>
    <x v="1"/>
    <m/>
  </r>
  <r>
    <n v="97"/>
    <s v="-"/>
    <x v="1"/>
    <x v="1"/>
    <m/>
    <s v="PPI"/>
    <x v="4"/>
    <x v="0"/>
    <s v="RECEPCIÓN DE GRANO"/>
    <x v="0"/>
    <x v="0"/>
    <d v="2024-05-13T00:00:00"/>
    <n v="20"/>
    <n v="13"/>
    <x v="4"/>
    <n v="2024"/>
    <d v="1899-12-30T20:30:00"/>
    <s v="T"/>
    <x v="2"/>
    <x v="23"/>
    <s v="GUZMAN"/>
    <s v="TORRICO"/>
    <s v="DENNIS"/>
    <s v="MASCULINO"/>
    <n v="27"/>
    <s v="Ayudante laboral"/>
    <d v="2017-02-25T00:00:00"/>
    <s v="El día 13 de mayo a las 20:30, aproximadamente, el contratista de la empresa SEPE se encontraba realizando las actividades para descarga de camión tipo tolva bitren con grano de soya en volcadora ubicada en la Fosa de descarga N°2 del área de Recepción de granos._x000a_Una vez concluida la descarga de la tolva del camión, el conductor del camión se percata que quedaba una pequeña cantidad de grano dentro de la tolva debido a que el segundo registro no abre totalmente, por lo que le indica al contratista pueda acceder para retirar el sobrante. El contratista realiza las indicaciones del conductor ingresando por el registro de la descarga de la tolva e ingresando al interior, luego se posiciona en los bordes del registro e intenta vaciar el grano restante, se resbala y golpea su rodilla derecha en la parte metálica de la descarga._x000a_Posterior al golpe, el contratista continúa sus actividades de descarga de camiones y más tarde se percata de que tiene una molestia en su rodilla, por lo que procede a revisarse y encuentra que tenía un leve corte superficial y comunica al operador del sector._x000a_La comunicación llega al Supervisor, quien llama a los servicios de paramédicos de Emercom, quienes asisten a la persona realizándole una limpieza y realizándole una sutura de 3 puntos._x000a_Luego de la atención el contratista concluye su turno y se retira de las instalaciones."/>
    <s v="Golpeado contra"/>
    <s v="Rodilla"/>
    <s v="Rodilla"/>
    <s v="DESCARGA DE CAMIONES CON GRANO"/>
    <s v="Herida cortanten superficial en rodilla"/>
    <s v="Corte/Herida"/>
    <n v="0"/>
    <n v="0"/>
    <n v="0"/>
    <s v="Trabajando"/>
    <n v="84"/>
    <s v="&lt; 1 a 5 años"/>
    <s v="Tapa de registro"/>
    <s v="CONTRATO A PLAZO FIJO"/>
    <s v="Acc. No Incapacitante"/>
    <n v="0"/>
    <x v="0"/>
    <m/>
  </r>
  <r>
    <n v="98"/>
    <m/>
    <x v="0"/>
    <x v="0"/>
    <s v="PREDIO CENTRAL"/>
    <s v="Otros"/>
    <x v="23"/>
    <x v="3"/>
    <s v="CDC"/>
    <x v="0"/>
    <x v="0"/>
    <d v="2024-05-29T00:00:00"/>
    <n v="22"/>
    <n v="29"/>
    <x v="4"/>
    <n v="2024"/>
    <d v="1899-12-30T08:37:00"/>
    <s v="D"/>
    <x v="0"/>
    <x v="0"/>
    <s v="BERAUN"/>
    <s v="VILLODAS"/>
    <s v="BRYAN"/>
    <s v="MASCULINO"/>
    <n v="25"/>
    <s v="OPERADOR DE MONTACARGAS"/>
    <d v="2023-04-13T00:00:00"/>
    <s v="COLABORADOR REFIERE, QUE AL ENCONTRARSE LABORANDO, SE LE INTRODUCE UNA PEQUEÑA PARTICULA EN EL OJO IZQUIERDO, QUE LE OCASIONA MOLESTIA, S E LE REALIZA LAVADO OCULAR Y NO REQUIERE TRASLADO"/>
    <s v="Proyección de Material Particulado"/>
    <s v="OJO IZQUIERDO"/>
    <s v="Ojos"/>
    <s v="Descarga de sacos de harina"/>
    <s v="Cuerpo extraño en ojo"/>
    <s v="Cuerpo Extraño en Ojos"/>
    <n v="0"/>
    <m/>
    <m/>
    <s v="Trabajando "/>
    <n v="15"/>
    <s v="&lt; 1 a 5 años"/>
    <s v="Sacos de harina"/>
    <s v="CONTRATO TEMPORAL"/>
    <s v="Acc. No Incapacitante"/>
    <n v="0"/>
    <x v="2"/>
    <m/>
  </r>
  <r>
    <n v="99"/>
    <s v="-"/>
    <x v="1"/>
    <x v="1"/>
    <m/>
    <s v="PDF"/>
    <x v="1"/>
    <x v="6"/>
    <s v="Mantenimiento"/>
    <x v="0"/>
    <x v="0"/>
    <d v="2024-05-18T00:00:00"/>
    <n v="20"/>
    <n v="18"/>
    <x v="4"/>
    <n v="2024"/>
    <d v="1899-12-30T04:15:00"/>
    <s v="M"/>
    <x v="0"/>
    <x v="0"/>
    <s v="CRUZ"/>
    <s v="CABEZAS"/>
    <s v="DEMETRIO"/>
    <s v="MASCULINO"/>
    <n v="35"/>
    <s v="Instrumentista"/>
    <d v="2012-08-11T00:00:00"/>
    <s v="Aproximadamente a las 04:15 horas, convoca el operador de secaderos al técnico electricista para que revise una falla eléctrica, inmediatamente se desplaza el técnico desde la preparación a secaderos ; al momento de transitar por el pasillo de acondicionador rotativo a post limpieza, esquina lado noroeste de la barda de solvente Tecnal pisa la plancha corrugada de protección de canal desagüe con el pie derecho resbalando, perdió la estabilidad y asentando con su rodilla izquierda la plancha, generándole una laceración en la rodilla izquierda._x000a_De inmediato comunica del resbalamiento, y se procede darle los primeros auxilios identificando solo una laceración generada por el impacto contra objeto agudo, después continua con su jornada laboral sin dificultad._x000a_Acción inmediata, limpieza del área e hidro lavado  y colocado de cinta antideslizantes de 50 mm.(safety walk)."/>
    <s v="Golpeado contra"/>
    <s v="Rodilla"/>
    <s v="Rodilla"/>
    <s v="Actividad rutinaria en puesto de trabajo"/>
    <s v="CUERPO EXTRAÑO EN EL CUERPO CILIAR(OJO)"/>
    <s v="Cuerpo Extraño en Ojos"/>
    <n v="0"/>
    <n v="0"/>
    <n v="0"/>
    <s v="Trabajando"/>
    <n v="61"/>
    <s v="&lt; 5 a 10 años"/>
    <s v="Partícula"/>
    <s v="CONTRATO A PLAZO FIJO"/>
    <s v="Acc. No Incapacitante"/>
    <n v="0"/>
    <x v="2"/>
    <m/>
  </r>
  <r>
    <n v="100"/>
    <s v="-"/>
    <x v="0"/>
    <x v="2"/>
    <s v="Distrito de Lurín"/>
    <s v="Intradevco"/>
    <x v="16"/>
    <x v="0"/>
    <s v="Empacado detergente"/>
    <x v="0"/>
    <x v="0"/>
    <d v="2024-05-07T00:00:00"/>
    <n v="19"/>
    <n v="7"/>
    <x v="4"/>
    <n v="2024"/>
    <d v="1899-12-30T09:10:00"/>
    <s v="D"/>
    <x v="3"/>
    <x v="5"/>
    <s v="SANDOVAL"/>
    <s v=" RENGIFO"/>
    <s v="JORGE  LUIS"/>
    <s v="MASCULINO"/>
    <n v="24"/>
    <s v="OPERARIO DE PRODUCCIÓN"/>
    <d v="2024-03-05T00:00:00"/>
    <s v="El colaborador  Jorge Luis Sandoval Renfigo CA. se encontraba apilando en la Vai, al momento de retirarse Gira y se golpea su codo derecho contra la Ruma de las paletas "/>
    <s v="Golpeado contra"/>
    <s v="CODO DERECHO"/>
    <s v="Brazo/Codo/Hombro"/>
    <s v="Apilado de bolsas"/>
    <s v="Contusion"/>
    <s v="Contusión/Trauma"/>
    <n v="0"/>
    <n v="0"/>
    <n v="0"/>
    <s v="Trabajando"/>
    <n v="2"/>
    <s v="&lt; 1 a 3 meses"/>
    <s v="PALETA"/>
    <s v="CONTRATO TEMPORAL"/>
    <s v="Acc. No Incapacitante"/>
    <n v="0"/>
    <x v="0"/>
    <m/>
  </r>
  <r>
    <n v="101"/>
    <s v="-"/>
    <x v="0"/>
    <x v="2"/>
    <s v="Distrito de Lurín"/>
    <s v="Intradevco"/>
    <x v="16"/>
    <x v="0"/>
    <s v="Empacado detergente"/>
    <x v="0"/>
    <x v="0"/>
    <d v="2024-05-08T00:00:00"/>
    <n v="19"/>
    <n v="8"/>
    <x v="4"/>
    <n v="2024"/>
    <d v="1899-12-30T02:50:00"/>
    <s v="N"/>
    <x v="3"/>
    <x v="5"/>
    <s v="Tercero"/>
    <s v="Tercero"/>
    <s v="Tercero"/>
    <s v="MASCULINO"/>
    <n v="24"/>
    <s v="OPERARIO DE PRODUCCIÓN"/>
    <d v="2024-01-01T00:00:00"/>
    <s v="Colaborador se encontraba realizando la actividad de sellado en la línea de la máquina neumopack #01 y su compañero estaba golpeando el ducto en plataforma para que baje el producto, por lo que se proyecta detergente y genera que le ingrese a sus ojos causándole irritación "/>
    <s v="Proyección de Material Particulado"/>
    <s v="OJOS"/>
    <s v="Ojos"/>
    <s v="sellado de bolsas"/>
    <s v="Cuerpo Extraño en Ojos"/>
    <s v="Cuerpo Extraño en Ojos"/>
    <n v="0"/>
    <n v="0"/>
    <n v="0"/>
    <s v="Trabajando"/>
    <m/>
    <m/>
    <s v="Particulas de detergente"/>
    <s v="CONTRATO TEMPORAL"/>
    <s v="Acc. No Incapacitante"/>
    <n v="0"/>
    <x v="0"/>
    <m/>
  </r>
  <r>
    <n v="102"/>
    <s v="-"/>
    <x v="0"/>
    <x v="2"/>
    <s v="Distrito de Lurín"/>
    <s v="Intradevco"/>
    <x v="16"/>
    <x v="0"/>
    <s v="Manufactura detergentes"/>
    <x v="0"/>
    <x v="0"/>
    <d v="2024-05-14T00:00:00"/>
    <n v="20"/>
    <n v="14"/>
    <x v="4"/>
    <n v="2024"/>
    <d v="1899-12-30T03:00:00"/>
    <s v="N"/>
    <x v="3"/>
    <x v="5"/>
    <s v="ROJAS"/>
    <s v=" HUANUIRI"/>
    <s v=" MARDEN"/>
    <s v="MASCULINO"/>
    <n v="49"/>
    <s v="OPERARIO DE PRODUCCIÓN"/>
    <d v="2024-03-12T00:00:00"/>
    <s v="El colaborador Marpen Rojas Guanoyre CA. menciona al momento de empujar el coche, se abrió la compuerta y le cayo detergente en todo el cuerpo, generandole picazón en la vista, cabe mencionar que estában los dos coches llenos, y la compuerta se abre cada 30 segundos automáticamente, justo cuando el empuja se abre la compuerta, fue una mala coordinación. _x000a_Asimismo el colaborador no tenía conocimiento que la compuerta se abre automáticamente. "/>
    <s v="Proyección de Material Particulado"/>
    <s v="OJOS"/>
    <s v="Ojos"/>
    <s v="manipulacion de coches"/>
    <s v="Cuerpo Extraño en Ojos"/>
    <s v="Cuerpo Extraño en Ojos"/>
    <n v="0"/>
    <n v="0"/>
    <n v="0"/>
    <s v="Trabajando"/>
    <n v="2"/>
    <s v="&lt; 1 a 3 meses"/>
    <s v="Particulas de detergente"/>
    <s v="CONTRATO TEMPORAL"/>
    <s v="Acc. No Incapacitante"/>
    <n v="0"/>
    <x v="0"/>
    <m/>
  </r>
  <r>
    <n v="103"/>
    <s v="-"/>
    <x v="0"/>
    <x v="2"/>
    <s v="Distrito de Lurín"/>
    <s v="Intradevco"/>
    <x v="16"/>
    <x v="0"/>
    <s v="Empacado detergente"/>
    <x v="0"/>
    <x v="0"/>
    <d v="2024-05-14T00:00:00"/>
    <n v="20"/>
    <n v="14"/>
    <x v="4"/>
    <n v="2024"/>
    <d v="1899-12-30T17:30:00"/>
    <s v="D"/>
    <x v="3"/>
    <x v="5"/>
    <s v="MENDOZA"/>
    <s v=" QUIÑONES"/>
    <s v=" PEDRO ALEXANDER"/>
    <s v="MASCULINO"/>
    <n v="27"/>
    <s v="OPERARIO DE PRODUCCIÓN"/>
    <d v="2024-01-02T00:00:00"/>
    <s v="Colaborador se encontraba haciendo la actividad de doblado de sacos para pasarlo a cosedora, al momento de su compañero quitar el aire, la base hace polución y le ingresa partículas al ojo izquierdo. Se dirige al lavaojos por 15 minutos, pero al cabo de ésta sigue con sensación de ardor."/>
    <s v="Proyección de Material Particulado"/>
    <s v="OJO IZQUIERDO"/>
    <s v="Ojos"/>
    <s v="doblado de sacos"/>
    <s v="Cuerpo Extraño en Ojos"/>
    <s v="Cuerpo Extraño en Ojos"/>
    <n v="0"/>
    <n v="0"/>
    <n v="0"/>
    <s v="Trabajando"/>
    <n v="4"/>
    <s v="&lt; 3 a 6 meses"/>
    <s v="Particulas de detergente"/>
    <s v="CONTRATO TEMPORAL"/>
    <s v="Acc. No Incapacitante"/>
    <n v="0"/>
    <x v="0"/>
    <m/>
  </r>
  <r>
    <n v="104"/>
    <s v="-"/>
    <x v="0"/>
    <x v="2"/>
    <s v="Distrito de Lurín"/>
    <s v="Intradevco"/>
    <x v="16"/>
    <x v="0"/>
    <s v="Empacado detergente"/>
    <x v="0"/>
    <x v="0"/>
    <d v="2024-05-21T00:00:00"/>
    <n v="21"/>
    <n v="21"/>
    <x v="4"/>
    <n v="2024"/>
    <d v="1899-12-30T17:00:00"/>
    <s v="D"/>
    <x v="3"/>
    <x v="5"/>
    <s v="PAIMA"/>
    <s v="AMASIFUEN "/>
    <s v="GUILMEL"/>
    <s v="MASCULINO"/>
    <n v="32"/>
    <s v="OPERARIO DE PRODUCCIÓN"/>
    <d v="2024-04-12T00:00:00"/>
    <s v="Colaborador Paima Amasifuen Guimer se encontraban realizando la actividad de sellado en sellapack de la máquina VAI, al momento de querer retirar la bolsa, se golpea contra la mordaza el dedo pulgar izquierdo, (tenía puesto sus guantes g-60), ésto suede por querer avanzar rápidamente ya que las bolsas se le estaban acumulando en la mesa._x000a_Cabe resaltar que no dio aviso en su momento porque no sentía molestias, al cabo de hora comunica lo sucedido. Siendo su dolor una intensidad 5/10._x000a_Como dato adicional, colaborador tiene una deformidad en dedos de las manos, menciona que tiene las tiene así desde pequeño."/>
    <s v="Golpeado contra"/>
    <s v="PULGAR IZQUIERDO"/>
    <s v="Mano/Muñeca/Dedos"/>
    <s v="sellado de bolsas"/>
    <s v="Contusion"/>
    <s v="Contusión/Trauma"/>
    <n v="0"/>
    <n v="0"/>
    <n v="0"/>
    <s v="Trabajando"/>
    <n v="1"/>
    <s v="&lt; 1 a 3 meses"/>
    <s v="selladora"/>
    <s v="CONTRATO TEMPORAL"/>
    <s v="Acc. No Incapacitante"/>
    <n v="0"/>
    <x v="0"/>
    <m/>
  </r>
  <r>
    <n v="105"/>
    <s v="-"/>
    <x v="0"/>
    <x v="2"/>
    <s v="Distrito de Lurín"/>
    <s v="Intradevco"/>
    <x v="16"/>
    <x v="0"/>
    <s v="Lavavajilla"/>
    <x v="0"/>
    <x v="0"/>
    <d v="2024-05-27T00:00:00"/>
    <n v="22"/>
    <n v="27"/>
    <x v="4"/>
    <n v="2024"/>
    <d v="1899-12-30T06:15:00"/>
    <s v="N"/>
    <x v="3"/>
    <x v="5"/>
    <s v="CAMACHO"/>
    <s v=" ORTIZ"/>
    <s v=" LUIS MANUEL"/>
    <s v="MASCULINO"/>
    <n v="26"/>
    <s v="OPERARIO DE PRODUCCIÓN"/>
    <d v="2024-04-10T00:00:00"/>
    <s v="Colaborador Camacho Ortiz Luis se encontraba colocando film a la paleta de sacos de tiza para que sea retirado del área. Estaba cerca de la batidora N°4 y su pie derecho se queda enredado entre la batidora  y paleta generando caída. Se golpea mano derecha sintiendo dolor en dedos meñique y anular con intensidad 6/10"/>
    <s v="Caída al mismo nivel"/>
    <s v="DEDO MEÑIQUE Y ANULAR DERECHO"/>
    <s v="Mano/Muñeca/Dedos"/>
    <s v="enfilado de paleta"/>
    <s v="Contusion"/>
    <s v="Contusión/Trauma"/>
    <n v="0"/>
    <n v="0"/>
    <n v="0"/>
    <s v="Trabajando"/>
    <n v="1"/>
    <s v="&lt; 1 a 3 meses"/>
    <s v="paleta"/>
    <s v="CONTRATO TEMPORAL"/>
    <s v="Acc. No Incapacitante"/>
    <n v="0"/>
    <x v="0"/>
    <m/>
  </r>
  <r>
    <n v="106"/>
    <s v="-"/>
    <x v="0"/>
    <x v="2"/>
    <s v="Distrito de Lurín"/>
    <s v="Intradevco"/>
    <x v="16"/>
    <x v="0"/>
    <s v="Lavavajilla"/>
    <x v="0"/>
    <x v="0"/>
    <d v="2024-05-30T00:00:00"/>
    <n v="22"/>
    <n v="30"/>
    <x v="4"/>
    <n v="2024"/>
    <d v="1899-12-30T03:14:00"/>
    <s v="N"/>
    <x v="3"/>
    <x v="5"/>
    <s v="AMAZIFUEN"/>
    <s v="PEREZ"/>
    <s v="MARIA NATIVIDAD"/>
    <s v="FEMENINO"/>
    <n v="27"/>
    <s v="OPERARIO DE PRODUCCIÓN"/>
    <d v="2023-05-31T00:00:00"/>
    <s v="Colaboradora se encontraba realizando la actividad de esponjado y su compañero abastecedor al pasar con 2 paquetes de cajas para colocar en la línea (25 unidades cada una) se posiciona cerca de ella ya que no tenía espacio y choca con el abastecedor de la otra línea quien también se encontraba realizando la misma actividad, por lo que ante ello inclina los paquetes y uno de ellos cae en su cabeza generando impacto con las esquinas de las cajas, siendo su dolor 2/10 y a su vez produce mareos"/>
    <s v="Golpeado por"/>
    <s v="CABEZA"/>
    <s v="Cabeza"/>
    <s v="colocacion de esponjas"/>
    <s v="Contusion"/>
    <s v="Contusión/Trauma"/>
    <n v="0"/>
    <n v="0"/>
    <n v="0"/>
    <s v="Trabajando"/>
    <n v="0"/>
    <s v="&lt; 1 mes"/>
    <s v="CAJAS DE CARTON"/>
    <s v="CONTRATO TEMPORAL"/>
    <s v="Acc. No Incapacitante"/>
    <n v="0"/>
    <x v="0"/>
    <m/>
  </r>
  <r>
    <n v="107"/>
    <s v="-"/>
    <x v="0"/>
    <x v="2"/>
    <s v="Distrito de Lurín"/>
    <s v="Intradevco"/>
    <x v="16"/>
    <x v="0"/>
    <s v="Detergente"/>
    <x v="0"/>
    <x v="0"/>
    <d v="2024-05-30T00:00:00"/>
    <n v="22"/>
    <n v="30"/>
    <x v="4"/>
    <n v="2024"/>
    <d v="1899-12-30T18:50:00"/>
    <s v="D"/>
    <x v="3"/>
    <x v="5"/>
    <s v="RUITON"/>
    <s v=" TUTUMI"/>
    <s v=" FLOR DE MARIA"/>
    <s v="FEMENINO"/>
    <n v="54"/>
    <s v="OPERARIO DE PRODUCCIÓN"/>
    <d v="2022-05-12T00:00:00"/>
    <s v="Colaboradora registró su asistencia ya que ingresaba a turno nocturno y al retirarse del tareo para dirigirse a los vestuarios pasa por detrás de la acumulación de personas que hacían cola, generando que pise el filo de la rampa lo que ocasiona que pierda el equilibrio y se resbale. Su caída genera golpes de ambas rodillas con intensidad de dolor 2/10, se evidencia enrojecimiento sin aumento de volumen "/>
    <s v="Caída al mismo nivel"/>
    <s v="RODILLAS"/>
    <s v="Rodilla"/>
    <s v="Ingreso a las instalaciones"/>
    <s v="Contusion"/>
    <s v="Contusión/Trauma"/>
    <n v="0"/>
    <n v="0"/>
    <n v="0"/>
    <s v="Trabajando"/>
    <n v="1"/>
    <s v="&lt; 1 a 5 años"/>
    <s v="piso"/>
    <s v="CONTRATO TEMPORAL"/>
    <s v="Acc. No Incapacitante"/>
    <n v="0"/>
    <x v="0"/>
    <m/>
  </r>
  <r>
    <n v="108"/>
    <s v="-"/>
    <x v="0"/>
    <x v="2"/>
    <s v="Distrito de Lurín"/>
    <s v="Intradevco"/>
    <x v="16"/>
    <x v="0"/>
    <s v="Lavavajilla"/>
    <x v="0"/>
    <x v="0"/>
    <d v="2024-06-03T00:00:00"/>
    <n v="23"/>
    <n v="3"/>
    <x v="6"/>
    <n v="2024"/>
    <d v="1899-12-30T18:24:00"/>
    <s v="D"/>
    <x v="3"/>
    <x v="5"/>
    <s v="RIVERA"/>
    <s v=" JULCA"/>
    <s v=" MARIA"/>
    <s v="FEMENINO"/>
    <n v="33"/>
    <s v="OPERARIO DE PRODUCCIÓN"/>
    <d v="2024-01-03T00:00:00"/>
    <s v="Colaboradora se encontraba realizando la actividad de esponjado y de pronto el asiento de la silla se hunde generando su caída hacia atrás dado que no tenía de dónde sujetarse. Refiere dolor en codo derecho, glúteos y costillas, enrojecimiento sin volumen, intensidad de dolor 5/10 ._x000a_Cabe mencionar que una de las patas de la silla está doblada "/>
    <s v="Caída al mismo nivel"/>
    <s v="CODO DERECHO"/>
    <s v="Brazo/Codo/Hombro"/>
    <s v="colocacion de esponjas"/>
    <s v="Contusion"/>
    <s v="Contusión/Trauma"/>
    <n v="0"/>
    <n v="0"/>
    <n v="0"/>
    <s v="Trabajando"/>
    <n v="5"/>
    <s v="&lt; 3 a 6 meses"/>
    <s v="silla"/>
    <s v="CONTRATO TEMPORAL"/>
    <s v="Acc. No Incapacitante"/>
    <n v="0"/>
    <x v="0"/>
    <m/>
  </r>
  <r>
    <n v="109"/>
    <s v="-"/>
    <x v="0"/>
    <x v="4"/>
    <s v="Sicaya"/>
    <s v="Teal"/>
    <x v="21"/>
    <x v="0"/>
    <s v="Planta Molino"/>
    <x v="0"/>
    <x v="0"/>
    <d v="2024-06-05T00:00:00"/>
    <n v="23"/>
    <n v="5"/>
    <x v="6"/>
    <n v="2024"/>
    <d v="1899-12-30T10:00:00"/>
    <s v="D"/>
    <x v="3"/>
    <x v="24"/>
    <s v="RUIZ"/>
    <s v="SANTAMARIA"/>
    <s v="CESAR AUGUSTO"/>
    <s v="MASCULINO"/>
    <n v="29"/>
    <s v="OPERARIO DE ESTIBA PT"/>
    <d v="2024-05-02T00:00:00"/>
    <s v="En circunstancias el colaborador Cesar Ruiz Santamaria,  se encontraba  acomodando la paleta que estaba en el piso, levantando por un extremo,  se desprende la madera ocasionando la caída libre de la paleta sobre los pies del colaborador, golpeando el empeine del pie izquierdo teniendo una contusión leve."/>
    <s v="Golpeado por"/>
    <s v="PIE IZQUIERDO"/>
    <s v="Pie/Tobillo"/>
    <s v="Paletizado de sacos de harina"/>
    <s v="Contusión"/>
    <s v="Contusión/Trauma"/>
    <n v="0"/>
    <n v="0"/>
    <n v="0"/>
    <s v="Trabajando"/>
    <n v="24"/>
    <s v="&lt; 1 a 5 años"/>
    <s v="Parihuela de madera"/>
    <s v="CONTRATO TEMPORAL"/>
    <s v="Acc. No Incapacitante"/>
    <n v="0"/>
    <x v="0"/>
    <m/>
  </r>
  <r>
    <n v="110"/>
    <s v="-"/>
    <x v="0"/>
    <x v="0"/>
    <s v="MCA"/>
    <s v="Molinos Lima"/>
    <x v="22"/>
    <x v="0"/>
    <s v="Producción"/>
    <x v="1"/>
    <x v="1"/>
    <d v="2024-06-19T00:00:00"/>
    <n v="25"/>
    <n v="19"/>
    <x v="6"/>
    <n v="2024"/>
    <d v="1899-12-30T09:45:00"/>
    <s v="D"/>
    <x v="0"/>
    <x v="3"/>
    <s v="REYES"/>
    <s v="AGRAMONTE"/>
    <s v="ANDHY LUIS"/>
    <s v="MASCULINO"/>
    <n v="46"/>
    <s v="OPERADOR DE PLANTA"/>
    <s v="-"/>
    <s v="El trabajador se encontraba realizando la tarea de limpieza de los Twin en el área de Embolsado ubicado en el 7mo piso, antes de culminar con la limpieza del área el colaborador el personal se bajó al 2do piso del Embolsado para traer materiales de limpieza (escobas) sin encontrar material, posterior sube usando las escaleras del edificio de Embolsado. Al subir por las escaleras desde el 6to piso al 7mo piso el trabajador pisa en falso, el trabajador comunicó el suceso al inspector de Calidad, quien llama a los monitores de Producción Aldo Moreano Ronal Moreano e inspector de seguridad de turno Jorge Hoffman quién activó el protocolo de emergencia. El trabajador recibió los primeros auxilios por parte del inspector de seguridad, mientras llegaba la ambulancia Cardio móvil; luego de la evaluación del personal de Cardiomóvil se decide trasladarlo a la Clínica San Gabriel junto al monitor de producción._x000a_"/>
    <s v="Caída a distinto nivel"/>
    <s v="RODILLA DERECHA"/>
    <s v="Rodilla"/>
    <s v="Subiendo Escaleras"/>
    <s v="Contusión"/>
    <s v="Contusión/Trauma"/>
    <n v="28"/>
    <n v="0"/>
    <n v="28"/>
    <s v="Trabajando"/>
    <n v="60"/>
    <s v="&lt; 5 a 10 años"/>
    <s v="Escalera"/>
    <s v="CONTRATO INDEFINIDO"/>
    <s v="Acc. Incapacitante"/>
    <n v="0"/>
    <x v="1"/>
    <m/>
  </r>
  <r>
    <n v="111"/>
    <s v="-"/>
    <x v="0"/>
    <x v="2"/>
    <s v="Distrito de Lurín"/>
    <s v="Intradevco"/>
    <x v="16"/>
    <x v="0"/>
    <s v="Empacado detergente"/>
    <x v="0"/>
    <x v="0"/>
    <d v="2024-06-06T00:00:00"/>
    <n v="23"/>
    <n v="6"/>
    <x v="6"/>
    <n v="2024"/>
    <d v="1899-12-30T04:00:00"/>
    <s v="N"/>
    <x v="3"/>
    <x v="5"/>
    <s v="YARLAQUE"/>
    <s v=" BENITES"/>
    <s v=" RONALD FABIAN"/>
    <s v="MASCULINO"/>
    <n v="29"/>
    <s v="OPERARIO DE PRODUCCIÓN"/>
    <d v="2023-09-20T00:00:00"/>
    <s v="Colaborador se encontraba realizando cambio de bobina en máquina enfardadora número 14, al momento de colocar la varilla del lado izquierdo se produce un aplastamiento y debido a ello una herida con abertura en el dedo índice (parte dorsal, 2da falange) de la mano del mismo lado, cabe mencionar que este cambio lo realizó sin tener puesto sus guantes de seguridad y de manera apresurada ya que desde mezzanine lo estaban apurando en realizar el cambio (recién llegaba de los sshh)_x000a_Éste hecho sucedió a las 4am aproximadamente, colaborador no dio aviso, sino hasta las 6am que el coordinador del área se percató del corte que tenía en el dedo. _x000a_- Ésta actividad la realizan sin apoyo._x000a_- Tiene aproximadamente 2 meses aprendiendo el manejo de máquina con un compañero, y desde esta semana se encuentra en línea 2, el supervisor le estuvo dando soporte en varias ocasiones durante su turno."/>
    <s v="Atrapado por"/>
    <s v="DEDO INDICE IZQUIERDO"/>
    <s v="Mano/Muñeca/Dedos"/>
    <s v="Cambio de bobina"/>
    <s v="Contusión"/>
    <s v="Contusión/Trauma"/>
    <n v="0"/>
    <n v="0"/>
    <n v="0"/>
    <s v="Trabajando"/>
    <n v="8"/>
    <s v="&lt; 0.5 a 1 año"/>
    <s v="Bobina"/>
    <m/>
    <s v="Acc. No Incapacitante"/>
    <n v="0"/>
    <x v="0"/>
    <m/>
  </r>
  <r>
    <n v="112"/>
    <s v="-"/>
    <x v="0"/>
    <x v="2"/>
    <s v="Distrito de Lurín"/>
    <s v="Intradevco"/>
    <x v="16"/>
    <x v="0"/>
    <s v="Lavavajilla"/>
    <x v="0"/>
    <x v="0"/>
    <d v="2024-06-17T00:00:00"/>
    <n v="25"/>
    <n v="17"/>
    <x v="6"/>
    <n v="2024"/>
    <d v="1899-12-30T10:45:00"/>
    <s v="D"/>
    <x v="3"/>
    <x v="5"/>
    <s v="PECHO"/>
    <s v="ALVA"/>
    <s v="JESUS"/>
    <s v="MASCULINO"/>
    <n v="41"/>
    <s v="OPERARIO DE PRODUCCIÓN"/>
    <d v="2024-03-12T00:00:00"/>
    <s v="_x000a_El colaborador JESUS PECHO ALVA se encontraba sosteniendo la escalera de tijera a su compañero, quien iba a realizar la colocación de manguera en tubería por donde se transporta el aire comprimido, sólo se cuenta con una llave que es la general, y ésta no se cierra para hacer la actividad, ya que al realizarlo lo que se ocasiona es el paro de todas las líneas._x000a_Lo que hacen es el doblez de manguera en dos puntos para cortar el aire, el compañero suelta la manguera para hacer la conexión, y es ahí donde se ocasiona el escape de aire con crema que se encontraba en el último tramo, dirigiéndose éste directamente al rostro del colaborador que se encontraba sujetando la escalera, la fuerza con la que se dio, hizo que sus lentes de seguridad salieran proyectados."/>
    <s v="Proyección de Sustancias Químicas"/>
    <s v="Ojos"/>
    <s v="Ojos"/>
    <s v="Sostenimiento de escalera"/>
    <s v="Cuerpo extraño en cuerpo ciliar."/>
    <s v="Cuerpo Extraño en Ojos"/>
    <n v="0"/>
    <n v="0"/>
    <n v="0"/>
    <s v="Trabajando"/>
    <n v="3"/>
    <s v="&lt; 1 a 3 meses"/>
    <s v="crema lavavajilla"/>
    <s v="CONTRATO TEMPORAL"/>
    <s v="Acc. No Incapacitante"/>
    <n v="0"/>
    <x v="0"/>
    <m/>
  </r>
  <r>
    <n v="113"/>
    <s v="-"/>
    <x v="0"/>
    <x v="2"/>
    <s v="Distrito de Lurín"/>
    <s v="Intradevco"/>
    <x v="16"/>
    <x v="0"/>
    <s v="Empacado detergente"/>
    <x v="0"/>
    <x v="0"/>
    <d v="2024-06-19T00:00:00"/>
    <n v="25"/>
    <n v="19"/>
    <x v="6"/>
    <n v="2024"/>
    <d v="1899-12-30T09:45:00"/>
    <s v="D"/>
    <x v="3"/>
    <x v="5"/>
    <s v="VILCA"/>
    <s v="QUISPE"/>
    <s v="CARLOS"/>
    <s v="MASCULINO"/>
    <n v="40"/>
    <s v="OPERARIO DE PRODUCCIÓN"/>
    <d v="2024-06-17T00:00:00"/>
    <s v="_x000a_Colaborador Vilca Quispe Carlos se encontraba realizando la actividad de colocación y retiro de bolsones en la máquina neumopack 01, al querer realizar el retiro de un bolsón, es golpeado por la contadora de metal, éste gira automáticamente cuando el bolsón está lleno (en ese momento se estaba realizando el formato 1600kg - 6 deterguentes por bolsón, el giro que da es relativamente lento) ésto sucede porque el colaborador tarda en hacer el retiro del bolsón y contadora le gana produciéndose así el golpe/atrapamiento en parte dorsal de la mano izquierda (debido a la reacción que tuvo, el querer sacar la mano, es que se da el atrapamiento)"/>
    <s v="Atrapado por Partes en Movimiento"/>
    <s v="Mano izquierda"/>
    <s v="Mano/Muñeca/Dedos"/>
    <s v="Colocacion de bolsones"/>
    <s v="_x000a_Contusión de otras partes de la muñeca y la mano."/>
    <s v="Contusión/Trauma"/>
    <n v="0"/>
    <n v="0"/>
    <n v="0"/>
    <s v="Trabajando"/>
    <n v="0.06"/>
    <s v="&lt; 1 mes"/>
    <s v="Contador de bolsones"/>
    <s v="CONTRATO TEMPORAL"/>
    <s v="Acc. No Incapacitante"/>
    <n v="0"/>
    <x v="0"/>
    <m/>
  </r>
  <r>
    <n v="114"/>
    <s v="-"/>
    <x v="0"/>
    <x v="2"/>
    <s v="Distrito de Lurín"/>
    <s v="Intradevco"/>
    <x v="16"/>
    <x v="0"/>
    <s v="Empacado detergente"/>
    <x v="0"/>
    <x v="0"/>
    <d v="2024-06-19T00:00:00"/>
    <n v="25"/>
    <n v="19"/>
    <x v="6"/>
    <n v="2024"/>
    <d v="1899-12-30T10:29:00"/>
    <s v="D"/>
    <x v="3"/>
    <x v="5"/>
    <s v="ZAMBRANO"/>
    <s v="TACUCHI"/>
    <s v="WILMER"/>
    <s v="MASCULINO"/>
    <n v="30"/>
    <s v="OPERARIO DE PRODUCCIÓN"/>
    <d v="2024-06-19T00:00:00"/>
    <s v="_x000a_El colaborador Zambrano Tacuchi Wilmer se encontraba realizando la actividad de abastecimiento se sacos en ducto automático._x000a_Éste se percata que el abastecedor de producto se retiró para ver que sacos estaban saliendo mal cocidos y es ahí donde toma la decisión colocar un saco, presiona la palanca con mano derecha y su mano izquierda queda cerca al sellador, produciéndose un aplastamiento en dedo pulgar._x000a_- Cabe resaltar que al colaborador no le dieron la indicación de realizar esa actividad, por ello no contaba con inducción."/>
    <s v="Atrapado por Partes en Movimiento"/>
    <s v="Pulgar izquierdo"/>
    <s v="Mano/Muñeca/Dedos"/>
    <s v="Colocacion de sacos"/>
    <s v="_x000a_Contusión en dedo."/>
    <s v="Contusión/Trauma"/>
    <n v="0"/>
    <n v="0"/>
    <n v="0"/>
    <s v="Trabajando"/>
    <m/>
    <m/>
    <s v="Envasadora de sacos"/>
    <s v="CONTRATO TEMPORAL"/>
    <s v="Acc. No Incapacitante"/>
    <n v="0"/>
    <x v="0"/>
    <m/>
  </r>
  <r>
    <n v="115"/>
    <s v="-"/>
    <x v="0"/>
    <x v="2"/>
    <s v="Distrito de Lurín"/>
    <s v="Intradevco"/>
    <x v="16"/>
    <x v="0"/>
    <s v="Empacado detergente"/>
    <x v="1"/>
    <x v="1"/>
    <d v="2024-06-20T00:00:00"/>
    <n v="25"/>
    <n v="20"/>
    <x v="6"/>
    <n v="2024"/>
    <d v="1899-12-30T08:40:00"/>
    <s v="D"/>
    <x v="3"/>
    <x v="5"/>
    <s v="MEZA"/>
    <s v="ROSALES"/>
    <s v="EZEQUIEL"/>
    <s v="MASCULINO"/>
    <n v="24"/>
    <s v="OPERARIO DE PRODUCCIÓN"/>
    <d v="2024-01-23T00:00:00"/>
    <s v="Colaborador se encontraba realizando la actividades de apilado, sellado y colocación de bolsas en la sagbil 39, la máquina había parado por merma y al dar nuevamente el arranque el colaborador observa que la lámina se quedó atascada tomando la iniciativa de introducir su mano por debajo de la guarda y acomodarlo estando ésta en funcionamiento, es ahí donde su dedo índice de la mano izquierda es cortado por la mordaza de la máquina, acto seguido su compañero se percata de lo sucedido y apaga el equipo._x000a_- Colaborador se encontraba sin sus guantes de seguridad._x000a_- No se le dio la indicación de realizar trabajos en máquina, ya que no cuenta con inducción."/>
    <s v="Atrapado por Partes en Movimiento"/>
    <s v="Indice izquierdo"/>
    <s v="Mano/Muñeca/Dedos"/>
    <s v="Desatoro de lamina"/>
    <s v="Herida de dedo con daño en la uña"/>
    <s v="Contusión/Trauma"/>
    <n v="68"/>
    <n v="0"/>
    <n v="68"/>
    <s v="Descanso Médico"/>
    <n v="5"/>
    <s v="&lt; 3 a 6 meses"/>
    <s v="Envasadora de detergente"/>
    <s v="CONTRATO TEMPORAL"/>
    <s v="Acc. Incapacitante"/>
    <n v="0"/>
    <x v="1"/>
    <m/>
  </r>
  <r>
    <n v="116"/>
    <s v="-"/>
    <x v="0"/>
    <x v="0"/>
    <s v="CENTRAL"/>
    <s v="Galletería"/>
    <x v="0"/>
    <x v="0"/>
    <s v="Comedor Galletera"/>
    <x v="0"/>
    <x v="0"/>
    <d v="2024-06-20T00:00:00"/>
    <n v="25"/>
    <n v="20"/>
    <x v="6"/>
    <n v="2024"/>
    <d v="1899-12-30T20:40:00"/>
    <s v="T"/>
    <x v="3"/>
    <x v="25"/>
    <s v="ILLESCAS"/>
    <s v="TARRAGA"/>
    <s v="SUSANA"/>
    <s v="FEMENINO"/>
    <n v="29"/>
    <s v="OPERARIO DE PRODUCCIÓN"/>
    <d v="1997-09-22T00:00:00"/>
    <s v="Al promediar las 9:10 pm la trabajadora Susana Illescas, operaria de la Línea 4, se encontraba en el comedor correspondiente al área de Galletera. Al terminar de _x000a_cenar guarda su táper en la conservadora del comedor, se dispone a regresar a planta y es cuando camina hacia la puerta de salida, pasa cerca a los microondas _x000a_y que observa la señalética de Pisos Resbalosos, pero decide caminar al costado del mismo. _x000a_A consecuencia de ello se resbala y cae al piso, todo el peso de su cuerpo cae en su codo derecho, personal que se encontraba en el mismo lugar la ayudan a _x000a_levantarse. La trabajadora se dirige a informar al supervisor de turno, el supervisor enterado de lo ocurrido va a darle el alcance y la dirige al tópico para ser _x000a_evaluada. Al llegar al tópico, el personal de salud del cliente limpia el raspón que se ocasionó, coloca crema en el codo y por último le brinda una pastilla para el _x000a_dolor. La trabajadora regresa a planta a continuar con sus labores"/>
    <s v="Caída al mismo nivel"/>
    <s v="Brazo derecho"/>
    <s v="Brazo/Codo/Hombro"/>
    <s v="Transito peatonal"/>
    <s v="Contusión Leve"/>
    <s v="Contusión/Trauma"/>
    <n v="0"/>
    <n v="0"/>
    <n v="0"/>
    <s v="Trabajando"/>
    <m/>
    <s v="&lt; 1 a 5 años"/>
    <s v="Piso Humedo"/>
    <s v="CONTRATO TEMPORAL"/>
    <s v="Acc. No Incapacitante"/>
    <n v="0"/>
    <x v="0"/>
    <m/>
  </r>
  <r>
    <n v="117"/>
    <s v="ICH24163"/>
    <x v="0"/>
    <x v="2"/>
    <s v="Distrito de Chorrillos"/>
    <s v="Intradevco"/>
    <x v="6"/>
    <x v="7"/>
    <s v="Comedor Intralab 2"/>
    <x v="1"/>
    <x v="1"/>
    <d v="2024-06-20T00:00:00"/>
    <n v="25"/>
    <n v="20"/>
    <x v="6"/>
    <n v="2024"/>
    <d v="1899-12-30T21:30:00"/>
    <s v="N"/>
    <x v="5"/>
    <x v="26"/>
    <s v="SANCHEZ"/>
    <s v="ANDAMAYO"/>
    <s v="LIVIA"/>
    <s v="FEMENINO"/>
    <n v="49"/>
    <s v="COCINERA"/>
    <s v="-"/>
    <s v="Siendo las 20:30 horas aproximadamente, la colaboradora de la empresa encargada de comedores R&amp;O, Sra Livia Sanchez, se encontraba sellando un trozo de cerdo congelado, en un perol con aceite caliente, en este instante, el agua que tiene el cerdo congelado reacciona con el aceite, salpicando sobre la muñeca y el rostro de la trabajadora. De inmediato la colaboradora se dirige al lavadero y se aplica agua fría sobre la zona afectada._x000a_Al ser comunicado al inspector de SST en turno, este se acerca y atiende al accidentado, haciendo limpieza de la zona afectada y aplicando sulfadiazina de plata._x000a_"/>
    <s v="Proyección de Material Particulado"/>
    <s v="Cara y brazo"/>
    <s v="Rostro/Nariz/Boca"/>
    <s v="Preparación de alimentos"/>
    <s v="Quemadura de segundo grado en rostro y manos"/>
    <s v="Quemadura por Temperatura"/>
    <n v="17"/>
    <n v="0"/>
    <n v="17"/>
    <s v="Trabajando"/>
    <n v="17"/>
    <m/>
    <s v="Cocina"/>
    <m/>
    <s v="Acc. Incapacitante"/>
    <n v="0"/>
    <x v="1"/>
    <m/>
  </r>
  <r>
    <n v="118"/>
    <s v="-"/>
    <x v="0"/>
    <x v="0"/>
    <s v="CENTRAL"/>
    <s v="Galletería"/>
    <x v="0"/>
    <x v="0"/>
    <s v="Linea 1"/>
    <x v="0"/>
    <x v="0"/>
    <d v="2024-06-21T00:00:00"/>
    <n v="25"/>
    <n v="21"/>
    <x v="6"/>
    <n v="2024"/>
    <d v="1899-12-30T08:30:00"/>
    <s v="D"/>
    <x v="0"/>
    <x v="0"/>
    <s v="ROSALES"/>
    <s v="CRISPIN"/>
    <s v="DINA NOEMI"/>
    <s v="FEMENINO"/>
    <n v="34"/>
    <s v="OPERARIO DE PRODUCCIÓN"/>
    <s v="-"/>
    <s v="Siendo las 08:30:00  am, la operario de producción se encontraba realizando labores de traslado de paquetes primarios de las envasadoras primarias a la faja de alimentación de la pack C6, durante la actividad, no se percató que la guía metálica la cual sirve como pendiente de los paquetes, tenía una zona con bordes desgastados (puntiagudo); por la cual durante la actividad se produjo una punzada con dicha estructura provocándole una herida en el costado del dedo anular _x000a__x000a_El operador comenta a promotora de seguridad y al encargado, y es derivado hacia tópico donde realizan limpieza de la zona afectada, colocan crema y proceden a colocar una tira adhesiva (curita) como protector. Post evaluación, se menciona que no requiere traslado y el colaborador regresa a continuar con sus actividades en planta. _x000a_"/>
    <s v="Contacto con superficie filosa"/>
    <s v="Dedo Anula Mano izquierda"/>
    <s v="Mano/Muñeca/Dedos"/>
    <s v="Alimentando pack de galletas"/>
    <s v="Herida en dedo"/>
    <s v="Corte/Herida"/>
    <n v="0"/>
    <n v="0"/>
    <n v="0"/>
    <s v="Trabajando"/>
    <n v="72"/>
    <s v="&lt; 5 a 10 años"/>
    <s v="Superficie filosa"/>
    <s v="CONTRATO INDEFINIDO"/>
    <s v="Acc. No Incapacitante"/>
    <n v="0"/>
    <x v="0"/>
    <m/>
  </r>
  <r>
    <n v="119"/>
    <s v="-"/>
    <x v="0"/>
    <x v="0"/>
    <s v="Distrito de Miraflores"/>
    <s v="Otros"/>
    <x v="15"/>
    <x v="4"/>
    <s v="Ofic. Miraflores Piso 9"/>
    <x v="1"/>
    <x v="1"/>
    <d v="2024-06-20T00:00:00"/>
    <n v="25"/>
    <n v="20"/>
    <x v="6"/>
    <n v="2024"/>
    <d v="1899-12-30T16:00:00"/>
    <s v="T"/>
    <x v="0"/>
    <x v="3"/>
    <s v="DE LAS CASAS"/>
    <s v="UMBERT"/>
    <s v="MARIA FERNANDA"/>
    <s v="FEMENINO"/>
    <n v="32"/>
    <s v="Gerente de Visibility &amp; FDE "/>
    <d v="2024-05-27T00:00:00"/>
    <s v="Luego de una reunión comercial que sucedió en el piso 9, Maria Fernanda procedió a retirarse por las escaleras para llegar al piso 6. Mientras bajaba las escaleras (las que están en el descanso entre piso 8 y 9) conversaba con un grupo de personas y no se percato que faltaba una escalera para terminar de bajar. Al momento que piso el pie derecho se le doblo generando la lesión. En ese momento se notificó a enfermería quienes auxiliaron a Maria Fernanda y fue trasladada a clínica para recibir atención médica. El evento continuará su proceso regular de investigación. "/>
    <s v="Caída a distinto nivel"/>
    <s v="Pie derecho"/>
    <s v="Pie/Tobillo"/>
    <s v="Bajaba escalera"/>
    <s v="Esguince"/>
    <s v="Esguince/Torcedura"/>
    <n v="5"/>
    <n v="0"/>
    <n v="5"/>
    <s v="Realizando trabajo remoto"/>
    <n v="1"/>
    <s v="&lt; 1 mes"/>
    <s v="Escalera"/>
    <s v="CONTRATO INDEFINIDO"/>
    <s v="Acc. Incapacitante"/>
    <n v="0"/>
    <x v="1"/>
    <m/>
  </r>
  <r>
    <n v="120"/>
    <s v="-"/>
    <x v="1"/>
    <x v="1"/>
    <m/>
    <s v="Otros"/>
    <x v="27"/>
    <x v="3"/>
    <s v="Almacen de Producto Terminado"/>
    <x v="1"/>
    <x v="1"/>
    <d v="2024-06-26T00:00:00"/>
    <n v="26"/>
    <n v="26"/>
    <x v="6"/>
    <n v="2024"/>
    <d v="1899-12-30T08:50:00"/>
    <s v="M"/>
    <x v="2"/>
    <x v="27"/>
    <s v="KUNO"/>
    <s v="LAURA"/>
    <s v="YOSMAR"/>
    <s v="MASCULINO"/>
    <n v="21"/>
    <s v="Ayudante general Piking"/>
    <d v="2024-02-16T00:00:00"/>
    <s v="En fecha miércoles 26 de junio a horas 08:50 am durante el descarguío de producto terminado(camión), el estibador tercero de la empresa BM Group, intenta aperturar la penúltima compuerta del camión entre dos personas, quitando los seguros de esta sin percatarse de la presión contenida por el movimiento de la carga durante el transporte, inmediatamente la compuerta se abre cayéndose consigo 35 cajas de margarina(350 kg), el personal no logra contener el peso adicional de la compuerta más el producto, por lo cual, uno de los estibadores se hace a un lado y el afectado recibe un golpe con la compuerta e impacta la rodilla con el suelo donde sufre un corte en la misma, es derivado a su centro de salud donde le realizan 3 puntos en la rodilla, recomendando 2 dias de baja al trabajador."/>
    <s v="Golpeado por"/>
    <s v="Rodilla izquierda"/>
    <s v="Rodilla"/>
    <s v="APERTURA DE COMPUERTA LATERAL DE CAMIÓN PARA DESCARGA DE PRODUCTO"/>
    <s v="Contusión de otras partes y las no especificadas de la pierna"/>
    <s v="Corte/Herida"/>
    <n v="2"/>
    <n v="0"/>
    <n v="2"/>
    <s v="Trabajando"/>
    <n v="5"/>
    <s v="&lt; 0.5 a 1 año"/>
    <s v="COMPUERTA METÁLICA DE CAMIÓN"/>
    <s v="CONTRATO A PLAZO FIJO"/>
    <s v="Acc. Incapacitante"/>
    <n v="0"/>
    <x v="1"/>
    <m/>
  </r>
  <r>
    <n v="121"/>
    <s v="ICH24167"/>
    <x v="0"/>
    <x v="2"/>
    <s v="Distrito de Chorrillos"/>
    <s v="Intradevco"/>
    <x v="6"/>
    <x v="0"/>
    <s v="Pasta dental"/>
    <x v="1"/>
    <x v="1"/>
    <d v="2024-07-02T00:00:00"/>
    <n v="27"/>
    <n v="2"/>
    <x v="7"/>
    <n v="2024"/>
    <d v="1899-12-30T22:10:00"/>
    <s v="D"/>
    <x v="0"/>
    <x v="14"/>
    <s v="RAYA"/>
    <s v="TACURI"/>
    <s v="DAVID HUMBERTO"/>
    <s v="MASCULINO"/>
    <n v="51"/>
    <s v="MAQUINISTA"/>
    <s v="-"/>
    <s v="Aproximadamente a las 22:10, durante la operación de envasado de pasta dental en línea 7, el trabajador se encontraba acomodando los cepillos en la encartonadora y se percató que los tubos de pasta dental y los cepillos estaban mal colocados y por evitar un atoro de la línea, intentó moverlos, sufriendo un corte producto del contacto con el empujador."/>
    <s v="Atrapado por Partes en Movimiento"/>
    <s v="Dedo mano derecha"/>
    <s v="Mano/Muñeca/Dedos"/>
    <s v="Desatoro de encartonadora"/>
    <s v="Contusión de dedo"/>
    <s v="Corte/Herida"/>
    <n v="23"/>
    <n v="0"/>
    <n v="23"/>
    <s v="Trabajando"/>
    <n v="3"/>
    <s v="&lt; 3 a 6 meses"/>
    <s v="Encartonadora"/>
    <s v="CONTRATO INDEFINIDO"/>
    <s v="Acc. Incapacitante"/>
    <n v="0"/>
    <x v="1"/>
    <m/>
  </r>
  <r>
    <n v="122"/>
    <s v="DIS24477"/>
    <x v="0"/>
    <x v="0"/>
    <s v="Distrito del Callao"/>
    <s v="Otros"/>
    <x v="28"/>
    <x v="3"/>
    <s v="Almacen EEII"/>
    <x v="1"/>
    <x v="1"/>
    <d v="2024-06-19T00:00:00"/>
    <n v="25"/>
    <n v="19"/>
    <x v="6"/>
    <n v="2024"/>
    <d v="1899-12-30T19:45:00"/>
    <s v="N"/>
    <x v="7"/>
    <x v="28"/>
    <s v="AGUILAR"/>
    <s v="SIFUENTES"/>
    <s v="JOSÉ DAVID"/>
    <s v="MASCULINO"/>
    <n v="29"/>
    <s v="ESTIBA"/>
    <d v="2024-04-19T00:00:00"/>
    <s v="Durante la descarga de la unidad AVD-785 de la empresa TRUPAL, el Sr. Aguilar inicia el proceso de descarga de insumos a las 07:50 pm desde el interior de la unidad. Para este fin, usa una ruma de pallets apilados como soporte de la descarga de cajas.  Luego de unos minutos, su compañero de descarga retira la ruma de pallets, el Sr. Aguilar pisa vacío y cae desde la plataforma del furgón de espaldas. Se notificó el accidente, brindó primeros auxilios y trasladó a la Clínica San Gabriel para recibir atención médica._x000a_"/>
    <s v="Caída a distinto nivel"/>
    <s v="Espalda inferior"/>
    <s v="Columna"/>
    <s v="Descarga de cajas"/>
    <s v="Fractura de la vertebra L2"/>
    <s v="Fractura"/>
    <n v="150"/>
    <n v="0"/>
    <n v="150"/>
    <s v="Descanso Médico"/>
    <n v="3"/>
    <s v="&lt; 1 a 3 meses"/>
    <s v="Ruma de pallets"/>
    <s v="CONTRATO TEMPORAL"/>
    <s v="Acc. Incapacitante"/>
    <n v="0"/>
    <x v="1"/>
    <m/>
  </r>
  <r>
    <n v="123"/>
    <s v="-"/>
    <x v="0"/>
    <x v="2"/>
    <s v="LURIN"/>
    <s v="Intradevco"/>
    <x v="7"/>
    <x v="0"/>
    <s v="Producción"/>
    <x v="0"/>
    <x v="0"/>
    <d v="2024-07-04T00:00:00"/>
    <n v="27"/>
    <n v="4"/>
    <x v="7"/>
    <n v="2024"/>
    <d v="1899-12-30T10:40:00"/>
    <s v="D"/>
    <x v="3"/>
    <x v="5"/>
    <s v="TOCTO"/>
    <s v="ARCOS"/>
    <s v="EDISON RENZO"/>
    <s v="MASCULINO"/>
    <n v="32"/>
    <s v="OPERARIO DE PRODUCCIÓN"/>
    <d v="2024-05-31T00:00:00"/>
    <s v="Aproximadamente 10:40 am del presente el trabajador Edinson Renzo Tocto Arcos de 32 años de edad perteneciente al área de Lejía, se encontraba realizando su actividades rutinarias (apilado de cajas con producto terminado). En su palet número 13, al momento de colocar la cajas en la primera cama del palets, siente un dolor a modo estirón en la parte de la zona lumbar cerca a la columna. Debido a esto se retira de la zona y se va sentar para intentar calmar el dolor pero al seguir evidenciando la misma intensidad decida acudir a tópico pero al levantarse se complica._x000a_Se le da aviso a la supervisora del área y lo asisten para llegar a tópico."/>
    <s v="Sobreesfuerzo"/>
    <s v="-"/>
    <s v="Mano/Muñeca/Dedos"/>
    <s v="-"/>
    <m/>
    <m/>
    <m/>
    <m/>
    <m/>
    <m/>
    <m/>
    <m/>
    <m/>
    <m/>
    <s v="Acc. No Incapacitante"/>
    <n v="0"/>
    <x v="0"/>
    <m/>
  </r>
  <r>
    <n v="124"/>
    <s v="ILU24176"/>
    <x v="0"/>
    <x v="2"/>
    <s v="Distrito de Lurín"/>
    <s v="Intradevco"/>
    <x v="5"/>
    <x v="0"/>
    <s v="Limpiatodo"/>
    <x v="1"/>
    <x v="1"/>
    <d v="2024-07-05T00:00:00"/>
    <n v="27"/>
    <n v="5"/>
    <x v="7"/>
    <n v="2024"/>
    <d v="1899-12-30T21:05:00"/>
    <s v="D"/>
    <x v="3"/>
    <x v="5"/>
    <s v="Lancha"/>
    <s v="Pizango"/>
    <s v="Jorge Luis "/>
    <s v="MASCULINO"/>
    <n v="30"/>
    <s v="OPERARIO DE PRODUCCIÓN"/>
    <d v="2024-02-21T00:00:00"/>
    <s v="El colaborador Jorge Lancha se encontraba realizando la actividad de abastecimiento manual de frascos en la línea Mengibar 2 de Limpiatodo. Esta actividad consiste en trasladar manualmente bandejas de frascos vacíos desde la paleta hasta el abastecedor automático de frascos, empleando una escalera de dos pasos. Al apoyar el pie derecho en la superficie superior, esta se rompe, por lo que el colaborador pierde la estabilidad y cae al suelo. "/>
    <s v="Caída a distinto nivel"/>
    <s v="PIE DERECHO"/>
    <s v="Pie/Tobillo"/>
    <s v="Abastecimiento de frascos a línea"/>
    <s v="ESGUINCE Y TORCEDURA "/>
    <s v="Esguince/Torcedura"/>
    <n v="10"/>
    <n v="0"/>
    <n v="10"/>
    <s v="Trabajando"/>
    <n v="4"/>
    <s v="&lt; 3 a 6 meses"/>
    <s v="Escalera subestándar"/>
    <s v="CONTRATO TEMPORAL"/>
    <s v="Acc. Incapacitante"/>
    <n v="0"/>
    <x v="1"/>
    <m/>
  </r>
  <r>
    <n v="125"/>
    <s v="DIS24478"/>
    <x v="0"/>
    <x v="0"/>
    <s v="CD LAMBAYEQUE"/>
    <s v="Otros"/>
    <x v="23"/>
    <x v="3"/>
    <s v="CD LAMBAYEQUE"/>
    <x v="1"/>
    <x v="1"/>
    <d v="2024-07-12T00:00:00"/>
    <n v="28"/>
    <n v="12"/>
    <x v="7"/>
    <n v="2024"/>
    <d v="1899-12-30T08:00:00"/>
    <s v="D"/>
    <x v="8"/>
    <x v="29"/>
    <s v="ESPINOZA"/>
    <s v="MAURICIO"/>
    <s v="MANUEL YONATAN"/>
    <s v="MASCULINO"/>
    <n v="33"/>
    <s v="TRANSPORTISTA"/>
    <d v="2024-07-12T00:00:00"/>
    <s v="Desde el 24/06, la puerta # 4 estaba bloqueada con paletas vacías debido a una rampa defectuosa que había sido reportada por el equipo Alicorp hacia Ransa. Como medida provisional se colocaron sogas para el ajuste en la rampa y permitir el cierre de la puerta. Entre el 24/06 y el día del accidente, el bloqueo de paletas fue retirado dando la apariencia de que el canal estaba habilitado. El día del accidente, el conductor de Transportes Romaran se acerca con su vehículo a la puerta # 4 y al comenzar la carga la soga se rompió, se libera la rampa que impactó en el brazo derecho del conductor. El DM se extiende hasta el 19/08."/>
    <s v="Golpeado por"/>
    <s v="Brazo"/>
    <s v="Brazo/Codo/Hombro"/>
    <s v="Descarga "/>
    <s v="Contusión"/>
    <s v="Contusión/Trauma"/>
    <n v="2"/>
    <n v="0"/>
    <n v="2"/>
    <s v="Trabajando "/>
    <n v="12"/>
    <s v="&lt; 0.5 a 1 año"/>
    <s v="Rampa"/>
    <s v="CONTRATO TEMPORAL"/>
    <s v="Acc. Incapacitante"/>
    <n v="0"/>
    <x v="1"/>
    <m/>
  </r>
  <r>
    <n v="126"/>
    <s v="-"/>
    <x v="0"/>
    <x v="0"/>
    <s v="CENTRAL"/>
    <s v="Galletería"/>
    <x v="0"/>
    <x v="0"/>
    <s v="ZONA DE LAVADO"/>
    <x v="0"/>
    <x v="0"/>
    <d v="2024-07-17T00:00:00"/>
    <n v="29"/>
    <n v="17"/>
    <x v="7"/>
    <n v="2024"/>
    <d v="1899-12-30T20:45:00"/>
    <s v="T"/>
    <x v="0"/>
    <x v="30"/>
    <s v="ANDRADE"/>
    <s v="GENEBROSO"/>
    <s v="MADELEYNE"/>
    <s v="FEMENINO"/>
    <s v="-"/>
    <s v="operario de producción"/>
    <s v="-"/>
    <s v="Siendo las 20:45, la operadora se encontraba en la zona de lavado de bandejas junto con otro compañero, realizando labores de limpieza de utensilios. Al recoger residuos  y botarlos al tacho regresa para recoger la mariposa que había lavado, resbala y cae de espalda, cabe resaltar que es un área húmeda con piso mojado. Se le lleva al tópico para atención médica. No requiere traslado a la clínica"/>
    <s v="Caída al mismo nivel"/>
    <s v="Espalda"/>
    <s v="Columna"/>
    <s v="Lavado de utensilios"/>
    <s v="Golpe"/>
    <s v="Contusión/Trauma"/>
    <n v="0"/>
    <m/>
    <n v="0"/>
    <s v="Laborando"/>
    <m/>
    <m/>
    <s v="Piso mojado"/>
    <s v="CONTRATO INDEFINIDO"/>
    <s v="Acc. No Incapacitante"/>
    <n v="0"/>
    <x v="0"/>
    <m/>
  </r>
  <r>
    <n v="127"/>
    <s v="-"/>
    <x v="0"/>
    <x v="0"/>
    <s v="Distrito de Miraflores"/>
    <s v="Otros"/>
    <x v="15"/>
    <x v="4"/>
    <s v="PISO 5"/>
    <x v="1"/>
    <x v="1"/>
    <d v="2024-07-18T00:00:00"/>
    <n v="29"/>
    <n v="18"/>
    <x v="7"/>
    <n v="2024"/>
    <d v="1899-12-30T17:07:00"/>
    <s v="T"/>
    <x v="0"/>
    <x v="3"/>
    <s v="CARRASCO"/>
    <s v="ARAMBULO"/>
    <s v="KELLY STEPHANIE"/>
    <s v="FEMENINO"/>
    <n v="31"/>
    <s v="ANALISTA SR DE EFICIENCIA"/>
    <d v="2020-06-22T00:00:00"/>
    <s v="Al finalizar su día laboral, la colaboradora procedió a retirarse del espacio de NRM en el piso 5. Mientras se despedía de sus compañeros, retrocedió para salir y perdió el balance al toparse con un carrito móvil (donde se colocan las mochilas y otros artículos), cayendo de espaldas hacia el lado izquierdo protegiendo su panza, ya que está embarazada. En ese momento sus compañeros notificaron a enfermería, quienes bajaron a auxiliar a Kelly. La colaboradora se retiró con sus propios medios a la clínica para recibir atención médica._x000a_"/>
    <s v="Caída al mismo nivel"/>
    <s v="ESPALDA, CADERA"/>
    <s v="Mano/Muñeca/Dedos"/>
    <s v="Se retiraba de oficina con sus cosas"/>
    <s v="Traumatismos superficiales múltiples– Nivel 1 - Leve"/>
    <s v="Contusión/Trauma"/>
    <n v="2"/>
    <n v="0"/>
    <n v="2"/>
    <s v="Trabajando en remoto"/>
    <n v="48"/>
    <s v="&lt; 1 a 5 años"/>
    <s v="Carrito porta mochila"/>
    <s v="CONTRATO INDEFINIDO"/>
    <s v="Acc. Incapacitante"/>
    <n v="0"/>
    <x v="1"/>
    <m/>
  </r>
  <r>
    <n v="128"/>
    <s v="ICH24198"/>
    <x v="0"/>
    <x v="2"/>
    <s v="Distrito de Chorrillos"/>
    <s v="Intradevco"/>
    <x v="6"/>
    <x v="0"/>
    <s v="Sanitarios"/>
    <x v="1"/>
    <x v="1"/>
    <d v="2024-07-20T00:00:00"/>
    <n v="29"/>
    <n v="20"/>
    <x v="7"/>
    <n v="2024"/>
    <d v="1899-12-30T01:30:00"/>
    <s v="N"/>
    <x v="0"/>
    <x v="14"/>
    <s v="ROMERO"/>
    <s v="MACALUPU"/>
    <s v="CRISTIAN"/>
    <s v="MASCULINO"/>
    <n v="45"/>
    <s v="MAQUINISTA"/>
    <s v="-"/>
    <s v="El maquinista detectó que el pistón N°6 se encontraba aplastando el frasco, esto a causa del cambio de formato de 550 ml a 225 ml; procedió a realizar la regulación sin detener la máquina. Después de introducir sus manos al interior de la máquina, realizaba el ajuste con la mano derecha, y la izquierda estaba apoyada en una plancha metálica posterior a los llenadores._x000a_El trabajador manifiesta que empezó a regular cuando el juego de pistones estaba adelante y no se percató que su dedo anular izquierdo (afectado) se encontraba en la trayectoria de los llenadores, cuando el juego de pistones retrocede no logra retirar el dedo a tiempo y sufre el aprisionamiento._x000a_Una vez que el juego de pistones se mueve para llenar la fila delantera, puede retirar su mano, en ese momento es donde avisa a sus compañeros y acude con dirección al tópico."/>
    <s v="Atrapado por Partes en Movimiento"/>
    <s v="-"/>
    <s v="Mano/Muñeca/Dedos"/>
    <s v="-"/>
    <s v="Corte en dedo"/>
    <s v="Corte/Herida"/>
    <n v="19"/>
    <n v="0"/>
    <n v="19"/>
    <s v="Trabajando"/>
    <m/>
    <s v="&gt; 10 años"/>
    <s v="Maquina envasadora"/>
    <s v="CONTRATO INDEFINIDO"/>
    <s v="Acc. Incapacitante"/>
    <n v="0"/>
    <x v="1"/>
    <m/>
  </r>
  <r>
    <n v="129"/>
    <s v="PCO24267"/>
    <x v="0"/>
    <x v="0"/>
    <s v="PREDIO CENTRAL"/>
    <s v="Copsa"/>
    <x v="3"/>
    <x v="0"/>
    <s v="ACEITES"/>
    <x v="0"/>
    <x v="0"/>
    <d v="2024-07-30T00:00:00"/>
    <n v="31"/>
    <n v="30"/>
    <x v="7"/>
    <n v="2024"/>
    <d v="1899-12-30T17:50:00"/>
    <s v="T"/>
    <x v="2"/>
    <x v="31"/>
    <s v="DIAZ"/>
    <s v="QUISPE"/>
    <s v="DANIEL"/>
    <s v="MASCULINO"/>
    <n v="32"/>
    <s v="AYUDANTE DE PRODUCCION"/>
    <s v="-"/>
    <s v="El colaborador se encontraba en el área de soplado. De repente empezó a sentir olor a pintura fresca que provenía de una actividad de pintado de piso en el área de almacenes. Comenzó a sentir dolor de cabeza y un ligero sangrado por la fosa nasal derecha. Se dirige al tópico, donde se le realiza examen físico con resultados normales y se le administra ketorolaco vía oral. Colaborador se siente bien y no requiere traslado."/>
    <s v="Exposición a Sustancias Químicas"/>
    <s v="Cabeza"/>
    <s v="Cabeza"/>
    <s v="Operaciones en área de soplado de bidones"/>
    <s v="Epistaxis (hemorragia nasal)"/>
    <s v="Intoxicación"/>
    <n v="0"/>
    <n v="0"/>
    <n v="0"/>
    <s v="Trabajando"/>
    <m/>
    <m/>
    <s v="Pintura"/>
    <s v="CONTRATO INDEFINIDO"/>
    <s v="Acc. No Incapacitante"/>
    <n v="0"/>
    <x v="0"/>
    <m/>
  </r>
  <r>
    <n v="130"/>
    <s v="-"/>
    <x v="1"/>
    <x v="1"/>
    <m/>
    <s v="CBB"/>
    <x v="2"/>
    <x v="3"/>
    <s v="Almacén de producto terminado"/>
    <x v="1"/>
    <x v="1"/>
    <d v="2024-07-29T00:00:00"/>
    <n v="31"/>
    <n v="29"/>
    <x v="7"/>
    <n v="2024"/>
    <d v="1899-12-30T07:45:00"/>
    <s v="M"/>
    <x v="0"/>
    <x v="3"/>
    <s v="CASTELLON"/>
    <s v="CONTRERAS"/>
    <s v="ARIEL"/>
    <s v="MASCULINO"/>
    <n v="48"/>
    <s v="MONTACARGUISTA"/>
    <d v="1999-02-01T00:00:00"/>
    <s v="En fecha 29 de julio a hrs. 07:45 am aprox. el operador de montacargas informa que se disponía a limpiar su Montacarga, buscando un trapo dentro un basurero próximo a su posición introduciendo la mano derecha (sin guantes), momento en el que sufre un corte en el dedo meñique por herramienta corto punzante que se encontraba en el interior, tras lo que comunica a un compañero de trabajo y posteriormente es evacuado en camioneta de la brigada al hospital de salud mas cercano."/>
    <s v="Contacto con superficie filosa"/>
    <s v="Mano"/>
    <s v="Mano/Muñeca/Dedos"/>
    <s v="Busqueda de materiales"/>
    <s v="Corte dedo meñique mano derecha"/>
    <s v="Corte/Herida"/>
    <n v="30"/>
    <n v="0"/>
    <n v="30"/>
    <s v="Descanso Médico"/>
    <n v="305"/>
    <s v="&gt; 10 años"/>
    <s v="Herramienta corto punzante"/>
    <s v="CONTRATO INDEFINIDO"/>
    <s v="Acc. Incapacitante"/>
    <n v="0"/>
    <x v="1"/>
    <m/>
  </r>
  <r>
    <n v="131"/>
    <s v="-"/>
    <x v="0"/>
    <x v="2"/>
    <s v="LURIN"/>
    <s v="Intradevco"/>
    <x v="16"/>
    <x v="0"/>
    <s v="Empacado detergente"/>
    <x v="0"/>
    <x v="0"/>
    <d v="2024-06-28T08:10:00"/>
    <n v="26"/>
    <n v="28"/>
    <x v="6"/>
    <n v="2024"/>
    <d v="1899-12-30T08:10:00"/>
    <s v="D"/>
    <x v="3"/>
    <x v="5"/>
    <s v="TRINIDAD"/>
    <s v="OROSCO"/>
    <s v="LEVI"/>
    <s v="MASCULINO"/>
    <s v="-"/>
    <s v="OPERARIO DE PRODUCCIÓN"/>
    <s v="-"/>
    <s v="El colaborador Trinidad Orosco Levi se encontraba abasteciendo producto en línea 2, al momento de colocar el coche y jalar la soga para acomodar la lona en ducto de máquina 23 (estaba mal posicionado, con los pies separados y a la misma altura), ésta se rompe ocasionando que su cuerpo se vaya hacia atrás debido a la fuerza que ejerce al desatar soga y se golpee contra  la estructura metálica de otro coche el brazo y omóplato del lado derecho concentrándose el dolor en la zona del codo."/>
    <s v="Golpeado contra"/>
    <s v="Codo derecho"/>
    <s v="Brazo/Codo/Hombro"/>
    <s v="manipulacion de coches"/>
    <s v="Contusion en brazo"/>
    <s v="Contusión/Trauma"/>
    <n v="0"/>
    <n v="0"/>
    <n v="0"/>
    <s v="Trabajando"/>
    <m/>
    <m/>
    <s v="Coche de detergente"/>
    <s v="CONTRATO TEMPORAL"/>
    <s v="Acc. No Incapacitante"/>
    <n v="0"/>
    <x v="0"/>
    <m/>
  </r>
  <r>
    <n v="132"/>
    <s v="-"/>
    <x v="0"/>
    <x v="2"/>
    <s v="LURIN"/>
    <s v="Intradevco"/>
    <x v="16"/>
    <x v="0"/>
    <s v="Empacado detergente"/>
    <x v="0"/>
    <x v="0"/>
    <d v="2024-06-29T01:45:00"/>
    <n v="26"/>
    <n v="29"/>
    <x v="6"/>
    <n v="2024"/>
    <d v="1899-12-30T01:45:00"/>
    <s v="N"/>
    <x v="0"/>
    <x v="14"/>
    <s v="MATOS"/>
    <s v="CAMPOS"/>
    <s v="RANDY PAUL"/>
    <s v="MASCULINO"/>
    <s v="-"/>
    <s v="OPERARIO DE PRODUCCIÓN"/>
    <s v="-"/>
    <s v="El colaborador se encontraba reiniciando la  máquina neumopack N°1, al momento de presionar el botón del contador de la plancha, se encontraba agachado cerca de la plancha y fue entonces que la plancha al reiniciarse le golpea la nariz generandole sangrado, mareo e hinchazón en la nariz_x000a__x000a_- el colaborador menciona que no calculó la distancia y se encontraba agachado para sacar la bolsa, cabe mencionar que así no la manera adecuada de la actividad. "/>
    <s v="Golpeado por"/>
    <s v="Nariz"/>
    <s v="Rostro/Nariz/Boca"/>
    <s v="Regulacion de equipo"/>
    <s v="Contusion en nariz"/>
    <s v="Contusión/Trauma"/>
    <n v="0"/>
    <n v="0"/>
    <n v="0"/>
    <s v="Trabajando"/>
    <m/>
    <m/>
    <s v="Contador de bolsones"/>
    <s v="CONTRATO TEMPORAL"/>
    <s v="Acc. No Incapacitante"/>
    <n v="0"/>
    <x v="0"/>
    <m/>
  </r>
  <r>
    <n v="133"/>
    <s v="-"/>
    <x v="0"/>
    <x v="2"/>
    <s v="LURIN"/>
    <s v="Intradevco"/>
    <x v="16"/>
    <x v="0"/>
    <s v="Empacado detergente"/>
    <x v="0"/>
    <x v="0"/>
    <d v="2024-07-04T05:40:00"/>
    <n v="27"/>
    <n v="4"/>
    <x v="7"/>
    <n v="2024"/>
    <d v="1899-12-30T05:40:00"/>
    <s v="N"/>
    <x v="3"/>
    <x v="5"/>
    <s v="CHANCHARI"/>
    <s v="HUIÑAPI "/>
    <s v="DILVER"/>
    <s v="MASCULINO"/>
    <s v="-"/>
    <s v="OPERARIO DE PRODUCCIÓN"/>
    <s v="-"/>
    <s v="Colaborador se encontraba regulando el peso debido a la variación, mientras pulsaba el botón regulador alza la mirada hacia la tornamesa y cuando ésta gira se proyecta detergente en su dirección por lo que le ingresa al ojo derecho causando irritación. Contaba con lentes de seguridad._x000a_-Cabe mencionar que la máquina no cuenta con mica protectora _x000a_-Se realizó un primer lavado ocular en el área, sin embargo no hubo mejoría "/>
    <s v="Proyección de Material Particulado"/>
    <s v="Ojos"/>
    <s v="Ojos"/>
    <s v="Regulacion de equipo"/>
    <s v="Cuerpo Extraño en Ojos"/>
    <s v="Cuerpo Extraño en Ojos"/>
    <n v="0"/>
    <n v="0"/>
    <n v="0"/>
    <s v="Trabajando"/>
    <m/>
    <m/>
    <s v="Particulas de detergente"/>
    <s v="CONTRATO TEMPORAL"/>
    <s v="Acc. No Incapacitante"/>
    <n v="0"/>
    <x v="0"/>
    <m/>
  </r>
  <r>
    <n v="134"/>
    <s v="-"/>
    <x v="0"/>
    <x v="2"/>
    <s v="LURIN"/>
    <s v="Intradevco"/>
    <x v="16"/>
    <x v="0"/>
    <s v="Empacado detergente"/>
    <x v="0"/>
    <x v="0"/>
    <d v="2024-07-05T03:22:00"/>
    <n v="27"/>
    <n v="5"/>
    <x v="7"/>
    <n v="2024"/>
    <d v="1899-12-30T03:22:00"/>
    <s v="N"/>
    <x v="3"/>
    <x v="5"/>
    <s v="SANCHEZ"/>
    <s v="GUTIERREZ"/>
    <s v="CARLOS"/>
    <s v="MASCULINO"/>
    <s v="-"/>
    <s v="OPERARIO DE PRODUCCIÓN"/>
    <s v="-"/>
    <s v="Colaborador Sanchez Gutiérrez Carlos C.A, se encontraba trasladando una paleta junto a su compañero hacia la zona de ducto para traspaso de bolsones. _x000a_Durante la actividad estuvo en retroceso por lo que no se percata de la llenadora del ducto manual y se golpea, al ocurrir ello suelta la paleta e impacta en su pie derecho._x000a_Intensidad de dolor leve"/>
    <s v="Golpeado por"/>
    <s v="Pie derecho"/>
    <s v="Pie/Tobillo"/>
    <s v="Manipulacion de paleta"/>
    <s v="Contusion en pie derecho"/>
    <s v="Contusión/Trauma"/>
    <n v="0"/>
    <n v="0"/>
    <n v="0"/>
    <s v="Trabajando"/>
    <m/>
    <m/>
    <s v="Paleta"/>
    <s v="CONTRATO TEMPORAL"/>
    <s v="Acc. No Incapacitante"/>
    <n v="0"/>
    <x v="0"/>
    <m/>
  </r>
  <r>
    <n v="135"/>
    <s v="-"/>
    <x v="0"/>
    <x v="2"/>
    <s v="LURIN"/>
    <s v="Intradevco"/>
    <x v="16"/>
    <x v="0"/>
    <s v="Lavavajilla"/>
    <x v="0"/>
    <x v="0"/>
    <d v="2024-07-07T04:31:00"/>
    <n v="27"/>
    <n v="7"/>
    <x v="7"/>
    <n v="2024"/>
    <d v="1899-12-30T04:31:00"/>
    <s v="N"/>
    <x v="0"/>
    <x v="14"/>
    <s v="FIERRO"/>
    <s v="ARCE"/>
    <s v="EDWARD"/>
    <s v="MASCULINO"/>
    <s v="-"/>
    <s v="OPERARIO DE PRODUCCIÓN"/>
    <s v="-"/>
    <s v="Trabajador Fierro Arce Edward había terminado de realizar el abastecimiento de producto en la batidora N°2, al retirar los sacos vacíos de tiza se dirige hacia la mesa de trabajo para poder dejar sus epp's._x000a_En la batidora N°3 se encontraba apoyada la tapa del tanque de almacenamiento que había sido retirada para limpieza ya que la tubería estaba con crema pegada en su interior._x000a_Por ser el lugar más cercano pasa entre el espacio de las batidoras N°3 y 4 quedando enganchado su pantalón en el borde de la tapa mencionada, generando una herida superficial. Cabe mencionar que en ese espacio había colocado conos de seguridad."/>
    <s v="Contacto con superficie filosa"/>
    <s v="Pierna izquierda"/>
    <s v="Pierna"/>
    <s v="Transito en el area"/>
    <s v="Corte en pierna izquierda"/>
    <s v="Corte/Herida"/>
    <n v="0"/>
    <n v="0"/>
    <n v="0"/>
    <s v="Trabajando"/>
    <m/>
    <m/>
    <s v="Planca metalica"/>
    <s v="CONTRATO TEMPORAL"/>
    <s v="Acc. No Incapacitante"/>
    <n v="0"/>
    <x v="0"/>
    <m/>
  </r>
  <r>
    <n v="136"/>
    <s v="-"/>
    <x v="0"/>
    <x v="2"/>
    <s v="LURIN"/>
    <s v="Intradevco"/>
    <x v="16"/>
    <x v="0"/>
    <s v="Empacado detergente"/>
    <x v="0"/>
    <x v="0"/>
    <d v="2024-07-12T12:30:00"/>
    <n v="28"/>
    <n v="12"/>
    <x v="7"/>
    <n v="2024"/>
    <d v="1899-12-30T12:30:00"/>
    <s v="D"/>
    <x v="3"/>
    <x v="5"/>
    <s v="ARAUJO"/>
    <s v="CHOTA"/>
    <s v="EDINSON"/>
    <s v="MASCULINO"/>
    <s v="-"/>
    <s v="OPERARIO DE PRODUCCIÓN"/>
    <s v="-"/>
    <s v="Colaborador Araujo Chota Edinson, se encontraba realizando la actividad de colocación y retiro de bolsones y es golpeado por contadora de metal en la muñeca izquierda, ésta gira automáticamente, siendo su intensidad de dolor un 4/10."/>
    <s v="Golpeado por"/>
    <s v="Muñeca izquierda"/>
    <s v="Mano/Muñeca/Dedos"/>
    <s v="Colocacion de bolsones"/>
    <s v="Contusion en muñeca izquierda"/>
    <s v="Contusión/Trauma"/>
    <n v="0"/>
    <n v="0"/>
    <n v="0"/>
    <s v="Trabajando"/>
    <m/>
    <m/>
    <s v="Contador de bolsones"/>
    <s v="CONTRATO TEMPORAL"/>
    <s v="Acc. No Incapacitante"/>
    <n v="0"/>
    <x v="0"/>
    <m/>
  </r>
  <r>
    <n v="137"/>
    <s v="-"/>
    <x v="0"/>
    <x v="2"/>
    <s v="LURIN"/>
    <s v="Intradevco"/>
    <x v="16"/>
    <x v="0"/>
    <s v="Empacado detergente"/>
    <x v="0"/>
    <x v="0"/>
    <d v="2024-07-15T18:39:00"/>
    <n v="29"/>
    <n v="15"/>
    <x v="7"/>
    <n v="2024"/>
    <d v="1899-12-30T18:39:00"/>
    <s v="D"/>
    <x v="3"/>
    <x v="5"/>
    <s v="SANCHEZ"/>
    <s v="GUTIERREZ"/>
    <s v="CARLOS"/>
    <s v="MASCULINO"/>
    <s v="-"/>
    <s v="OPERARIO DE PRODUCCIÓN"/>
    <s v="-"/>
    <s v="Colaborador Sanchez Gutiérrez Carlos C.A se encontraba realizando la actividad de recuperado de merma por la zona de paletas y al sacudir una bolsita (ésta estaba mal sellada) se proyecta el detergente en dirección del rostro generando que le ingrese al ojo izquierdo._x000a_-Evento sucedió aproximadamente 5:30 pm sin embargo no dió aviso a tiempo._x000a_-Menciona que tenía colocado los lentes antiparras y aún así ingresó."/>
    <s v="Proyección de Material Particulado"/>
    <s v="Ojo izquierdo"/>
    <s v="Ojos"/>
    <s v="Recuperado de merma"/>
    <s v="Cuerpo Extraño en Ojos"/>
    <s v="Cuerpo Extraño en Ojos"/>
    <n v="0"/>
    <n v="0"/>
    <n v="0"/>
    <s v="Trabajando"/>
    <m/>
    <m/>
    <s v="Particulas de detergente"/>
    <s v="CONTRATO TEMPORAL"/>
    <s v="Acc. No Incapacitante"/>
    <n v="0"/>
    <x v="0"/>
    <m/>
  </r>
  <r>
    <n v="138"/>
    <s v="-"/>
    <x v="0"/>
    <x v="2"/>
    <s v="CHORRILLOS"/>
    <s v="Intradevco"/>
    <x v="6"/>
    <x v="0"/>
    <s v="Sanitarios"/>
    <x v="0"/>
    <x v="0"/>
    <d v="2024-07-15T00:00:00"/>
    <n v="29"/>
    <n v="15"/>
    <x v="7"/>
    <n v="2024"/>
    <d v="1899-12-30T14:30:00"/>
    <s v="D"/>
    <x v="3"/>
    <x v="5"/>
    <s v="CHAVEZ"/>
    <s v="CANAYO"/>
    <s v="KELLY PATRICIA"/>
    <s v="FEMENINO"/>
    <s v="-"/>
    <s v="OPERARIO DE PRODUCCIÓN"/>
    <s v="-"/>
    <s v="Aproximadamente a las 13:30 P.M, la colaboradora , _x000a_Empezó su trabajo en el Área de MR2, donde se envasaría el producto desatorador de cocina, la colaboradora realizaba la colocación de tapas en los envases al promediar las 15:20 P.M, El operador de la tapadora neumatica y Kelly empujan los envases a la mesa para ser encajados, donde un envase cae en una parte que estaba Humedecida con el producto desatorador y la colaboradora Kelly se inspecciona que no le hubiera salpicado en la ropa ,luego siente que le arde el rostro Kelly jala el respirador de media ccara on los guantes de nitrilo aun puesto, es ahi donde los compañeros le observan y le aconsejan que no se toque ni se rasque, y que fuera a lavarse la parte afectada en el lavaojos, luego de ello se le derivo al tópico donde la Dra. María le brinda los primeros auxilios y le coloca la crema sulfadiazina de plata 1%, Kelly negando dolor alguno y reaccionando de manera favorable, se le indica que puede continuar sus labores en el área ofertado._x000a_"/>
    <s v="Exposición a Sustancias Químicas"/>
    <s v="Cara"/>
    <s v="Mano/Muñeca/Dedos"/>
    <s v="Colocación de tapas"/>
    <m/>
    <m/>
    <n v="0"/>
    <n v="0"/>
    <n v="0"/>
    <s v="Trabajando"/>
    <m/>
    <m/>
    <s v="Producto desatorador"/>
    <s v="CONTRATO TEMPORAL"/>
    <s v="Acc. No Incapacitante"/>
    <n v="0"/>
    <x v="0"/>
    <m/>
  </r>
  <r>
    <n v="139"/>
    <s v="-"/>
    <x v="0"/>
    <x v="2"/>
    <s v="LURIN"/>
    <s v="Intradevco"/>
    <x v="16"/>
    <x v="0"/>
    <s v="Areas comunes"/>
    <x v="0"/>
    <x v="0"/>
    <d v="2024-07-19T22:30:00"/>
    <n v="29"/>
    <n v="19"/>
    <x v="7"/>
    <n v="2024"/>
    <d v="1899-12-30T22:30:00"/>
    <s v="N"/>
    <x v="3"/>
    <x v="5"/>
    <s v="BEJARANO"/>
    <s v="HUAPAYA"/>
    <s v="VICTOR"/>
    <s v="MASCULINO"/>
    <s v="-"/>
    <s v="OPERARIO DE PRODUCCIÓN"/>
    <s v="-"/>
    <s v="Colaborador se encontraba transitando con su compañera por el sendero peatonal camino al comedor en su hora de cena, al momento de doblar para subir a la vereda se abre demasiado al punto de chocar contra la caja de pase ubicada en la pared y se golpea con ella el brazo izquierdo _x000a__x000a_Según indica el colaborador tenía la mirada al frente y lo mismo menciona su compañera, quien caminaba detrás de él."/>
    <s v="Golpeado contra"/>
    <s v="Brazo izquierdo"/>
    <s v="Brazo/Codo/Hombro"/>
    <s v="Transito por areas comunes"/>
    <s v="Contusion en brazo izquierdo"/>
    <s v="Contusión/Trauma"/>
    <n v="0"/>
    <n v="0"/>
    <n v="0"/>
    <s v="Trabajando"/>
    <m/>
    <m/>
    <s v="Caja de paso"/>
    <s v="CONTRATO TEMPORAL"/>
    <s v="Acc. No Incapacitante"/>
    <n v="0"/>
    <x v="0"/>
    <m/>
  </r>
  <r>
    <n v="140"/>
    <s v="-"/>
    <x v="0"/>
    <x v="2"/>
    <s v="LURIN"/>
    <s v="Intradevco"/>
    <x v="16"/>
    <x v="0"/>
    <s v="Mantenimiento"/>
    <x v="0"/>
    <x v="0"/>
    <d v="2024-07-24T13:13:00"/>
    <n v="30"/>
    <n v="24"/>
    <x v="7"/>
    <n v="2024"/>
    <d v="1899-12-30T13:13:00"/>
    <s v="D"/>
    <x v="0"/>
    <x v="14"/>
    <s v="ROJAS"/>
    <s v="ESPINOZA"/>
    <s v="JESUS"/>
    <s v="MASCULINO"/>
    <s v="-"/>
    <s v="OPERARIO DE PRODUCCIÓN"/>
    <s v="-"/>
    <s v="colaborador de ITDC Jesus Rojas quiere bajar el motorreductor que estaba colocado sobre el coche, colaborador mete las manos para sujetar y poder bajarlo, cuando ya lo están bajando el eje interior choque con el piso y lo empuje hacia arriba lo que provoca la subida del engranaje interno y hace que aplaste el dedo medio de la mano derecha."/>
    <s v="Golpeado por"/>
    <s v="Dedo medio derecho"/>
    <s v="Mano/Muñeca/Dedos"/>
    <s v="Manipulacion de motoreductor"/>
    <s v="Contusion en dedo medio derecho"/>
    <s v="Contusión/Trauma"/>
    <n v="0"/>
    <n v="0"/>
    <n v="0"/>
    <s v="Trabajando"/>
    <m/>
    <m/>
    <s v="Motoreductor"/>
    <s v="CONTRATO TEMPORAL"/>
    <s v="Acc. No Incapacitante"/>
    <n v="0"/>
    <x v="0"/>
    <m/>
  </r>
  <r>
    <n v="141"/>
    <m/>
    <x v="0"/>
    <x v="0"/>
    <s v="CD AREQUIPA"/>
    <s v="Otros"/>
    <x v="23"/>
    <x v="3"/>
    <s v="CD AREQUIPA"/>
    <x v="0"/>
    <x v="0"/>
    <d v="2024-07-05T00:00:00"/>
    <n v="27"/>
    <n v="5"/>
    <x v="7"/>
    <n v="2024"/>
    <d v="1899-12-30T21:05:00"/>
    <s v="N"/>
    <x v="0"/>
    <x v="0"/>
    <s v="VALENCIA"/>
    <s v="BARAZORDA"/>
    <s v="ROLANDO"/>
    <s v="MASCULINO"/>
    <m/>
    <s v="Operario de montacargas"/>
    <m/>
    <s v="El colaborador se encontraba realizando una llamada por teléfono fuera de la puerta principal de las oficinas del CD AREQUIPA. No se percató que se había posicionado cerca de una de las macertas de decoración, mientras hablaba por teléfono iba caminando y en un descuido tropezó con la maceta, sufrió un pequeño corte ye determina que al resultar una herida leve no requiere descanso médico."/>
    <s v="Golpeado por"/>
    <s v="Pierna"/>
    <s v="Pierna"/>
    <s v="Caminando hablado por teléfono"/>
    <s v="Herida leve"/>
    <s v="Corte/Herida"/>
    <n v="0"/>
    <m/>
    <m/>
    <s v="Trabajando "/>
    <m/>
    <s v="&gt; 10 años"/>
    <s v="Maceta"/>
    <s v="Indeterminado"/>
    <s v="Acc. No Incapacitante"/>
    <n v="0"/>
    <x v="2"/>
    <m/>
  </r>
  <r>
    <n v="142"/>
    <s v="DIS24485"/>
    <x v="0"/>
    <x v="0"/>
    <s v="CD AREQUIPA"/>
    <s v="Otros"/>
    <x v="23"/>
    <x v="3"/>
    <s v="CD AREQUIPA"/>
    <x v="0"/>
    <x v="0"/>
    <d v="2024-07-13T00:00:00"/>
    <n v="28"/>
    <n v="13"/>
    <x v="7"/>
    <n v="2024"/>
    <d v="1899-12-30T11:00:00"/>
    <s v="D"/>
    <x v="9"/>
    <x v="32"/>
    <s v="APAZA"/>
    <s v="HUAYHUA"/>
    <s v="CARLOS FERNANDO"/>
    <s v="MASCULINO"/>
    <n v="21"/>
    <s v="Auxiliar de carga"/>
    <d v="2023-04-13T00:00:00"/>
    <s v="Cargando una unidad furgón, el operador de montacargas coloca un pallet de harinas en la parte interna del furgón; el Sr. Apaza Huayhua Carlos Fernando, auxiliar de carga de la empresa IOLSA, toma un saco para llevarlo al hombro sin embargo indica que le gana el peso y decide soltar el saco, pero también se desestabiliza y cae al piso golpeándose parte del hombro y espalda. Personal de alicorp e Iolsa acuden al accidentado, al preguntar por su estado el Sr. Apaza Huayhua Carlos Fernando, indica estar bien, de todas maneras, es conducido a una clínica para ser evaluado y descartar algún daño. Se descarta algún tipo de fractura o lesión grave y no se genera descanso médico. El personal de IOLSA procede a realizar la difusión y refuerzo de seguridad sobre el incidente ocurrido. "/>
    <s v="Caída al mismo nivel"/>
    <s v="Espalda superior"/>
    <s v="Brazo/Codo/Hombro"/>
    <s v="Descarga de sacos de harina"/>
    <s v="Contusión"/>
    <s v="Contusión/Trauma"/>
    <n v="0"/>
    <m/>
    <m/>
    <s v="Trabajando "/>
    <n v="15"/>
    <s v="&lt; 1 a 5 años"/>
    <s v="Sacos de harina"/>
    <s v="CONTRATO TEMPORAL"/>
    <s v="Acc. No Incapacitante"/>
    <n v="0"/>
    <x v="2"/>
    <m/>
  </r>
  <r>
    <n v="143"/>
    <s v="-"/>
    <x v="0"/>
    <x v="2"/>
    <s v="LURIN"/>
    <s v="Intradevco"/>
    <x v="16"/>
    <x v="0"/>
    <s v="Areas comunes"/>
    <x v="0"/>
    <x v="0"/>
    <d v="2024-07-26T15:29:00"/>
    <n v="30"/>
    <n v="26"/>
    <x v="7"/>
    <n v="2024"/>
    <d v="1899-12-30T15:29:00"/>
    <s v="D"/>
    <x v="3"/>
    <x v="5"/>
    <s v="GINEZ"/>
    <s v="BARRERA"/>
    <s v="VICTOR"/>
    <s v="MASCULINO"/>
    <s v="-"/>
    <s v="OPERARIO DE PRODUCCIÓN"/>
    <s v="-"/>
    <s v="Operador de equipo logístico Ginez Barrera Victor C.A realizaba actividades de ubicación de paletas de PT en la zona de pampa-patio de bombonas. Estaba designado solo para ésta actividad._x000a_- Al observar que sus compañeros están colocando toldo a las paletas de PT, por iniciativa propia baja del equipo para así ayudar _x000a_- Sube a las rumas de paletas con PT y se posiciona en el medio de ellas para poder jalar el toldo, en el transcurso retrocede y se enreda con el film generando que caiga en los mismos sacos, sin embargo todo el peso de su cuerpo lo apoyó en su mano derecha._x000a_- Pasado cierto tiempo supervisor de área se acerca a realizarle la consulta al colaborador debido a que notó que hacía gestos de incomodidad, movimiento constante de muñeca. Refiere que dolor era leve durante el término de turno por lo que no dieron aviso , recién la intensidad aumentó hoy por la madrugada"/>
    <s v="Golpeado contra"/>
    <s v="Mano derecha"/>
    <s v="Mano/Muñeca/Dedos"/>
    <s v="Manipulacion de toldo"/>
    <s v="Contusion en mano derecha"/>
    <s v="Contusión/Trauma"/>
    <n v="0"/>
    <n v="0"/>
    <n v="0"/>
    <s v="Trabajando"/>
    <m/>
    <m/>
    <s v="Toldo"/>
    <s v="CONTRATO TEMPORAL"/>
    <s v="Acc. No Incapacitante"/>
    <n v="0"/>
    <x v="0"/>
    <m/>
  </r>
  <r>
    <n v="144"/>
    <s v="-"/>
    <x v="0"/>
    <x v="2"/>
    <s v="LURIN"/>
    <s v="Intradevco"/>
    <x v="16"/>
    <x v="0"/>
    <s v="Empacado detergente"/>
    <x v="0"/>
    <x v="0"/>
    <d v="2024-08-06T06:30:00"/>
    <n v="32"/>
    <n v="6"/>
    <x v="5"/>
    <n v="2024"/>
    <d v="1899-12-30T06:30:00"/>
    <s v="N"/>
    <x v="3"/>
    <x v="5"/>
    <s v="GARCIA"/>
    <s v="VIDAURE"/>
    <s v="JORGE"/>
    <s v="MASCULINO"/>
    <s v="-"/>
    <s v="OPERARIO DE PRODUCCIÓN"/>
    <s v="-"/>
    <s v="El colaborador Garcia Vidaure Jorge CA. se encontraba apilando en la línea 2, debido a que desde plataforma estaban mandando sacos hacia el primer nivel por medio de un ducto, mientras apilaban se llegó a acumular los sacos entre el ducto y la faja, no dio aviso a plataforma para que dejen de mandar sacos para tener tiempo de retirar los sacos acumulados y en ese momento mientras se encontraba liberando los sacos uno de estos le impacta en la mano izquierda generandole dolor, su intensidad de dolor 5/10._x000a__x000a_Dato adicional:  el colaborador menciona que la acumulación de sacos se dio por que su compañero es nuevo  y no sabía apilar._x000a__x000a_Los sacos que mandaban pesaba 14 kilos aproximadamente."/>
    <s v="Golpeado por"/>
    <s v="Mano izquierda"/>
    <s v="Mano/Muñeca/Dedos"/>
    <s v="Manipulacion de sacos"/>
    <s v="Contusion en mano izquierda"/>
    <s v="Contusión/Trauma"/>
    <n v="0"/>
    <n v="0"/>
    <n v="0"/>
    <s v="Trabajando"/>
    <m/>
    <m/>
    <s v="Sacos de detergente"/>
    <s v="CONTRATO TEMPORAL"/>
    <s v="Acc. No Incapacitante"/>
    <n v="0"/>
    <x v="0"/>
    <m/>
  </r>
  <r>
    <n v="145"/>
    <s v="-"/>
    <x v="1"/>
    <x v="1"/>
    <m/>
    <s v="CBB"/>
    <x v="2"/>
    <x v="0"/>
    <s v="Refineria Cochabamba"/>
    <x v="0"/>
    <x v="0"/>
    <d v="2024-07-05T00:00:00"/>
    <n v="27"/>
    <n v="5"/>
    <x v="7"/>
    <n v="2024"/>
    <d v="1899-12-30T06:30:00"/>
    <s v="M"/>
    <x v="0"/>
    <x v="0"/>
    <s v="POCA"/>
    <s v="TANGARA"/>
    <s v="FLORENCIO"/>
    <s v="MASCULINO"/>
    <n v="55"/>
    <s v="Encajonador recepcionista"/>
    <d v="1995-12-01T00:00:00"/>
    <s v="En fecha viernes 05 de julio a hrs. 06:30 am el Sr. Florencio Poca Tangara, persona que se encontraba reemplazando por vacación al asistente de refinería, mismo que se encontraba transitando por planta baja en el sector del tanque de Borra de la PX 100, donde existía rastros de borra en el suelo. El trabajador se resbala, sufriendo una caída al mismo nivel (sin daño alguno). Posteriormente se llevó al trabajador a la posta médica de planta para su valoración correspondiente."/>
    <s v="Caída al mismo nivel"/>
    <s v="Nalga"/>
    <s v="Columna"/>
    <s v="Transito en vías peatonales"/>
    <s v="Contusión región pelvica (nalga)"/>
    <s v="Contusión/Trauma"/>
    <n v="0"/>
    <n v="0"/>
    <n v="0"/>
    <s v="Trabajando"/>
    <n v="343"/>
    <s v="&gt; 10 años"/>
    <s v="Derrame de borra"/>
    <s v="CONTRATO INDEFINIDO"/>
    <s v="Acc. No Incapacitante"/>
    <n v="0"/>
    <x v="0"/>
    <m/>
  </r>
  <r>
    <n v="146"/>
    <s v="-"/>
    <x v="0"/>
    <x v="2"/>
    <s v="LURIN"/>
    <s v="Intradevco"/>
    <x v="29"/>
    <x v="0"/>
    <s v="Etiquetado"/>
    <x v="1"/>
    <x v="1"/>
    <d v="2024-08-04T00:00:00"/>
    <n v="31"/>
    <n v="4"/>
    <x v="5"/>
    <n v="2024"/>
    <d v="1899-12-30T15:05:00"/>
    <s v="D"/>
    <x v="3"/>
    <x v="5"/>
    <s v="ACOSTA"/>
    <s v="MURAYARI"/>
    <s v="JHON"/>
    <s v="MASCULINO"/>
    <n v="23"/>
    <s v="OPERARIO DE PRODUCCIÓN"/>
    <s v="-"/>
    <s v="Colaborador Acosta Murayari Jhon C.A perteneciente al área de Etiquetado estaba desempeñando labores de apoyo como operario de producción, al culminar actividades se dirige a los vestuarios. Al abrir su casillero mete la mano derecha con gran impulso para agarrar su ropa y en el transcurso su mano impacta con el borde del casillero generando un corte en el dedo medio "/>
    <s v="Contacto con superficie filosa"/>
    <s v="Mano derecha"/>
    <s v="Mano/Muñeca/Dedos"/>
    <s v="Apertura de casillero"/>
    <s v="Corte en dedo medio derecho"/>
    <s v="Corte/Herida"/>
    <n v="16"/>
    <n v="0"/>
    <n v="16"/>
    <s v="DM"/>
    <m/>
    <m/>
    <s v="Casillero"/>
    <s v="CONTRATO TEMPORAL"/>
    <s v="Acc. Incapacitante"/>
    <n v="0"/>
    <x v="1"/>
    <s v="SI"/>
  </r>
  <r>
    <n v="147"/>
    <s v="ILU24261"/>
    <x v="0"/>
    <x v="2"/>
    <s v="Distrito de Lurín"/>
    <s v="Intradevco"/>
    <x v="5"/>
    <x v="0"/>
    <s v="Áreas comunes"/>
    <x v="1"/>
    <x v="1"/>
    <d v="2024-07-06T00:00:00"/>
    <n v="27"/>
    <n v="6"/>
    <x v="7"/>
    <n v="2024"/>
    <d v="1899-12-30T01:40:00"/>
    <s v="N"/>
    <x v="3"/>
    <x v="5"/>
    <s v="GARCIA"/>
    <s v="SANDOVAL"/>
    <s v="NICOLE MISSI"/>
    <s v="FEMENINO"/>
    <n v="22"/>
    <s v="OPERARIO DE PRODUCCIÓN"/>
    <d v="2024-01-31T00:00:00"/>
    <s v="Aproximadamente a las 1:40 de la mañana la colaboradora Nicole García Sandoval, de 22 años pasaba por el sendero peatonal por la zona de tópico a la altura del ingreso y salida de materiales de limpia todo, mientras se dirigía al área de soplado había un transpalet # 1249 conducido por el operador Miguel angel Arteaga Muñoz, que pertenecía al área de AMP #5 dejando materiales y al momento de que se detuvo la colaboradora continúo pasando, luego cuando se da cuenta que el operador retrocede sin mirar hacia atrás ni tocar clauso, para que no la impacte puso la mano derecha como medida de protección la cual recibo un golpe, al momento que sucedió el evento no le aviso al operador quien continúo con sus labores."/>
    <s v="Golpeado por"/>
    <s v="MANO DERECHA"/>
    <s v="Mano/Muñeca/Dedos"/>
    <s v="Desplazamiento peatonal"/>
    <s v="Contusion"/>
    <s v="Contusión/Trauma"/>
    <n v="150"/>
    <n v="0"/>
    <n v="150"/>
    <s v="Descanso Médico"/>
    <n v="7"/>
    <s v="&lt; 0.5 a 1 año"/>
    <s v="Transpaleta"/>
    <s v="CONTRATO TEMPORAL"/>
    <s v="Acc. Incapacitante"/>
    <n v="0"/>
    <x v="1"/>
    <m/>
  </r>
  <r>
    <n v="148"/>
    <s v="-"/>
    <x v="0"/>
    <x v="2"/>
    <s v="LURIN"/>
    <s v="Intradevco"/>
    <x v="30"/>
    <x v="0"/>
    <s v="Producción"/>
    <x v="0"/>
    <x v="0"/>
    <d v="2024-07-24T00:00:00"/>
    <n v="30"/>
    <n v="24"/>
    <x v="7"/>
    <n v="2024"/>
    <d v="1899-12-30T12:30:00"/>
    <s v="D"/>
    <x v="2"/>
    <x v="33"/>
    <s v="PONCE"/>
    <s v="TAPULLIMA"/>
    <s v="LUIS"/>
    <s v="MASCULINO"/>
    <s v="-"/>
    <s v="OPERADOR"/>
    <s v="-"/>
    <s v="Siendo las 12:44 aproximadamente el trabajador Luis Ponce Tapullima (empresa SURFACE PROTECTION S.A.C), sufrió un accidente menor al tener contacto con residuos de catolito en el interior del dique del tanque de salmuera declorada._x000a_El contacto ocurrió cuando secaba el piso del dique que tenía restos de sustancia química, empleando trapos industriales y haciendo uso de guantes inadecuados."/>
    <s v="Exposición a Sustancias Químicas"/>
    <s v="Mano derecha"/>
    <s v="Mano/Muñeca/Dedos"/>
    <s v="Limpieza de piso contaminado"/>
    <s v="Quemadura química"/>
    <s v="Dermatitis/Irritación de la piel"/>
    <n v="0"/>
    <m/>
    <m/>
    <m/>
    <m/>
    <s v="&lt; 1 mes"/>
    <m/>
    <m/>
    <s v="Acc. No Incapacitante"/>
    <n v="0"/>
    <x v="0"/>
    <m/>
  </r>
  <r>
    <n v="149"/>
    <s v="-"/>
    <x v="0"/>
    <x v="2"/>
    <s v="LURIN"/>
    <s v="Intradevco"/>
    <x v="9"/>
    <x v="3"/>
    <s v="Distribución"/>
    <x v="0"/>
    <x v="0"/>
    <d v="2024-06-18T00:00:00"/>
    <n v="25"/>
    <n v="18"/>
    <x v="6"/>
    <n v="2024"/>
    <d v="1899-12-30T21:39:00"/>
    <s v="N"/>
    <x v="3"/>
    <x v="7"/>
    <s v="MEZA"/>
    <s v="YAYE"/>
    <s v="LIZBETH"/>
    <s v="FEMENINO"/>
    <s v="-"/>
    <s v="ALMACENERO 2"/>
    <s v="-"/>
    <s v="Colaboradora Lizbeth Meza Yaye estaba llevando mercadería al canal y al notar que no había espacio para colocar la mercadería, procede a mover las paletas vacías al pasillo 15 para hacer espacio y así poder seguir trayendo mercadería, y en el momento de dejar las paletas en el pasillo 15, la colaboradora siente un estirón en su dedo producto de la manipulación propia del timón del traspalet. "/>
    <s v="Sobreesfuerzo"/>
    <s v="Dedo"/>
    <s v="Mano/Muñeca/Dedos"/>
    <s v="Operación de transpaleta"/>
    <s v="Tendinitis por contusión"/>
    <s v="Desgarro/Estiramiento Muscular"/>
    <n v="0"/>
    <n v="0"/>
    <n v="0"/>
    <s v="Trabajando"/>
    <m/>
    <m/>
    <s v="Transpaleta"/>
    <s v="CONTRATO TEMPORAL"/>
    <s v="Acc. No Incapacitante"/>
    <n v="0"/>
    <x v="0"/>
    <m/>
  </r>
  <r>
    <n v="150"/>
    <s v="-"/>
    <x v="0"/>
    <x v="0"/>
    <s v="SIDSUR"/>
    <s v="Sidsur"/>
    <x v="25"/>
    <x v="0"/>
    <s v="Galleteria"/>
    <x v="0"/>
    <x v="0"/>
    <d v="2024-07-19T00:00:00"/>
    <n v="29"/>
    <n v="19"/>
    <x v="7"/>
    <n v="2024"/>
    <d v="1899-12-30T07:40:00"/>
    <s v="D"/>
    <x v="1"/>
    <x v="0"/>
    <s v="BRIGIDA "/>
    <s v="PARISUAÑA"/>
    <s v="KARINA"/>
    <s v="FEMENINO"/>
    <n v="26"/>
    <s v="APRENDIZ SENATI"/>
    <s v="-"/>
    <s v="Colaboradora se encontraba en actividades en la máquina apiladora línea 1, relevando a su compañera quien salió de la linea a su refrigerio. Dicha actividad se realiza sobre una plataforma, a su vez se cuenta con una silla sobre ella. Cuando procedia a sentarse, consigo se inclina la silla puesto que las patas de la silla se encontraban al borde de la plataforma, en ese momento la colaboradora cae al suelo. Inmediatamente sus compañeros se acercan para ayudar a levantarse; luego recibe atencion de primeros auxilios por el inspector de turno. "/>
    <s v="Caída a distinto nivel"/>
    <s v="Brazo "/>
    <s v="Mano/Muñeca/Dedos"/>
    <s v="apilado de galleta "/>
    <s v="Contusión leve "/>
    <s v="Contusión/Trauma"/>
    <n v="0"/>
    <n v="0"/>
    <n v="0"/>
    <s v="Trabajando"/>
    <n v="4"/>
    <s v="&lt; 3 a 6 meses"/>
    <s v="Plataforma"/>
    <m/>
    <s v="Acc. No Incapacitante"/>
    <n v="0"/>
    <x v="0"/>
    <m/>
  </r>
  <r>
    <n v="151"/>
    <s v="-"/>
    <x v="0"/>
    <x v="0"/>
    <s v="SIDSUR"/>
    <s v="Sidsur"/>
    <x v="25"/>
    <x v="0"/>
    <s v="Galleteria"/>
    <x v="0"/>
    <x v="0"/>
    <d v="2024-07-20T00:00:00"/>
    <n v="29"/>
    <n v="20"/>
    <x v="7"/>
    <n v="2024"/>
    <d v="1899-12-30T14:45:00"/>
    <s v="T"/>
    <x v="1"/>
    <x v="0"/>
    <s v="HANCCO"/>
    <s v="GUTIERREZ"/>
    <s v="JACK ANTONNY"/>
    <s v="MASCULINO"/>
    <n v="21"/>
    <s v="APRENDIZ SENATI"/>
    <s v="-"/>
    <s v="Colaborador se encontraba ordenando cajas debido al corte de producción, cuando el coordinador de turno le solicita apoyo para trasladar la faja de transporte de la zona de cambios a la zona de granel, entonces proceden con el traslado. Llegado al lugar, colaborador intenta levantar la faja para que el coordinador  ancle los frenos desde una posicion frontal; al no lograrlo se coloca al lado lateral, momento en el cual al levantar la faja ésa se desestabiliza y se inclina, en el intento de evitar la caida el colaborador siente el roce del metal, lugar donde estuvo sujetando la faja, inmediatamente da aviso al cooridnador de turno del corte que surfrió, entonces  lo traslada al área de seguridad industrial, posteriormente se le traslada al tópico, siendo atendido por la parte médica quien realiza la limpieza y curación. No requiere traslado a la clinica. "/>
    <s v="Contacto con superficie filosa"/>
    <s v="Dedos indice y medio de la mano izquierda"/>
    <s v="Mano/Muñeca/Dedos"/>
    <s v="Traslado de faja"/>
    <s v="Corte superficial"/>
    <s v="Corte/Herida"/>
    <n v="0"/>
    <n v="0"/>
    <n v="0"/>
    <s v="Trabajando"/>
    <n v="0"/>
    <s v="&lt; 1 mes"/>
    <s v="Faja"/>
    <m/>
    <s v="Acc. No Incapacitante"/>
    <n v="0"/>
    <x v="0"/>
    <m/>
  </r>
  <r>
    <n v="152"/>
    <s v="-"/>
    <x v="0"/>
    <x v="2"/>
    <s v="LURIN"/>
    <s v="Intradevco"/>
    <x v="16"/>
    <x v="0"/>
    <s v="Producción"/>
    <x v="1"/>
    <x v="1"/>
    <d v="2024-07-31T00:00:00"/>
    <n v="31"/>
    <n v="31"/>
    <x v="7"/>
    <n v="2024"/>
    <d v="1899-12-30T07:30:00"/>
    <s v="D"/>
    <x v="0"/>
    <x v="14"/>
    <s v="ROMERO"/>
    <s v=" MATUTE"/>
    <s v="MAIZA ROSARIO "/>
    <s v="FEMENINO"/>
    <n v="47"/>
    <s v="OPERARIO LINEA LAVAVAJILLA"/>
    <d v="2016-04-11T00:00:00"/>
    <s v="Mientras se transportaba a un grupo de trabajadores a la salida del turno de amanecida, desde la sede Lurín hacia el Norte, a la altura del paradero 08 (Av. Gálvez y Av. Lima) Zarumilla, la unidad de la empresa de Transportes Gabisho (movilidad del personal) impacta contra la parte derecha de la unidad de transporte publico de placa de AMS-896, la cual realizó un giro intempestivo en la intersección de la avenida mientras el semáforo se encontraba en rojo. Producto del evento se registraron daños personales a 3 trabajadores, los cuales fueron evacuados para recibir atención médica."/>
    <s v="Golpeado contra"/>
    <s v="Rodilla"/>
    <s v="Mano/Muñeca/Dedos"/>
    <s v="Uso de movilidad"/>
    <s v="Contusion de rodilla"/>
    <s v="Contusión/Trauma"/>
    <n v="9"/>
    <n v="0"/>
    <n v="9"/>
    <s v="DM"/>
    <m/>
    <s v="&lt; 5 a 10 años"/>
    <s v="Vehiculo"/>
    <s v="CONTRATO INDEFINIDO"/>
    <s v="Acc. Incapacitante"/>
    <n v="0"/>
    <x v="2"/>
    <m/>
  </r>
  <r>
    <n v="153"/>
    <s v="-"/>
    <x v="0"/>
    <x v="2"/>
    <s v="LURIN"/>
    <s v="Intradevco"/>
    <x v="16"/>
    <x v="0"/>
    <s v="Producción"/>
    <x v="1"/>
    <x v="1"/>
    <d v="2024-07-31T00:00:00"/>
    <n v="31"/>
    <n v="31"/>
    <x v="7"/>
    <n v="2024"/>
    <d v="1899-12-30T07:30:00"/>
    <s v="D"/>
    <x v="3"/>
    <x v="5"/>
    <s v="QUISPE"/>
    <s v=" COYLLO"/>
    <s v="EVA LUZMILA"/>
    <s v="FEMENINO"/>
    <n v="29"/>
    <s v="OPERARIO DE PRODUCCION"/>
    <s v="-"/>
    <s v="Mientras se transportaba a un grupo de trabajadores a la salida del turno de amanecida, desde la sede Lurín hacia el Norte, a la altura del paradero 08 (Av. Gálvez y Av. Lima) Zarumilla, la unidad de la empresa de Transportes Gabisho (movilidad del personal) impacta contra la parte derecha de la unidad de transporte publico de placa de AMS-896, la cual realizó un giro intempestivo en la intersección de la avenida mientras el semáforo se encontraba en rojo. Producto del evento se registraron daños personales a 3 trabajadores, los cuales fueron evacuados para recibir atención médica."/>
    <s v="Golpeado contra"/>
    <s v="Torax"/>
    <s v="Mano/Muñeca/Dedos"/>
    <s v="Uso de movilidad"/>
    <s v="Traumatismo de torax"/>
    <s v="Contusión/Trauma"/>
    <n v="9"/>
    <n v="0"/>
    <n v="9"/>
    <s v="DM"/>
    <m/>
    <m/>
    <s v="Vehiculo"/>
    <s v="CONTRATO TEMPORAL"/>
    <s v="Acc. Incapacitante"/>
    <n v="0"/>
    <x v="2"/>
    <m/>
  </r>
  <r>
    <n v="154"/>
    <s v="-"/>
    <x v="0"/>
    <x v="2"/>
    <s v="LURIN"/>
    <s v="Intradevco"/>
    <x v="31"/>
    <x v="9"/>
    <s v="Almacen"/>
    <x v="1"/>
    <x v="1"/>
    <d v="2024-07-31T00:00:00"/>
    <n v="31"/>
    <n v="31"/>
    <x v="7"/>
    <n v="2024"/>
    <d v="1899-12-30T07:30:00"/>
    <s v="D"/>
    <x v="0"/>
    <x v="14"/>
    <s v="CHAVEZ"/>
    <s v=" LIVIA"/>
    <s v="CESAR IVAN"/>
    <s v="MASCULINO"/>
    <n v="33"/>
    <s v="BALANCERO"/>
    <d v="2022-02-15T00:00:00"/>
    <s v="Mientras se transportaba a un grupo de trabajadores a la salida del turno de amanecida, desde la sede Lurín hacia el Norte, a la altura del paradero 08 (Av. Gálvez y Av. Lima) Zarumilla, la unidad de la empresa de Transportes Gabisho (movilidad del personal) impacta contra la parte derecha de la unidad de transporte publico de placa de AMS-896, la cual realizó un giro intempestivo en la intersección de la avenida mientras el semáforo se encontraba en rojo. Producto del evento se registraron daños personales a 3 trabajadores, los cuales fueron evacuados para recibir atención médica."/>
    <s v="Golpeado contra"/>
    <s v="Pierna derecha"/>
    <s v="Mano/Muñeca/Dedos"/>
    <s v="Uso de movilidad"/>
    <s v="Contusion en pierna derecha"/>
    <s v="Contusión/Trauma"/>
    <n v="5"/>
    <n v="0"/>
    <n v="5"/>
    <s v="DM"/>
    <m/>
    <s v="&lt; 1 a 5 años"/>
    <s v="Vehiculo"/>
    <s v="CONTRATO INDEFINIDO"/>
    <s v="Acc. Incapacitante"/>
    <n v="0"/>
    <x v="2"/>
    <m/>
  </r>
  <r>
    <n v="155"/>
    <s v="-"/>
    <x v="0"/>
    <x v="0"/>
    <s v="SIDSUR"/>
    <s v="Sidsur"/>
    <x v="25"/>
    <x v="0"/>
    <s v="Limpieza"/>
    <x v="0"/>
    <x v="0"/>
    <d v="2024-07-30T00:00:00"/>
    <n v="31"/>
    <n v="30"/>
    <x v="7"/>
    <n v="2024"/>
    <d v="1899-12-30T07:15:00"/>
    <s v="D"/>
    <x v="4"/>
    <x v="6"/>
    <s v="COAGUILA"/>
    <s v="COAGUILA"/>
    <s v="LOYOLA LOURDES"/>
    <s v="FEMENINO"/>
    <n v="42"/>
    <s v="OPERARIO DE LIMPIEZA"/>
    <s v="-"/>
    <s v="Colaboradora se encontraba realizando la limpieza de un puerta  de cristal con marco de metal de las oficinas de la planta de galleteria ubicada en el segundo piso de la planta, realizaba la limpieza con un trapo y tenia puesto guantes quirurgico; momento en que pasa la mano por una parte de vidrio roto sin percatarse de la condición sufre una corte superficial. Posteriormente es trasladada al tópico para recibir atención. "/>
    <s v="Contacto con superficie filosa"/>
    <s v="Dedo"/>
    <s v="Mano/Muñeca/Dedos"/>
    <s v="Limpieza "/>
    <s v="Corte superficial"/>
    <s v="Corte/Herida"/>
    <n v="0"/>
    <n v="0"/>
    <n v="0"/>
    <s v="Trabajando"/>
    <n v="9"/>
    <s v="&lt; 0.5 a 1 año"/>
    <s v="Vidrio roto"/>
    <m/>
    <s v="Acc. No Incapacitante"/>
    <n v="0"/>
    <x v="0"/>
    <m/>
  </r>
  <r>
    <n v="156"/>
    <s v="-"/>
    <x v="0"/>
    <x v="4"/>
    <s v="Sicaya"/>
    <s v="Teal"/>
    <x v="21"/>
    <x v="0"/>
    <s v="Linea Panetones"/>
    <x v="0"/>
    <x v="0"/>
    <d v="2024-08-02T00:00:00"/>
    <n v="31"/>
    <n v="2"/>
    <x v="5"/>
    <n v="2024"/>
    <d v="1899-12-30T14:25:00"/>
    <s v="D"/>
    <x v="0"/>
    <x v="18"/>
    <s v="BRAVO"/>
    <s v="CHUCARI"/>
    <s v="GERARDO JOSE"/>
    <s v="MASCULINO"/>
    <n v="19"/>
    <s v="OPERARIO DE PRODUCCION"/>
    <d v="2024-07-02T00:00:00"/>
    <s v="En circunstancias en que el Sr. Bravo Chucari Gerardo se encontraba cortando los zunchos de paquetes de los bloques de cajas de cartón para habilitar el armado de los mismo, hace una mala maniobra y sufre un corte superficial en el pulpejo del dedo medio de la mano derecha generando un pequeño sangrado, al instante es abordado por el supervisor de producción brindándole los primeros auxilios. Cabe precisar que el trabajador no utilizo sus guantes de protección asignado al puesto. "/>
    <s v="Contacto con superficie filosa"/>
    <s v="Dedo medio de la mano derecha"/>
    <s v="Mano/Muñeca/Dedos"/>
    <s v="Corte de zunchos del paquete de cajas de carton"/>
    <s v="Herida cortante"/>
    <s v="Corte/Herida"/>
    <n v="0"/>
    <n v="0"/>
    <n v="0"/>
    <s v="Trabajando"/>
    <n v="1"/>
    <s v="&lt; 1 a 3 meses"/>
    <s v="Cuchilla retractil estandar"/>
    <s v="CONTRATO TEMPORAL"/>
    <s v="Acc. No Incapacitante"/>
    <n v="0"/>
    <x v="0"/>
    <m/>
  </r>
  <r>
    <n v="157"/>
    <s v="-"/>
    <x v="0"/>
    <x v="4"/>
    <s v="Sicaya"/>
    <s v="Teal"/>
    <x v="21"/>
    <x v="0"/>
    <s v="Linea Panetones"/>
    <x v="0"/>
    <x v="0"/>
    <d v="2024-08-07T00:00:00"/>
    <n v="32"/>
    <n v="7"/>
    <x v="5"/>
    <n v="2024"/>
    <d v="1899-12-30T03:50:00"/>
    <s v="N"/>
    <x v="0"/>
    <x v="18"/>
    <s v="VASQUEZ"/>
    <s v="DE JESUS"/>
    <s v="DEYVIS"/>
    <s v="MASCULINO"/>
    <n v="26"/>
    <s v="OPERARIO DE PRODUCCION"/>
    <d v="2024-07-02T00:00:00"/>
    <s v="En circunstancias en que el Sr. Vasquez de Jesus Deivys se desplazaba a otra área en la zona de amasado de Panetones, sufrió un golpe en la ceja izquierda al impactar accidentalmente con la máquina amasadora inoperativa PEERLES 1. Este incidente provocó una pequeña lesión con sangrado activo. Inmediatamente fue asistido por el Supervisor de turno, quien le brindó los primeros auxilios y lo trasladó al tópico. Inmediatamente se llamo al servicio de ambulancia HelpMed para su evaluacion y curación respectiva"/>
    <s v="Golpeado contra"/>
    <s v="Ceja izquierda"/>
    <s v="Rostro/Nariz/Boca"/>
    <s v="Transito peatonal"/>
    <s v="Contusión"/>
    <s v="Contusión/Trauma"/>
    <n v="0"/>
    <n v="0"/>
    <n v="0"/>
    <s v="Trabajando"/>
    <n v="12"/>
    <s v="&lt; 0.5 a 1 año"/>
    <s v="Superficie de maquina"/>
    <s v="CONTRATO TEMPORAL"/>
    <s v="Acc. No Incapacitante"/>
    <n v="0"/>
    <x v="0"/>
    <m/>
  </r>
  <r>
    <n v="158"/>
    <s v="-"/>
    <x v="0"/>
    <x v="0"/>
    <s v="MCA"/>
    <s v="Molinos Lima"/>
    <x v="22"/>
    <x v="0"/>
    <s v="Producción"/>
    <x v="0"/>
    <x v="0"/>
    <d v="2024-08-13T00:00:00"/>
    <n v="33"/>
    <n v="13"/>
    <x v="5"/>
    <n v="2024"/>
    <d v="1899-12-30T00:49:00"/>
    <s v="N"/>
    <x v="0"/>
    <x v="30"/>
    <s v="MARCELO"/>
    <s v="CRUZ"/>
    <s v="JAIRO"/>
    <s v="MASCULINO"/>
    <s v="-"/>
    <s v="OPERADOR DE PLANTA"/>
    <d v="2024-08-14T00:00:00"/>
    <s v="Al presentarse falla en la maquina cosedora de línea 2 de embolsado, se solicita el soporte del mecánico de turno para su revisión de la maquina cocedora al revisar el mecánico indica cambiar la maquina cocedora, luego se dirige al taller de mantenimiento para traer otra cosedora para su cambio de la cosedora que se encontraba en falla, para desmontar la cocedora de la línea, solicita apoyo a los operadores de línea, con el apoyo del operador de planta Jairo Marcelo levantan la cocedora y al realizar el traslado hacia la mesa, el operador de planta se golpea la mano con el filo de la mesa y el peso de la cosedora._x000a_Inmediatamente fue asistido por el Ing. de turno, quien llamo al servicio de ambulancia Alerta Medica para su evaluación y atención respectiva. "/>
    <s v="Atrapado por"/>
    <s v="Dedo"/>
    <s v="Mano/Muñeca/Dedos"/>
    <s v="Desmontaje cosedora"/>
    <s v="Contusión"/>
    <s v="Contusión/Trauma"/>
    <n v="0"/>
    <n v="0"/>
    <n v="0"/>
    <s v="Trabajando"/>
    <n v="3"/>
    <s v="&lt; 1 a 5 años"/>
    <s v="Cosedora"/>
    <s v="CONTRATO INDEFINIDO"/>
    <s v="Acc. No Incapacitante"/>
    <n v="0"/>
    <x v="0"/>
    <m/>
  </r>
  <r>
    <n v="159"/>
    <s v="-"/>
    <x v="0"/>
    <x v="0"/>
    <s v="CENTRAL"/>
    <s v="Galletería"/>
    <x v="0"/>
    <x v="0"/>
    <s v="Producción"/>
    <x v="0"/>
    <x v="0"/>
    <d v="2024-08-16T00:00:00"/>
    <n v="33"/>
    <n v="16"/>
    <x v="5"/>
    <n v="2024"/>
    <d v="1899-12-30T21:45:00"/>
    <s v="D"/>
    <x v="0"/>
    <x v="30"/>
    <s v="SAENZ"/>
    <s v="MINAYA"/>
    <s v="VICTOR RAUL"/>
    <s v="MASCULINO"/>
    <s v="-"/>
    <s v="Operador Volante"/>
    <s v="-"/>
    <s v="Siendo las 21:35, el operador se encontraba alimentando la envasadora secundaria C7 de la línea 1, de repente; se produce un atasco de paquetes en la plancha de recepción hacia la pack en mención, el operador por tratar de sacar dicho paquete, hace contacto con la plancha filosa y se corta  el pulgar derecho"/>
    <s v="Contacto con superficie filosa"/>
    <s v="Dedo"/>
    <s v="Mano/Muñeca/Dedos"/>
    <s v="Acomodo de Galletas"/>
    <s v="Corte"/>
    <s v="Corte/Herida"/>
    <n v="0"/>
    <n v="0"/>
    <n v="0"/>
    <s v="Laborando"/>
    <n v="178"/>
    <s v="&gt; 10 años"/>
    <s v="Superficie Filosa"/>
    <s v="CONTRATO INDEFINIDO"/>
    <s v="Acc. No Incapacitante"/>
    <n v="0"/>
    <x v="0"/>
    <m/>
  </r>
  <r>
    <n v="160"/>
    <s v="-"/>
    <x v="0"/>
    <x v="3"/>
    <s v="Trujillo"/>
    <s v="Vitapro"/>
    <x v="32"/>
    <x v="0"/>
    <s v="Abastecimiento/Molienda"/>
    <x v="1"/>
    <x v="1"/>
    <d v="2024-04-10T00:00:00"/>
    <n v="15"/>
    <n v="10"/>
    <x v="3"/>
    <n v="2024"/>
    <d v="1899-12-30T04:15:00"/>
    <s v="C"/>
    <x v="0"/>
    <x v="10"/>
    <s v="-"/>
    <s v="-"/>
    <s v="-"/>
    <s v="MASCULINO"/>
    <n v="56"/>
    <s v="AUXLIAR DE PRODUCCIÓN"/>
    <s v="-"/>
    <s v="Siendo aproximadamente las 4:05 am el auxiliar de producción manifiesta que se produjo un obstrucción de materia prima en el ducto/esclusa del tolvin en el 5to nivel de L13 circunstancias en las que, procede a desmontar la tubería que conecta con la esclusa, luego se retira los guantes de protección de la mano derecha para verificar el paso del flujo de aire y ausencia de producto con equipo encendido, lo que ocasiona contacto del dedo índice derecho con las aspas de la esclusa._x000a_El colaborador es trasladado inmediatamente al servicio médico de turno , se evalúa al trabajador y es trasladado a la clínica para su tratamiento."/>
    <s v="Sobreesfuerzo"/>
    <s v="-"/>
    <s v="Mano/Muñeca/Dedos"/>
    <s v="-"/>
    <m/>
    <m/>
    <m/>
    <m/>
    <n v="60"/>
    <m/>
    <m/>
    <m/>
    <m/>
    <m/>
    <s v="Acc. Incapacitante"/>
    <n v="0"/>
    <x v="1"/>
    <m/>
  </r>
  <r>
    <n v="161"/>
    <s v="-"/>
    <x v="0"/>
    <x v="0"/>
    <s v="SIDSUR"/>
    <s v="Sidsur"/>
    <x v="25"/>
    <x v="0"/>
    <s v="Gallete"/>
    <x v="0"/>
    <x v="0"/>
    <d v="2024-08-05T00:00:00"/>
    <n v="32"/>
    <n v="5"/>
    <x v="5"/>
    <n v="2024"/>
    <d v="1899-12-30T10:00:00"/>
    <s v="D"/>
    <x v="0"/>
    <x v="30"/>
    <s v="JARA"/>
    <s v="QUISPE"/>
    <s v="ELVIS FELIX"/>
    <s v="MASCULINO"/>
    <s v="-"/>
    <s v="MAQUINISTA ENVASADORA"/>
    <d v="2002-05-27T00:00:00"/>
    <s v="Colaborador menciona que se encontraba realizando actividad de cortado de galletas, actividad que realizaba sentado en una silla, indica que mientras ejecutaba la actividad la silla se inclina hacia la izquierda y cae al piso golpeadose la cadera, inmediatamente se pone de pie y evidencia que la silla tenia las patas dañadas. Posterioremnte es trasladado al tópico para ser atendido"/>
    <s v="Caída al mismo nivel"/>
    <s v="Cadera"/>
    <s v="Mano/Muñeca/Dedos"/>
    <s v="Cortado de galletas"/>
    <s v="Contusión"/>
    <s v="Contusión/Trauma"/>
    <n v="0"/>
    <n v="0"/>
    <m/>
    <s v="Trabajando"/>
    <m/>
    <m/>
    <m/>
    <m/>
    <s v="Acc. No Incapacitante"/>
    <n v="0"/>
    <x v="0"/>
    <m/>
  </r>
  <r>
    <n v="162"/>
    <s v="-"/>
    <x v="0"/>
    <x v="0"/>
    <s v="PREDIO CENTRAL"/>
    <s v="Otros"/>
    <x v="33"/>
    <x v="7"/>
    <s v="Comedor"/>
    <x v="1"/>
    <x v="1"/>
    <d v="2024-08-14T00:00:00"/>
    <n v="33"/>
    <n v="14"/>
    <x v="5"/>
    <n v="2024"/>
    <d v="1899-12-30T14:30:00"/>
    <s v="T"/>
    <x v="5"/>
    <x v="34"/>
    <s v="Reynoso"/>
    <s v="Ipanaque"/>
    <s v="Valentin Bryan"/>
    <s v="MASCULINO"/>
    <s v="-"/>
    <s v="Ayudante de cocina"/>
    <d v="2024-08-12T00:00:00"/>
    <s v="El accidente sucedió aproximadamente las 14:30 p.m. momento en el que Valentin Bryan Reynoso Ypanaque, colaborador del concesionario se encontraba cortando verduras, y es cuando sufre el corte en el dedo medio de la mano derecha, ocasionándole un sangrado de regular cantidad, por ello es trasladado al tópico en donde le realizan la curación de la herida, luego en compañía de la supervisora de calidad de su empleador, es trasladado a la Clínica San Gabriel"/>
    <s v="Contacto con superficie filosa"/>
    <s v="dedo medio de mano derecha"/>
    <s v="Mano/Muñeca/Dedos"/>
    <s v="Corte de verduras"/>
    <s v="corte"/>
    <s v="Corte/Herida"/>
    <n v="8"/>
    <n v="0"/>
    <n v="8"/>
    <s v="Reasignado temporalmente a otras actividades"/>
    <m/>
    <s v="&lt; 1 mes"/>
    <s v="cuchillo de cocina"/>
    <s v="CONTRATO INDEFINIDO"/>
    <s v="Acc. Incapacitante"/>
    <n v="0"/>
    <x v="1"/>
    <m/>
  </r>
  <r>
    <n v="163"/>
    <s v="DIS24484"/>
    <x v="0"/>
    <x v="0"/>
    <s v="PREDIO CENTRAL"/>
    <s v="Otros"/>
    <x v="23"/>
    <x v="3"/>
    <s v="EEII Galletera"/>
    <x v="0"/>
    <x v="0"/>
    <d v="2024-08-16T00:00:00"/>
    <n v="33"/>
    <n v="16"/>
    <x v="5"/>
    <n v="2024"/>
    <d v="1899-12-30T10:30:00"/>
    <s v="D"/>
    <x v="4"/>
    <x v="35"/>
    <s v="VELIZ"/>
    <s v="VELASQUEZ"/>
    <s v="YARAHI"/>
    <s v="FEMENINO"/>
    <n v="41"/>
    <s v="PDR"/>
    <d v="2024-02-01T00:00:00"/>
    <s v="Durante las labores de supervisión de las actividades del equipo de trabajo en la limpieza de pallets, la PDR sufre un accidente al apoyar la mano sobre una paleta, una pequeña astilla se incrustó en el dedo índice. En ese momento, se estaban utilizando guantes industriales de hilo con palma de látex, multipropósito, con el objetivo de recoger unos cartones del suelo. Tras varios intentos fallidos de retirar la astilla por cuenta propia, acudió al tópico de Alicorp para proceder con la extracción de la misma."/>
    <s v="Contacto con superficie filosa"/>
    <s v="Dedo índice derecho"/>
    <s v="Mano/Muñeca/Dedos"/>
    <s v="Supervisión"/>
    <s v="Cuerpo extraño en tejido blando"/>
    <s v="Corte/Herida"/>
    <n v="0"/>
    <n v="0"/>
    <n v="0"/>
    <s v="Trabajando"/>
    <n v="6"/>
    <s v="&lt; 3 a 6 meses"/>
    <s v="Paleta"/>
    <s v="CONTRATO TEMPORAL"/>
    <s v="Acc. No Incapacitante"/>
    <n v="0"/>
    <x v="2"/>
    <m/>
  </r>
  <r>
    <n v="164"/>
    <s v="-"/>
    <x v="0"/>
    <x v="0"/>
    <s v="Miraflores"/>
    <s v="Otros"/>
    <x v="20"/>
    <x v="4"/>
    <s v="Piso 9"/>
    <x v="0"/>
    <x v="0"/>
    <d v="2024-08-20T00:00:00"/>
    <n v="34"/>
    <n v="20"/>
    <x v="5"/>
    <n v="2024"/>
    <d v="1899-12-30T14:20:00"/>
    <s v="T"/>
    <x v="4"/>
    <x v="36"/>
    <s v="Martinez"/>
    <s v="Ñaupari"/>
    <s v="Xiomara"/>
    <s v="FEMENINO"/>
    <n v="18"/>
    <s v="Operario de limpieza"/>
    <d v="2024-04-17T00:00:00"/>
    <s v="COLABORADORA REFIERE QUE LAVANDO LOS UTENSILIOS DE COCINA, ACCIDENTALMENTE SE ROMPIO UN VASO, ORIGINANDO UNA PEQUEÑA HERIDA EN EL DEDO DE LA MANO IZQUIERDA. SE REALIZO LA CURACION RESPECTIVA."/>
    <s v="Contacto con superficie filosa"/>
    <s v="dedo de mano izquierda"/>
    <s v="Mano/Muñeca/Dedos"/>
    <s v="Lavado de vaso"/>
    <s v="herida de dedo de mano izquierda"/>
    <s v="Corte/Herida"/>
    <n v="0"/>
    <n v="0"/>
    <n v="0"/>
    <s v="Trabajando"/>
    <n v="4"/>
    <s v="&lt; 3 a 6 meses"/>
    <s v="vaso"/>
    <s v="determinado"/>
    <s v="Acc. No Incapacitante"/>
    <n v="0"/>
    <x v="0"/>
    <m/>
  </r>
  <r>
    <n v="165"/>
    <s v="-"/>
    <x v="0"/>
    <x v="0"/>
    <s v="Miraflores"/>
    <s v="Otros"/>
    <x v="20"/>
    <x v="4"/>
    <s v="Piso 9"/>
    <x v="1"/>
    <x v="1"/>
    <d v="2024-08-21T00:00:00"/>
    <n v="34"/>
    <n v="21"/>
    <x v="5"/>
    <n v="2024"/>
    <d v="1899-12-30T12:20:00"/>
    <s v="D"/>
    <x v="0"/>
    <x v="3"/>
    <s v="Crisostomo"/>
    <s v="Barrios"/>
    <s v="Adian"/>
    <s v="MASCULINO"/>
    <n v="40"/>
    <s v="GERENTE SR DE CATEGORIA"/>
    <d v="2012-05-08T00:00:00"/>
    <s v="REFIERE QUE ESTABA CAMINANDO CON EL CELULAR EN LA MANO ATENDIENDO LOS MENSAJES, NO SE PERCATÓ DE LA ESTRUCTURA METALICA DE LA ESCALERA Y SE GOLPEO LA CABEZA. SE APLICO HIELO EN LA ZONA AFECTADA Y SE DIO TRATAMIENTO ANALGESICO VIA ORAL. SE DIO LA RECOMENDACION DE PERSISTIR CEFALEA O PRESENTAR ALGUNA SINTOMATOLOGIA ADICIONAL ACUDIR A SU ESTABLECIMIENTO DE SALUD. SE REALIZA SEGUIMIENTO DESPUES DE UNA HORA, REFIERE QUE SE ENCUENTRA EN UNA REUNION. LUEGO DE ELLO ACUDE A LA CLINICA SANNA DE SAN BORJA. INDICA QUE LE DIERON UNA ORDEN PARA PLACA DE RX Y SE ENCUENTRA CON TRATAMIENTO INTRAMUSCULAR."/>
    <s v="Golpeado contra"/>
    <s v="cabeza"/>
    <s v="Cabeza"/>
    <s v="Desplazamineto por oficina"/>
    <s v="Traumatismo superficial de la cabeza"/>
    <s v="Contusión/Trauma"/>
    <n v="8"/>
    <n v="0"/>
    <n v="8"/>
    <m/>
    <n v="144"/>
    <s v="&gt; 10 años"/>
    <s v="Escalera"/>
    <s v="CONTRATO INDEFINIDO"/>
    <s v="Acc. Incapacitante"/>
    <n v="0"/>
    <x v="1"/>
    <m/>
  </r>
  <r>
    <n v="166"/>
    <s v="-"/>
    <x v="0"/>
    <x v="0"/>
    <s v="Miraflores"/>
    <s v="Otros"/>
    <x v="20"/>
    <x v="4"/>
    <s v="Piso 9"/>
    <x v="0"/>
    <x v="0"/>
    <d v="2024-08-21T00:00:00"/>
    <n v="34"/>
    <n v="21"/>
    <x v="5"/>
    <n v="2024"/>
    <d v="1899-12-30T10:25:00"/>
    <s v="D"/>
    <x v="0"/>
    <x v="0"/>
    <s v="Delgadillo"/>
    <s v="Chau"/>
    <s v="Yury"/>
    <s v="FEMENINO"/>
    <n v="34"/>
    <s v="COORDINADOR DE DESARROLLO CONSULTIVO DE CLIENTE"/>
    <d v="2021-02-15T00:00:00"/>
    <s v="REFIERE QUE SE ENCONTRABA PREPARANDO UNA INFUSION Y AL INTENTAR TOMAR LA HERVIDORA PARA LLENAR LA TAZA DE AGUA SALPICO EN EL DEDO PULGAR DE LA MANO IZQUIERDA, EL AGUA HIRVIENDO OCASIONANDO UNA QUEMADURA DE PRIMER GRADO; QUE SE PUDO CONTROLAR CON AGUA A CHORRO Y CURACION. SE INDICO REEVALUACION DENTRO DE UNA HORA, LA EVOLUCION FUE FAVORABLE. SE DIO INDICACIONES Y REGRESO A SUS LABORES."/>
    <s v="Contacto con Superficie Caliente"/>
    <s v="Dedo pulgar y muñeca de Mano izquierda"/>
    <s v="Mano/Muñeca/Dedos"/>
    <s v="uso de kitchenette"/>
    <s v="Quemadura de primer grado"/>
    <s v="Quemadura por Temperatura"/>
    <n v="0"/>
    <m/>
    <n v="0"/>
    <s v="Trabajando"/>
    <n v="36"/>
    <s v="&lt; 1 a 5 años"/>
    <s v="hervidor"/>
    <s v="CONTRATO INDEFINIDO"/>
    <s v="Acc. No Incapacitante"/>
    <n v="0"/>
    <x v="0"/>
    <m/>
  </r>
  <r>
    <n v="167"/>
    <s v="-"/>
    <x v="0"/>
    <x v="0"/>
    <s v="CENTRAL"/>
    <s v="Galletería"/>
    <x v="0"/>
    <x v="0"/>
    <s v="Envasadora C3"/>
    <x v="0"/>
    <x v="0"/>
    <d v="2024-08-24T00:00:00"/>
    <n v="34"/>
    <n v="24"/>
    <x v="5"/>
    <n v="2024"/>
    <d v="1899-12-30T08:45:00"/>
    <s v="D"/>
    <x v="0"/>
    <x v="30"/>
    <s v="LOSTAUNAU"/>
    <s v="ARANA"/>
    <s v="FREDY"/>
    <s v="MASCULINO"/>
    <s v="-"/>
    <s v="Operador de máquina envasadora"/>
    <s v="-"/>
    <s v="El colaborador estuvo regulando la plancha de ordena los paquetes a la salida de la envasadora C3, en ese momento el extremo de la llave queda atrapada con una de las tablillas, el operador al percibir el atrapamiento jala la llave y su dedo meñique sufre una contusión con una de las tablillas."/>
    <s v="Atrapado por Partes en Movimiento"/>
    <s v="Dedo meñique mano derecha"/>
    <s v="Mano/Muñeca/Dedos"/>
    <s v="Regulando plancha"/>
    <s v="Contusión"/>
    <s v="Contusión/Trauma"/>
    <n v="0"/>
    <m/>
    <n v="0"/>
    <s v="Laborando"/>
    <n v="168"/>
    <s v="&gt; 10 años"/>
    <s v="Tablillas"/>
    <s v="CONTRATO INDEFINIDO"/>
    <s v="Acc. No Incapacitante"/>
    <n v="0"/>
    <x v="0"/>
    <m/>
  </r>
  <r>
    <n v="168"/>
    <s v="-"/>
    <x v="0"/>
    <x v="0"/>
    <s v="PREDIO CENTRAL"/>
    <s v="Fideería Lima"/>
    <x v="34"/>
    <x v="0"/>
    <s v="Envasadora R - L28"/>
    <x v="1"/>
    <x v="1"/>
    <d v="2024-08-25T00:00:00"/>
    <n v="34"/>
    <n v="25"/>
    <x v="5"/>
    <n v="2024"/>
    <d v="1899-12-30T06:10:00"/>
    <s v="N"/>
    <x v="0"/>
    <x v="3"/>
    <s v="QUISPE"/>
    <s v="ALVA"/>
    <s v="JHONATAN"/>
    <s v="MASCULINO"/>
    <s v="-"/>
    <s v="Operador de Envasado"/>
    <s v="-"/>
    <s v="El accidente sucedió aproximadamente a las 06:10 a.m. momento en el que Jhonatan Quispe Alva, operador de envasado de la línea 28 de pasta larga se encontraba realizando la actividad de cambio de bobina, y es cuando al momento de colocar la bobina (20 Kg aprox) en el eje, no calcula bien y se le resbala la bobina, golpeándole la palma de la mano y muñeca contra la mesa. El colaborador es trasladado al tópico donde le revisan la mano y deciden trasladarlo a la Clínica San Gabriel en compañía del coordinador. Posteriormente le otorgan descanso médico hasta el 27/08/24"/>
    <s v="Golpeado por"/>
    <s v="Mano muñeca izquierda"/>
    <s v="Mano/Muñeca/Dedos"/>
    <s v="Cambio de bobinas"/>
    <s v="Contusión"/>
    <s v="Contusión/Trauma"/>
    <n v="60"/>
    <n v="0"/>
    <n v="60"/>
    <m/>
    <m/>
    <m/>
    <m/>
    <s v="CONTRATO INDEFINIDO"/>
    <s v="Acc. Incapacitante"/>
    <n v="0"/>
    <x v="1"/>
    <m/>
  </r>
  <r>
    <n v="169"/>
    <s v="-"/>
    <x v="0"/>
    <x v="0"/>
    <s v="PREDIO CENTRAL"/>
    <s v="Otros"/>
    <x v="3"/>
    <x v="5"/>
    <s v="Pasadizo auditorio"/>
    <x v="1"/>
    <x v="1"/>
    <d v="2024-08-02T00:00:00"/>
    <n v="31"/>
    <n v="2"/>
    <x v="5"/>
    <n v="2024"/>
    <d v="1899-12-30T14:00:00"/>
    <s v="D"/>
    <x v="2"/>
    <x v="37"/>
    <s v="ROSALES"/>
    <s v="MENDOZA"/>
    <s v="RAFAEL"/>
    <s v="FEMENINO"/>
    <n v="45"/>
    <s v="Soldador"/>
    <d v="2018-08-02T00:00:00"/>
    <s v="El 02 de agosto a las 14:00 horas aprox. La empresa RYCH se encontraba realizando el desmontaje y desguace de una porción del puente a nivel del piso. En ese instante el trabajador RAFAEL FERMIN ROSALES MENDOZA (Soldador) se encontraba cortando dicha estructura a una altura de 1.85m. Luego de culminada la actividad, se dispone a bajar por la escalera y al apoyarse en la rejilla (grating) esta no se encontraba fija; por lo cual hace que pierda el equilibrio y caiga."/>
    <s v="Caída a distinto nivel"/>
    <s v="Torax parte izquierda"/>
    <s v="Abdomen/Torso"/>
    <s v="corte de estructuras"/>
    <s v="contusión"/>
    <s v="Contusión/Trauma"/>
    <n v="10"/>
    <n v="0"/>
    <n v="10"/>
    <s v="Trabajando"/>
    <n v="168"/>
    <s v="&lt; 5 a 10 años"/>
    <s v="grating suelto"/>
    <s v="CONTRATO INDEFINIDO"/>
    <s v="Acc. Incapacitante"/>
    <n v="0"/>
    <x v="1"/>
    <m/>
  </r>
  <r>
    <n v="170"/>
    <s v="-"/>
    <x v="0"/>
    <x v="2"/>
    <s v="LURIN"/>
    <s v="Intradevco"/>
    <x v="16"/>
    <x v="0"/>
    <s v="Empacado detergente"/>
    <x v="0"/>
    <x v="0"/>
    <d v="2024-08-07T00:00:00"/>
    <n v="32"/>
    <n v="7"/>
    <x v="5"/>
    <n v="2024"/>
    <d v="1899-12-30T11:40:00"/>
    <s v="D"/>
    <x v="3"/>
    <x v="5"/>
    <s v="YUMBATO"/>
    <s v="PACAYA"/>
    <s v="ALEXIS EGLINTON "/>
    <s v="MASCULINO"/>
    <s v="-"/>
    <s v="OPERARIO DE PRODUCCIÓN"/>
    <s v="-"/>
    <s v="El colaborador Yumbato Pacaya Alexis se encontraba apilando en la línea 1, al momento de agarrar la bolsa solo la alza con una mano (derecha) debido a ello esta se le resbala y como consecuencia se impacta su muñeca derecha contra la guarda de la faja. "/>
    <s v="Golpeado contra"/>
    <s v="Mano derecha"/>
    <s v="Mano/Muñeca/Dedos"/>
    <s v="Manipulacion de sacos"/>
    <s v="Contusion en mano derecha"/>
    <s v="Contusión/Trauma"/>
    <n v="0"/>
    <n v="0"/>
    <n v="0"/>
    <s v="Trabajando"/>
    <m/>
    <m/>
    <s v="Guarda"/>
    <s v="CONTRATO TEMPORAL"/>
    <s v="Acc. No Incapacitante"/>
    <n v="0"/>
    <x v="0"/>
    <m/>
  </r>
  <r>
    <n v="171"/>
    <s v="-"/>
    <x v="0"/>
    <x v="2"/>
    <s v="LURIN"/>
    <s v="Intradevco"/>
    <x v="16"/>
    <x v="0"/>
    <s v="Lavavajilla"/>
    <x v="0"/>
    <x v="0"/>
    <d v="2024-08-20T00:00:00"/>
    <n v="34"/>
    <n v="20"/>
    <x v="5"/>
    <n v="2024"/>
    <d v="1899-12-30T14:40:00"/>
    <s v="D"/>
    <x v="3"/>
    <x v="5"/>
    <s v="NUÑEZ"/>
    <s v="AHUAMAN"/>
    <s v="PABLO GABRIEL"/>
    <s v="MASCULINO"/>
    <s v="-"/>
    <s v="OPERARIO DE PRODUCCIÓN"/>
    <s v="-"/>
    <s v="El colaborador Nuñez Ahuanari se encontraba haciendo limpieza en la parte interna de la batidora número 2 con la espátula, pero la introduce demás lo que provoca que choque contra el hélice edicodial y éste rebote hacia arriba haciendo que la mano con la que manipula la parte superior de la herramienta choque contra la guarda del motor y sufra un  aplastamiento en dedo pulgar de la mano izquierda._x000a_- La limpieza se realiza sólo en la parte superior de la olla, no es necesario introducir demasiado la espátula._x000a_- Esta actividad la realizan con la máquina encendida._x000a_Como dato adicional:_x000a_- Se recomienda implementar el uso de guantes antiimpacto para realizar ésta actividad y prevenir se vuelvan a dar futuros accidentes, ya que colaboradores mencionan que en ocasiones sucede que espátula choca contra hélice y se produce un rebote hacia arriba."/>
    <s v="Golpeado contra"/>
    <s v="Pulgar izquierdo"/>
    <s v="Mano/Muñeca/Dedos"/>
    <s v="Limpieza"/>
    <s v="Contusion en pulgar izquierdo"/>
    <s v="Contusión/Trauma"/>
    <n v="0"/>
    <n v="0"/>
    <n v="0"/>
    <s v="Trabajando"/>
    <m/>
    <m/>
    <s v="Tapa de batidora"/>
    <s v="CONTRATO TEMPORAL"/>
    <s v="Acc. No Incapacitante"/>
    <n v="0"/>
    <x v="0"/>
    <m/>
  </r>
  <r>
    <n v="172"/>
    <s v="-"/>
    <x v="0"/>
    <x v="2"/>
    <s v="LURIN"/>
    <s v="Intradevco"/>
    <x v="16"/>
    <x v="0"/>
    <s v="Areas comunes"/>
    <x v="0"/>
    <x v="0"/>
    <d v="2024-08-20T00:00:00"/>
    <n v="34"/>
    <n v="20"/>
    <x v="5"/>
    <n v="2024"/>
    <d v="1899-12-30T19:00:00"/>
    <s v="N"/>
    <x v="3"/>
    <x v="5"/>
    <s v="TORRES"/>
    <s v="ORUE"/>
    <s v="JHONATHAN HANS "/>
    <s v="MASCULINO"/>
    <s v="-"/>
    <s v="OPERARIO DE PRODUCCIÓN"/>
    <s v="-"/>
    <s v="Colaborador Torres Orue Jhonatan estuvo bajando por las escaleras para poder retirarse ya que era término de turno. Al haber tránsito de compañeros no pisa bien uno de los peldaños generando caída hacia atrás y se golpea su brazo derecho con el filo del antideslizante._x000a_- Se realiza la consulta al colaborador y manifiesta que no hizo uso del pasamanos ya que &quot;se le olvidó&quot;_x000a_- Luminarias de escaleras no están en funcionamiento lo que dificulta la visibilidad"/>
    <s v="Caída al mismo nivel"/>
    <s v="Brazo derecho"/>
    <s v="Brazo/Codo/Hombro"/>
    <s v="Uso de escalera"/>
    <s v="Corte en brazo derecho"/>
    <s v="Corte/Herida"/>
    <n v="0"/>
    <n v="0"/>
    <n v="0"/>
    <s v="Trabajando"/>
    <m/>
    <m/>
    <s v="Escalera"/>
    <s v="CONTRATO TEMPORAL"/>
    <s v="Acc. No Incapacitante"/>
    <n v="0"/>
    <x v="0"/>
    <m/>
  </r>
  <r>
    <n v="173"/>
    <s v="-"/>
    <x v="0"/>
    <x v="2"/>
    <s v="LURIN"/>
    <s v="Intradevco"/>
    <x v="16"/>
    <x v="0"/>
    <s v="Empacado detergente"/>
    <x v="0"/>
    <x v="0"/>
    <d v="2024-08-22T00:00:00"/>
    <n v="34"/>
    <n v="22"/>
    <x v="5"/>
    <n v="2024"/>
    <d v="1899-12-30T08:45:00"/>
    <s v="D"/>
    <x v="3"/>
    <x v="5"/>
    <s v="SANCHEZ "/>
    <s v="GUTIERREZ "/>
    <s v="CARLOS YASER"/>
    <s v="MASCULINO"/>
    <s v="-"/>
    <s v="OPERARIO DE PRODUCCIÓN"/>
    <s v="-"/>
    <s v="El colaborador Sánchez Gutiérrez Carlos menciona el día de ayer  21/08/24 a las 3:00 pm se encontraba en la línea 1 apilando, mencióna que su compañero apilaba lento y los bolsones venían rápido fue entonces que se juntaron dos bolsones y al momento de alzar cruza sus brazos y su mano derecha el dedo del medio queda atrapado entre la faja y su soporte de inmediato saca su mano continúo laborando ya que no sentía dolor, no dió aviso y a las 6:30 pm le empezó doler el dedo del medio de su mano derecha  y no dió aviso a nadie, llego a su casa se puso hielo y tomo pastilla paracetamol. _x000a__x000a_- hoy se encontraba apilando en la línea 1 y recién da aviso del dolor que siente al momento de alzar el bolsón, su intensidad de dolor es 5/10."/>
    <s v="Atrapado por Partes en Movimiento"/>
    <s v="Dedo medio derecho"/>
    <s v="Mano/Muñeca/Dedos"/>
    <s v="Apilado de sacos"/>
    <s v="Contusion en dedo medio derecho"/>
    <s v="Contusión/Trauma"/>
    <n v="0"/>
    <n v="0"/>
    <n v="0"/>
    <s v="Trabajando"/>
    <m/>
    <m/>
    <s v="Faja"/>
    <s v="CONTRATO TEMPORAL"/>
    <s v="Acc. No Incapacitante"/>
    <n v="0"/>
    <x v="0"/>
    <m/>
  </r>
  <r>
    <n v="174"/>
    <s v="-"/>
    <x v="0"/>
    <x v="2"/>
    <s v="LURIN"/>
    <s v="Intradevco"/>
    <x v="16"/>
    <x v="0"/>
    <s v="Lavavajilla"/>
    <x v="0"/>
    <x v="0"/>
    <d v="2024-08-27T00:00:00"/>
    <n v="35"/>
    <n v="27"/>
    <x v="5"/>
    <n v="2024"/>
    <d v="1899-12-30T23:50:00"/>
    <s v="N"/>
    <x v="3"/>
    <x v="5"/>
    <s v="-"/>
    <s v="-"/>
    <s v="-"/>
    <s v="FEMENINO"/>
    <s v="-"/>
    <s v="OPERARIO DE PRODUCCIÓN"/>
    <s v="-"/>
    <s v="La colaboradora se encontraba realizando la actividad de recuperado de bolsitas, al ejercer presión para revisión una de éstas se encontraba abierta, es ahí cuando el detergente se  proyecta al rostro siendo afectado su ojo izquierdo._x000a_- Antes de la atención por tópico fue llevada al lavaojos por 15 minutos, a pesar de ello aún tenía la vista roja y sentía ardor._x000a_- Sus lentes de seguridad no los tenía bien colocados, la colaboradora refiere que tenerlos pegados al rostro ocasiona que éstos se le empañen a causa del respirador N95 que tenía colocado."/>
    <s v="Proyección de Material Particulado"/>
    <s v="Ojos"/>
    <s v="Ojos"/>
    <s v="Recuperado de merma"/>
    <s v="Cuerpo Extraño en Ojos"/>
    <s v="Cuerpo Extraño en Ojos"/>
    <n v="0"/>
    <n v="0"/>
    <n v="0"/>
    <s v="Trabajando"/>
    <m/>
    <m/>
    <s v="Particulas de detergente"/>
    <s v="CONTRATO TEMPORAL"/>
    <s v="Acc. No Incapacitante"/>
    <n v="0"/>
    <x v="0"/>
    <m/>
  </r>
  <r>
    <n v="175"/>
    <s v="-"/>
    <x v="0"/>
    <x v="2"/>
    <s v="LURIN"/>
    <s v="Intradevco"/>
    <x v="16"/>
    <x v="0"/>
    <s v="Lavavajilla"/>
    <x v="0"/>
    <x v="0"/>
    <d v="2024-08-28T00:00:00"/>
    <n v="35"/>
    <n v="28"/>
    <x v="5"/>
    <n v="2024"/>
    <d v="1899-12-30T06:30:00"/>
    <s v="D"/>
    <x v="3"/>
    <x v="5"/>
    <s v="PAREDES"/>
    <s v=" SALAZAR"/>
    <s v=" ERLITA MARIBEL"/>
    <s v="FEMENINO"/>
    <s v="-"/>
    <s v="OPERARIO DE PRODUCCIÓN"/>
    <s v="-"/>
    <s v="La colaboradora se encontraba en la línea 3 encajando, da un paso para pasar la caja por la encintadora pero se resbala dado que los pisadores estaban separados, ocasionando que se resbale y se doble el pie derecho."/>
    <s v="Caída al mismo nivel"/>
    <s v="Pie derecho"/>
    <s v="Pie/Tobillo"/>
    <s v="Encajado"/>
    <s v="Contusion en pie derecho"/>
    <s v="Contusión/Trauma"/>
    <n v="0"/>
    <n v="0"/>
    <n v="0"/>
    <s v="Trabajando"/>
    <m/>
    <m/>
    <s v="Reposapies"/>
    <s v="CONTRATO TEMPORAL"/>
    <s v="Acc. No Incapacitante"/>
    <n v="0"/>
    <x v="0"/>
    <m/>
  </r>
  <r>
    <n v="176"/>
    <s v="-"/>
    <x v="0"/>
    <x v="2"/>
    <s v="LURIN"/>
    <s v="Intradevco"/>
    <x v="16"/>
    <x v="0"/>
    <s v="Empacado detergente"/>
    <x v="0"/>
    <x v="0"/>
    <d v="2024-08-29T00:00:00"/>
    <n v="35"/>
    <n v="29"/>
    <x v="5"/>
    <n v="2024"/>
    <d v="1899-12-30T18:20:00"/>
    <s v="D"/>
    <x v="3"/>
    <x v="5"/>
    <s v="GARCIA"/>
    <s v=" MONRROY"/>
    <s v=" LUIS ALFREDO "/>
    <s v="MASCULINO"/>
    <s v="-"/>
    <s v="OPERARIO DE PRODUCCIÓN"/>
    <s v="-"/>
    <s v="El colaborador García Monrroy Luis  CA. se encontraba en la actividad de colocación de bolsas, al momento de colocar la bolsa al soporte metálico queda atrapado su mano izquierda con la contadora N°1, el colaborador menciona que sus lentes se encontraban empañados y es por eso que no se dió cuenta cuando giro la contadora N°1."/>
    <s v="Atrapado por Partes en Movimiento"/>
    <s v="Mano izquierda"/>
    <s v="Mano/Muñeca/Dedos"/>
    <s v="Embolsado de producto"/>
    <s v="Contusion en mano izquierda"/>
    <s v="Contusión/Trauma"/>
    <n v="0"/>
    <n v="0"/>
    <n v="0"/>
    <s v="Trabajando"/>
    <m/>
    <m/>
    <s v="Contador de bolsones"/>
    <s v="CONTRATO TEMPORAL"/>
    <s v="Acc. No Incapacitante"/>
    <n v="0"/>
    <x v="0"/>
    <m/>
  </r>
  <r>
    <n v="177"/>
    <s v="-"/>
    <x v="0"/>
    <x v="2"/>
    <s v="LURIN"/>
    <s v="Intradevco"/>
    <x v="16"/>
    <x v="0"/>
    <s v="Empacado detergente"/>
    <x v="0"/>
    <x v="0"/>
    <d v="2024-08-30T00:00:00"/>
    <n v="35"/>
    <n v="30"/>
    <x v="5"/>
    <n v="2024"/>
    <d v="1899-12-30T23:50:00"/>
    <s v="N"/>
    <x v="3"/>
    <x v="5"/>
    <s v="WONG"/>
    <s v=" CONDORI"/>
    <s v=" YULIANA"/>
    <s v="FEMENINO"/>
    <s v="-"/>
    <s v="OPERARIO DE PRODUCCIÓN"/>
    <s v="-"/>
    <s v="La colaboradora Wong Condori se encontraba realizando la actividad de recuperado de merma, al sacudir una de las bolsitas el Deterguente sale proyectado hacia el rostro, siendo afectado su ojo derecho._x000a_- Se hizo uso del lavaojos durante 10 minutos, pero malestar de ardor continuó."/>
    <s v="Proyección de Material Particulado"/>
    <s v="Ojos"/>
    <s v="Ojos"/>
    <s v="Recuperado de merma"/>
    <s v="Cuerpo Extraño en Ojos"/>
    <s v="Cuerpo Extraño en Ojos"/>
    <n v="0"/>
    <n v="0"/>
    <n v="0"/>
    <s v="Trabajando"/>
    <m/>
    <m/>
    <s v="Particulas de detergente"/>
    <s v="CONTRATO TEMPORAL"/>
    <s v="Acc. No Incapacitante"/>
    <n v="0"/>
    <x v="0"/>
    <m/>
  </r>
  <r>
    <n v="178"/>
    <s v="-"/>
    <x v="1"/>
    <x v="1"/>
    <m/>
    <s v="CBB"/>
    <x v="2"/>
    <x v="0"/>
    <s v="Manteca"/>
    <x v="0"/>
    <x v="0"/>
    <d v="2024-08-14T00:00:00"/>
    <n v="33"/>
    <n v="14"/>
    <x v="5"/>
    <n v="2024"/>
    <d v="1899-12-30T04:00:00"/>
    <s v="N"/>
    <x v="0"/>
    <x v="30"/>
    <s v="Ramos"/>
    <s v="Yapiticona"/>
    <s v="David"/>
    <s v="MASCULINO"/>
    <n v="35"/>
    <s v="Recepcionista de manteca"/>
    <d v="2007-06-19T00:00:00"/>
    <s v="En fecha 14 de agosto a hrs. 04:00 am aprox. el trabajador David Ramos Yapiticona (Recepcionista) persona que se encontraba reemplazando al asistente de envasado; detuvieron la línea de envasado de Manteca (Tecmar) por derrame de producto en la cinta transportadora, motivo por el cual procedió a limpiar la cinta con un trapo (huaype), momento en el que sufre un corte en el dedo índice de la mano izquierda por contacto con superficie filosa (Resguardo de la cinta transportadora). Posteriormente es evacuado a la posta médica donde se realiza los primeros auxilios."/>
    <s v="Contacto con superficie filosa"/>
    <s v="Mano izquierda"/>
    <s v="Mano/Muñeca/Dedos"/>
    <s v="Limpieza de cinta de transporte"/>
    <s v="Herida cortante superficial, menor a 1 cm en el dedo índice de la mano izquierda"/>
    <s v="Corte/Herida"/>
    <n v="0"/>
    <n v="0"/>
    <n v="0"/>
    <s v="Trabajando"/>
    <n v="206"/>
    <s v="&gt; 10 años"/>
    <s v="Resguardo de cinta transportadora"/>
    <s v="CONTRATO INDEFINIDO"/>
    <s v="Acc. No Incapacitante"/>
    <n v="0"/>
    <x v="0"/>
    <m/>
  </r>
  <r>
    <n v="179"/>
    <s v="-"/>
    <x v="1"/>
    <x v="1"/>
    <m/>
    <s v="CBB"/>
    <x v="2"/>
    <x v="0"/>
    <s v="Planta de frío"/>
    <x v="0"/>
    <x v="0"/>
    <d v="2024-08-21T00:00:00"/>
    <n v="34"/>
    <n v="21"/>
    <x v="5"/>
    <n v="2024"/>
    <d v="1899-12-30T09:45:00"/>
    <s v="M"/>
    <x v="0"/>
    <x v="0"/>
    <s v="Rivero"/>
    <s v="Torrez"/>
    <s v="Romina"/>
    <s v="FEMENINO"/>
    <n v="22"/>
    <s v="Practica de producción"/>
    <d v="2024-07-02T00:00:00"/>
    <s v="En fecha 21 de agosto a hrs 08:15 am aprox. la practicante de producción Romina Rivero Torrez, realizaba la toma de datos para el control de la dosificación de aditivos (wetcool 305) en las torres de Frio Raf en la Planta Frío. Para ello acompaño al responsable de la operación de dosificación Juan Carlos Galvez. Durante el bombeo del aditivo que se realizaba con una bomba de desplazamiento positivo, se rompe la unión patente de pvc, salpicando la sustancia de trabajo al rostro de la practicante quien se encontraba próximo al área de trabajo. Inmediatamente el operador procede a realizarle el lavado en la ducha de emergencia del área."/>
    <s v="Proyección de Sustancias Químicas"/>
    <s v="Rostro"/>
    <s v="Ojos"/>
    <s v="Registro de toma de datos"/>
    <s v="Conjuntivitis irritativa en los ojos por contacto con sustancia peligrosa"/>
    <s v="Cuerpo Extraño en Ojos"/>
    <n v="0"/>
    <n v="0"/>
    <n v="0"/>
    <s v="Realizando su práctica"/>
    <n v="2"/>
    <s v="&lt; 1 a 3 meses"/>
    <s v="Sistema de dosificación de aditivos (bomba de succión)"/>
    <s v="Practica universitaria"/>
    <s v="Acc. No Incapacitante"/>
    <n v="0"/>
    <x v="0"/>
    <m/>
  </r>
  <r>
    <n v="180"/>
    <s v="-"/>
    <x v="1"/>
    <x v="1"/>
    <m/>
    <s v="PDF"/>
    <x v="1"/>
    <x v="0"/>
    <s v="Pelletizado"/>
    <x v="0"/>
    <x v="0"/>
    <d v="2024-08-30T00:00:00"/>
    <n v="35"/>
    <n v="30"/>
    <x v="5"/>
    <n v="2024"/>
    <d v="1899-12-30T09:45:00"/>
    <s v="M"/>
    <x v="0"/>
    <x v="0"/>
    <s v="Hervas"/>
    <s v="Veizaga"/>
    <s v="Boris"/>
    <s v="MASCULINO"/>
    <n v="44"/>
    <s v="Supervisor de producción"/>
    <d v="2015-08-17T00:00:00"/>
    <s v="Durante la rutina de supervision diaria el funcionario Boris Herbas, se encontraba desplazandose del sector de peletizado hacia el embolsado, en un momento se desestabiliza doblandose su pies izquierdo generandole una leve molestia. Inmediatamente retorna con una pequeña dificultad a las oficinas de ingenieria y comunica sobre el eventos, y se procede trasladarlo a la posta medica para su respectiva valoracion y atencion."/>
    <s v="Sobreesfuerzo"/>
    <s v="Tobillo izquierdo"/>
    <s v="Pie/Tobillo"/>
    <s v="Transito en vías peatonales"/>
    <s v="Esguince grado I"/>
    <s v="Esguince/Torcedura"/>
    <n v="0"/>
    <n v="0"/>
    <n v="0"/>
    <s v="Trabajando"/>
    <n v="114"/>
    <s v="&gt; 10 años"/>
    <s v="Piso con desnivel"/>
    <s v="CONTRATO INDEFINIDO"/>
    <s v="Acc. No Incapacitante"/>
    <n v="0"/>
    <x v="0"/>
    <m/>
  </r>
  <r>
    <n v="181"/>
    <s v="PCO24388"/>
    <x v="0"/>
    <x v="0"/>
    <s v="PREDIO CENTRAL"/>
    <s v="Copsa"/>
    <x v="3"/>
    <x v="0"/>
    <s v="ACEITES"/>
    <x v="0"/>
    <x v="0"/>
    <d v="2024-09-03T00:00:00"/>
    <n v="36"/>
    <n v="3"/>
    <x v="8"/>
    <n v="2024"/>
    <d v="1899-12-30T10:30:00"/>
    <s v="M"/>
    <x v="0"/>
    <x v="0"/>
    <s v="PINEDA"/>
    <s v="ARRIOLA"/>
    <s v="PEDRO GUILLERMO"/>
    <s v="MASCULINO"/>
    <n v="37"/>
    <s v="JEFE DE PRODUCCION ENVASADO ACEITES"/>
    <d v="2015-05-18T00:00:00"/>
    <s v="El colaborador se encontraba en el área de paletizado automático de envasado de aceites y al caminar no se percató de la estructura metálica de la zona de salida de paletas e impactó a la altura de la pantorrilla, generándose una excoriación superficial"/>
    <s v="Golpeado contra"/>
    <s v="Pierna"/>
    <s v="Pierna"/>
    <s v="Coordinación en planta"/>
    <s v="Contusión leve"/>
    <s v="Contusión/Trauma"/>
    <n v="0"/>
    <n v="0"/>
    <n v="0"/>
    <s v="Trabajando"/>
    <n v="111"/>
    <s v="&lt; 5 a 10 años"/>
    <s v="Estructura metálica de la zona de salida de paletas"/>
    <s v="CONTRATO INDEFINIDO"/>
    <s v="Acc. No Incapacitante"/>
    <n v="0"/>
    <x v="0"/>
    <m/>
  </r>
  <r>
    <n v="182"/>
    <s v="-"/>
    <x v="0"/>
    <x v="2"/>
    <s v="LURIN"/>
    <s v="Intradevco"/>
    <x v="9"/>
    <x v="9"/>
    <s v="Almacen EEII"/>
    <x v="1"/>
    <x v="1"/>
    <d v="2024-09-04T00:00:00"/>
    <n v="36"/>
    <n v="4"/>
    <x v="8"/>
    <n v="2024"/>
    <d v="1899-12-30T09:40:00"/>
    <s v="M"/>
    <x v="3"/>
    <x v="7"/>
    <s v="Zuñiga"/>
    <s v="Fernández"/>
    <s v="Kevin"/>
    <s v="MASCULINO"/>
    <n v="20"/>
    <s v="almacenero 2_x0009_"/>
    <s v="-"/>
    <s v="Aproximadamente a las 09:40 a.m., el colaborador se encontraba en el almacen de insumos ( CD2 ), trasladando mercadería a los pasillos, al momento de cargar un bloque de cajas con un peso de 42 kg, junto a un compañero, perdieron el control de la carga, y esta golpeó sobre el tobillo derecho del colaborador, el colaborador es atendido en el topico y posteriormente evacuado a la clinica"/>
    <s v="Golpeado por"/>
    <s v="Tobillo derecho"/>
    <s v="Pie/Tobillo"/>
    <s v="Manipulacion de separadores"/>
    <s v="Contusion"/>
    <s v="Contusión/Trauma"/>
    <n v="12"/>
    <n v="0"/>
    <n v="12"/>
    <s v="Trabajando"/>
    <n v="4"/>
    <s v="&lt; 3 a 6 meses"/>
    <s v="Separadores"/>
    <s v="CONTRATO TEMPORAL"/>
    <s v="Acc. Incapacitante"/>
    <n v="0"/>
    <x v="1"/>
    <m/>
  </r>
  <r>
    <n v="183"/>
    <s v="-"/>
    <x v="0"/>
    <x v="2"/>
    <s v="LURIN"/>
    <s v="Intradevco"/>
    <x v="7"/>
    <x v="0"/>
    <s v="Producción"/>
    <x v="0"/>
    <x v="0"/>
    <d v="2024-08-07T00:00:00"/>
    <n v="32"/>
    <n v="7"/>
    <x v="5"/>
    <n v="2024"/>
    <d v="1899-12-30T17:00:00"/>
    <s v="D"/>
    <x v="0"/>
    <x v="14"/>
    <s v="GOMEZ"/>
    <s v="BENDEZU"/>
    <s v="RICARDO ALEJANDRO"/>
    <s v="MASCULINO"/>
    <s v="-"/>
    <s v="MECÁNICO"/>
    <s v="-"/>
    <s v="El colaborador se acercó al tópico de emergencia solicitando atención médica por contacto de sustancia química (Mezcla de barsol con solvente dieléctrico) en el dorso de la mano izquierda._x000a_Refiere que se contaminó al momento de realizar la limpieza en el interior de empacadora Meypack al utilizar un trapo humedo con la sustancia química, cabe indicar que usaba guantes descartable de nitrilo, que al parecer se encontraba con hueco."/>
    <s v="Exposición a Sustancias Químicas"/>
    <s v="Mano izquierda"/>
    <s v="Mano/Muñeca/Dedos"/>
    <s v="Limpieza de equipo"/>
    <s v="Quemadura química"/>
    <s v="Dermatitis/Irritación de la piel"/>
    <n v="0"/>
    <m/>
    <m/>
    <m/>
    <m/>
    <m/>
    <s v="Mezcla química"/>
    <m/>
    <s v="Acc. No Incapacitante"/>
    <n v="0"/>
    <x v="0"/>
    <m/>
  </r>
  <r>
    <n v="184"/>
    <s v="-"/>
    <x v="0"/>
    <x v="2"/>
    <s v="LURIN"/>
    <s v="Intradevco"/>
    <x v="7"/>
    <x v="0"/>
    <s v="Producción"/>
    <x v="0"/>
    <x v="0"/>
    <d v="2024-08-16T00:00:00"/>
    <n v="33"/>
    <n v="16"/>
    <x v="5"/>
    <n v="2024"/>
    <d v="1899-12-30T09:51:00"/>
    <s v="D"/>
    <x v="0"/>
    <x v="1"/>
    <s v="Chero"/>
    <s v="Adrian"/>
    <s v="Sandoval"/>
    <s v="MASCULINO"/>
    <s v="-"/>
    <s v="OPERARIO DE PRODUCCIÓN"/>
    <s v="-"/>
    <s v="presenta heridad de corte en el rostro lado derecho, producido por el impacto al momento de bajar una caja llena con tapas actuadoras, golpea contra su lente de seguridad, generando presión sobre su rostro y produciendo un corte superficial. "/>
    <s v="Contacto con superficie cortante"/>
    <s v="Rostro"/>
    <s v="Rostro/Nariz/Boca"/>
    <s v="Movimiento de cajas"/>
    <s v="Herida"/>
    <m/>
    <n v="0"/>
    <m/>
    <m/>
    <m/>
    <m/>
    <m/>
    <s v="Lente de seguridad"/>
    <m/>
    <s v="Acc. No Incapacitante"/>
    <n v="0"/>
    <x v="0"/>
    <m/>
  </r>
  <r>
    <n v="185"/>
    <s v="-"/>
    <x v="0"/>
    <x v="2"/>
    <s v="LURIN"/>
    <s v="Intradevco"/>
    <x v="7"/>
    <x v="0"/>
    <s v="Producción"/>
    <x v="0"/>
    <x v="0"/>
    <d v="2024-08-19T00:00:00"/>
    <n v="34"/>
    <n v="19"/>
    <x v="5"/>
    <n v="2024"/>
    <d v="1899-12-30T16:50:00"/>
    <s v="D"/>
    <x v="3"/>
    <x v="5"/>
    <s v="Huapaya"/>
    <s v="Ochoa "/>
    <s v="Randy Ronald"/>
    <s v="MASCULINO"/>
    <s v="-"/>
    <s v="OPERARIO DE PRODUCCIÓN"/>
    <s v="-"/>
    <s v="El colaborador Huapaya Ochoa Randy Ronald se encontraba colocando una paleta con producto terminado sobre la plataforma de la Robopack. En esas circunstancias, fue impactado en su tobillo izquierdo por la parte inferior de una paleta de madera que contenía una ruma de cajas, la cual era transportada en un transpalet eléctrico operado por el colaborador Pedro Conde (CAO)."/>
    <s v="Golpeado por"/>
    <s v="Pie izquierdo"/>
    <s v="Pie/Tobillo"/>
    <s v="Colocación de paleta en Robopack"/>
    <s v="Contusión"/>
    <m/>
    <n v="0"/>
    <m/>
    <m/>
    <m/>
    <m/>
    <m/>
    <s v="Transpaleta"/>
    <m/>
    <s v="Acc. No Incapacitante"/>
    <n v="0"/>
    <x v="0"/>
    <m/>
  </r>
  <r>
    <n v="186"/>
    <s v="ALI24533"/>
    <x v="0"/>
    <x v="0"/>
    <s v="Distrito del Callao"/>
    <s v="Otros"/>
    <x v="17"/>
    <x v="4"/>
    <s v="Exteriores vestuarios CDC"/>
    <x v="1"/>
    <x v="1"/>
    <d v="2024-09-10T00:00:00"/>
    <n v="37"/>
    <n v="10"/>
    <x v="8"/>
    <n v="2024"/>
    <d v="1899-12-30T06:50:00"/>
    <s v="M"/>
    <x v="4"/>
    <x v="6"/>
    <s v="HUAMANI"/>
    <s v="QUISPE"/>
    <s v="JULIO"/>
    <s v="MASCULINO"/>
    <n v="49"/>
    <s v="OPERARIO DE LIMPIEZA"/>
    <s v="-"/>
    <s v="El señor Julio Huamani Quispe, se encontraba bajando la escalera ubicada en la zona de los vestuarios de terceros de CDC al llegar a los últimos escalones sufre un resbalón ocasionando la caída golpeándose el tobillo. Trató de pararse sin embargo sintió dolor y, caminó hacia el almacén de Alteliza ubicado en CDC; su Supervisor contactó al Tópico posteriormente llega la ambulancia y es derivado a la Clínica San Gabriel._x000a_Diagnóstico: esguince de 3er. Grado y es trasladado a la clínica San Gabriel activándose el SCTR."/>
    <s v="Caída a distinto nivel"/>
    <s v="Tobillo izquierdo"/>
    <s v="Pie/Tobillo"/>
    <s v="Bajando escaleras"/>
    <s v="Fractura de tobillo izquierdo"/>
    <s v="Fractura"/>
    <n v="29"/>
    <n v="0"/>
    <n v="29"/>
    <s v="DM"/>
    <n v="6"/>
    <s v="&lt; 3 a 6 meses"/>
    <s v="ESCALERA"/>
    <s v="PLAZO DETERMINADO"/>
    <s v="Acc. Incapacitante"/>
    <n v="0"/>
    <x v="1"/>
    <m/>
  </r>
  <r>
    <n v="187"/>
    <s v="-"/>
    <x v="0"/>
    <x v="0"/>
    <s v="Miraflores"/>
    <s v="Otros"/>
    <x v="20"/>
    <x v="4"/>
    <s v="Oficinas"/>
    <x v="0"/>
    <x v="0"/>
    <d v="2024-09-11T00:00:00"/>
    <n v="37"/>
    <n v="11"/>
    <x v="8"/>
    <n v="2024"/>
    <d v="1899-12-30T17:14:00"/>
    <s v="T"/>
    <x v="0"/>
    <x v="0"/>
    <s v="Lazarte"/>
    <s v="Escudero"/>
    <s v="Gabriela"/>
    <s v="FEMENINO"/>
    <n v="26"/>
    <s v="EJECUTIVO DE MARCA CONSERVAS"/>
    <d v="2022-09-13T00:00:00"/>
    <s v="Tropiezo en escalera"/>
    <s v="Golpeado contra"/>
    <s v="brazo"/>
    <s v="Mano/Muñeca/Dedos"/>
    <s v="-"/>
    <s v="Traumatismo superficial de antebrazo"/>
    <s v="contusión"/>
    <n v="0"/>
    <n v="0"/>
    <n v="0"/>
    <s v="Laborando"/>
    <n v="24"/>
    <m/>
    <s v="escalera"/>
    <s v="CONTRATO INDEFINIDO"/>
    <s v="Acc. No Incapacitante"/>
    <n v="0"/>
    <x v="0"/>
    <m/>
  </r>
  <r>
    <n v="188"/>
    <s v="-"/>
    <x v="0"/>
    <x v="2"/>
    <s v="LURIN"/>
    <s v="Intradevco"/>
    <x v="16"/>
    <x v="0"/>
    <s v="Empacado detergente"/>
    <x v="1"/>
    <x v="1"/>
    <d v="2024-09-07T00:00:00"/>
    <n v="36"/>
    <n v="7"/>
    <x v="8"/>
    <n v="2024"/>
    <d v="1899-12-30T02:40:00"/>
    <s v="N"/>
    <x v="0"/>
    <x v="14"/>
    <s v="TECCSI"/>
    <s v="RODRIGUEZ"/>
    <s v=" RAFAEL FELIPE"/>
    <s v="MASCULINO"/>
    <n v="62"/>
    <s v="MAQUINISTA"/>
    <s v="-"/>
    <s v="Aproximadamente a las 2:40 am el colaborador Rafael Teccsi se encontraba en su área de trabajo en la zona de enfardado de detergentes, el colaborador aprecia que la bobina de enfardado de la maquina N° 04 se desplazó unos centímetros a la derecha, por lo que el colaborador opta por colocarla en su lugar de manera manual, esta acción la ejecuta mediante su pierna izquierda, con la cual eleva la bobina y con ayuda de sus manos desplaza el eje hacia la izquierda. Al ejercer esta acción, el colaborador siente un dolor intenso en el tendón de aquiles de la pierna izquierda. El trabajador da aviso de lo ocurrido y es trasladado al tópico para recibir atención."/>
    <s v="Sobreesfuerzo"/>
    <s v="Pie izquierdo"/>
    <s v="Pie/Tobillo"/>
    <s v="Colocacion de bobina"/>
    <s v="TRAUMATISMO DEL PIE Y TOBILLO IZQUIERDO"/>
    <s v="Contusión/Trauma"/>
    <n v="9"/>
    <n v="0"/>
    <n v="9"/>
    <s v="DM"/>
    <n v="72"/>
    <s v="&lt; 5 a 10 años"/>
    <s v="Portabobinas"/>
    <s v="CONTRATO INDEFINIDO"/>
    <s v="Acc. Incapacitante"/>
    <n v="0"/>
    <x v="1"/>
    <m/>
  </r>
  <r>
    <n v="189"/>
    <s v="PCO24389"/>
    <x v="0"/>
    <x v="0"/>
    <s v="PREDIO CENTRAL"/>
    <s v="Copsa"/>
    <x v="3"/>
    <x v="0"/>
    <s v="ACEITES"/>
    <x v="1"/>
    <x v="1"/>
    <d v="2024-09-10T00:00:00"/>
    <n v="37"/>
    <n v="10"/>
    <x v="8"/>
    <n v="2024"/>
    <d v="1899-12-30T16:40:00"/>
    <s v="T"/>
    <x v="0"/>
    <x v="3"/>
    <s v="FAUSTINO"/>
    <s v="ZEVALLOS"/>
    <s v="FRANCISCO JOSE"/>
    <s v="MASCULINO"/>
    <n v="46"/>
    <s v="OPERADOR LLENADORA ACEITE"/>
    <d v="2006-09-01T00:00:00"/>
    <s v="El colaborador se encontraba desenrollando el zuncho para el tapado de bines, con una tijera en la mano derecha. En este proceso, su mano derecha impacta contra un grupo de cajas de cartón que se encontraban a su costado y rebota en dirección hacia su rostro, golpeando con la tijera el párpado inferior de su ojo derecho."/>
    <s v="Golpeado por"/>
    <s v="Ojo derecho"/>
    <s v="Ojos"/>
    <s v="Desenrollado de zuncho para el tapado de bines"/>
    <s v="Contusión en ojo derecho"/>
    <s v="Contusión/Trauma"/>
    <n v="1"/>
    <n v="0"/>
    <n v="1"/>
    <s v="Trabajando"/>
    <n v="53"/>
    <s v="&lt; 1 a 5 años"/>
    <s v="Tijera"/>
    <s v="CONTRATO INDEFINIDO"/>
    <s v="Acc. Incapacitante"/>
    <n v="0"/>
    <x v="1"/>
    <m/>
  </r>
  <r>
    <n v="190"/>
    <s v="-"/>
    <x v="0"/>
    <x v="4"/>
    <s v="Sicaya"/>
    <s v="Teal"/>
    <x v="21"/>
    <x v="0"/>
    <s v="Planta Caramelos"/>
    <x v="1"/>
    <x v="1"/>
    <d v="2024-09-09T00:00:00"/>
    <n v="37"/>
    <n v="9"/>
    <x v="8"/>
    <n v="2024"/>
    <d v="1899-12-30T19:30:00"/>
    <s v="N"/>
    <x v="0"/>
    <x v="18"/>
    <s v="TORRES"/>
    <s v="RUIZ"/>
    <s v="CARLOS DANIEL"/>
    <s v="MASCULINO"/>
    <n v="26"/>
    <s v="OPERARIO DE PRODUCCION"/>
    <d v="2024-06-16T00:00:00"/>
    <s v="En circunstancias que el señor Carlos Torres, se encontraba apilando una jaba con caramelos envueltos sobre una ruma de 3 jabas de altura (1.40 m), se distrae escuchando una conversación de sus compañeros desviando la mirada hacia otro lado y a la vez posicionando la jaba, sufriendo el aplastamiento de su dedo anular de la mano derecha entre el borde de la base de la jaba superior con la jaba inferior, provocando el traumatismo en referencia. _x000a_Cabe precisar que el Colaborador reporto el hecho despues de 12 horas de haber ocurrido el accidente."/>
    <s v="Aprisionado entre"/>
    <s v="Dedo anular de la mano derecha"/>
    <s v="Mano/Muñeca/Dedos"/>
    <s v="Apilamiento de jabas con caramelo duro envuelto"/>
    <s v="Traumatismo de tendon y musculo extensor del dedo anular"/>
    <s v="Contusión/Trauma"/>
    <n v="58"/>
    <n v="0"/>
    <n v="58"/>
    <s v="DM"/>
    <n v="2"/>
    <s v="&lt; 1 a 3 meses"/>
    <s v="Manipulación de jabas en forma manual"/>
    <s v="CONTRATO TEMPORAL"/>
    <s v="Acc. Incapacitante"/>
    <n v="0"/>
    <x v="1"/>
    <m/>
  </r>
  <r>
    <n v="191"/>
    <s v="ALI24532_x000a_"/>
    <x v="0"/>
    <x v="0"/>
    <s v="Distrito del Callao"/>
    <s v="Otros"/>
    <x v="13"/>
    <x v="4"/>
    <s v="Edificio Elaboración"/>
    <x v="1"/>
    <x v="1"/>
    <d v="2024-09-16T00:00:00"/>
    <n v="38"/>
    <n v="16"/>
    <x v="8"/>
    <n v="2024"/>
    <d v="1899-12-30T09:30:00"/>
    <s v="M"/>
    <x v="4"/>
    <x v="6"/>
    <s v="GONZALES"/>
    <s v="ORTIZ"/>
    <s v="EDUARDO"/>
    <s v="MASCULINO"/>
    <n v="40"/>
    <s v="OPERARIO DE LIMPIEZA"/>
    <s v="-"/>
    <s v="El día 16/09 aproximadamente a las 9:30 am el trabajador Eduardo Gonzales Ortiz de la empresa ALTELIZA por indicación de su líder de grupo, se encontraba bajando las escaleras del edificio de Elaboración de Planta Detergentes desde el 3er al 1er nivel, en el trayecto sufre un resbalón, para no caerse hacia adelante se sostiene del pasamanos, siente un estirón y hormigueo en la pierna derecha y espalda._x000a_El trabajador da aviso de lo ocurrido a su líder de grupo, quien le indica reposo para luego ser trasladado al tópico para recibir atención, quien luego de la evaluación del médico se decide trasladarlo a la clínica San Gabriel._x000a_En la clínica le brindan el diagnóstico de esguince y torcedura de columna lumbar, otorgándole un descanso médico hasta el 08 de octubre."/>
    <s v="Caída a distinto nivel"/>
    <s v="Zona lumbar de la Columna"/>
    <s v="Columna"/>
    <s v="Bajando escaleras"/>
    <s v="Esguince y torceduras de columna lumbar"/>
    <s v="Esguince/Torcedura"/>
    <n v="22"/>
    <n v="0"/>
    <n v="22"/>
    <s v="DM"/>
    <n v="30"/>
    <s v="&lt; 1 a 5 años"/>
    <s v="ESCALERA"/>
    <s v="PLAZO DETERMINADO"/>
    <s v="Acc. Incapacitante"/>
    <n v="0"/>
    <x v="1"/>
    <m/>
  </r>
  <r>
    <n v="192"/>
    <s v="PCO24401"/>
    <x v="0"/>
    <x v="0"/>
    <s v="PREDIO CENTRAL"/>
    <s v="Copsa"/>
    <x v="3"/>
    <x v="0"/>
    <s v="REFINERIA"/>
    <x v="1"/>
    <x v="1"/>
    <d v="2024-09-17T00:00:00"/>
    <n v="38"/>
    <n v="17"/>
    <x v="8"/>
    <n v="2024"/>
    <d v="1899-12-30T09:20:00"/>
    <s v="M"/>
    <x v="2"/>
    <x v="38"/>
    <s v="CALIXTRO"/>
    <s v="OCHOA"/>
    <s v="HAROLD JUNIOR"/>
    <s v="MASCULINO"/>
    <n v="39"/>
    <s v="OPERARIO DE LIMPIEZA"/>
    <s v="-"/>
    <s v="El colaborador de la empresa tercera que brinda el servicio de limpieza en planta refinería se encontraba realizando la labor de limpieza de pisos, en el transcurso de la limpieza intenta mover una plataforma con otro compañero que al momento de jalar de lado opuesto se pierde la inercia y el colaborador se resbala golpeándose el mentón en la baranda media de la plataforma, el cual le ocasiona un corte de aprox. 1.5 cm. "/>
    <s v="Golpeado contra"/>
    <s v="Mentón"/>
    <s v="Rostro/Nariz/Boca"/>
    <s v="Limpieza de planta"/>
    <s v="Herida contusa en mentón"/>
    <s v="Contusión/Trauma"/>
    <n v="2"/>
    <n v="0"/>
    <n v="2"/>
    <s v="Trabajando"/>
    <m/>
    <s v="&lt; 0.5 a 1 año"/>
    <s v="Baranda de plataforma"/>
    <m/>
    <s v="Acc. Incapacitante"/>
    <n v="0"/>
    <x v="1"/>
    <m/>
  </r>
  <r>
    <n v="193"/>
    <s v="PGL24396"/>
    <x v="0"/>
    <x v="0"/>
    <s v="PREDIO CENTRAL"/>
    <s v="Galletería"/>
    <x v="0"/>
    <x v="0"/>
    <s v="Línea 4"/>
    <x v="0"/>
    <x v="0"/>
    <d v="2024-09-18T00:00:00"/>
    <n v="38"/>
    <n v="18"/>
    <x v="8"/>
    <n v="2024"/>
    <d v="1899-12-30T18:30:00"/>
    <s v="T"/>
    <x v="10"/>
    <x v="25"/>
    <s v="VALVERDE"/>
    <s v=" BERECHE "/>
    <s v="ROSITA ISABEL"/>
    <s v="FEMENINO"/>
    <n v="20"/>
    <s v="Operario de Producción"/>
    <d v="2024-09-11T00:00:00"/>
    <s v="La operadora se encontraba trasladando bandejas hacia la zona de bandejas vacías temporales, cuando bajando con las tres bandejas en mano resbala del primer peldaño cayendo y colocando su mano como soporte. No reportó hasta las 19:20, su supervisora la acompañó al tópico para atención médica. "/>
    <s v="Caída al mismo nivel"/>
    <s v="Mano"/>
    <s v="Mano/Muñeca/Dedos"/>
    <s v="Alimentación de galletas a granel"/>
    <s v="Contusión Leve"/>
    <s v="Contusión/Trauma"/>
    <n v="0"/>
    <n v="0"/>
    <n v="0"/>
    <s v="Laborando"/>
    <n v="0"/>
    <s v="&lt; 1 mes"/>
    <s v="escalera"/>
    <s v="CONTRATO TEMPORAL"/>
    <s v="Acc. No Incapacitante"/>
    <n v="0"/>
    <x v="0"/>
    <m/>
  </r>
  <r>
    <n v="194"/>
    <s v="PGL24545"/>
    <x v="0"/>
    <x v="0"/>
    <s v="PREDIO CENTRAL"/>
    <s v="Galletería"/>
    <x v="0"/>
    <x v="0"/>
    <s v="Línea 4"/>
    <x v="1"/>
    <x v="1"/>
    <d v="2024-09-19T00:00:00"/>
    <n v="38"/>
    <n v="19"/>
    <x v="8"/>
    <n v="2024"/>
    <d v="1899-12-30T21:30:00"/>
    <s v="T"/>
    <x v="3"/>
    <x v="25"/>
    <s v="VALVERDE"/>
    <s v=" BERECHE "/>
    <s v="ROSITA ISABEL"/>
    <s v="FEMENINO"/>
    <n v="20"/>
    <s v="Operario de Producción"/>
    <d v="2024-09-11T00:00:00"/>
    <s v="La colaboradora se encontraba alimentando galletas en la L4 - D3  y al tratar de movilizarse pierde el equilibrio y al sostenerse para evitar su caída , se golpea ambas manos (no presenta fracturas pero si un corte en la mano izquierda). Se le brindan los primeros auxilios y se otorga un DM de 03 días."/>
    <s v="Caída a distinto nivel"/>
    <s v="Mano"/>
    <s v="Mano/Muñeca/Dedos"/>
    <s v="Alimentación de galletas a granel"/>
    <s v="Corte"/>
    <s v="Corte/Herida"/>
    <n v="14"/>
    <n v="0"/>
    <n v="14"/>
    <s v="DM"/>
    <n v="0"/>
    <s v="&lt; 1 mes"/>
    <s v="Plataforma"/>
    <s v="CONTRATO TEMPORAL"/>
    <s v="Acc. Incapacitante"/>
    <n v="0"/>
    <x v="1"/>
    <m/>
  </r>
  <r>
    <n v="195"/>
    <s v="PGL24403"/>
    <x v="0"/>
    <x v="0"/>
    <s v="PREDIO CENTRAL"/>
    <s v="Galletería"/>
    <x v="0"/>
    <x v="0"/>
    <s v="Línea 4"/>
    <x v="0"/>
    <x v="0"/>
    <d v="2024-09-21T00:00:00"/>
    <n v="38"/>
    <n v="21"/>
    <x v="8"/>
    <n v="2024"/>
    <d v="1899-12-30T10:40:00"/>
    <s v="M"/>
    <x v="10"/>
    <x v="25"/>
    <s v="RAMOS "/>
    <s v="MALLQUI "/>
    <s v="GIOVANNA NERY"/>
    <s v="FEMENINO"/>
    <n v="40"/>
    <s v="Operario de Producción"/>
    <d v="2024-08-14T00:00:00"/>
    <s v="Siendo las 10:40, la operaria de producción se encontraba realizando labores de bandejeo de granel Margarita en la posición de mesa de acomodo (altura de envasadora D1), cuando de pronto su compañera Yessica Estacio quien también se encontraba realizando la misma labor en esta zona, levanta la bandeja con granel para realizar el apilado golpeando el rostro del lado izquierdo de su compañera. Se deriva a la trabajadora al tópico para evaluación y tratamiento farmacológico correspondiente. No requiere traslado._x000a_"/>
    <s v="Golpeado por"/>
    <s v="Rostro"/>
    <s v="Mano/Muñeca/Dedos"/>
    <s v="Alimentación de galletas a granel"/>
    <s v="Constusión en cara"/>
    <s v="Contusión/Trauma"/>
    <n v="0"/>
    <n v="0"/>
    <n v="0"/>
    <s v="Laborando"/>
    <n v="1"/>
    <s v="&lt; 1 a 3 meses"/>
    <s v="Bandeja"/>
    <s v="CONTRATO TEMPORAL"/>
    <s v="Acc. No Incapacitante"/>
    <n v="0"/>
    <x v="0"/>
    <m/>
  </r>
  <r>
    <n v="196"/>
    <s v="-"/>
    <x v="1"/>
    <x v="1"/>
    <m/>
    <s v="PDF"/>
    <x v="1"/>
    <x v="9"/>
    <s v="Almacen de Producto Terminado"/>
    <x v="1"/>
    <x v="1"/>
    <d v="2024-09-18T00:00:00"/>
    <n v="38"/>
    <n v="18"/>
    <x v="8"/>
    <n v="2024"/>
    <d v="1899-12-30T10:00:00"/>
    <s v="M"/>
    <x v="9"/>
    <x v="3"/>
    <s v="Muñoz"/>
    <s v="Rodriguez"/>
    <s v="Richard"/>
    <s v="MASCULINO"/>
    <n v="41"/>
    <s v="Estibador de cascara"/>
    <d v="2019-04-09T00:00:00"/>
    <s v="Alrededor de las 10:00 am el estibar de cascara Richard Muñoz Rodríguez se encontraba manipulando el chimango para su acomodo dentro del almacén de cascara de soya en planta PDF._x000a_Al momento de realizar el traslado de una posición a otra, junto con sus compañeros de trabajo (4 personas), realiza presiones con el pie izquierdo sobre una de las llantas (acción subestándar) para direccionar la misma en la posición deseada, posteriormente junto con sus compañeros empujan el chimango hacia la posición deseando, momento en el que el estibador de cascara siente un estirón en la pantorrilla de la pierna izquierda._x000a_Inmediatamente es derivado hacia la posta media, donde recibe la atención correspondiente y se procede con la derivación a ente de salud externo para la valoración de la lesión en compañía con el medico de planta."/>
    <s v="Sobreesfuerzo"/>
    <s v="MUSLO GEMELO INTERNO IZQUIERDO"/>
    <s v="Pierna"/>
    <s v="Presión con pie a rueda de chimango"/>
    <s v="Desgarro miofibrilar grado I-II Gemelo interno izquierdo"/>
    <s v="Desgarro/Estiramiento Muscular"/>
    <n v="3"/>
    <n v="0"/>
    <n v="3"/>
    <s v="Descanso Médico"/>
    <n v="2190"/>
    <s v="&lt; 5 a 10 años"/>
    <s v="COMPORTAMIENTO INSEGURO"/>
    <s v="CONTRATO POR TEMPORADA"/>
    <s v="Acc. Incapacitante"/>
    <n v="0"/>
    <x v="1"/>
    <m/>
  </r>
  <r>
    <n v="197"/>
    <s v="PCO24420"/>
    <x v="0"/>
    <x v="0"/>
    <s v="PREDIO CENTRAL"/>
    <s v="Copsa"/>
    <x v="3"/>
    <x v="1"/>
    <s v="LABORATORIO DE MICROBIOLOGIA"/>
    <x v="1"/>
    <x v="1"/>
    <d v="2024-09-24T00:00:00"/>
    <n v="39"/>
    <n v="24"/>
    <x v="8"/>
    <n v="2024"/>
    <d v="1899-12-30T15:45:00"/>
    <s v="T"/>
    <x v="0"/>
    <x v="3"/>
    <s v="SILVA"/>
    <s v="CADENILLAS"/>
    <s v="GERALDINE ALISSON"/>
    <s v="FEMENINO"/>
    <n v="29"/>
    <s v="TECNICO DE LABORATORIO"/>
    <d v="2020-07-27T00:00:00"/>
    <s v="La colaboradora refiere que trasladando un equipo homogenizador (vortex), éste se le resbala de las manos; al intentar evitar que el equipo caiga al piso, extiende la mano derecha, ocasionando que dicho equipo impacte contra su mano, provocando la contusión en el dorso (4to y 5to dedo)"/>
    <s v="Golpeado por"/>
    <s v="Mano"/>
    <s v="Mano/Muñeca/Dedos"/>
    <s v="Traslado de equipo homogenizador (vortex)"/>
    <s v="Contusión en dorso de mano derecha, 4to y 5to dedo"/>
    <s v="Contusión/Trauma"/>
    <n v="8"/>
    <n v="0"/>
    <n v="8"/>
    <s v="Descanso Médico"/>
    <n v="50"/>
    <s v="&lt; 1 a 5 años"/>
    <s v="Equipo homogenizador (vortex)"/>
    <s v="CONTRATO INDEFINIDO"/>
    <s v="Acc. Incapacitante"/>
    <n v="0"/>
    <x v="1"/>
    <m/>
  </r>
  <r>
    <n v="198"/>
    <s v="DIS24479"/>
    <x v="0"/>
    <x v="0"/>
    <s v="PREDIO CENTRAL"/>
    <s v="Otros"/>
    <x v="23"/>
    <x v="3"/>
    <s v="Transportes"/>
    <x v="1"/>
    <x v="1"/>
    <d v="2024-09-23T00:00:00"/>
    <n v="39"/>
    <n v="23"/>
    <x v="8"/>
    <n v="2024"/>
    <d v="1899-12-30T13:40:00"/>
    <s v="D"/>
    <x v="8"/>
    <x v="39"/>
    <s v="MANTILLA"/>
    <s v="RODRIGUEZ"/>
    <s v="ROGER MANUEL"/>
    <s v="MASCULINO"/>
    <n v="46"/>
    <s v="Transportista"/>
    <s v="NA"/>
    <s v="El accidente sucedió aproximadamente 1:30pm en la zona de fumigación del CDC. El conductor de la empresa de Transportes Rodrigo Carranza (TRC) que transportaba la unidad de placa T6W806 para realizar un Traslado Nacional, se encontraba a la espera de la fumigación de su unidad cuando intenta levantar una manta cobertora que se encontraba en el suelo con la ayuda de otro trabajador, en ese instante experimenta un fuerte dolor en la espalda baja que le impidió moverse. Se comunica el evento, con el soporte de los inspectores de seguridad el conductor _x000a_es trasladado al tópico donde tras una evaluación inicial, se decidió derivarlo a la Clínica San Gabriel para el tratamiento médico que corresponda (En curso). _x000a_"/>
    <s v="Sobreesfuerzo"/>
    <s v="Cadera"/>
    <s v="Columna"/>
    <s v="Levantando una manta cobertora"/>
    <s v="Lumbago ciática"/>
    <s v="Desgarro/Estiramiento Muscular"/>
    <n v="15"/>
    <n v="0"/>
    <n v="15"/>
    <s v="Descanso Médico"/>
    <n v="180"/>
    <s v="&gt; 10 años"/>
    <s v="Manta cobertora"/>
    <s v="CONTRATO INDEFINIDO"/>
    <s v="Acc. Incapacitante"/>
    <n v="0"/>
    <x v="1"/>
    <m/>
  </r>
  <r>
    <n v="199"/>
    <s v="PGL24546"/>
    <x v="0"/>
    <x v="0"/>
    <s v="PREDIO CENTRAL"/>
    <s v="Galletería"/>
    <x v="0"/>
    <x v="0"/>
    <s v="Comedor G&amp;I"/>
    <x v="1"/>
    <x v="1"/>
    <d v="2024-09-25T00:00:00"/>
    <n v="39"/>
    <n v="25"/>
    <x v="8"/>
    <n v="2024"/>
    <d v="1899-12-30T19:00:00"/>
    <s v="D"/>
    <x v="0"/>
    <x v="3"/>
    <s v="ZANABRIA "/>
    <s v="AYMA"/>
    <s v=" MELQUIADES"/>
    <s v="MASCULINO"/>
    <n v="48"/>
    <s v="Operario de Producción"/>
    <m/>
    <s v="El colaborador intentó retirar su táper de comida del microondas con una sola mano, lo que provocó que el envase se desestabilizara y se rompiera. Al intentar evitar la caída, sufrió un corte en la mano izquierda debido al contacto con un borde afilado._x000a_El colaborador recibió atención en el centro médico, donde le realizaron la sutura de la herida y le han otorgado dos días de descanso médico por el momento."/>
    <s v="Contacto con superficie filosa"/>
    <s v="Mano"/>
    <s v="Mano/Muñeca/Dedos"/>
    <s v="Refrigerio"/>
    <s v="Herida en la mano"/>
    <s v="Corte/Herida"/>
    <n v="11"/>
    <n v="0"/>
    <n v="11"/>
    <s v="Descanso Médico"/>
    <m/>
    <m/>
    <s v="Recipiente roto"/>
    <s v="CONTRATO INDEFINIDO"/>
    <s v="Acc. Incapacitante"/>
    <n v="0"/>
    <x v="1"/>
    <s v="SI"/>
  </r>
  <r>
    <n v="200"/>
    <s v="PGL24472 "/>
    <x v="0"/>
    <x v="0"/>
    <s v="PREDIO CENTRAL"/>
    <s v="Galletería"/>
    <x v="0"/>
    <x v="0"/>
    <s v="Bañados"/>
    <x v="0"/>
    <x v="0"/>
    <d v="2024-09-27T00:00:00"/>
    <n v="39"/>
    <n v="27"/>
    <x v="8"/>
    <n v="2024"/>
    <d v="1899-12-30T08:40:00"/>
    <s v="D"/>
    <x v="0"/>
    <x v="0"/>
    <s v=" ZEVALLOS "/>
    <s v="ORRILLO"/>
    <s v="EMITERIO"/>
    <s v="MASCULINO"/>
    <n v="50"/>
    <s v="Operario de Producción"/>
    <m/>
    <s v="El colaborador intentó desatorar la  acumulación de galletas en el magazine , al aperturar la guarda y proceder a retirar presenta contacto con una superficie por la fuerza impartida para retirar el producto , es atendido en tópico y se le brindan los primeros auxilios"/>
    <s v="Golpeado por"/>
    <s v="Mano"/>
    <s v="Mano/Muñeca/Dedos"/>
    <s v="Alimentación de Galletas"/>
    <s v="Herida en la mano"/>
    <s v="Corte/Herida"/>
    <n v="0"/>
    <n v="0"/>
    <n v="0"/>
    <s v="Laborando"/>
    <m/>
    <m/>
    <s v="Magazine"/>
    <s v="CONTRATO INDEFINIDO"/>
    <s v="Acc. No Incapacitante"/>
    <n v="0"/>
    <x v="0"/>
    <m/>
  </r>
  <r>
    <n v="201"/>
    <s v="PCO24522"/>
    <x v="0"/>
    <x v="0"/>
    <s v="PREDIO CENTRAL"/>
    <s v="Copsa"/>
    <x v="3"/>
    <x v="6"/>
    <s v="MANTENIMIENTO"/>
    <x v="0"/>
    <x v="0"/>
    <d v="2024-09-21T00:00:00"/>
    <n v="38"/>
    <n v="21"/>
    <x v="8"/>
    <n v="2024"/>
    <d v="1899-12-30T14:39:00"/>
    <s v="M"/>
    <x v="2"/>
    <x v="40"/>
    <s v="AGUILAR"/>
    <s v="DE LA CRUZ"/>
    <s v="EDDY GODOFREDO"/>
    <s v="MASCULINO"/>
    <n v="46"/>
    <s v="MAESTRO DE OBRA"/>
    <m/>
    <s v="El colaborador de la empresa tercera se encontraba en los vestuarios para lavarse la cara luego de haber realizado trabajos de desmontajes de tuberías. Se retira el casco con careta y en ese instante le caen partículas sólidas en el ojo derecho. Se realiza un lavado en los ojos pero la molestia persiste y opta por ir al tópico. En el tópico se le realiza un lavado ocular y no requiere traslado."/>
    <s v="Proyección de Material Particulado"/>
    <s v="Ojo derecho"/>
    <s v="Ojos"/>
    <s v="Lavado de cara en vestuarios"/>
    <s v="Cuerpo extraño en parte externa del ojo derecho"/>
    <s v="Cuerpo Extraño en Ojos"/>
    <n v="0"/>
    <n v="0"/>
    <n v="0"/>
    <s v="Trabajando"/>
    <m/>
    <m/>
    <s v="Partículas sólidas producto del desmontaje de tuberías"/>
    <m/>
    <s v="Acc. No Incapacitante"/>
    <n v="0"/>
    <x v="0"/>
    <m/>
  </r>
  <r>
    <n v="202"/>
    <m/>
    <x v="0"/>
    <x v="2"/>
    <s v="LURIN"/>
    <s v="Intradevco"/>
    <x v="16"/>
    <x v="0"/>
    <s v="Empacado detergente"/>
    <x v="0"/>
    <x v="0"/>
    <d v="2024-09-11T00:00:00"/>
    <n v="37"/>
    <n v="11"/>
    <x v="8"/>
    <n v="2024"/>
    <d v="1899-12-30T17:24:00"/>
    <s v="D"/>
    <x v="3"/>
    <x v="5"/>
    <s v="CARDENAS"/>
    <s v=" MELENDEZ"/>
    <s v="MINDOR"/>
    <s v="MASCULINO"/>
    <m/>
    <s v="OPERARIO DE PRODUCCIÓN"/>
    <m/>
    <s v="Colaborador se encontraba levantando la tapa del buzón- zona externa del área junto a otra persona para limpieza, ya que había charco de agua debido a que salía de la tubería rota._x000a_Al compañero se le resbaló la tapa generando que ésta caiga y los bordes le provoque raspones en la pierna posterior derecha"/>
    <s v="Golpeado por"/>
    <s v="Pierna"/>
    <s v="Pierna"/>
    <s v="Manipulacion de tapa de buzon"/>
    <s v="Contusion"/>
    <s v="Contusión/Trauma"/>
    <n v="0"/>
    <n v="0"/>
    <n v="0"/>
    <s v="Laborando"/>
    <m/>
    <m/>
    <s v="Tapa de buzon"/>
    <s v="CONTRATO TEMPORAL"/>
    <s v="Acc. No Incapacitante"/>
    <m/>
    <x v="0"/>
    <m/>
  </r>
  <r>
    <n v="203"/>
    <m/>
    <x v="0"/>
    <x v="2"/>
    <s v="LURIN"/>
    <s v="Intradevco"/>
    <x v="29"/>
    <x v="0"/>
    <s v="Etiquetado"/>
    <x v="0"/>
    <x v="0"/>
    <d v="2024-09-11T00:00:00"/>
    <n v="37"/>
    <n v="11"/>
    <x v="8"/>
    <n v="2024"/>
    <d v="1899-12-30T17:30:00"/>
    <s v="D"/>
    <x v="3"/>
    <x v="5"/>
    <s v="RUEDA"/>
    <s v="VASQUEZ"/>
    <s v="DARLING"/>
    <s v="FEMENINO"/>
    <m/>
    <s v="OPERARIO DE PRODUCCIÓN"/>
    <m/>
    <s v="Colaboradora se encontraba realizando la actividad de etiquetado de galonera de 4 litros en una línea manual, su compañera al momento de lanzar un envase sobre la piscina a una distancia de 1 metro aproximadamente, éste rebota y la punta le cae en el seno derecho."/>
    <s v="Golpeado por"/>
    <s v="Seno"/>
    <s v="Abdomen/Torso"/>
    <s v="Manipulacion de envases"/>
    <s v="Contusion"/>
    <s v="Contusión/Trauma"/>
    <n v="0"/>
    <n v="0"/>
    <n v="0"/>
    <s v="Laborando"/>
    <m/>
    <m/>
    <s v="Envase"/>
    <s v="CONTRATO TEMPORAL"/>
    <s v="Acc. No Incapacitante"/>
    <m/>
    <x v="0"/>
    <m/>
  </r>
  <r>
    <n v="204"/>
    <m/>
    <x v="0"/>
    <x v="2"/>
    <s v="LURIN"/>
    <s v="Intradevco"/>
    <x v="16"/>
    <x v="0"/>
    <s v="Lavavajilla"/>
    <x v="0"/>
    <x v="0"/>
    <d v="2024-09-13T00:00:00"/>
    <n v="37"/>
    <n v="13"/>
    <x v="8"/>
    <n v="2024"/>
    <d v="1899-12-30T15:30:00"/>
    <s v="D"/>
    <x v="3"/>
    <x v="5"/>
    <s v="PIZARRO"/>
    <s v=" CORONEL"/>
    <s v="YENY"/>
    <s v="FEMENINO"/>
    <m/>
    <s v="OPERARIO DE PRODUCCIÓN"/>
    <m/>
    <s v="Colaboradora se encontraba realizando la actividad de tapado de potes en la línea 2._x000a_Al compañero que realizaba el abastecimiento se le resbaló la primera caja de esponjas generando que ésta caiga y el borde inferior impacte contra su hombro derecho."/>
    <s v="Golpeado por"/>
    <s v="Hombro derecho"/>
    <s v="Brazo/Codo/Hombro"/>
    <s v="Tapado de potes"/>
    <s v="Contusion"/>
    <s v="Contusión/Trauma"/>
    <n v="0"/>
    <n v="0"/>
    <n v="0"/>
    <s v="Laborando"/>
    <m/>
    <m/>
    <s v="Caja"/>
    <s v="CONTRATO TEMPORAL"/>
    <s v="Acc. No Incapacitante"/>
    <m/>
    <x v="0"/>
    <m/>
  </r>
  <r>
    <n v="205"/>
    <m/>
    <x v="0"/>
    <x v="2"/>
    <s v="LURIN"/>
    <s v="Intradevco"/>
    <x v="16"/>
    <x v="0"/>
    <s v="Lavavajilla"/>
    <x v="0"/>
    <x v="0"/>
    <d v="2024-09-14T00:00:00"/>
    <n v="37"/>
    <n v="14"/>
    <x v="8"/>
    <n v="2024"/>
    <d v="1899-12-30T12:06:00"/>
    <s v="D"/>
    <x v="3"/>
    <x v="5"/>
    <s v="PEREZ"/>
    <s v="SOLANO"/>
    <s v="ASTRID FIORELLA"/>
    <s v="FEMENINO"/>
    <m/>
    <s v="OPERARIO DE PRODUCCIÓN"/>
    <m/>
    <s v="La colaboradora menciona que estaba en la actividad de recuperado; sin embargo, indica que aún no había comenzado dicha actividad. En ese momento, no llevaba puestos sus lentes, mientras conversaba con su compañera, se rió y se agachó. Su compañera, que estaba a su lado, lanza el producto (detergente), y el filo del producto le roza el ojo izquierdo en la &quot;esclerótica&quot;."/>
    <s v="Golpeado por"/>
    <s v="Ojo izquierdo"/>
    <s v="Ojos"/>
    <s v="Recuperado de bolsas"/>
    <s v="Contusion"/>
    <s v="Contusión/Trauma"/>
    <n v="0"/>
    <n v="0"/>
    <n v="0"/>
    <s v="Laborando"/>
    <m/>
    <m/>
    <s v="Bolsa de detergente"/>
    <s v="CONTRATO TEMPORAL"/>
    <s v="Acc. No Incapacitante"/>
    <m/>
    <x v="0"/>
    <m/>
  </r>
  <r>
    <n v="206"/>
    <m/>
    <x v="0"/>
    <x v="2"/>
    <s v="LURIN"/>
    <s v="Intradevco"/>
    <x v="16"/>
    <x v="0"/>
    <s v="Empacado detergente"/>
    <x v="0"/>
    <x v="0"/>
    <d v="2024-09-16T00:00:00"/>
    <n v="38"/>
    <n v="16"/>
    <x v="8"/>
    <n v="2024"/>
    <d v="1899-12-30T11:25:00"/>
    <s v="D"/>
    <x v="3"/>
    <x v="5"/>
    <s v="MEZA"/>
    <s v="TORRES"/>
    <s v="JESUS"/>
    <s v="MASCULINO"/>
    <m/>
    <s v="OPERARIO DE PRODUCCIÓN"/>
    <m/>
    <s v="El colaborador se encontraba haciendo limpieza de piso en el primer nivel con la espátula, pero ésta se despega de la varilla de madera en donde estaba atada. Le solicitó cinta a la colaboradora Janeth Trigozo (itdc) y le menciona que hay una caja en la máquina intrapack (mezzanine) . El colaborador se dirige a la zona, pero al retorno, cuando bajaba las escalera, se resbala y su reacción inmediata fue sujetarse con ambas manos de las barandas, quedando con los brazos suspendidos, dicha posición le ocasionó un estiramiento en el hombro derecho._x000a_- Colaborador menciona que bajaba sujetado de una mano en la baranda."/>
    <s v="Sobreesfuerzo"/>
    <s v="Hombro derecho"/>
    <s v="Brazo/Codo/Hombro"/>
    <s v="Descenso de escaleras"/>
    <s v="Estiramiento muscular"/>
    <s v="Desgarro/Estiramiento Muscular"/>
    <n v="0"/>
    <n v="0"/>
    <n v="0"/>
    <s v="Laborando"/>
    <m/>
    <m/>
    <s v="Escalera"/>
    <s v="CONTRATO TEMPORAL"/>
    <s v="Acc. No Incapacitante"/>
    <m/>
    <x v="0"/>
    <m/>
  </r>
  <r>
    <n v="207"/>
    <m/>
    <x v="0"/>
    <x v="2"/>
    <s v="LURIN"/>
    <s v="Intradevco"/>
    <x v="16"/>
    <x v="0"/>
    <s v="Lavavajilla"/>
    <x v="0"/>
    <x v="0"/>
    <d v="2024-09-25T00:00:00"/>
    <n v="39"/>
    <n v="25"/>
    <x v="8"/>
    <n v="2024"/>
    <d v="1899-12-30T10:00:00"/>
    <s v="D"/>
    <x v="3"/>
    <x v="5"/>
    <s v="MURAYARI"/>
    <s v=" COQUINCHE"/>
    <s v="MARLENI"/>
    <s v="FEMENINO"/>
    <m/>
    <s v="OPERARIO DE PRODUCCIÓN"/>
    <m/>
    <s v="La colaboradora Marlene Murayari, del área de envasado de lavavajillas, se encontraba realizando la actividad de ofertado en la línea 2. Durante esta tarea, se agotó la cinta de ofertado y se realizó el cambio de rollo de inmediato. Sin embargo, no se ajustó el tornillo (1), lo que provocó que la cinta se deslizara con mayor facilidad al jalarla y quede fuera de su lugar (2)._x000a_Al notar que había una porción de cinta despegada, Marlene intentó acomodarla desde el inicio (girando el rollo) (3), sin darse cuenta de que al lado había una unión de la tubería, esto resultó en un golpe en su codo izquierdo (4). Cabe destacar que la silla estaba muy cerca del muro, lo que contribuyó al choque del codo contra la tubería."/>
    <s v="Golpeado por"/>
    <s v="Codo izquierdo"/>
    <s v="Brazo/Codo/Hombro"/>
    <s v="Ofertado"/>
    <s v="Contusion"/>
    <s v="Contusión/Trauma"/>
    <n v="0"/>
    <n v="0"/>
    <n v="0"/>
    <s v="Laborando"/>
    <m/>
    <m/>
    <s v="Soporte metalico"/>
    <s v="CONTRATO TEMPORAL"/>
    <s v="Acc. No Incapacitante"/>
    <m/>
    <x v="0"/>
    <m/>
  </r>
  <r>
    <n v="208"/>
    <m/>
    <x v="0"/>
    <x v="2"/>
    <s v="LURIN"/>
    <s v="Intradevco"/>
    <x v="29"/>
    <x v="0"/>
    <s v="Etiquetado"/>
    <x v="0"/>
    <x v="0"/>
    <d v="2024-09-25T00:00:00"/>
    <n v="39"/>
    <n v="25"/>
    <x v="8"/>
    <n v="2024"/>
    <d v="1899-12-30T18:39:00"/>
    <s v="D"/>
    <x v="3"/>
    <x v="5"/>
    <s v="MAMANI"/>
    <s v=" AGUILAR"/>
    <s v="PILAR MELANIA"/>
    <s v="FEMENINO"/>
    <m/>
    <s v="OPERARIO DE PRODUCCIÓN"/>
    <m/>
    <s v="La colaboradora estaba haciendo una anotación en un post-it mientras transitaba en una zona del área donde hay máquinas en desuso, ésta contaba con baja iluminación ya que no se realizan actividades cerca de ella, lo que ocasionó que se choque contra la estructura metálica de una de las máquinas en su pómulo del lado izquierdo."/>
    <s v="Golpeado por"/>
    <s v="Pomulo izquiedo"/>
    <s v="Rostro/Nariz/Boca"/>
    <s v="Transito po areas"/>
    <s v="Contusion"/>
    <s v="Contusión/Trauma"/>
    <n v="0"/>
    <n v="0"/>
    <n v="0"/>
    <s v="Laborando"/>
    <m/>
    <m/>
    <s v="Estructura metalica"/>
    <s v="CONTRATO TEMPORAL"/>
    <s v="Acc. No Incapacitante"/>
    <m/>
    <x v="0"/>
    <m/>
  </r>
  <r>
    <n v="209"/>
    <m/>
    <x v="0"/>
    <x v="2"/>
    <s v="LURIN"/>
    <s v="Intradevco"/>
    <x v="16"/>
    <x v="0"/>
    <s v="Empacado detergente"/>
    <x v="0"/>
    <x v="0"/>
    <d v="2024-09-26T00:00:00"/>
    <n v="39"/>
    <n v="26"/>
    <x v="8"/>
    <n v="2024"/>
    <d v="1899-12-30T15:15:00"/>
    <s v="D"/>
    <x v="3"/>
    <x v="5"/>
    <s v="YUMBATO"/>
    <s v=" PACAYA"/>
    <s v="ALEXIS EGLINTON"/>
    <s v="MASCULINO"/>
    <m/>
    <s v="OPERARIO DE PRODUCCIÓN"/>
    <m/>
    <s v="El colaborador se encontraba realizando la actividad de colocación de bolsones en máquina neumopack 1, al notar que del lado izquierdo solo faltaban 2 bolsas para hacer el cambio, colocó de manera apresurada el bolsón del lado derecho, lo que ocasionó que al momento de retirar su mano ésta choque con la contadora que gira automáticamente generándose  un golpe en parte dorsal de la mano izquierda."/>
    <s v="Golpeado por"/>
    <s v="Mano izquierda"/>
    <s v="Mano/Muñeca/Dedos"/>
    <s v="Colocacion de bolsones"/>
    <s v="Contusion"/>
    <s v="Contusión/Trauma"/>
    <n v="0"/>
    <n v="0"/>
    <n v="0"/>
    <s v="Laborando"/>
    <m/>
    <m/>
    <m/>
    <s v="CONTRATO TEMPORAL"/>
    <s v="Acc. No Incapacitante"/>
    <m/>
    <x v="0"/>
    <m/>
  </r>
  <r>
    <n v="210"/>
    <m/>
    <x v="0"/>
    <x v="2"/>
    <s v="LURIN"/>
    <s v="Intradevco"/>
    <x v="16"/>
    <x v="0"/>
    <s v="Lavavajilla"/>
    <x v="1"/>
    <x v="1"/>
    <d v="2024-09-28T00:00:00"/>
    <n v="39"/>
    <n v="28"/>
    <x v="8"/>
    <n v="2024"/>
    <d v="1899-12-30T17:45:00"/>
    <s v="D"/>
    <x v="3"/>
    <x v="5"/>
    <s v="GARCIA"/>
    <s v="VIDAURE"/>
    <s v="JORGE LUIS"/>
    <s v="MASCULINO"/>
    <n v="35"/>
    <s v="OPERARIO DE PRODUCCIÓN"/>
    <m/>
    <s v="El colaborador se encontraba realizando la limpieza de la tolva de la línea 3 de Lavavajillas. Mientras realizaba la actividad, de manera inesperada cae agua con restos de crema LVV sobre su cabeza y parte del cuerpo del colaborador, la caída del líquido ocasionó que se le muevan los lentes antiparras que tenía colocados, viéndose afectados ambos ojos."/>
    <s v="Proyección de Material Particulado"/>
    <s v="Ojo derecho"/>
    <s v="Ojos"/>
    <s v="Limpieza de tolva"/>
    <s v="Cuerpo extraño en el saco conjuntival"/>
    <s v="Cuerpo Extraño en Ojos"/>
    <n v="14"/>
    <n v="0"/>
    <n v="14"/>
    <s v="DM"/>
    <n v="4"/>
    <s v="&lt; 3 a 6 meses"/>
    <s v="Agua con residuos de pasta"/>
    <s v="CONTRATO TEMPORAL"/>
    <s v="Acc. Incapacitante"/>
    <m/>
    <x v="1"/>
    <m/>
  </r>
  <r>
    <n v="211"/>
    <m/>
    <x v="1"/>
    <x v="1"/>
    <m/>
    <s v="PPI"/>
    <x v="4"/>
    <x v="6"/>
    <s v="Extracción HLS"/>
    <x v="0"/>
    <x v="0"/>
    <d v="2024-09-25T00:00:00"/>
    <n v="39"/>
    <n v="25"/>
    <x v="8"/>
    <n v="2024"/>
    <d v="1899-12-30T14:00:00"/>
    <s v="M"/>
    <x v="0"/>
    <x v="0"/>
    <s v="Ruiz"/>
    <m/>
    <s v="Jose"/>
    <s v="MASCULINO"/>
    <n v="57"/>
    <s v="Técnico de mantenimiento"/>
    <d v="1998-12-07T00:00:00"/>
    <s v="A las 14:00 se registra un accidente para el cual se dio atención de primeros auxilios. Personal de mantenimiento (Eléctrico de turno) se encontraba montando un sensor de temperatura analógico (de aguja) en el intercambiador de aceite mineral 440 de extracción HLS, durante el montaje, no realiza la purga del aceite sobrante en la línea y cuando retira el tapón temporal para colocar el sensor le salpica aceite mineral caliente &gt; 80 °C en la parte de la espalda al Técnico de Mantenimiento que realizaba una inspección de una bomba cerca del lugar. Comunica del hecho y se lo dirige a la posta médica para aplicación de pomada en la parte afectada. Posterior a la atención retorna a su escritorio y sale al completar su turno._x000a_"/>
    <s v="Contacto con Superficie Caliente"/>
    <s v="Espalda"/>
    <s v="Abdomen/Torso"/>
    <s v="Inspección de bombas"/>
    <s v="Quemadura de 1er grado"/>
    <s v="Quemadura por Temperatura"/>
    <n v="0"/>
    <n v="0"/>
    <n v="0"/>
    <s v="Trabajando"/>
    <n v="730"/>
    <s v="&gt; 10 años"/>
    <s v="Línea de aceite mineral (sensor de temperatura analógico)"/>
    <s v="CONTRATO INDEFINIDO"/>
    <s v="Acc. No Incapacitante"/>
    <n v="0"/>
    <x v="0"/>
    <m/>
  </r>
  <r>
    <n v="212"/>
    <s v="PCO24523"/>
    <x v="0"/>
    <x v="0"/>
    <s v="PREDIO CENTRAL"/>
    <s v="Copsa"/>
    <x v="3"/>
    <x v="0"/>
    <s v="REFINERIA"/>
    <x v="1"/>
    <x v="1"/>
    <d v="2024-09-30T00:00:00"/>
    <n v="40"/>
    <n v="30"/>
    <x v="8"/>
    <n v="2024"/>
    <d v="1899-12-30T01:20:00"/>
    <s v="N"/>
    <x v="0"/>
    <x v="3"/>
    <s v="MARENGO"/>
    <s v="PITTMAN"/>
    <s v="JOHN ARMANDO"/>
    <s v="MASCULINO"/>
    <n v="51"/>
    <s v="LIDER LINEA FRACCIONAMIENTO"/>
    <d v="2002-02-01T00:00:00"/>
    <s v="El líder de turno procede a realizar el soplado del filtro 1 de la planta de descerado, realizando la apertura y cierre de válvulas de ingreso de nitrógeno y liberación del aceite hacia el tanque pulmón; una vez que la presión del filtro llegó a 3bar procedió con la apertura de la válvula de retorno para aliviar la presión antes de abrir el filtro para su limpieza. Al terminar esta actividad se dirigió hacia la sala de control y en ese instante sucedió la liberación intempestiva de presión del filtro, cuya onda expansiva afecta los oidos del trabajador."/>
    <s v="Golpeado por"/>
    <s v="Oidos"/>
    <s v="Oído"/>
    <s v="Soplado y limpieza del filtro 1 de la planta de descerado"/>
    <s v="Inflamación interna de oídos"/>
    <s v="Contusión/Trauma"/>
    <n v="4"/>
    <n v="0"/>
    <n v="4"/>
    <s v="Descanso Médico"/>
    <n v="120"/>
    <s v="&gt; 10 años"/>
    <s v="Onda expansiva por liberación intempestiva de presión"/>
    <s v="CONTRATO INDEFINIDO"/>
    <s v="Acc. Incapacitante"/>
    <n v="0"/>
    <x v="1"/>
    <m/>
  </r>
  <r>
    <n v="213"/>
    <m/>
    <x v="0"/>
    <x v="2"/>
    <s v="LURIN"/>
    <s v="Intradevco"/>
    <x v="7"/>
    <x v="0"/>
    <s v="Producción"/>
    <x v="0"/>
    <x v="0"/>
    <d v="2024-09-06T00:00:00"/>
    <n v="36"/>
    <n v="6"/>
    <x v="8"/>
    <n v="2024"/>
    <d v="1899-12-30T08:15:00"/>
    <s v="D"/>
    <x v="0"/>
    <x v="14"/>
    <s v="CHOQUEZ "/>
    <s v="SOTELO "/>
    <s v="MARCO ANTONIO"/>
    <s v="MASCULINO"/>
    <n v="34"/>
    <s v="TÉCNICO MECÁNICO"/>
    <d v="2020-01-12T00:00:00"/>
    <s v="El técnico Marcos Choquez sufrió una contusión leve en el rostro, específicamente entre la nariz y el pómulo izquierdo. El incidente ocurrió mientras aflojaba la conexión roscada de una manguera hidráulica en la máquina Tincoo galonera, utilizando una llave de boca. La lesión fue provocada por el impacto de la parte metálica de la manguera hidráulica y la boca de la llave de boca."/>
    <s v="Golpeado por"/>
    <s v="Rostro"/>
    <s v="Rostro/Nariz/Boca"/>
    <s v="Desmontaje de manguera"/>
    <s v="Contusión"/>
    <s v="Contusión/Trauma"/>
    <n v="0"/>
    <n v="0"/>
    <n v="0"/>
    <s v="Trabajando"/>
    <n v="48"/>
    <s v="&lt; 1 a 5 años"/>
    <s v="Llave"/>
    <s v="CONTRATO INDEFINIDO"/>
    <s v="Acc. No Incapacitante"/>
    <n v="0"/>
    <x v="0"/>
    <m/>
  </r>
  <r>
    <n v="214"/>
    <s v="PGL24524"/>
    <x v="0"/>
    <x v="0"/>
    <s v="PREDIO CENTRAL"/>
    <s v="Galletería"/>
    <x v="0"/>
    <x v="0"/>
    <s v="Instantáneos"/>
    <x v="0"/>
    <x v="0"/>
    <d v="2024-10-02T00:00:00"/>
    <n v="40"/>
    <n v="2"/>
    <x v="9"/>
    <n v="2024"/>
    <d v="1899-12-30T17:30:00"/>
    <s v="T"/>
    <x v="0"/>
    <x v="0"/>
    <s v="NEYRA"/>
    <s v="CALDERON"/>
    <s v="JOSE"/>
    <s v="MASCULINO"/>
    <m/>
    <s v="Inspector de Calidad"/>
    <m/>
    <s v="El colaborador José Neyra sufrió un accidente mientras realizaba el cambio de bolsas en el depósito recolector. Durante la operación, no se percató de que el cartel acrílico de rotulación tenía una superficie filosa, lo que le provocó una herida en el antebrazo de la mano derecha.Se brindaron los primeros auxilios en el tópico y no se requiere traslado externo."/>
    <s v="Contacto con superficie filosa"/>
    <s v="Brazo"/>
    <m/>
    <s v="Retiro de bolsas"/>
    <s v="Herida en antebrazo derecho "/>
    <s v="Corte/Herida"/>
    <n v="0"/>
    <m/>
    <m/>
    <s v="Laborando"/>
    <m/>
    <m/>
    <s v="Señalización"/>
    <s v="CONTRATO INDEFINIDO"/>
    <s v="Acc. No Incapacitante"/>
    <m/>
    <x v="0"/>
    <m/>
  </r>
  <r>
    <n v="215"/>
    <m/>
    <x v="0"/>
    <x v="0"/>
    <s v="PREDIO CENTRAL"/>
    <s v="Otros"/>
    <x v="3"/>
    <x v="5"/>
    <s v="Proyecto OVEN"/>
    <x v="1"/>
    <x v="1"/>
    <d v="2024-10-02T00:00:00"/>
    <n v="40"/>
    <n v="2"/>
    <x v="9"/>
    <n v="2024"/>
    <d v="1899-12-30T15:25:00"/>
    <s v="M"/>
    <x v="2"/>
    <x v="41"/>
    <s v="Mozombite"/>
    <s v="Villacorta"/>
    <s v="Ricky Adrian"/>
    <s v="MASCULINO"/>
    <m/>
    <s v="Ayudante"/>
    <m/>
    <s v="El 02 de octubre a las 15:25 horas aprox. La empresa SC se encontraba realizando el traslado manual de restos de acero de demolición desde exteriores de Extracción Mecánica hasta el punto de acopio temporal ubicado en Extracción por solventes. En ese instante el trabajador RICKY ADRIAN  MOZOMBITE VILLACORTA (Ayudante) lanzó una varilla de ø ½¨x 1.25m para ubicarla en la zona más alta del punto de acopio, ésta, por su geometría y medida, rebota e impacta en el rostro del trabajador generándole un corte a la altura de la nariz._x000a_"/>
    <s v="Golpeado por"/>
    <s v="Rostro"/>
    <s v="Rostro/Nariz/Boca"/>
    <s v="Traslado manual de restos de acero"/>
    <s v="Herida de nariz"/>
    <s v="Corte/Herida"/>
    <n v="3"/>
    <n v="0"/>
    <n v="3"/>
    <s v="Laborando"/>
    <m/>
    <m/>
    <s v="Varillas de acero"/>
    <s v="CONTRATO TEMPORAL"/>
    <s v="Acc. Incapacitante"/>
    <n v="0"/>
    <x v="1"/>
    <m/>
  </r>
  <r>
    <n v="216"/>
    <m/>
    <x v="1"/>
    <x v="1"/>
    <m/>
    <s v="CBB"/>
    <x v="2"/>
    <x v="0"/>
    <s v="Playa de Tanques Stock (Aceite)"/>
    <x v="0"/>
    <x v="0"/>
    <d v="2024-09-02T00:00:00"/>
    <n v="36"/>
    <n v="2"/>
    <x v="8"/>
    <n v="2024"/>
    <d v="1899-12-30T10:00:00"/>
    <s v="M"/>
    <x v="0"/>
    <x v="0"/>
    <s v="RIVERA"/>
    <s v="ZAMBRANA"/>
    <s v="TEODORO"/>
    <s v="MASCULINO"/>
    <n v="54"/>
    <s v="Auxiliar Granel"/>
    <d v="1998-01-15T00:00:00"/>
    <s v="En fecha 02 de septiembre a hrs 10:00 am aprox. el trabajador Teodoro Rivera Zambrana (Auxiliar de Granel), persona que se encontraba ajustando la unión danesa inoxidable entre la línea del tanque 634 y la línea de cisterna, para dicho trabajo estaba utilizando una llave de ajuste universal; cuando de repente la llave safa, impactando el dedo meñique de la mano derecha en la rosca de la línea (tubería) colindante. Posteriormente es evacuado a la posta médica donde se realiza los primeros auxilios."/>
    <s v="Golpeado por"/>
    <s v="Mano"/>
    <s v="Mano/Muñeca/Dedos"/>
    <s v="Ajuste de piezas (unión danesa)"/>
    <s v="Herida cortante superficial, menor a 1 cm en el dedo meñique de la mano der"/>
    <s v="Corte/Herida"/>
    <n v="0"/>
    <n v="0"/>
    <n v="0"/>
    <s v="Trabajando"/>
    <n v="320"/>
    <s v="&gt; 10 años"/>
    <s v="Líneas de transferencia de producto terminado (tuberías y accesorios)"/>
    <s v="CONTRATO INDEFINIDO"/>
    <s v="Acc. No Incapacitante"/>
    <n v="0"/>
    <x v="0"/>
    <m/>
  </r>
  <r>
    <n v="217"/>
    <m/>
    <x v="0"/>
    <x v="0"/>
    <s v="PREDIO CENTRAL"/>
    <s v="Fideería Lima"/>
    <x v="34"/>
    <x v="0"/>
    <s v="Secadero L22"/>
    <x v="1"/>
    <x v="1"/>
    <d v="2024-10-04T00:00:00"/>
    <n v="40"/>
    <n v="4"/>
    <x v="9"/>
    <n v="2024"/>
    <d v="1899-12-30T05:00:00"/>
    <s v="N"/>
    <x v="2"/>
    <x v="42"/>
    <s v="TANANTA"/>
    <s v="TUANAMA"/>
    <s v="CRISTIAN"/>
    <s v="MASCULINO"/>
    <s v="-"/>
    <s v="Plataformero"/>
    <s v="-"/>
    <s v="El accidente sucedió aproximadamente a las 05:00 a.m. momento en el que Cristian Tananta, Plataformero de la empresa Clean Work se encontraba realizando la actividad de limpieza de plataformas y descansos, y finalizada la limpieza se percata de un fideo manchado con grasa en la zona de las cadenas laterales y decide acercarse a retirarlo sin percatarse del capacho que transporta la caña y le pellizca el dedo (con guante)."/>
    <s v="Atrapado por Partes en Movimiento"/>
    <s v="Dedo medio de mano derecha"/>
    <s v="Mano/Muñeca/Dedos"/>
    <s v="Limpieza de plataforma y descansos"/>
    <s v="Herida de dedo de la mano derecha con daño en la uña"/>
    <s v="Corte/Herida"/>
    <n v="3"/>
    <n v="0"/>
    <n v="3"/>
    <s v="Laborando"/>
    <n v="12"/>
    <s v="&lt; 1 a 5 años"/>
    <s v="Cadenas en movimiento"/>
    <s v="CONTRATO TEMPORAL"/>
    <s v="Acc. Incapacitante"/>
    <n v="0"/>
    <x v="1"/>
    <m/>
  </r>
  <r>
    <n v="218"/>
    <m/>
    <x v="0"/>
    <x v="0"/>
    <s v="SIDSUR"/>
    <s v="Sidsur"/>
    <x v="25"/>
    <x v="0"/>
    <s v="Linea 1"/>
    <x v="0"/>
    <x v="0"/>
    <d v="2024-10-05T00:00:00"/>
    <n v="40"/>
    <n v="5"/>
    <x v="9"/>
    <n v="2024"/>
    <d v="1899-12-30T06:00:00"/>
    <s v="D"/>
    <x v="1"/>
    <x v="3"/>
    <s v="ARAPA"/>
    <s v="APAZA"/>
    <s v="LUZ"/>
    <s v="FEMENINO"/>
    <m/>
    <s v="APRENDIZ DE SENATI"/>
    <d v="2024-03-11T00:00:00"/>
    <s v="Colaboradora se encontraba transitado dentro del área, al lado de la línea de producción de mascotas, al evidenciar el espacio reducido para pasar detrás de una persona quien se encontraba encajando. Ella decide pasar sobre una plataforma de meta; levanta el pie tropezándose en la plataforma, cayéndose ; por consecuencia se  golpea el muslo y el tobillo"/>
    <s v="Caída al mismo nivel"/>
    <s v="Pie"/>
    <s v="Pie/Tobillo"/>
    <s v="Transito en planta"/>
    <s v="Contusión en el pie izquierdo"/>
    <s v="Contusión/Trauma"/>
    <n v="0"/>
    <m/>
    <m/>
    <m/>
    <m/>
    <m/>
    <m/>
    <m/>
    <s v="Acc. No Incapacitante"/>
    <n v="0"/>
    <x v="0"/>
    <m/>
  </r>
  <r>
    <n v="219"/>
    <s v="PGL24544 "/>
    <x v="0"/>
    <x v="0"/>
    <s v="PREDIO CENTRAL"/>
    <s v="Galletería"/>
    <x v="0"/>
    <x v="0"/>
    <s v="Pasillos"/>
    <x v="1"/>
    <x v="1"/>
    <d v="2024-10-12T00:00:00"/>
    <n v="41"/>
    <n v="12"/>
    <x v="9"/>
    <n v="2024"/>
    <d v="1899-12-30T07:00:00"/>
    <s v="D"/>
    <x v="0"/>
    <x v="3"/>
    <s v="MILLONES"/>
    <s v="CASAS"/>
    <s v="JENY CECILIA"/>
    <s v="FEMENINO"/>
    <n v="43"/>
    <s v="OPERARIO DE PRODUCCION"/>
    <d v="2007-07-07T00:00:00"/>
    <s v="El sábado 12, a las 7:01 am, la colaboradora Jeny Millones estaba saliendo del vestuario de damas para comenzar su turno de trabajo. En ese instante, se resbaló y cayó al suelo, golpeándose las rodillas y el hombro. Posteriormente, ingresó a la planta, donde se notificó del accidente y se le brindaron primeros auxilios"/>
    <s v="Caída al mismo nivel"/>
    <s v="Hombro"/>
    <s v="Brazo/Codo/Hombro"/>
    <s v="Tránsito peatonal"/>
    <s v="Esguince y Torcedura que comprometen ligamento"/>
    <s v="Contusión/Trauma"/>
    <n v="22"/>
    <n v="0"/>
    <n v="22"/>
    <s v="Descanso Médico"/>
    <n v="192"/>
    <s v="&gt; 10 años"/>
    <s v="Piso "/>
    <s v="CONTRATO INDEFINIDO"/>
    <s v="Acc. Incapacitante"/>
    <m/>
    <x v="1"/>
    <s v="SI"/>
  </r>
  <r>
    <n v="220"/>
    <s v="PGL24574"/>
    <x v="0"/>
    <x v="0"/>
    <s v="PREDIO CENTRAL"/>
    <s v="Otros"/>
    <x v="0"/>
    <x v="8"/>
    <s v="Techo"/>
    <x v="1"/>
    <x v="1"/>
    <d v="2024-10-17T00:00:00"/>
    <n v="42"/>
    <n v="17"/>
    <x v="9"/>
    <n v="2024"/>
    <d v="1899-12-30T11:00:00"/>
    <s v="D"/>
    <x v="0"/>
    <x v="3"/>
    <s v="ROMERO"/>
    <s v="SAMANIEGO"/>
    <s v="JERSON"/>
    <s v="MASCULINO"/>
    <n v="31"/>
    <s v="INSPECTOR DE SEGURIDAD INDUSTRIAL"/>
    <m/>
    <s v="El 17 de octubre de 2024 a las 11:00 horas, el colaborador Jerson Romero se encontraba realizando el cambio de un extintor de PQS 20 lb ubicado en el techo de la planta Galletera, para su retiro debe descender por una escalera trasladando el extintor en una mano; encontrándose en el penúltimo peldaño, pierde el equilibrio y pisa en falso.  Es atendido en el tópico y derivado a la clínica San Gabriel para la atención por especialista."/>
    <s v="Caída al mismo nivel"/>
    <s v="Pie"/>
    <s v="Pie/Tobillo"/>
    <s v="Traslado de extintores"/>
    <s v="Contusión en el pie izquierdo"/>
    <s v="Contusión/Trauma"/>
    <n v="8"/>
    <n v="0"/>
    <n v="8"/>
    <s v="Descanso Médico"/>
    <n v="60"/>
    <s v="&lt; 5 a 10 años"/>
    <s v="Escalera"/>
    <s v="CONTRATO INDEFINIDO"/>
    <s v="Acc. Incapacitante"/>
    <m/>
    <x v="1"/>
    <s v="SI"/>
  </r>
  <r>
    <n v="221"/>
    <m/>
    <x v="0"/>
    <x v="4"/>
    <s v="Sicaya"/>
    <s v="Teal"/>
    <x v="21"/>
    <x v="0"/>
    <s v="Linea Panetones"/>
    <x v="1"/>
    <x v="1"/>
    <d v="2024-10-16T00:00:00"/>
    <n v="42"/>
    <n v="16"/>
    <x v="9"/>
    <n v="2024"/>
    <d v="1899-12-30T14:10:00"/>
    <s v="D"/>
    <x v="0"/>
    <x v="18"/>
    <s v="AYAMBO"/>
    <s v="CAHUACHI"/>
    <s v="BRAYAN JOSE"/>
    <s v="MASCULINO"/>
    <n v="33"/>
    <s v="OPERARIO DE PRODUCCION"/>
    <d v="2024-09-09T00:00:00"/>
    <s v="En circunstancias que el Operario de Producción Brayan Ayambo procedía a retirar en reversa el coche que contiene bandejas con panetones listos para el horneado; durante la maniobra de traslado se ladea hacia los coches estacionados y la penúltima bandeja metálica choca con la estructura de esta última, deslizándose hacia el lado izquierdo golpeando con sus bordes la frente del Colaborador, generándole una herida contusa en dicha zona."/>
    <s v="Golpeado por"/>
    <s v="Frente"/>
    <s v="Rostro/Nariz/Boca"/>
    <s v="Traslado de coche de bandejas de panetones"/>
    <s v="Herida contusa en la frente – lado izquierdo"/>
    <s v="Corte/Herida"/>
    <n v="9"/>
    <n v="0"/>
    <n v="9"/>
    <s v="Laborando"/>
    <n v="1"/>
    <s v="&lt; 1 a 3 meses"/>
    <s v="Bandeja metalica"/>
    <s v="CONTRATO TEMPORAL"/>
    <s v="Acc. Incapacitante"/>
    <n v="0"/>
    <x v="1"/>
    <m/>
  </r>
  <r>
    <n v="222"/>
    <s v="PGL24573"/>
    <x v="0"/>
    <x v="0"/>
    <s v="PREDIO CENTRAL"/>
    <s v="Galletería"/>
    <x v="0"/>
    <x v="0"/>
    <s v="Producción"/>
    <x v="0"/>
    <x v="0"/>
    <d v="2024-10-17T00:00:00"/>
    <n v="42"/>
    <n v="17"/>
    <x v="9"/>
    <n v="2024"/>
    <d v="1899-12-30T14:18:00"/>
    <s v="D"/>
    <x v="0"/>
    <x v="3"/>
    <s v="ROJAS"/>
    <s v="BARRERA"/>
    <s v="SAUL"/>
    <s v="MASCULINO"/>
    <m/>
    <s v="OPERARIO DE PRODUCCION"/>
    <m/>
    <s v="El colaborador Saúl Rojas sufrió un accidente no incapacitante mientras realizaba tareas de limpieza. Durante esta actividad, que realizó con un paño, agua y detergente, le salpicó agua con detergente en el ojo izquierdo, ya que no estaba usando los lentes de seguridad correspondientes."/>
    <s v="Exposición a Sustancias Químicas"/>
    <s v="Ojo"/>
    <s v="Ojos"/>
    <s v="Limpieza de equipo"/>
    <s v="Irritación Ocular"/>
    <s v="Queratoconjuntivitis"/>
    <n v="0"/>
    <m/>
    <m/>
    <s v="Laboranod"/>
    <n v="144"/>
    <s v="&gt; 10 años"/>
    <s v="Detergente"/>
    <s v="CONTRATO INDEFINIDO"/>
    <s v="Acc. No Incapacitante"/>
    <m/>
    <x v="0"/>
    <m/>
  </r>
  <r>
    <n v="223"/>
    <m/>
    <x v="0"/>
    <x v="2"/>
    <s v="LURIN"/>
    <s v="Intradevco"/>
    <x v="16"/>
    <x v="0"/>
    <s v="Producción"/>
    <x v="0"/>
    <x v="0"/>
    <d v="2024-10-09T00:00:00"/>
    <n v="41"/>
    <n v="9"/>
    <x v="9"/>
    <n v="2024"/>
    <d v="1899-12-30T09:30:00"/>
    <s v="D"/>
    <x v="3"/>
    <x v="5"/>
    <s v="ROMERO"/>
    <s v=" CORDOVA"/>
    <s v="CARLOS ANDY"/>
    <s v="MASCULINO"/>
    <m/>
    <s v="OPERARIO DE PRODUCCION"/>
    <d v="2024-07-03T00:00:00"/>
    <s v="El colaborador se encontraba abasteciendo sacos (codificado) en la zona de ducto automático. Al momento de trasportar en dirección al ducto,se tropieza con un saco que estaba sobresalido. Al no querer caer se inclina sobre la ruma de paletas generándose un golpe. "/>
    <s v="Golpeado contra"/>
    <s v="Torax"/>
    <s v="Abdomen/Torso"/>
    <s v="Transito en planta"/>
    <s v="Contusion superficial en el torax"/>
    <s v="Contusión/Trauma"/>
    <n v="0"/>
    <n v="0"/>
    <n v="0"/>
    <s v="Laborando"/>
    <n v="3"/>
    <s v="&lt; 3 a 6 meses"/>
    <s v="Ruma de pallets"/>
    <s v="CONTRATO TEMPORAL"/>
    <s v="Acc. No Incapacitante"/>
    <m/>
    <x v="0"/>
    <m/>
  </r>
  <r>
    <n v="224"/>
    <m/>
    <x v="0"/>
    <x v="2"/>
    <s v="LURIN"/>
    <s v="Intradevco"/>
    <x v="16"/>
    <x v="0"/>
    <s v="Manufactura detergentes"/>
    <x v="0"/>
    <x v="0"/>
    <d v="2024-10-25T00:00:00"/>
    <n v="43"/>
    <n v="25"/>
    <x v="9"/>
    <n v="2024"/>
    <d v="1899-12-30T02:40:00"/>
    <s v="N"/>
    <x v="3"/>
    <x v="5"/>
    <s v="ESAMAT "/>
    <s v="BESEN "/>
    <s v="ANTERO PEDRO"/>
    <s v="MASCULINO"/>
    <m/>
    <s v="OPERARIO DE PRODUCCION"/>
    <m/>
    <s v="El colaborador menciona que el brazo N°05 de la torre se encontraba compactado con la rosca, lo que le impedía retirarlo con facilidad. Por ello, al jalar con fuerza el brazo N°05, se impacta en su pómulo derecho, lo que le generó hinchazón y raspón."/>
    <s v="Golpeado por"/>
    <s v="Pomulo derecho"/>
    <s v="Rostro/Nariz/Boca"/>
    <s v="Manipulacion de brazo"/>
    <s v="Contusion en pomulo"/>
    <s v="Contusión/Trauma"/>
    <n v="0"/>
    <n v="0"/>
    <n v="0"/>
    <s v="Laborando"/>
    <m/>
    <m/>
    <s v="Brazo de torre"/>
    <s v="CONTRATO TEMPORAL"/>
    <s v="Acc. No Incapacitante"/>
    <n v="0"/>
    <x v="0"/>
    <m/>
  </r>
  <r>
    <n v="225"/>
    <m/>
    <x v="0"/>
    <x v="2"/>
    <s v="LURIN"/>
    <s v="Intradevco"/>
    <x v="16"/>
    <x v="0"/>
    <s v="Manufactura detergentes"/>
    <x v="0"/>
    <x v="0"/>
    <d v="2024-10-28T00:00:00"/>
    <n v="44"/>
    <n v="28"/>
    <x v="9"/>
    <n v="2024"/>
    <d v="1899-12-30T16:00:00"/>
    <s v="D"/>
    <x v="3"/>
    <x v="5"/>
    <s v="CONTRERAS"/>
    <s v=" VELASQUEZ"/>
    <s v=" SEGUNDO ROBERT"/>
    <s v="MASCULINO"/>
    <m/>
    <s v="OPERARIO DE PRODUCCION"/>
    <m/>
    <s v="El colaborador se encontraba colocando la baranda en la zona de ducto y menciona que no se percató que el hoyo en donde ingresa estaba con agua (se había hecho baldeado de piso) estuvo realizando presión para colocarla ya que es difícil de hacerla encajar y al introducirla el líquido sale proyectado hacia el rostro siendo afectados ambos ojos."/>
    <s v="Proyección de Sustancias Químicas"/>
    <s v="Ojos"/>
    <s v="Ojos"/>
    <s v="Manipulacion de baranda"/>
    <s v="Irritacion en ojos"/>
    <s v="Cuerpo Extraño en Ojos"/>
    <n v="0"/>
    <n v="0"/>
    <n v="0"/>
    <s v="Laborando"/>
    <m/>
    <m/>
    <s v="Liquido empozado"/>
    <s v="CONTRATO TEMPORAL"/>
    <s v="Acc. No Incapacitante"/>
    <n v="0"/>
    <x v="0"/>
    <m/>
  </r>
  <r>
    <n v="226"/>
    <m/>
    <x v="0"/>
    <x v="2"/>
    <s v="LURIN"/>
    <s v="Intradevco"/>
    <x v="16"/>
    <x v="0"/>
    <s v="Manufactura detergentes"/>
    <x v="0"/>
    <x v="0"/>
    <d v="2024-10-31T00:00:00"/>
    <n v="44"/>
    <n v="31"/>
    <x v="9"/>
    <n v="2024"/>
    <d v="1899-12-30T10:50:00"/>
    <s v="D"/>
    <x v="3"/>
    <x v="5"/>
    <s v="VARILLAS"/>
    <s v=" GALLARDO"/>
    <s v=" ROMER AUGUSTO"/>
    <s v="MASCULINO"/>
    <m/>
    <s v="OPERARIO DE PRODUCCION"/>
    <m/>
    <s v="Colaborador se encontraba realizando el traslado de coches de la balanza #01 a la zona de envasado. _x000a_Manifiesta que colocó una mano en el soporte y la otra en la manija debido a que se estaba llenando la zona de más coches, para evitar la acumulación hizo la sujeción de manera apresurada sin realizarlo correctamente. _x000a_Al hacer fuerza el dedo pulgar derecho se dobla generando que haya aumento de volumen en parte de la muñeca, sin embargo; no hay limitación de movimiento."/>
    <s v="Golpeado por"/>
    <s v="Pulgar derecho"/>
    <s v="Mano/Muñeca/Dedos"/>
    <s v="Manipulacion de coches"/>
    <s v="Contusion en pulgar derecho"/>
    <s v="Contusión/Trauma"/>
    <n v="0"/>
    <n v="0"/>
    <n v="0"/>
    <s v="Laborando"/>
    <m/>
    <m/>
    <m/>
    <s v="CONTRATO TEMPORAL"/>
    <s v="Acc. No Incapacitante"/>
    <n v="0"/>
    <x v="0"/>
    <m/>
  </r>
  <r>
    <n v="227"/>
    <m/>
    <x v="1"/>
    <x v="1"/>
    <m/>
    <s v="PDF"/>
    <x v="1"/>
    <x v="6"/>
    <s v="Preparación Alloco"/>
    <x v="1"/>
    <x v="1"/>
    <d v="2024-10-15T00:00:00"/>
    <n v="42"/>
    <n v="15"/>
    <x v="9"/>
    <n v="2024"/>
    <d v="1899-12-30T09:20:00"/>
    <s v="M"/>
    <x v="0"/>
    <x v="3"/>
    <s v="TICONA"/>
    <s v="HURTADO"/>
    <s v="RENE FELIX"/>
    <s v="MASCULINO"/>
    <n v="62"/>
    <s v="Mecánico"/>
    <d v="1999-02-12T00:00:00"/>
    <s v="En fecha 15/10/ 2024 a horas 09:20 a.m., durante el desmontaje de la bandeja de plancha metálica del separador de cascara #1, los técnicos de mantenimiento  se encontraban retirando los seguros de los perfiles del marco de la batea, al retirar los pernos del lado sur de la plancha esta sede del lado derecho llegando a golpear sobre el tórax del técnico, (la plancha de 0,70 mts * 3 mts con un peso aproximado de  200 kg ) dicha plancha quedo anclada en uno de los soportes laterales y central no llegando a tener contacto el 100% de la plancha con el técnico."/>
    <s v="Golpeado por"/>
    <s v="Torax"/>
    <s v="Abdomen/Torso"/>
    <s v="Desmontaje de la bandeja de plancha metálica del separador de cascara #1"/>
    <s v="TME en tórax y abdomen por golpe"/>
    <s v="Contusión/Trauma"/>
    <n v="6"/>
    <n v="0"/>
    <n v="6"/>
    <s v="Descanso Médico"/>
    <n v="309"/>
    <s v="&gt; 10 años"/>
    <s v="Bandeja separador de cascara 1"/>
    <s v="CONTRATO INDEFINIDO"/>
    <s v="Acc. Incapacitante"/>
    <m/>
    <x v="1"/>
    <m/>
  </r>
  <r>
    <n v="228"/>
    <m/>
    <x v="0"/>
    <x v="2"/>
    <s v="CHORRILLOS"/>
    <s v="Intradevco"/>
    <x v="6"/>
    <x v="0"/>
    <s v="Sanitarios MR2"/>
    <x v="0"/>
    <x v="0"/>
    <d v="2024-09-11T00:00:00"/>
    <n v="37"/>
    <n v="11"/>
    <x v="8"/>
    <n v="2024"/>
    <d v="1899-12-30T08:15:00"/>
    <s v="D"/>
    <x v="3"/>
    <x v="5"/>
    <s v="FASANDO"/>
    <s v="MANIHUARI"/>
    <s v="OMAR"/>
    <s v="MASCULINO"/>
    <n v="35"/>
    <s v="OPERARIO DE PRODUCCIÓN"/>
    <d v="2024-06-24T00:00:00"/>
    <s v="El colaborador se encontraba encajando en ese momento empezó a gotear de una tubería quitamancha ropa color, cayéndole en el rostro y hombro, generándole una leve irritación."/>
    <s v="Exposición a Sustancias Químicas"/>
    <s v="Rostro"/>
    <s v="Brazo/Codo/Hombro"/>
    <s v="Encajando"/>
    <s v="Irritación leve"/>
    <s v="Dermatitis/Irritación de la piel"/>
    <n v="0"/>
    <n v="0"/>
    <n v="0"/>
    <s v="Laborando"/>
    <m/>
    <m/>
    <m/>
    <m/>
    <s v="Acc. No Incapacitante"/>
    <n v="0"/>
    <x v="0"/>
    <m/>
  </r>
  <r>
    <n v="229"/>
    <m/>
    <x v="0"/>
    <x v="2"/>
    <s v="CHORRILLOS"/>
    <s v="Intradevco"/>
    <x v="6"/>
    <x v="0"/>
    <s v="Sanitarios MR2"/>
    <x v="0"/>
    <x v="0"/>
    <d v="2024-09-12T00:00:00"/>
    <n v="37"/>
    <n v="12"/>
    <x v="8"/>
    <n v="2024"/>
    <d v="1899-12-30T10:00:00"/>
    <s v="D"/>
    <x v="3"/>
    <x v="5"/>
    <s v="JULCAHUANCA"/>
    <s v="VASQUEZ"/>
    <s v=" CARLOS ENRRIQUE"/>
    <s v="MASCULINO"/>
    <n v="27"/>
    <s v="OPERARIO DE PRODUCCIÓN"/>
    <d v="2024-04-25T00:00:00"/>
    <s v="El trabajador se encontraba realizando la actividad de tapado de Quitamancha Ropa Color (550 mL) usando guantes hyflex y sobre eso guantes estaba usando guantes touchntuff, debido a una abertura que tenia el  guantes touchntuff ingresa el producto mientras el colaborador continua realizando la actividad, despues de una hora el colaborador presenta irritación en los dedos de ambas manos."/>
    <s v="Exposición a Sustancias Químicas"/>
    <s v="Dedos de la manos"/>
    <s v="Mano/Muñeca/Dedos"/>
    <s v="Tapado"/>
    <s v="Irritación leve"/>
    <s v="Dermatitis/Irritación de la piel"/>
    <n v="0"/>
    <n v="0"/>
    <n v="0"/>
    <s v="Laborando"/>
    <m/>
    <m/>
    <m/>
    <m/>
    <s v="Acc. No Incapacitante"/>
    <n v="0"/>
    <x v="0"/>
    <m/>
  </r>
  <r>
    <n v="230"/>
    <m/>
    <x v="0"/>
    <x v="2"/>
    <s v="CHORRILLOS"/>
    <s v="Intradevco"/>
    <x v="6"/>
    <x v="0"/>
    <s v="Chorrillos"/>
    <x v="0"/>
    <x v="0"/>
    <d v="2024-09-16T00:00:00"/>
    <n v="38"/>
    <n v="16"/>
    <x v="8"/>
    <n v="2024"/>
    <d v="1899-12-30T13:18:00"/>
    <s v="D"/>
    <x v="3"/>
    <x v="5"/>
    <s v="LOPEZ"/>
    <s v="CALLIRGOS"/>
    <s v="ALEX FRANCISCO"/>
    <s v="MASCULINO"/>
    <n v="30"/>
    <s v="OPERARIO DE PRODUCCIÓN"/>
    <d v="2024-09-05T00:00:00"/>
    <s v="El trabajador se encontra limpiando la maquina encintadora, en eso introduce la mano entre los rodillos quedado atrapada la mano derecha entre los espacios."/>
    <s v="Golpeado por"/>
    <s v="Mano derecha"/>
    <m/>
    <s v="Limpieza de encintadora"/>
    <s v="Contusión"/>
    <m/>
    <n v="0"/>
    <n v="0"/>
    <n v="0"/>
    <s v="Laborando"/>
    <n v="1"/>
    <s v="&lt; 1 mes"/>
    <m/>
    <m/>
    <s v="Acc. No Incapacitante"/>
    <n v="0"/>
    <x v="0"/>
    <m/>
  </r>
  <r>
    <n v="231"/>
    <m/>
    <x v="0"/>
    <x v="2"/>
    <s v="CHORRILLOS"/>
    <s v="Intradevco"/>
    <x v="6"/>
    <x v="0"/>
    <s v="Chorrillos"/>
    <x v="0"/>
    <x v="0"/>
    <d v="2024-09-17T00:00:00"/>
    <n v="38"/>
    <n v="17"/>
    <x v="8"/>
    <n v="2024"/>
    <d v="1899-12-30T10:20:00"/>
    <s v="D"/>
    <x v="3"/>
    <x v="5"/>
    <s v="MONTES"/>
    <s v="HEREDIA"/>
    <s v="BRYAN"/>
    <s v="MASCULINO"/>
    <n v="32"/>
    <s v="OPERARIO DE PRODUCCIÓN"/>
    <d v="2024-08-28T00:00:00"/>
    <s v="El trabajador el día 17/09/2024 a las 10:20 am se encontraba paletizando al momento de colocar una paleta sobre otra con ayuda de un compañero que al soltar el la palleta superior porque su dedo meñique queda atrapado en medio por tal motivo jala su mano sin sentir dolor debido a que se encontraba con guantes"/>
    <s v="Atrapado por Partes en Movimiento"/>
    <s v="Mano "/>
    <m/>
    <s v="Colocar pallets"/>
    <s v="Contusión en dedo meñique"/>
    <m/>
    <n v="0"/>
    <n v="0"/>
    <n v="0"/>
    <s v="Laborando"/>
    <m/>
    <m/>
    <m/>
    <m/>
    <s v="Acc. No Incapacitante"/>
    <n v="0"/>
    <x v="0"/>
    <m/>
  </r>
  <r>
    <n v="232"/>
    <s v="PGL24575"/>
    <x v="0"/>
    <x v="0"/>
    <s v="PREDIO CENTRAL"/>
    <s v="Galletería"/>
    <x v="0"/>
    <x v="0"/>
    <s v="Producción"/>
    <x v="0"/>
    <x v="0"/>
    <d v="2024-10-22T00:00:00"/>
    <n v="43"/>
    <n v="22"/>
    <x v="9"/>
    <n v="2024"/>
    <d v="1899-12-30T07:15:00"/>
    <s v="D"/>
    <x v="0"/>
    <x v="3"/>
    <s v="ROSALES "/>
    <s v="CRISPIN"/>
    <s v="DINA NOEMI"/>
    <s v="FEMENINO"/>
    <n v="34"/>
    <s v="OPERARIO DE PRODUCCION"/>
    <m/>
    <s v="Siendo las 07:15 a.m la trabajadora ROSALES CRISPIN DINA NOEMI se encontraba realizando labores de acomodo de guías de alimentación de granel en línea 2 de envasado de galletas, para ello estaba parada sobre una tarima metálica, misma que tiene en todos los bordes cinta antideslizante; y cuando la trabajadora se dispone a bajar de dicha tarima pierde el equilibrio y cae golpeándose la rodilla derecha"/>
    <s v="Caída al mismo nivel"/>
    <s v="Rodilla"/>
    <m/>
    <s v="Acomodo de galletas"/>
    <s v="Golpe en la rodilla derecha"/>
    <s v="Contusión/Trauma"/>
    <n v="0"/>
    <n v="0"/>
    <n v="0"/>
    <s v="Laborando"/>
    <m/>
    <m/>
    <s v="Tarima métalica"/>
    <s v="CONTRATO INDEFINIDO"/>
    <s v="Acc. No Incapacitante"/>
    <n v="0"/>
    <x v="0"/>
    <m/>
  </r>
  <r>
    <n v="233"/>
    <m/>
    <x v="0"/>
    <x v="2"/>
    <s v="LURIN"/>
    <s v="Intradevco"/>
    <x v="29"/>
    <x v="0"/>
    <s v="Etiquetado"/>
    <x v="0"/>
    <x v="0"/>
    <d v="2024-10-23T00:00:00"/>
    <n v="43"/>
    <n v="23"/>
    <x v="9"/>
    <n v="2024"/>
    <d v="1899-12-30T11:25:00"/>
    <s v="D"/>
    <x v="3"/>
    <x v="5"/>
    <s v="EFFIO"/>
    <s v=" BRACAMONTE"/>
    <s v="INGRID BALBINA"/>
    <s v="FEMENINO"/>
    <m/>
    <s v="OPERARIO DE PRODUCCION"/>
    <m/>
    <s v="Colaboradora estaba realizando el abastecimiento de frascos en la línea Triner y utilizó una escalera de dos peldaños. Al hacer el abastecimiento, pisó al vacío, lo que provocó una caída desde un nivel diferente siendo afectado su tobillo derecho."/>
    <s v="Caída a distinto nivel"/>
    <s v="Tobillo derecho"/>
    <s v="Pie/Tobillo"/>
    <s v="Abastecimiento de frascos a línea"/>
    <s v="Contusion en tobillo"/>
    <s v="Contusión/Trauma"/>
    <n v="0"/>
    <n v="0"/>
    <n v="0"/>
    <s v="Laborando"/>
    <m/>
    <m/>
    <s v="Escalera"/>
    <s v="CONTRATO TEMPORAL"/>
    <s v="Acc. No Incapacitante"/>
    <n v="0"/>
    <x v="0"/>
    <m/>
  </r>
  <r>
    <n v="234"/>
    <m/>
    <x v="0"/>
    <x v="0"/>
    <s v="PREDIO CENTRAL"/>
    <s v="Copsa"/>
    <x v="3"/>
    <x v="6"/>
    <s v="MANTENIMIENTO"/>
    <x v="1"/>
    <x v="1"/>
    <d v="2024-10-26T00:00:00"/>
    <n v="43"/>
    <n v="26"/>
    <x v="9"/>
    <n v="2024"/>
    <d v="1899-12-30T07:47:00"/>
    <s v="M"/>
    <x v="1"/>
    <x v="1"/>
    <s v="GONZALES "/>
    <s v="TUANAMA"/>
    <s v="FABIAN ALESSANDRO"/>
    <s v="MASCULINO"/>
    <n v="21"/>
    <s v="CAPE MANTTO"/>
    <m/>
    <s v="El colaborador se encontraba realizando corte de pernos en el tornillo de banco. Una parte del cuerpo del perno se quedó sujetada en tornillo de banco y la otra parte quedó sobre la mesa. El colaborador realiza unas coordinaciones con su compañero, y en ese momento un elemento de la mesa de trabajo rueda con dirección al suelo. El colaborador trata de evitar que el elemento caiga sin percatarse que no había retirado el perno con filo vivo de la mordaza del tornillo de banco. Su brazo sufre un corte por lo cual el trabajador se dirige al tópico. El médico lo evalúa y dispone su traslado a la clínica San Gabriel._x000a_"/>
    <s v="Contacto con superficie filosa"/>
    <s v="Antebrazo"/>
    <s v="Brazo/Codo/Hombro"/>
    <s v="Corte de perno"/>
    <s v="Herida de otras partes del antebrazo"/>
    <s v="Corte/Herida"/>
    <n v="9"/>
    <n v="0"/>
    <n v="9"/>
    <s v="Descanso Médico"/>
    <m/>
    <m/>
    <s v="Perno"/>
    <s v="PRACTICAS_ SENATI"/>
    <s v="Acc. Incapacitante"/>
    <n v="0"/>
    <x v="1"/>
    <m/>
  </r>
  <r>
    <n v="235"/>
    <s v="DIS24634"/>
    <x v="0"/>
    <x v="0"/>
    <s v="Latam 400"/>
    <s v="Otros"/>
    <x v="35"/>
    <x v="3"/>
    <s v="Latam 400"/>
    <x v="1"/>
    <x v="1"/>
    <d v="2024-10-29T00:00:00"/>
    <n v="44"/>
    <n v="29"/>
    <x v="9"/>
    <n v="2024"/>
    <d v="1899-12-30T15:15:00"/>
    <s v="M"/>
    <x v="3"/>
    <x v="43"/>
    <s v="GARCÍA"/>
    <s v="BENDAÑO"/>
    <s v="CRISTIAN"/>
    <s v="MASCULINO"/>
    <n v="30"/>
    <s v="AUXILIAR DE ALMACÉN"/>
    <d v="2024-10-24T00:00:00"/>
    <s v="El 29 de octubre, alrededor de las 15:15 horas un auxiliar de almacén se encontraba en la zona de canales de despacho posicionado al costado de dos paletas vacías. En ese instante un order picker ingresa a dejar mercadería en el canal continuo, que se encontraba libre, sin embargo, al momento de ingresar al canal, impacta con el filo de una de una de las paletas vacías y , por consecuencia la segunda paleta vacía choca con la parte posterior de la pierna izquierda del colaborador afectado, quien fue trasladado al centro médico para la atención con el especialista."/>
    <s v="Golpeado por"/>
    <s v="Pierna Izquierda"/>
    <s v="Pierna"/>
    <s v="Colocar pallets"/>
    <s v="Contusión en pierna"/>
    <s v="Contusión/Trauma"/>
    <n v="3"/>
    <n v="0"/>
    <n v="3"/>
    <s v="Laborando"/>
    <m/>
    <m/>
    <s v="Pallets"/>
    <s v="CONTRATO TEMPORAL"/>
    <s v="Acc. Incapacitante"/>
    <m/>
    <x v="1"/>
    <m/>
  </r>
  <r>
    <n v="236"/>
    <s v="DIS24633"/>
    <x v="0"/>
    <x v="0"/>
    <s v="CD PIURA"/>
    <s v="Otros"/>
    <x v="36"/>
    <x v="3"/>
    <s v="Cd Piura"/>
    <x v="0"/>
    <x v="0"/>
    <d v="2024-10-26T00:00:00"/>
    <n v="43"/>
    <n v="26"/>
    <x v="9"/>
    <n v="2024"/>
    <d v="1899-12-30T16:05:00"/>
    <s v="M"/>
    <x v="8"/>
    <x v="44"/>
    <s v="CABRERA"/>
    <s v="HERRERA"/>
    <s v="HERNAN"/>
    <s v="MASCULINO"/>
    <n v="38"/>
    <s v="CONDUCTO A3"/>
    <d v="2019-01-01T00:00:00"/>
    <s v="En circunstancias que el OMC de Alicorp José Ramos Sullon descargaba la unidad paletizada de traslados con placa BYY750, en simultaneo, el conductor Hernan Cabrera Herrera se encontraba abriendo las cortinas del lado opuesto al que operaba el OMC. Al momento que el operador ingresa las horquillas  del montacarga a la paleta situada en la plataforma del camión, esta choca con la paleta posterior, haciendo un pequeño empuje , donde aprisiona la mano derecha del conductor entre la paleta y la cortina metálica generando un golpe en la mano derecha"/>
    <s v="Golpeado por"/>
    <s v="Mano derecha"/>
    <s v="Mano/Muñeca/Dedos"/>
    <s v="Descarga unidad"/>
    <s v="Contusión en mano"/>
    <s v="Contusión/Trauma"/>
    <n v="0"/>
    <m/>
    <m/>
    <s v="Laborando"/>
    <n v="7"/>
    <m/>
    <s v="Cortina"/>
    <s v="CONTRATO TEMPORAL"/>
    <s v="Acc. No Incapacitante"/>
    <n v="0"/>
    <x v="0"/>
    <m/>
  </r>
  <r>
    <n v="237"/>
    <s v="PGL24632"/>
    <x v="0"/>
    <x v="0"/>
    <s v="PREDIO CENTRAL"/>
    <s v="Galletería"/>
    <x v="0"/>
    <x v="0"/>
    <s v="Producción"/>
    <x v="0"/>
    <x v="0"/>
    <d v="2024-11-06T00:00:00"/>
    <n v="45"/>
    <n v="6"/>
    <x v="10"/>
    <n v="2024"/>
    <d v="1899-12-30T20:00:00"/>
    <s v="D"/>
    <x v="0"/>
    <x v="3"/>
    <s v=" Santamaría "/>
    <s v="Folch"/>
    <s v="Bryan Caleb"/>
    <s v="MASCULINO"/>
    <m/>
    <s v="OPERARIO DE PRODUCCIÓN"/>
    <d v="2024-06-05T00:00:00"/>
    <s v="Siendo las 20:00, el operador se encontraba reprocesando bolsones abiertos de Gelatina Fresa. Al sellar, procede a presionar el botón de sellado manual para juntar ambas mordazas e introduce el dedo índice por el lateral de la guarda, teniendo contacto con la resistencia de la mordaza. Al presentar ardor reporta al encargado de línea, lo cual proceden a llamar al ing de turno, llevándolo al tópico para atención médica. No requiere traslado"/>
    <s v="Contacto con Superficie Caliente"/>
    <s v="Dedo"/>
    <s v="Mano/Muñeca/Dedos"/>
    <s v="Sellado de empaque"/>
    <s v="Quemadura de 1er grado en dedo índice derecho"/>
    <s v="Quemadura por Temperatura"/>
    <n v="0"/>
    <n v="0"/>
    <n v="0"/>
    <s v="Laborando"/>
    <n v="5"/>
    <s v="&lt; 0.5 a 1 año"/>
    <s v="Selladora"/>
    <s v="CONTRATO INDEFINIDO"/>
    <s v="Acc. No Incapacitante"/>
    <m/>
    <x v="0"/>
    <m/>
  </r>
  <r>
    <n v="238"/>
    <m/>
    <x v="0"/>
    <x v="2"/>
    <s v="LURIN"/>
    <s v="Intradevco"/>
    <x v="29"/>
    <x v="0"/>
    <s v="Producción"/>
    <x v="1"/>
    <x v="1"/>
    <d v="2024-11-04T00:00:00"/>
    <n v="45"/>
    <n v="4"/>
    <x v="10"/>
    <n v="2024"/>
    <d v="1899-12-30T14:30:00"/>
    <s v="D"/>
    <x v="3"/>
    <x v="5"/>
    <s v="Tuesta"/>
    <s v=" Ruiz"/>
    <s v="Karina"/>
    <s v="FEMENINO"/>
    <n v="43"/>
    <s v="OPERARIO DE PRODUCCIÓN"/>
    <m/>
    <s v="Siendo las 2:30 pm del lunes 04/11, la trabajadora Karina Tuesta (Consulting) se encontraba desempeñando sus labores en el área de etiquetado de la línea MCGS. Mientras realizaba su labor, observó que el contenedor de frascos se estaba llenando, lo que ocasionó que empiecen a caer los envases vacíos por el costado de la faja transportadora. En un intento por evitar que los frascos cayeran al suelo, la colaboradora atrapó un frasco y al momento de lanzarlo hacia el contenedor de frascos, se golpea el dedo pulgar izquierdo contra la pared del contenedor. La colaboradora accidentada observó una protuberancia entre la falange proximal y distal del dedo pulgar, por lo que solicita a su compañera Anita Canaquiri (Consulting) que le ayude, la colaboradora en mención manipula el dedo lesionado. _x000a_Se da aviso de lo ocurrido a la supervisora del área, la cual deriva a la trabajadora accidentada al tópico. Posteriormente fue evacuada a la clínica San Pablo para recibir atención especializada."/>
    <s v="Golpeado contra"/>
    <s v="Dedo pulgar izquierdo"/>
    <s v="Mano/Muñeca/Dedos"/>
    <s v="Sujecion de envases"/>
    <s v="Contusion en pulgar izquierdo"/>
    <s v="Contusión/Trauma"/>
    <n v="11"/>
    <n v="0"/>
    <n v="11"/>
    <s v="Descanso Médico"/>
    <n v="10"/>
    <s v="&lt; 0.5 a 1 año"/>
    <s v="Contenedor de envases"/>
    <s v="CONTRATO TEMPORAL"/>
    <s v="Acc. Incapacitante"/>
    <n v="0"/>
    <x v="1"/>
    <m/>
  </r>
  <r>
    <n v="239"/>
    <m/>
    <x v="0"/>
    <x v="2"/>
    <s v="LURIN"/>
    <s v="Intradevco"/>
    <x v="29"/>
    <x v="0"/>
    <s v="FEM"/>
    <x v="0"/>
    <x v="0"/>
    <d v="2024-11-13T00:00:00"/>
    <n v="46"/>
    <n v="13"/>
    <x v="10"/>
    <n v="2024"/>
    <d v="1899-12-30T12:45:00"/>
    <s v="D"/>
    <x v="0"/>
    <x v="14"/>
    <s v="ECHENIQUE"/>
    <s v=" HUAPAYA"/>
    <s v=" GIANCARLO"/>
    <s v="MASCULINO"/>
    <m/>
    <s v="OPERARIO DE PRODUCCIÓN"/>
    <m/>
    <s v=" El colaborador se encontraba en el área de formulación FEM trasladando sacos hacia las pailas y en esa actividad sintió un tirón en el antebrazo izquierdo con leve dolor."/>
    <s v="Sobreesfuerzo"/>
    <s v="Antebrazo Izquierdo"/>
    <s v="Brazo/Codo/Hombro"/>
    <s v="Manipulacion de sacos"/>
    <s v="Estiramiento muscular"/>
    <s v="Desgarro/Estiramiento Muscular"/>
    <n v="0"/>
    <n v="0"/>
    <n v="0"/>
    <s v="Laborando"/>
    <m/>
    <m/>
    <s v="Sacos"/>
    <s v="CONTRATO INDEFINIDO"/>
    <s v="Acc. No Incapacitante"/>
    <n v="0"/>
    <x v="0"/>
    <m/>
  </r>
  <r>
    <n v="240"/>
    <s v="PCO24669"/>
    <x v="0"/>
    <x v="0"/>
    <s v="PREDIO CENTRAL"/>
    <s v="Copsa"/>
    <x v="3"/>
    <x v="0"/>
    <s v="REFINERIA"/>
    <x v="0"/>
    <x v="0"/>
    <d v="2024-11-15T00:00:00"/>
    <n v="46"/>
    <n v="15"/>
    <x v="10"/>
    <n v="2024"/>
    <d v="1899-12-30T14:45:00"/>
    <s v="D"/>
    <x v="2"/>
    <x v="38"/>
    <s v="PEQUEÑO"/>
    <s v=" ARAMBURU "/>
    <s v="TATIANA"/>
    <s v="FEMENINO"/>
    <n v="49"/>
    <s v="OPERARIO DE LIMPIEZA"/>
    <m/>
    <s v="Siendo la 02:45 pm la trabajadora de la empresa de limpieza Ssays se encontraba secando el primer piso de la planta desodorización sin advertir la presencia de un tubo de fierro de ½ pulgada, el cual se encontraba apoyado solamente sobre un intercambiador de calor. El tubo al ser impactado por el jalador de agua que utilizaba la colaboradora cae golpeándole el antebrazo izquierdo._x000a_"/>
    <s v="Golpeado por"/>
    <s v="Antebrazo Izquierdo"/>
    <s v="Brazo/Codo/Hombro"/>
    <s v="Limpieza"/>
    <s v="Contusión antebrazo izquierdo"/>
    <s v="Contusión/Trauma"/>
    <n v="0"/>
    <n v="0"/>
    <n v="0"/>
    <s v="Laborando"/>
    <m/>
    <m/>
    <s v="tubo de fierro de ½ pulgada"/>
    <m/>
    <s v="Acc. No Incapacitante"/>
    <n v="0"/>
    <x v="0"/>
    <m/>
  </r>
  <r>
    <n v="241"/>
    <m/>
    <x v="4"/>
    <x v="2"/>
    <s v="LURIN"/>
    <s v="Intradevco"/>
    <x v="5"/>
    <x v="2"/>
    <s v="Compactación de RRSS"/>
    <x v="1"/>
    <x v="1"/>
    <d v="2024-11-15T00:00:00"/>
    <n v="46"/>
    <n v="15"/>
    <x v="10"/>
    <n v="2024"/>
    <d v="1899-12-30T09:00:00"/>
    <s v="D"/>
    <x v="4"/>
    <x v="6"/>
    <s v="Mederos"/>
    <s v="Velez"/>
    <s v="Carlos Alonzo"/>
    <s v="FEMENINO"/>
    <n v="22"/>
    <s v="OPERARIO DE LIMPIEZA"/>
    <m/>
    <s v="Alrededor de las 09:40 am el personal se encontraba realizando labores de compactación de residuos y al momento de cerrar la compuerta N°1, el personal posiciona la mano izquierda al borde de la puerta para luego realizar el cierre manual; durante esta actividad se produjo la atricción del medio de la mano izquierda. "/>
    <s v="Atrapado por"/>
    <s v="Mano izquierda"/>
    <s v="Mano/Muñeca/Dedos"/>
    <s v="Compactación de RRSS"/>
    <s v="Traumatismo por aplastamiento"/>
    <s v="Contusión/Trauma"/>
    <n v="4"/>
    <n v="0"/>
    <n v="4"/>
    <s v="Laborando"/>
    <m/>
    <m/>
    <s v="Compactadora"/>
    <m/>
    <s v="Acc. Incapacitante"/>
    <n v="0"/>
    <x v="1"/>
    <m/>
  </r>
  <r>
    <n v="242"/>
    <m/>
    <x v="0"/>
    <x v="0"/>
    <s v="MCA"/>
    <s v="Molinos Lima"/>
    <x v="22"/>
    <x v="6"/>
    <s v="Mantenimiento"/>
    <x v="0"/>
    <x v="0"/>
    <d v="2024-11-13T00:00:00"/>
    <n v="46"/>
    <n v="13"/>
    <x v="10"/>
    <n v="2024"/>
    <d v="1899-12-30T15:00:00"/>
    <s v="D"/>
    <x v="0"/>
    <x v="0"/>
    <s v="QUIQUINLLA"/>
    <s v="NUÑEZ"/>
    <s v="JUAN LEONARDO"/>
    <s v="MASCULINO"/>
    <n v="56"/>
    <s v="MECANICO"/>
    <d v="2024-11-13T00:00:00"/>
    <s v="El 13.11.24 aproximadamente a las 3pm, el colaborador se encontraba realizando la actividad de desmontaje de un eje de transmisión de la balanza #4 de subproducto. Para dicha actividad estaba usando un martillo de bola y un disco metálico para martillar y retirar el eje, que estaba agarrotado. De forma súbita, el disco sale proyectado choca en el casco de seguridad y roza la nariz del trabajador, ocasionándole un ligero sangrado y corte superficial. El casco cayó al piso producto del impacto._x000a_Rápidamente se llama al inspector de seguridad para brindarle los primeros auxilios y luego a la ambulancia para evaluación médica. De la evaluación se diagnostica corte superficial y se coloca un adhesivo sanitario sobre la herida."/>
    <s v="Golpeado por"/>
    <s v="Nariz"/>
    <s v="Rostro/Nariz/Boca"/>
    <s v="Desmontaje de un eje de transmisión"/>
    <s v="Corte superficial"/>
    <s v="Corte/Herida"/>
    <n v="0"/>
    <n v="0"/>
    <n v="0"/>
    <s v="Laborando"/>
    <n v="240"/>
    <s v="&gt; 10 años"/>
    <s v="Disco metálico"/>
    <s v="Indefinido"/>
    <s v="Acc. No Incapacitante"/>
    <n v="0"/>
    <x v="0"/>
    <m/>
  </r>
  <r>
    <n v="243"/>
    <m/>
    <x v="0"/>
    <x v="0"/>
    <s v="CENTRAL"/>
    <s v="Fideería Lima"/>
    <x v="34"/>
    <x v="0"/>
    <s v="Gestión de Residuos"/>
    <x v="1"/>
    <x v="1"/>
    <d v="2024-11-18T00:00:00"/>
    <n v="47"/>
    <n v="18"/>
    <x v="10"/>
    <n v="2024"/>
    <d v="1899-12-30T15:20:00"/>
    <s v="T"/>
    <x v="8"/>
    <x v="45"/>
    <s v="VALVERDE"/>
    <s v="VEGA"/>
    <s v="RICHARD"/>
    <s v="MASCULINO"/>
    <n v="33"/>
    <s v="Conductor"/>
    <m/>
    <s v="Alrededor de las 03:12 p.m., mientras el conductor de la empresa Transportes S&amp;R SRL, se encontraba finalizando la actividad de succión de líquidos acidulados en el área de Refinería (Ácidos grasos), al intentar desactivar la bomba hidráulica, se produjo una expulsión de hidrolina desde la bomba, impactando directamente en su rostro y cuerpo causándole un fuerte ardor en la vista. _x000a_Seguidamente al accidente, la ambulancia de Cardiomóvil lo traslado al tópico en donde se le brindó atención médica al conductor. Tras la evaluación, se decidió trasladarlo a la Clínica San Gabriel, otorgándose un descanso médico de 3 días."/>
    <s v="Proyección de Sustancias Químicas"/>
    <s v="Ojos"/>
    <s v="Rostro/Nariz/Boca"/>
    <s v="Desactivar la bomba hidraúlica"/>
    <s v="Queratoconjuntivitis "/>
    <s v="Queratoconjuntivitis"/>
    <n v="3"/>
    <n v="0"/>
    <n v="3"/>
    <s v="Descanso Médico"/>
    <m/>
    <s v="&lt; 5 a 10 años"/>
    <s v="Hidrolina"/>
    <m/>
    <s v="Acc. Incapacitante"/>
    <n v="0"/>
    <x v="1"/>
    <m/>
  </r>
  <r>
    <n v="244"/>
    <m/>
    <x v="0"/>
    <x v="0"/>
    <s v="CENTRAL"/>
    <s v="Otros"/>
    <x v="37"/>
    <x v="3"/>
    <s v="Transportes"/>
    <x v="1"/>
    <x v="1"/>
    <d v="2024-11-25T00:00:00"/>
    <n v="48"/>
    <n v="25"/>
    <x v="10"/>
    <n v="2024"/>
    <d v="1899-12-30T13:50:00"/>
    <s v="D"/>
    <x v="8"/>
    <x v="46"/>
    <s v="FERNANDEZ"/>
    <s v="VARGAS"/>
    <s v="JASSAN"/>
    <s v="MASCULINO"/>
    <m/>
    <s v="Conductor"/>
    <m/>
    <s v="El evento ocurrió en el proceso de carga de la unidad de transporte TRANSCOM, a cargo del conductor Fernandez Vargas , quien al identificar que ya se había cargado la primera mitad de la unidad, procedió a cerrar la cortina metálica lateral pero se dio cuenta que no cerraba fácilmente y sigue intentando con mayor esfuerzo, haciendo que el 3er y 4to dedo su mano izquierda se atrapen por un instante en la estructura de las cortinas metálicas, generando lesiones en ambos dedos a pesar de estar usando sus guantes de seguridad._x000a_"/>
    <s v="Atrapado por Partes en Movimiento"/>
    <s v="3er  dedo de la mano izquierda"/>
    <s v="4to dedo de la mano izquierda"/>
    <s v="Carga "/>
    <s v="Traumatismo por aplastamiento"/>
    <s v="Contusión/Trauma"/>
    <n v="20"/>
    <n v="0"/>
    <n v="20"/>
    <s v="Descanso Médico"/>
    <m/>
    <m/>
    <s v="Cortina metálica"/>
    <m/>
    <s v="Acc. Incapacitante"/>
    <n v="0"/>
    <x v="1"/>
    <m/>
  </r>
  <r>
    <n v="245"/>
    <m/>
    <x v="0"/>
    <x v="2"/>
    <s v="LURIN 2"/>
    <s v="Intradevco"/>
    <x v="38"/>
    <x v="3"/>
    <s v="SSGG"/>
    <x v="1"/>
    <x v="1"/>
    <d v="2024-11-28T00:00:00"/>
    <n v="48"/>
    <n v="28"/>
    <x v="10"/>
    <n v="2024"/>
    <d v="1899-12-30T08:40:00"/>
    <s v="D"/>
    <x v="4"/>
    <x v="6"/>
    <s v="CONTRERAS"/>
    <s v="HUACHACA"/>
    <s v="JESSICA"/>
    <s v="FEMENINO"/>
    <n v="42"/>
    <s v="Operaria de Limpieza"/>
    <d v="2024-10-25T00:00:00"/>
    <s v="Al promediar las 08:40 am del jueves 28.11 en Almacén 4 de Lurin 2, la colaboradora tercera de la empresa Alteliza se encontraba realizando sus labores de limpieza de racks.  En ese momento, pisa restos de Acido Sulfónico lineal (HLAS) presente en el piso, se resbala y logra cogerse de la estructura del Rack. Producto de esto, se dobla el tobillo derecho._x000a_La colaboradora en todo momento se encontraba utilizando sus EPPs (Casco, chaleco de alta visibilidad y botas de seguridad)._x000a_"/>
    <s v="Caída al mismo nivel"/>
    <s v="tobillo"/>
    <m/>
    <s v="limpieza"/>
    <s v="esguince y torcedura"/>
    <s v="Esguince/Torcedura"/>
    <n v="10"/>
    <n v="0"/>
    <n v="10"/>
    <s v="Descanso Médico"/>
    <s v="1.5"/>
    <s v="&lt; 1 a 3 meses"/>
    <s v="piso resbaloso"/>
    <m/>
    <s v="Acc. Incapacitante"/>
    <n v="0"/>
    <x v="1"/>
    <m/>
  </r>
  <r>
    <n v="248"/>
    <s v="PCO24725 "/>
    <x v="0"/>
    <x v="0"/>
    <s v="PREDIO CENTRAL"/>
    <s v="Copsa"/>
    <x v="3"/>
    <x v="0"/>
    <s v="SALSAS 1"/>
    <x v="0"/>
    <x v="0"/>
    <d v="2024-11-12T00:00:00"/>
    <n v="46"/>
    <n v="12"/>
    <x v="10"/>
    <n v="2024"/>
    <d v="1899-12-30T12:10:00"/>
    <s v="D"/>
    <x v="3"/>
    <x v="47"/>
    <s v="Villancida "/>
    <s v="Perez"/>
    <s v="Rosa Isabel "/>
    <s v="FEMENINO"/>
    <n v="31"/>
    <s v="Operario Apoyo producción"/>
    <m/>
    <s v="La colaboradora se encontraba retornando de los servicios sanitarios (SSHH) en dirección a la planta Salsas 1. Debido al alto tránsito en el sendero peatonal, decidió adelantarse por el lado izquierdo sin percatarse del anillo perimétrico que protege la tapa del buzón, lo que provocó que tropezara. Al caer, sufrió golpes en la rodilla izquierda y el codo derecho._x000a_Fue auxiliada por personas que transitaban por el área, quienes solicitaron la asistencia de la ambulancia. _x000a_"/>
    <s v="Caída al mismo nivel"/>
    <s v="Rodilla"/>
    <s v="Rodilla"/>
    <s v="Tránsito peatonal"/>
    <s v="Constusión en rodilla y codo"/>
    <s v="Contusión/Trauma"/>
    <n v="0"/>
    <n v="0"/>
    <n v="0"/>
    <s v="Laborando"/>
    <m/>
    <m/>
    <m/>
    <m/>
    <s v="Acc. No Incapacitante"/>
    <n v="0"/>
    <x v="0"/>
    <m/>
  </r>
  <r>
    <n v="249"/>
    <m/>
    <x v="0"/>
    <x v="0"/>
    <s v="PREDIO CENTRAL"/>
    <s v="Otros"/>
    <x v="39"/>
    <x v="4"/>
    <s v="Comedor Copsa"/>
    <x v="1"/>
    <x v="1"/>
    <d v="2024-12-03T00:00:00"/>
    <n v="49"/>
    <n v="3"/>
    <x v="11"/>
    <n v="2024"/>
    <d v="1899-12-30T13:30:00"/>
    <s v="D"/>
    <x v="5"/>
    <x v="34"/>
    <s v="MEDRANO"/>
    <s v="CENTENO"/>
    <s v="VAISLOV"/>
    <s v="MASCULINO"/>
    <n v="45"/>
    <s v="AUXILIAR DE COCINA"/>
    <d v="2023-07-03T00:00:00"/>
    <s v=" El trabajador, al salir del almacén con los insumos, pisa la rampa ubicada en la puerta de ingreso. Debido a su pendiente pronunciada, resbala y cae, golpeándose el brazo izquierdo y el codo derecho. El trabajador no comunica el accidente y continúa sus actividades, aunque el dolor en las áreas afectadas empieza a intensificarse.El trabajador informa del accidente a su responsable tras sentir un incremento en el dolor. Se coordina el traslado del trabajador al área médica para su evaluación._x000a_"/>
    <s v="Caída al mismo nivel"/>
    <s v="Brazo derecho"/>
    <s v="Brazo/Codo/Hombro"/>
    <s v="Tralado"/>
    <s v="Contusión "/>
    <s v="Contusión "/>
    <n v="7"/>
    <n v="0"/>
    <n v="7"/>
    <s v="Laborando"/>
    <n v="240"/>
    <s v="&lt; 1 a 5 años"/>
    <m/>
    <m/>
    <s v="Acc. Incapacitante"/>
    <n v="0"/>
    <x v="1"/>
    <m/>
  </r>
  <r>
    <n v="250"/>
    <n v="247"/>
    <x v="0"/>
    <x v="0"/>
    <s v="MCA"/>
    <s v="Otros"/>
    <x v="40"/>
    <x v="3"/>
    <s v="APT MCA"/>
    <x v="1"/>
    <x v="1"/>
    <d v="2024-12-08T00:00:00"/>
    <n v="49"/>
    <n v="8"/>
    <x v="11"/>
    <n v="2024"/>
    <d v="1899-12-30T06:20:00"/>
    <s v="N"/>
    <x v="0"/>
    <x v="3"/>
    <s v="TALAVERA"/>
    <s v="FLORES"/>
    <s v="LUIS GUILLERMO"/>
    <s v="MASCULINO"/>
    <n v="54"/>
    <s v="OMC"/>
    <d v="2000-01-01T00:00:00"/>
    <s v="Alrededor de las 6.20 am.  el colaborador se encontraba cerrando el portón que separa el Almacén “C” con producción._x000a_Al momento de cerrar el portón (para proceder con la fumigación del molino), la mano izquierda se encontraba en la manija quedando atrapado el dedo medio entre la manija y el marco de la puerta._x000a_El colaborador procedió a dirigirse al segundo piso (kitchenette) a colocarse Hielo y posteriormente retirase al hospital._x000a_Cabe precisar, que al retirarse el colaborador no informo a seguridad ni jefaturas. Se comunico a las 9.00 am fuera de su horario laboral, cuando fue atendido en el hospital."/>
    <s v="Atrapado por"/>
    <s v="Dedo medio izquierdo"/>
    <s v="Mano/Muñeca/Dedos"/>
    <s v="Cierre del portón"/>
    <s v="Aplastamiento del dedo medio izquierdo"/>
    <s v="Corte/Herida"/>
    <n v="17"/>
    <n v="0"/>
    <n v="17"/>
    <m/>
    <n v="288"/>
    <s v="&gt; 10 años"/>
    <s v="Manija del portón"/>
    <s v="Indefinido"/>
    <s v="Acc. Incapacitante"/>
    <n v="0"/>
    <x v="1"/>
    <m/>
  </r>
  <r>
    <n v="251"/>
    <m/>
    <x v="0"/>
    <x v="0"/>
    <s v="PREDIO CENTRAL"/>
    <s v="Fideería Lima"/>
    <x v="34"/>
    <x v="0"/>
    <s v="Buhler 2"/>
    <x v="1"/>
    <x v="1"/>
    <d v="2024-12-13T00:00:00"/>
    <n v="50"/>
    <n v="13"/>
    <x v="11"/>
    <n v="2024"/>
    <d v="1899-12-30T22:49:00"/>
    <s v="N"/>
    <x v="0"/>
    <x v="3"/>
    <s v="RUGEL "/>
    <s v="ZELADA "/>
    <s v="CESAR IVAN "/>
    <s v="MASCULINO"/>
    <n v="49"/>
    <s v="Operador de Molinos- Silos "/>
    <m/>
    <s v="Al promediar las 22:49 del viernes 13.12 en la zona del Buhler 2 el operador de molinos- silos se encontraba recepcionando el producto  en unas bolsas de 15 Kg aprox, al momento de trasladar la bolsa y retornar a realizar nuevamente la misma actividad,  sintió un tirón en la espalda que hizo que se quedara sentado sin poder reincorporarse. _x000a_Se notificó el accidente, se brindó primeros auxilios por tópico y trasladó a la Clínica San Gabriel  para recibir atención médica._x000a_DX: Lumbago con ciática _x000a_DM: 2 días. _x000a_Antigüedad: 25 años_x000a_Antigüedad Puesto : 1 año_x000a_"/>
    <s v="Sobreesfuerzo"/>
    <s v="Lumbar "/>
    <s v="Columna"/>
    <s v="Manipulación Manual de Carga"/>
    <s v="LUMBAGO CON CIATICA"/>
    <s v="Desgarro/Estiramiento Muscular"/>
    <n v="2"/>
    <n v="0"/>
    <n v="2"/>
    <s v="Laborando"/>
    <n v="12"/>
    <s v="&gt; 10 años"/>
    <s v="Bolsa de Premix "/>
    <s v="Indefinido"/>
    <s v="Acc. Incapacitante"/>
    <n v="0"/>
    <x v="1"/>
    <m/>
  </r>
  <r>
    <n v="252"/>
    <m/>
    <x v="0"/>
    <x v="0"/>
    <s v="PREDIO CENTRAL"/>
    <s v="Copsa"/>
    <x v="3"/>
    <x v="0"/>
    <s v="ACEITES"/>
    <x v="0"/>
    <x v="0"/>
    <d v="2024-12-22T00:00:00"/>
    <n v="51"/>
    <n v="22"/>
    <x v="11"/>
    <n v="2024"/>
    <d v="1899-12-30T10:30:00"/>
    <s v="D"/>
    <x v="0"/>
    <x v="0"/>
    <s v="CHAVEZ "/>
    <s v="CAHUANA "/>
    <s v="RENE REINALDO "/>
    <s v="MASCULINO"/>
    <n v="53"/>
    <s v="Operario de producción"/>
    <m/>
    <m/>
    <s v="Golpeado por"/>
    <s v="Rostro"/>
    <s v="Rostro/Nariz/Boca"/>
    <s v="Verificación de cajas"/>
    <s v="Herida en el rostro"/>
    <s v="Corte/Herida"/>
    <n v="0"/>
    <n v="0"/>
    <n v="0"/>
    <s v="Laborando"/>
    <m/>
    <m/>
    <s v="Brazo Hidraulico"/>
    <s v="Indefinido"/>
    <s v="Acc. No Incapacitante"/>
    <n v="0"/>
    <x v="0"/>
    <m/>
  </r>
  <r>
    <n v="253"/>
    <m/>
    <x v="0"/>
    <x v="2"/>
    <s v="LURIN 2"/>
    <s v="Intradevco"/>
    <x v="5"/>
    <x v="0"/>
    <s v="Producción"/>
    <x v="1"/>
    <x v="1"/>
    <d v="2024-12-23T00:00:00"/>
    <n v="52"/>
    <n v="23"/>
    <x v="11"/>
    <n v="2024"/>
    <d v="1899-12-30T12:30:00"/>
    <s v="D"/>
    <x v="3"/>
    <x v="5"/>
    <s v="ROJAS"/>
    <s v="GUERRA"/>
    <s v="CINDY"/>
    <s v="FEMENINO"/>
    <n v="22"/>
    <s v="Operario de Producción"/>
    <d v="2024-09-19T00:00:00"/>
    <s v="A inicios de diciembre se registró la avería de la codificadora de la línea envasadora de lejía IMSB 2; por lo que se creó una posición provisional para colocar manualmente las etiquetas en las cajas de producto terminado que salían de la línea. Este puesto de trabajo se ubicó frente a los polines libres que se ubican luego de la faja transportadora de salida del producto terminado. Las actividades de este puesto iniciaron sin contar con un análisis de riesgos._x000a__x000a_El lunes 23/12 aproximadamente a las 12 30 pm, la colaboradora que se encontraba colocando manualmente las etiquetas, sufre el atrapamiento de su mano derecha entre la faja transportadora y el primer polín libre, generándose el aplastamiento de su mano._x000a_"/>
    <s v="Atrapado por Partes en Movimiento"/>
    <s v="Mano derecha"/>
    <s v="Mano/Muñeca/Dedos"/>
    <s v="Etiquetado manual de cajas"/>
    <s v="Traumatismo por aplastamiento"/>
    <s v="Contusión/Trauma"/>
    <n v="5"/>
    <n v="0"/>
    <n v="5"/>
    <s v="Laborando"/>
    <n v="3"/>
    <s v="&lt; 1 a 3 meses"/>
    <s v="Faja y polines"/>
    <s v="Plazo fijo"/>
    <s v="Acc. Incapacitante"/>
    <n v="0"/>
    <x v="1"/>
    <m/>
  </r>
  <r>
    <n v="254"/>
    <m/>
    <x v="0"/>
    <x v="0"/>
    <s v="PREDIO CENTRAL"/>
    <s v="Galletería"/>
    <x v="0"/>
    <x v="0"/>
    <s v="Producción"/>
    <x v="0"/>
    <x v="0"/>
    <d v="2024-12-23T00:00:00"/>
    <n v="52"/>
    <n v="23"/>
    <x v="11"/>
    <n v="2024"/>
    <d v="1899-12-30T12:10:00"/>
    <s v="D"/>
    <x v="0"/>
    <x v="3"/>
    <s v="NARCISO"/>
    <s v=" VERGARAY"/>
    <s v=" ENRIQUE"/>
    <s v="MASCULINO"/>
    <n v="53"/>
    <s v="Operario de producción"/>
    <m/>
    <s v=" Siendo las 11:55 a.m., el operador de máquina VERGARAY ENRIQUE NARCISO CIRILO se encontraba realizando labores de limpieza fina en las canaletas de la máquina envasadora C10, y luego de culminar la misma se levanta golpeándose  la cabeza contra el pin que asegura la posición de polín de arrastre de lamina causándole un leve sangrado._x000a_ _x000a_El operador es derivado hacia tópico donde realizan limpieza de la zona afectada. Post evaluación, retorna a sus labores en planta._x000a_"/>
    <s v="Golpeado por"/>
    <s v="Cabeza"/>
    <s v="Cabeza"/>
    <s v="Limpieza de superficie de bandeja en nivel inferior desenergizada. "/>
    <s v="Contusión Leve "/>
    <s v="Contusión/Trauma"/>
    <n v="0"/>
    <n v="0"/>
    <n v="0"/>
    <s v="Laborando"/>
    <m/>
    <m/>
    <s v="Polín "/>
    <s v="Indefinido"/>
    <s v="Acc. No Incapacitante"/>
    <n v="0"/>
    <x v="0"/>
    <m/>
  </r>
  <r>
    <n v="256"/>
    <m/>
    <x v="0"/>
    <x v="0"/>
    <s v="SIDSUR"/>
    <s v="Sidsur"/>
    <x v="41"/>
    <x v="0"/>
    <s v="Producción"/>
    <x v="0"/>
    <x v="0"/>
    <s v="SIN FECHA"/>
    <n v="11"/>
    <n v="15"/>
    <x v="2"/>
    <n v="2024"/>
    <s v=" "/>
    <s v=" "/>
    <x v="0"/>
    <x v="3"/>
    <s v="PAREDES"/>
    <s v="LUQUE"/>
    <s v="BRUCKNER"/>
    <s v="MASCULINO"/>
    <s v=" "/>
    <s v="Operario de producción"/>
    <s v=" "/>
    <s v="Según indica el trabajador, él se encontraba trasladando la artesa con contenido de ingrediente hacia la mezcladora, en dicha actividad siente un tirón en el brazo "/>
    <s v="Sobreesfuerzo"/>
    <s v="Brazo"/>
    <s v="Brazo/Codo/Hombro"/>
    <s v="Traslado de artesa"/>
    <s v=" "/>
    <s v=" "/>
    <s v=" "/>
    <s v=" "/>
    <n v="0"/>
    <s v=" "/>
    <s v=" "/>
    <s v=" "/>
    <s v=" "/>
    <s v=" "/>
    <s v="Acc. No Incapacitante"/>
    <n v="0"/>
    <x v="3"/>
    <m/>
  </r>
  <r>
    <n v="257"/>
    <m/>
    <x v="0"/>
    <x v="0"/>
    <s v="SIDSUR"/>
    <s v="Sidsur"/>
    <x v="41"/>
    <x v="0"/>
    <s v="Producción"/>
    <x v="0"/>
    <x v="0"/>
    <d v="2024-03-19T00:00:00"/>
    <n v="12"/>
    <n v="19"/>
    <x v="2"/>
    <n v="2024"/>
    <s v=" "/>
    <s v=" "/>
    <x v="0"/>
    <x v="3"/>
    <s v="PARISUAÑA"/>
    <s v="QUISPE"/>
    <s v="BRIGIDA"/>
    <s v="FEMENINO"/>
    <s v=" "/>
    <s v="APRENDIZ DE SENATI"/>
    <s v=" "/>
    <s v="Trabajadora se encontraba transitando para relevar el puesto a su compañera; se resbala por presencia de galleta en el suelo y se cae"/>
    <s v="Caída al mismo nivel"/>
    <s v=" "/>
    <s v=" "/>
    <s v="Transito"/>
    <s v=" "/>
    <s v=" "/>
    <s v=" "/>
    <s v=" "/>
    <n v="0"/>
    <s v=" "/>
    <s v=" "/>
    <s v=" "/>
    <s v=" "/>
    <s v=" "/>
    <s v="Acc. No Incapacitante"/>
    <n v="0"/>
    <x v="3"/>
    <m/>
  </r>
  <r>
    <n v="258"/>
    <m/>
    <x v="0"/>
    <x v="0"/>
    <s v="SIDSUR"/>
    <s v="Sidsur"/>
    <x v="42"/>
    <x v="0"/>
    <s v="Producción"/>
    <x v="0"/>
    <x v="0"/>
    <d v="2024-03-27T00:00:00"/>
    <n v="13"/>
    <n v="27"/>
    <x v="2"/>
    <n v="2024"/>
    <s v=" "/>
    <s v=" "/>
    <x v="0"/>
    <x v="3"/>
    <s v="QUISPE"/>
    <s v="CHOQUE"/>
    <s v="ELADIO"/>
    <s v="MASCULINO"/>
    <s v=" "/>
    <s v="Operario de producción"/>
    <s v=" "/>
    <s v="Colaborador sufre resbalon en el segundo peldaño de la escalera, mencionando dolor posterior  al resbalon "/>
    <s v="Caída a distinto nivel"/>
    <s v="Espalda "/>
    <s v=" "/>
    <s v=" "/>
    <s v=" "/>
    <s v=" "/>
    <s v=" "/>
    <s v=" "/>
    <n v="0"/>
    <s v=" "/>
    <s v=" "/>
    <s v=" "/>
    <s v=" "/>
    <s v=" "/>
    <s v="Acc. No Incapacitante"/>
    <n v="0"/>
    <x v="3"/>
    <m/>
  </r>
  <r>
    <n v="259"/>
    <m/>
    <x v="0"/>
    <x v="0"/>
    <s v="SIDSUR"/>
    <s v="Sidsur"/>
    <x v="43"/>
    <x v="0"/>
    <s v="Producción"/>
    <x v="0"/>
    <x v="0"/>
    <d v="2024-03-27T00:00:00"/>
    <n v="13"/>
    <n v="27"/>
    <x v="2"/>
    <n v="2024"/>
    <s v=" "/>
    <s v=" "/>
    <x v="0"/>
    <x v="3"/>
    <s v="CRUZ"/>
    <s v="CRUZ"/>
    <s v="ELMER"/>
    <s v="MASCULINO"/>
    <s v=" "/>
    <s v="Inspector de calidad "/>
    <s v=" "/>
    <s v="Trabajador indica que al momento de abrir la puerta de almacen de quinua , empujandolo porque estaba dura e impulsandome con el cuerpo a la pared , al realizar esta accion la puerta cede y sufre un corte con el filo de la puerta"/>
    <s v="Atrapado por"/>
    <s v="Dedo"/>
    <s v=" "/>
    <s v=" "/>
    <s v=" "/>
    <s v=" "/>
    <s v=" "/>
    <s v=" "/>
    <n v="0"/>
    <s v=" "/>
    <s v=" "/>
    <s v=" "/>
    <s v=" "/>
    <s v=" "/>
    <s v="Acc. No Incapacitante"/>
    <n v="0"/>
    <x v="3"/>
    <m/>
  </r>
  <r>
    <n v="260"/>
    <m/>
    <x v="0"/>
    <x v="0"/>
    <s v="SIDSUR"/>
    <s v="Sidsur"/>
    <x v="41"/>
    <x v="0"/>
    <s v="Producción"/>
    <x v="0"/>
    <x v="0"/>
    <d v="2024-03-11T00:00:00"/>
    <n v="11"/>
    <n v="11"/>
    <x v="2"/>
    <n v="2024"/>
    <s v="1.30 am"/>
    <s v=" "/>
    <x v="0"/>
    <x v="3"/>
    <s v="SANCHEZ "/>
    <s v="DIAZ "/>
    <s v="CARLOS"/>
    <s v="MASCULINO"/>
    <s v=" "/>
    <s v="Maquinista de empaquetadora"/>
    <s v=" "/>
    <s v="Trabajador menciona que al acercarse a la maquina Bosh 2 para realizar cambio de bolsa de paquetes defectuosos siente el ingreso de particula en el ojo izquierdo, esto al solplo de paquetes que realiza la maquina pero al acercarse a las aduanas no evidencia nada en el ojo; . El trabajador se retira del turno a las 5: am y a las 11:30 despues de descansar siente dolor en el ojo por lo que se acerca a un centro medico en donde le realizan limpieza y recetan gotas.  "/>
    <s v="Proyección de Material Particulado"/>
    <s v="Ojo izquierdo"/>
    <s v=" "/>
    <s v=" "/>
    <s v=" "/>
    <s v=" "/>
    <s v=" "/>
    <s v=" "/>
    <n v="0"/>
    <s v=" "/>
    <s v=" "/>
    <s v=" "/>
    <s v=" "/>
    <s v=" "/>
    <s v="Acc. No Incapacitante"/>
    <n v="0"/>
    <x v="3"/>
    <m/>
  </r>
  <r>
    <n v="261"/>
    <s v="-"/>
    <x v="0"/>
    <x v="2"/>
    <s v="CHORRILLOS"/>
    <s v="Intradevco"/>
    <x v="6"/>
    <x v="0"/>
    <s v="Sanitarios"/>
    <x v="0"/>
    <x v="0"/>
    <d v="2024-10-22T00:00:00"/>
    <n v="43"/>
    <n v="22"/>
    <x v="9"/>
    <n v="2024"/>
    <d v="1899-12-30T16:15:00"/>
    <s v="D"/>
    <x v="3"/>
    <x v="5"/>
    <s v="LOPEZ"/>
    <s v="CALLIRGOS"/>
    <s v="ALEX FRANCISCO"/>
    <s v="MASCULINO"/>
    <n v="30"/>
    <s v="OPERARIO DE PRODUCCIÓN"/>
    <d v="2024-09-05T00:00:00"/>
    <s v="El 22/10/2024 aproximadamente a las 16:15 P.M en el área de sanitarios en la maquina z8, el operador CESAR MONTALVAN decide resetear la máquina (envasadora) debido a que los pistones se habían desalineado. Al parar la línea, uno de los envases con producto (ANTIHONGO) queda a la altura del empujador; en ese momento, el colaborador CHRISTIAN ARRIAGA procede a retirar aquel frasco; instantáneamente, se activa el empujador presionando el frasco con producto el cual llega a salpicar al trabajador, ALEX LOPEZ (cara, ojo izquierdo), quien se encontraba realizando la colocación de tapas del producto en mención generándole ardor especialmente en los ojos. Posteriormente, acude al lavaojos, pero este se encontraba inoperativo, por lo que, se dirigió al baño para realizarse el lavado de ojos._x000a_Posteriormente, acudió al tópico donde fue atendido por el inspector Fernando con asesoría de la Dra. María, donde se realizó el lavado de ojos por 20 minutos y la aplicación de gotas._x000a_Al día 23/10/2024, el trabajador manifiesta estar sin dolor, escozor ni irritación ocular. "/>
    <s v="Exposición a Sustancias Químicas"/>
    <s v="Cara"/>
    <m/>
    <m/>
    <m/>
    <m/>
    <n v="0"/>
    <n v="0"/>
    <n v="0"/>
    <s v="Laborando"/>
    <n v="1"/>
    <s v="&lt; 1 mes"/>
    <m/>
    <s v="CONTRATO TEMPORAL"/>
    <s v="Acc. No Incapacitante"/>
    <n v="0"/>
    <x v="0"/>
    <m/>
  </r>
  <r>
    <n v="262"/>
    <s v="-"/>
    <x v="0"/>
    <x v="2"/>
    <s v="CHORRILLOS"/>
    <s v="Intradevco"/>
    <x v="6"/>
    <x v="0"/>
    <s v="Sanitarios"/>
    <x v="0"/>
    <x v="0"/>
    <d v="2024-08-29T00:00:00"/>
    <n v="35"/>
    <n v="29"/>
    <x v="5"/>
    <n v="2024"/>
    <d v="1899-12-30T14:05:00"/>
    <s v="D"/>
    <x v="3"/>
    <x v="5"/>
    <s v="SAAVEDRA"/>
    <s v="BERNALES"/>
    <s v="HEDINZON ALBERTO"/>
    <s v="MASCULINO"/>
    <n v="24"/>
    <s v="OPERARIO DE PRODUCCIÓN"/>
    <d v="2023-07-12T00:00:00"/>
    <s v="El día 29/08/2024 dos colaboradores de pesado y dispensación hicieron caer un balde de 26.5 litros, al impactar el balde con el suelo rebota e impacta en la pierna derecha del colaborador Saavedra."/>
    <s v="Golpeado por"/>
    <s v="Pierna derecha"/>
    <m/>
    <m/>
    <m/>
    <m/>
    <n v="0"/>
    <n v="0"/>
    <n v="0"/>
    <s v="Cesado"/>
    <n v="1"/>
    <s v="&lt; 1 mes"/>
    <m/>
    <s v="CONTRATO TEMPORAL"/>
    <s v="Acc. No Incapacitante"/>
    <n v="0"/>
    <x v="0"/>
    <m/>
  </r>
  <r>
    <n v="263"/>
    <s v="-"/>
    <x v="0"/>
    <x v="2"/>
    <s v="CHORRILLOS"/>
    <s v="Intradevco"/>
    <x v="6"/>
    <x v="0"/>
    <s v="Intralab"/>
    <x v="0"/>
    <x v="0"/>
    <d v="2024-09-17T00:00:00"/>
    <n v="38"/>
    <n v="17"/>
    <x v="8"/>
    <n v="2024"/>
    <d v="1899-12-30T10:20:00"/>
    <s v="D"/>
    <x v="3"/>
    <x v="5"/>
    <s v="MONTES"/>
    <s v="HEREDIA"/>
    <s v="BRYAN"/>
    <s v="MASCULINO"/>
    <n v="32"/>
    <s v="OPERARIO DE PRODUCCIÓN"/>
    <d v="2024-08-28T00:00:00"/>
    <s v="El trabajador MONTES HEREDIA BRYAN,el día 17/09/2024 a las 10:20 am se encontraba paletizando al momento de colocar una paleta sobre otra con ayuda de un compañero que al soltar el la palleta superior porque su dedo meñique queda atrapado en medio por tal motivo jala su mano sin sentir dolor debido a que se encontraba con guantes"/>
    <s v="Golpeado por"/>
    <s v="Mano"/>
    <m/>
    <m/>
    <m/>
    <m/>
    <n v="0"/>
    <n v="0"/>
    <n v="0"/>
    <s v="Cesado"/>
    <n v="1"/>
    <s v="&lt; 1 mes"/>
    <m/>
    <s v="CONTRATO TEMPORAL"/>
    <s v="Acc. No Incapacitante"/>
    <n v="0"/>
    <x v="0"/>
    <m/>
  </r>
  <r>
    <n v="264"/>
    <s v="-"/>
    <x v="0"/>
    <x v="2"/>
    <s v="CHORRILLOS"/>
    <s v="Intradevco"/>
    <x v="6"/>
    <x v="0"/>
    <s v="Intralab"/>
    <x v="0"/>
    <x v="0"/>
    <d v="2024-10-15T00:00:00"/>
    <n v="42"/>
    <n v="15"/>
    <x v="9"/>
    <n v="2024"/>
    <d v="1899-12-30T10:40:00"/>
    <s v="D"/>
    <x v="3"/>
    <x v="5"/>
    <s v="CAMPOS"/>
    <s v="PROAÑO"/>
    <s v="RODRIGO RODOLFO"/>
    <s v="MASCULINO"/>
    <n v="24"/>
    <s v="OPERARIO DE PRODUCCIÓN"/>
    <d v="2024-08-05T00:00:00"/>
    <s v="Al promediar las 10:40 a.m, los colaboradores Rodrigo y Tafur se encontraban realizando la nivelación de la máquina encintadora, en la que el compañero Rodrigo al utilizar la llave para nivelar la encintadora con la mesa desafloja un soporte de la encintadora asumiendo que los otros soportes están asegurados y de golpe baja la encintadora debido a que un soporte del otro extramo se encontraba desajustado.                                                       La encintadora no impacto con el piso tampoco golpeo al trabajador debido a que el trabajador Tafur se encontraba sosteniendo la encintadora."/>
    <s v="Sobreesfuerzo"/>
    <m/>
    <m/>
    <m/>
    <m/>
    <m/>
    <n v="0"/>
    <n v="0"/>
    <n v="0"/>
    <s v="Laborando"/>
    <n v="2"/>
    <s v="&lt; 1 a 3 meses"/>
    <m/>
    <s v="CONTRATO TEMPORAL"/>
    <s v="Acc. No Incapacitante"/>
    <n v="0"/>
    <x v="0"/>
    <m/>
  </r>
  <r>
    <n v="265"/>
    <s v="-"/>
    <x v="0"/>
    <x v="2"/>
    <s v="CHORRILLOS"/>
    <s v="Intradevco"/>
    <x v="6"/>
    <x v="0"/>
    <s v="Sanitarios"/>
    <x v="0"/>
    <x v="0"/>
    <d v="2024-11-07T00:00:00"/>
    <n v="45"/>
    <n v="7"/>
    <x v="10"/>
    <n v="2024"/>
    <d v="1899-12-30T10:40:00"/>
    <s v="D"/>
    <x v="0"/>
    <x v="14"/>
    <s v="CUBA"/>
    <s v="ESPINOZA"/>
    <s v="CESAR AUGUSTO"/>
    <s v="MASCULINO"/>
    <n v="45"/>
    <s v="OPERARIO DE PRODUCCIÓN"/>
    <d v="2007-07-23T00:00:00"/>
    <s v="El colaborador se encontraba desconectando la manguera para realizar el cambio del motor averiado cuando, al realizar dicha acción, una pequeña cantidad de producto (KlinTex) le cayó en la cara, específicamente en la frente. El Sr. César Cuba se dirigió al lavaojos más cercano, se quitó los lentes de seguridad y comenzó a limpiarse. Sin embargo, el producto escurrió hacia su ojo, por lo que dejó de usar el lavaojos debido a que el agua no fluía correctamente. Posteriormente, se retiró hacia los servicios higiénicos para continuar con el lavado. Más tarde, acudió al tópico, donde fue atendido por la enfermera. Allí se le realizó un lavado ocular durante 20 minutos y se le aplicaron las gotas correspondientes."/>
    <s v="Exposición a Sustancias Químicas"/>
    <s v="Cara"/>
    <m/>
    <m/>
    <m/>
    <m/>
    <n v="0"/>
    <n v="0"/>
    <n v="0"/>
    <s v="Laborando"/>
    <n v="204"/>
    <s v="&gt; 10 años"/>
    <m/>
    <s v="CONTRATO INDEFINIDO"/>
    <s v="Acc. No Incapacitante"/>
    <n v="0"/>
    <x v="0"/>
    <m/>
  </r>
  <r>
    <n v="266"/>
    <s v="-"/>
    <x v="0"/>
    <x v="2"/>
    <s v="CHORRILLOS"/>
    <s v="Intradevco"/>
    <x v="6"/>
    <x v="0"/>
    <s v="Intralab"/>
    <x v="0"/>
    <x v="0"/>
    <d v="2024-11-21T00:00:00"/>
    <n v="47"/>
    <n v="21"/>
    <x v="10"/>
    <n v="2024"/>
    <d v="1899-12-30T10:07:00"/>
    <s v="D"/>
    <x v="3"/>
    <x v="5"/>
    <s v="CRUZ"/>
    <s v="QUISPE"/>
    <s v="ROBERTO"/>
    <s v="MASCULINO"/>
    <n v="25"/>
    <s v="OPERARIO DE PRODUCCIÓN"/>
    <d v="2024-11-14T00:00:00"/>
    <s v="El trabajador se encontraba trasladando un bidón de merma, en una carreta, al girar la carreta para acomodar el producto; el trabajador se golpea el pie con el pallet que se encontraba en el area con materiales en desuso."/>
    <s v="Golpeado por"/>
    <s v="Pie"/>
    <m/>
    <m/>
    <m/>
    <m/>
    <n v="0"/>
    <n v="0"/>
    <n v="0"/>
    <s v="Cesado"/>
    <n v="1"/>
    <s v="&lt; 1 mes"/>
    <m/>
    <s v="CONTRATO TEMPORAL"/>
    <s v="Acc. No Incapacitante"/>
    <n v="0"/>
    <x v="0"/>
    <m/>
  </r>
  <r>
    <n v="267"/>
    <s v="-"/>
    <x v="0"/>
    <x v="2"/>
    <s v="CHORRILLOS"/>
    <s v="Intradevco"/>
    <x v="6"/>
    <x v="0"/>
    <s v="Intralab"/>
    <x v="0"/>
    <x v="0"/>
    <d v="2024-11-26T00:00:00"/>
    <n v="48"/>
    <n v="26"/>
    <x v="10"/>
    <n v="2024"/>
    <d v="1899-12-30T10:28:00"/>
    <s v="D"/>
    <x v="3"/>
    <x v="5"/>
    <s v="MONTENEGRO"/>
    <s v="BAUTISTA"/>
    <s v="ROLANDO JAIL"/>
    <s v="MASCULINO"/>
    <n v="24"/>
    <s v="OPERARIO DE PRODUCCIÓN"/>
    <d v="2024-10-25T00:00:00"/>
    <s v="El trabajador se encontraba realizando el ofertado de bipack en la línea 8, es en donde al jalar la etiqueta por el borde, el trabajador sufre un corte superficial en el dedo índice de la mano izquierda."/>
    <s v="Contacto con superficie filosa"/>
    <s v="MANO IZQUIERDA"/>
    <m/>
    <m/>
    <m/>
    <m/>
    <n v="0"/>
    <n v="0"/>
    <n v="0"/>
    <s v="Cesado"/>
    <n v="1"/>
    <s v="&lt; 1 mes"/>
    <m/>
    <s v="CONTRATO TEMPORAL"/>
    <s v="Acc. No Incapacitante"/>
    <n v="0"/>
    <x v="0"/>
    <m/>
  </r>
  <r>
    <n v="268"/>
    <s v="-"/>
    <x v="0"/>
    <x v="2"/>
    <s v="CHORRILLOS"/>
    <s v="Intradevco"/>
    <x v="6"/>
    <x v="0"/>
    <s v="Intralab"/>
    <x v="0"/>
    <x v="0"/>
    <d v="2024-11-28T00:00:00"/>
    <n v="48"/>
    <n v="28"/>
    <x v="10"/>
    <n v="2024"/>
    <d v="1899-12-30T04:40:00"/>
    <s v="M"/>
    <x v="3"/>
    <x v="5"/>
    <s v="DE LA VEGA"/>
    <s v="NECOCHEA"/>
    <s v="PERCY ALBERTO"/>
    <s v="MASCULINO"/>
    <n v="37"/>
    <s v="OPERARIO DE PRODUCCIÓN"/>
    <d v="2024-11-13T00:00:00"/>
    <s v="El trabajador se encontraba en la línea 8, acomodando la pasta dental en las canoas, es en donde su dedo índice derecho se queda atrapado entre el espacio que existe entre canoa y canoa."/>
    <s v="Atrapado por Partes en Movimiento"/>
    <s v="Dedos de la manos"/>
    <m/>
    <m/>
    <m/>
    <m/>
    <n v="0"/>
    <n v="0"/>
    <n v="0"/>
    <s v="Laborando"/>
    <n v="1"/>
    <s v="&lt; 1 mes"/>
    <m/>
    <s v="CONTRATO TEMPORAL"/>
    <s v="Acc. No Incapacitante"/>
    <n v="0"/>
    <x v="0"/>
    <m/>
  </r>
  <r>
    <n v="269"/>
    <s v="-"/>
    <x v="0"/>
    <x v="2"/>
    <s v="CHORRILLOS"/>
    <s v="Intradevco"/>
    <x v="6"/>
    <x v="0"/>
    <s v="Intralab"/>
    <x v="0"/>
    <x v="0"/>
    <d v="2024-12-04T00:00:00"/>
    <n v="49"/>
    <n v="4"/>
    <x v="11"/>
    <n v="2024"/>
    <d v="1899-12-30T02:20:00"/>
    <s v="M"/>
    <x v="3"/>
    <x v="5"/>
    <s v="MONTENEGRO"/>
    <s v="BAUTISTA"/>
    <s v="ROLANDO JAIL"/>
    <s v="MASCULINO"/>
    <n v="24"/>
    <s v="OPERARIO DE PRODUCCIÓN"/>
    <d v="2024-10-25T00:00:00"/>
    <s v="El colaborador Rolando Montenegro se encontraba realizando la actividad de paletizado, al acomodar constantemente las cajas embaladas en el pallet de manera, se produjo un hinchazón ligero de la muñeca izquierda, se aplico diclofenaco en gel con descanso 30 min y el colaborador retorna a su área de trabajo. "/>
    <s v="Sobreesfuerzo"/>
    <s v="MANO IZQUIERDA"/>
    <m/>
    <m/>
    <m/>
    <m/>
    <n v="0"/>
    <n v="0"/>
    <n v="0"/>
    <s v="Cesado"/>
    <n v="2"/>
    <s v="&lt; 1 a 3 meses"/>
    <m/>
    <s v="CONTRATO TEMPORAL"/>
    <s v="Acc. No Incapacitante"/>
    <n v="0"/>
    <x v="0"/>
    <m/>
  </r>
  <r>
    <n v="270"/>
    <s v="-"/>
    <x v="0"/>
    <x v="2"/>
    <s v="CHORRILLOS"/>
    <s v="Intradevco"/>
    <x v="6"/>
    <x v="0"/>
    <s v="Intralab"/>
    <x v="0"/>
    <x v="0"/>
    <d v="2024-12-12T00:00:00"/>
    <n v="50"/>
    <n v="12"/>
    <x v="11"/>
    <n v="2024"/>
    <d v="1899-12-30T05:18:00"/>
    <s v="M"/>
    <x v="3"/>
    <x v="5"/>
    <s v="ALVAREZ"/>
    <s v="NAVARRO"/>
    <s v="GEORGE LENNON"/>
    <s v="MASCULINO"/>
    <n v="32"/>
    <s v="OPERARIO DE PRODUCCIÓN"/>
    <d v="2024-10-18T00:00:00"/>
    <s v="El colaborador George Álvarez se encontraba realizando montaje de tuberías de tuberias, no se percataron de todos los seguros estén bien puestos, el colaborador sube, se va hacia delante y se recuesta en la pared en lo que se golpea el antebrazo, se raspa el brazo y codo. "/>
    <s v="Golpeado por"/>
    <s v="Brazo"/>
    <m/>
    <m/>
    <m/>
    <m/>
    <n v="0"/>
    <n v="0"/>
    <n v="0"/>
    <s v="Laborando"/>
    <n v="2"/>
    <s v="&lt; 1 a 3 meses"/>
    <m/>
    <s v="CONTRATO TEMPORAL"/>
    <s v="Acc. No Incapacitante"/>
    <n v="0"/>
    <x v="0"/>
    <m/>
  </r>
  <r>
    <m/>
    <m/>
    <x v="0"/>
    <x v="2"/>
    <s v="LURIN"/>
    <s v="Intradevco"/>
    <x v="16"/>
    <x v="0"/>
    <s v="Empacado detergente"/>
    <x v="0"/>
    <x v="0"/>
    <d v="2024-12-11T00:00:00"/>
    <n v="50"/>
    <n v="11"/>
    <x v="11"/>
    <n v="2024"/>
    <d v="1899-12-30T01:30:00"/>
    <s v="N"/>
    <x v="3"/>
    <x v="5"/>
    <s v="AREVALO"/>
    <s v="VILLON"/>
    <s v="GEANFRANCO"/>
    <s v="MASCULINO"/>
    <m/>
    <s v="OPERARIO DE PRODUCCIÓN"/>
    <m/>
    <s v="El colaborador Arévalo Villon Geanfranco CA.  se encontraba en la VAI, colocando la paleta para que sus compañeros pudieran continuar apilando. Sin embargo, al alzar la paleta con prisa, esta se le resbaló y, debido a la caída, se le aplastó el dedo meñique de la mano izquierda. "/>
    <s v="Atrapado por"/>
    <s v="Meñique izquierdo"/>
    <s v="Mano/Muñeca/Dedos"/>
    <s v="Manipulacion de paletas"/>
    <s v="Contusion en meñique"/>
    <s v="Contusión/Trauma"/>
    <n v="0"/>
    <n v="0"/>
    <n v="0"/>
    <s v="Laborando"/>
    <m/>
    <m/>
    <m/>
    <s v="CONTRATO TEMPORAL"/>
    <s v="Acc. No Incapacitante"/>
    <n v="0"/>
    <x v="0"/>
    <m/>
  </r>
  <r>
    <m/>
    <m/>
    <x v="0"/>
    <x v="4"/>
    <s v="ÑAÑA"/>
    <s v="Global"/>
    <x v="19"/>
    <x v="0"/>
    <s v="Producción"/>
    <x v="1"/>
    <x v="1"/>
    <d v="2024-11-26T00:00:00"/>
    <n v="48"/>
    <n v="26"/>
    <x v="10"/>
    <n v="2024"/>
    <d v="1899-12-30T08:00:00"/>
    <s v="D"/>
    <x v="0"/>
    <x v="18"/>
    <s v="CASIHUE"/>
    <s v="SOLIER"/>
    <s v="CASIMIRO"/>
    <s v="MASCULINO"/>
    <n v="62"/>
    <s v="OPERADOR LIDER DE EXTRUSION"/>
    <d v="2004-05-13T00:00:00"/>
    <s v="El colaborador Casimiro Casihue se disponía a iniciar el proceso de Frutt cuando detectó que una platina del coche de corte del extrusor 4 estaba doblada. Trató de enderezar la platina con un martillo, pero el martillo se deslizó accidentalmente golpeándose contra la barra metálica de la estructura, generándole un corte en el dedo. _x000a_"/>
    <s v="Golpeado por"/>
    <s v="2do dedo de la mano derecha"/>
    <s v="Mano/Muñeca/Dedos"/>
    <s v="Arranque de proceso Frutt"/>
    <s v="Herida de dedo de la mano sin daño de la uña"/>
    <s v="Corte/Herida"/>
    <n v="8"/>
    <n v="0"/>
    <n v="8"/>
    <s v="Descanso Médico"/>
    <n v="240"/>
    <s v="&gt; 10 años"/>
    <s v="Estructura metálica"/>
    <s v="Indefinido"/>
    <s v="Acc. Incapacitante"/>
    <n v="0"/>
    <x v="1"/>
    <m/>
  </r>
  <r>
    <m/>
    <m/>
    <x v="0"/>
    <x v="2"/>
    <s v="LURIN"/>
    <s v="Intradevco"/>
    <x v="16"/>
    <x v="0"/>
    <s v="Lavavajilla"/>
    <x v="0"/>
    <x v="0"/>
    <d v="2024-11-26T00:00:00"/>
    <n v="48"/>
    <n v="26"/>
    <x v="10"/>
    <n v="2024"/>
    <d v="1899-12-30T08:25:00"/>
    <s v="D"/>
    <x v="3"/>
    <x v="5"/>
    <s v="LAURA"/>
    <s v="OLORTEGUI"/>
    <s v="LEYDA"/>
    <s v="FEMENINO"/>
    <m/>
    <s v="OPERARIO DE PRODUCCIÓN"/>
    <m/>
    <s v="La colaboradora Leyda Laura Olortegui CA. se encontraba en la línea 3, realizando la actividad de divisiones, al empujar la caja con el producto hacia la encintadora, notó que ésta estaba desalineada, con el objetivo de centrarla, colocó su mano izquierda sobre la caja y al momento de moverla sus dedos quedan atrapados entre la máquina y la caja, siendo afectado su dedo anular. Asimismo, menciona que rápidamente saca su mano."/>
    <s v="Atrapado por Partes en Movimiento"/>
    <s v="Anular izquierdo"/>
    <s v="Mano/Muñeca/Dedos"/>
    <s v="Manipulacion de cajas"/>
    <s v="Contusion anular izquierdo"/>
    <s v="Contusión/Trauma"/>
    <n v="0"/>
    <n v="0"/>
    <n v="0"/>
    <s v="Laborando"/>
    <m/>
    <m/>
    <m/>
    <s v="CONTRATO TEMPORAL"/>
    <s v="Acc. No Incapacitante"/>
    <n v="0"/>
    <x v="0"/>
    <m/>
  </r>
  <r>
    <m/>
    <m/>
    <x v="0"/>
    <x v="2"/>
    <s v="LURIN"/>
    <s v="Intradevco"/>
    <x v="16"/>
    <x v="0"/>
    <s v="Areas comunes"/>
    <x v="0"/>
    <x v="0"/>
    <d v="2024-11-23T00:00:00"/>
    <n v="47"/>
    <n v="23"/>
    <x v="10"/>
    <n v="2024"/>
    <d v="1899-12-30T01:00:00"/>
    <s v="D"/>
    <x v="3"/>
    <x v="5"/>
    <s v="SILVA"/>
    <s v=" CORONADO DE YOVERA"/>
    <s v="ROCIO DEL PILAR"/>
    <s v="FEMENINO"/>
    <m/>
    <s v="OPERARIO DE PRODUCCIÓN"/>
    <m/>
    <s v="La colaboradora se dirigía a cenar a las 9:30 p.m. cuando se dio cuenta de que ya había una fila formada en la vereda, y algunas personas estaban sentadas al borde, lo que reducía el espacio disponible. En ese momento, un grupo de colaboradores (CA) que venía caminando rápido hacia la cola la empujó, lo que provocó que ella cayera de rodillas. Sin embargo, se levantó rápidamente y continuó formándose en la cola, menciona que solo sentía un ardor en la rodilla izquierda. Debido a esto, no informó de inmediato y terminó su cena. Dió aviso recién después de una hora y media, ya que al momento de caminar, le duele su rodilla Izquierda. "/>
    <s v="Caída al mismo nivel"/>
    <s v="Rodilla izquierda"/>
    <s v="Rodilla"/>
    <s v="Transito por areas comunes"/>
    <s v="Contusion de rodilla"/>
    <s v="Contusión/Trauma"/>
    <n v="0"/>
    <n v="0"/>
    <n v="0"/>
    <s v="Laborando"/>
    <m/>
    <m/>
    <m/>
    <s v="CONTRATO TEMPORAL"/>
    <s v="Acc. No Incapacitante"/>
    <n v="0"/>
    <x v="0"/>
    <m/>
  </r>
  <r>
    <m/>
    <m/>
    <x v="0"/>
    <x v="2"/>
    <s v="LURIN"/>
    <s v="Intradevco"/>
    <x v="16"/>
    <x v="0"/>
    <s v="Lavavajilla"/>
    <x v="0"/>
    <x v="0"/>
    <d v="2024-11-22T00:00:00"/>
    <n v="47"/>
    <n v="22"/>
    <x v="10"/>
    <n v="2024"/>
    <d v="1899-12-30T10:55:00"/>
    <s v="D"/>
    <x v="3"/>
    <x v="5"/>
    <s v="JIMENEZ"/>
    <s v="PUELLES "/>
    <s v="PAOLA SILVIA"/>
    <s v="FEMENINO"/>
    <m/>
    <s v="OPERARIO DE PRODUCCIÓN"/>
    <m/>
    <s v="Colaboradora se encontraba realizando el dosificado en la línea 2._x000a_Al colocar los potes uno de ellos se mueve y al intentar posicionar  correctamente, la crema cae en la zona dorsal de mano derecha. _x000a_Considerar que en esta actividad hacen uso de guantes de nitrilo y temperatura varía entre 45° a 52°"/>
    <s v="Contacto con Superficie Caliente"/>
    <s v="Mano derecha"/>
    <s v="Mano/Muñeca/Dedos"/>
    <s v="Abastecimiento de producto"/>
    <s v="Quemadura superficial"/>
    <s v="Quemadura por Temperatura"/>
    <n v="0"/>
    <n v="0"/>
    <n v="0"/>
    <s v="Laborando"/>
    <m/>
    <m/>
    <s v="crema lavavajilla"/>
    <s v="CONTRATO TEMPORAL"/>
    <s v="Acc. No Incapacitante"/>
    <n v="0"/>
    <x v="0"/>
    <m/>
  </r>
  <r>
    <m/>
    <m/>
    <x v="0"/>
    <x v="2"/>
    <s v="LURIN"/>
    <s v="Intradevco"/>
    <x v="16"/>
    <x v="0"/>
    <s v="Lavavajilla"/>
    <x v="0"/>
    <x v="0"/>
    <d v="2024-12-18T00:00:00"/>
    <n v="51"/>
    <n v="18"/>
    <x v="11"/>
    <n v="2024"/>
    <d v="1899-12-30T03:01:00"/>
    <s v="N"/>
    <x v="3"/>
    <x v="5"/>
    <s v="FERNANDEZ"/>
    <s v="ESPINOZA "/>
    <s v="ALEXIS XAVIER"/>
    <s v="MASCULINO"/>
    <m/>
    <s v="OPERARIO DE PRODUCCIÓN"/>
    <m/>
    <s v="Colaborador se encontraba realizando la actividad de abastecimiento, al ingresar a la línea 2 para colocar divisiones sufre un golpe con la varilla sobresalida de la codificadora de cajas causando un pequeño raspón y enrojecimiento en la zona región lumbar lateral baja._x000a_Cabe mencionar que se ha tenido observaciones anteriormente debido al espacio reducido ya que está la máquina meypack "/>
    <s v="Golpeado contra"/>
    <s v="Lumbar "/>
    <s v="Abdomen/Torso"/>
    <s v="Abastecimiento de cajas"/>
    <s v="Contusion en region lumbar"/>
    <s v="Contusión/Trauma"/>
    <n v="0"/>
    <n v="0"/>
    <n v="0"/>
    <s v="Laborando"/>
    <m/>
    <m/>
    <m/>
    <s v="CONTRATO TEMPORAL"/>
    <s v="Acc. No Incapacitante"/>
    <n v="0"/>
    <x v="0"/>
    <m/>
  </r>
  <r>
    <m/>
    <m/>
    <x v="0"/>
    <x v="2"/>
    <s v="LURIN"/>
    <s v="Intradevco"/>
    <x v="16"/>
    <x v="0"/>
    <s v="Empacado detergente"/>
    <x v="0"/>
    <x v="0"/>
    <d v="2024-12-18T00:00:00"/>
    <n v="51"/>
    <n v="18"/>
    <x v="11"/>
    <n v="2024"/>
    <d v="1899-12-30T17:55:00"/>
    <s v="D"/>
    <x v="3"/>
    <x v="5"/>
    <s v="MELGAREJO"/>
    <s v="GUEVARA"/>
    <s v="ROBERTO CARLOS"/>
    <s v="MASCULINO"/>
    <m/>
    <s v="OPERARIO DE PRODUCCIÓN"/>
    <m/>
    <s v="El colaborador Melgarejo se encontraba abasteciendo el ducto #2 (ducto manual) y por detrás venía el colaborador Piña Flores, quien supuso erróneamente que su compañero estaba avanzando. Sin embargo, lo que Melgarejo hacía en ese momento era acomodar el coche para el empuje. Fue en ese instante cuando Piña, al avanzar, golpeó accidentalmente a Melgarejo en el talón izquierdo con la punta de la estructura metálica que cubre la rueda."/>
    <s v="Golpeado contra"/>
    <s v="Tobillo izquierdo"/>
    <s v="Pie/Tobillo"/>
    <s v="Manipulacion de coche"/>
    <s v="Contusion en talon izquierdo"/>
    <s v="Contusión/Trauma"/>
    <n v="0"/>
    <n v="0"/>
    <n v="0"/>
    <s v="Laborando"/>
    <m/>
    <m/>
    <m/>
    <s v="CONTRATO TEMPORAL"/>
    <s v="Acc. No Incapacitante"/>
    <n v="0"/>
    <x v="0"/>
    <m/>
  </r>
  <r>
    <m/>
    <m/>
    <x v="0"/>
    <x v="2"/>
    <s v="LURIN"/>
    <s v="Intradevco"/>
    <x v="16"/>
    <x v="0"/>
    <s v="Lavavajilla"/>
    <x v="0"/>
    <x v="0"/>
    <d v="2024-12-21T00:00:00"/>
    <n v="51"/>
    <n v="21"/>
    <x v="11"/>
    <n v="2024"/>
    <d v="1899-12-30T03:28:00"/>
    <s v="N"/>
    <x v="3"/>
    <x v="5"/>
    <s v="PECHO"/>
    <s v="ALVA"/>
    <s v="CARLOS JESUS"/>
    <s v="MASCULINO"/>
    <m/>
    <s v="OPERARIO DE PRODUCCIÓN"/>
    <m/>
    <s v="Colaborador se encontraba realizando la limpieza externa de la batidora #01 con una espátula debido a la parada de producción._x000a_Retiraba la crema pegada de los bordes, luego al levantarse de manera brusca y al retroceder impacta la cabeza con el borde del tablero de control( pizarra) generando golpe en la cabeza- región parietal izquierda y a su vez sangrado por herida superficial. Intensidad de dolor moderado_x000a_Refiere que se paró varias veces, sin embargo; en la última no se percató y se ocasiona el accidente"/>
    <s v="Golpeado contra"/>
    <s v="Cabeza"/>
    <s v="Cabeza"/>
    <s v="Limpieza del area"/>
    <s v="Contusion en cabeza"/>
    <s v="Contusión/Trauma"/>
    <n v="0"/>
    <n v="0"/>
    <n v="0"/>
    <s v="Laborando"/>
    <m/>
    <m/>
    <m/>
    <s v="CONTRATO TEMPORAL"/>
    <s v="Acc. No Incapacitante"/>
    <n v="0"/>
    <x v="0"/>
    <m/>
  </r>
  <r>
    <m/>
    <m/>
    <x v="0"/>
    <x v="2"/>
    <s v="LURIN"/>
    <s v="Intradevco"/>
    <x v="16"/>
    <x v="0"/>
    <s v="Empacado detergente"/>
    <x v="0"/>
    <x v="0"/>
    <d v="2024-11-23T00:00:00"/>
    <n v="47"/>
    <n v="23"/>
    <x v="10"/>
    <n v="2024"/>
    <d v="1899-12-30T05:45:00"/>
    <s v="N"/>
    <x v="3"/>
    <x v="5"/>
    <s v="MENDIETA"/>
    <s v="QUISPE"/>
    <s v="DANIEL CRISTIAN"/>
    <s v="MASCULINO"/>
    <m/>
    <s v="OPERARIO DE PRODUCCIÓN"/>
    <m/>
    <s v="El colaborador estaba colocando la paleta para que sus compañeros pudieran continuar apilando, cuando, al retirar la paleta vacía, esta quedó enganchada con otra que estaba detrás. Como resultado, al jalarla, la paleta giró hacia él, golpeándolo en el vientre bajo derecho (Pelvis). Cabe mencionar que si manipuló la paleta con apoyo. "/>
    <s v="Golpeado por"/>
    <s v="Pelvis derecha"/>
    <s v="Abdomen/Torso"/>
    <s v="Manipulacion de paletas"/>
    <s v="Contusion en pelvis"/>
    <s v="Contusión/Trauma"/>
    <n v="0"/>
    <n v="0"/>
    <n v="0"/>
    <s v="Laborando"/>
    <m/>
    <m/>
    <m/>
    <s v="CONTRATO TEMPORAL"/>
    <s v="Acc. No Incapacitante"/>
    <n v="0"/>
    <x v="0"/>
    <m/>
  </r>
  <r>
    <m/>
    <m/>
    <x v="0"/>
    <x v="2"/>
    <s v="LURIN"/>
    <s v="Intradevco"/>
    <x v="16"/>
    <x v="0"/>
    <s v="Lavavajilla"/>
    <x v="0"/>
    <x v="0"/>
    <d v="2024-12-04T00:00:00"/>
    <n v="49"/>
    <n v="4"/>
    <x v="11"/>
    <n v="2024"/>
    <d v="1899-12-30T14:50:00"/>
    <s v="D"/>
    <x v="3"/>
    <x v="5"/>
    <s v="TANGOA"/>
    <s v="IÑAPI"/>
    <s v="CEILITH"/>
    <s v="FEMENINO"/>
    <m/>
    <s v="OPERARIO DE PRODUCCIÓN"/>
    <m/>
    <s v="Colaboradora se encontraba realizando la actividad de esponjado en la línea 1- lado de pistones 1 y 2._x000a_Sus compañeras mientras realizaban sus actividades de ofertado y codificado se encontraban bromeando y jugando de manos, hasta que una de ellas (la que estaba ofertando) se mueve generando que la ofertadora pierda estabilidad puesto que no tiene una posición fija._x000a_Para evitar que caiga, lo detiene rápidamente e impacta el regulador de cinta contra el brazo derecho de la colaboradora en mención, a pesar del intento la ofertadora cae al piso."/>
    <s v="Golpeado por"/>
    <s v="Brazo derecho"/>
    <s v="Brazo/Codo/Hombro"/>
    <s v="Colocacion de esponjas"/>
    <s v="Contusion en brazo derecho"/>
    <s v="Contusión/Trauma"/>
    <n v="0"/>
    <n v="0"/>
    <n v="0"/>
    <s v="Laborando"/>
    <m/>
    <m/>
    <m/>
    <s v="CONTRATO TEMPORAL"/>
    <s v="Acc. No Incapacitante"/>
    <n v="0"/>
    <x v="0"/>
    <m/>
  </r>
  <r>
    <m/>
    <n v="246"/>
    <x v="0"/>
    <x v="2"/>
    <s v="LURIN"/>
    <s v="Intradevco"/>
    <x v="16"/>
    <x v="0"/>
    <s v="Lavavajilla"/>
    <x v="0"/>
    <x v="0"/>
    <d v="2024-12-05T00:00:00"/>
    <n v="49"/>
    <n v="5"/>
    <x v="11"/>
    <n v="2024"/>
    <d v="1899-12-30T01:20:00"/>
    <s v="N"/>
    <x v="3"/>
    <x v="5"/>
    <s v="PAICO"/>
    <s v="DIAZ DE VEGA"/>
    <s v="FLOR DIANIRA"/>
    <s v="FEMENINO"/>
    <m/>
    <s v="OPERARIO DE PRODUCCIÓN"/>
    <m/>
    <s v="La colaboradora se encontraba en la línea 1 y, al momento de realizar el cambio de actividad, procedió a hacer la limpieza. Al agacharse para recoger las esponjas, su compañera, que se encontraba a su lado, rozó con la ofertadora. Debido a la inestabilidad de esta, la ofertadora se cayó, golpeando a la colaboradora en la espalda del lado izquierdo."/>
    <s v="Golpeado por"/>
    <s v="Espalda"/>
    <s v="Abdomen/Torso"/>
    <s v="Limpieza del área"/>
    <s v="Contusion en espalda"/>
    <s v="Contusión/Trauma"/>
    <n v="0"/>
    <n v="0"/>
    <n v="0"/>
    <s v="Laborando"/>
    <m/>
    <m/>
    <m/>
    <s v="CONTRATO TEMPORAL"/>
    <s v="Acc. No Incapacitante"/>
    <n v="0"/>
    <x v="0"/>
    <m/>
  </r>
  <r>
    <m/>
    <m/>
    <x v="4"/>
    <x v="5"/>
    <m/>
    <m/>
    <x v="44"/>
    <x v="10"/>
    <m/>
    <x v="2"/>
    <x v="2"/>
    <m/>
    <d v="1900-02-20T00:00:00"/>
    <m/>
    <x v="0"/>
    <m/>
    <m/>
    <m/>
    <x v="11"/>
    <x v="48"/>
    <m/>
    <m/>
    <m/>
    <m/>
    <m/>
    <m/>
    <m/>
    <m/>
    <m/>
    <m/>
    <m/>
    <m/>
    <m/>
    <m/>
    <m/>
    <m/>
    <m/>
    <m/>
    <m/>
    <m/>
    <m/>
    <m/>
    <n v="0"/>
    <n v="0"/>
    <x v="0"/>
    <m/>
  </r>
  <r>
    <m/>
    <m/>
    <x v="0"/>
    <x v="0"/>
    <s v="SIDSUR"/>
    <s v="Sidsur"/>
    <x v="25"/>
    <x v="0"/>
    <s v="Molino Arequipa - embolsado de harina"/>
    <x v="0"/>
    <x v="0"/>
    <d v="2024-11-23T00:00:00"/>
    <n v="47"/>
    <n v="23"/>
    <x v="10"/>
    <n v="2024"/>
    <d v="1899-12-30T07:00:00"/>
    <s v="D"/>
    <x v="0"/>
    <x v="0"/>
    <s v="AMANQUI"/>
    <s v="TORRES"/>
    <s v="EDGAR"/>
    <s v="MASCULINO"/>
    <m/>
    <m/>
    <d v="2013-04-22T00:00:00"/>
    <s v="El trabajador se encontraba embolsado harina,  cuando recibe la indicacion de colocar la bolsa mas abajo de lo normal debido a que la harina estaba con mucho volumen, al colocar la bolsa como le indicaron;  la mordaza solo sujetó la mitad por lo que era necesario retirar la bolsa, para ello el trabajador acciona el giro del carrusel y en paralelo intenta aperturar la mordaza para el retiro de la bolsa, en eso fue golpeado por la mordaza"/>
    <s v="Golpeado por"/>
    <s v="brazo"/>
    <s v="Mano/Muñeca/Dedos"/>
    <s v="Embosado de harina"/>
    <s v="herida en el antebrazo"/>
    <s v="Corte/Herida"/>
    <n v="0"/>
    <m/>
    <n v="0"/>
    <s v="Laborando"/>
    <m/>
    <m/>
    <m/>
    <m/>
    <s v="Acc. No Incapacitante"/>
    <n v="0"/>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x v="0"/>
    <s v="Distrito del Callao"/>
    <s v="Galletería"/>
    <x v="0"/>
    <x v="0"/>
    <s v="HORNOS"/>
    <s v="Acc. No Incapacitante"/>
    <s v="Acc. No Incapacitante"/>
    <d v="2024-01-13T00:00:00"/>
    <n v="2"/>
    <n v="13"/>
    <n v="1"/>
    <n v="2024"/>
    <d v="1899-12-30T08:35:00"/>
    <s v="M"/>
    <s v="PROPIO"/>
    <s v="Alicorp S.A.A."/>
    <s v="ASENCIO"/>
    <s v="CANALES"/>
    <s v="JOSE"/>
    <s v="MASCULINO"/>
    <n v="45"/>
    <s v="OPERADOR DE HORNO"/>
    <d v="2002-11-27T00:00:00"/>
    <s v="Siendo las 08:35 a.m, el operador de horno se encontraba realizando labores de limpieza de pisos en la zona de laminado Línea 1, y mientras retiraba los residuos en la parte baja de la estación de pre laminado, se golpea la cabeza contra una estructura causándole un leve sangrado._x000a_ _x000a_El operador es derivado hacia tópico donde realizan limpieza de la zona afectada. Post evaluación, el trabajador firma hoja de desistimiento de traslado"/>
    <s v="Golpeado contra"/>
    <s v="CABEZA"/>
    <s v="Cabeza"/>
    <s v="LIMPIEZA  DE PISOS"/>
    <s v="NA"/>
    <s v="Corte/Herida"/>
    <s v="&lt;"/>
    <n v="0"/>
    <n v="0"/>
    <s v="Trabajando"/>
    <n v="252"/>
    <s v="&gt; 10 años"/>
    <s v="ESTRUCTURA"/>
    <s v="CONTRATO INDEFINIDO"/>
  </r>
  <r>
    <x v="0"/>
    <s v="Distrito del Callao"/>
    <s v="Galletería"/>
    <x v="0"/>
    <x v="0"/>
    <s v="BAÑADOS"/>
    <s v="Acc. No Incapacitante"/>
    <s v="Acc. No Incapacitante"/>
    <d v="2024-01-27T00:00:00"/>
    <n v="4"/>
    <n v="27"/>
    <n v="1"/>
    <n v="2024"/>
    <d v="1899-12-30T08:40:00"/>
    <s v="T"/>
    <s v="PROPIO"/>
    <s v="Alicorp S.A.A."/>
    <s v="GARCIA"/>
    <s v="SARAVIA"/>
    <s v="MANUEL"/>
    <s v="MASCULINO"/>
    <n v="58"/>
    <s v="OPERADOR DE MAQUINA ENVASADORA"/>
    <d v="2014-12-19T00:00:00"/>
    <s v="Siendo las 08:40 p.m, el operador de máquina envasadora se encontraba realizando labores de limpieza del equipo de la envasadora de galletas A9 del área de bañados, y mientras retiraba los residuos en la zona, se golpea la cabeza contra la estructura de la porta bandejas que se encontraba cerca._x000a__x000a_El operador es derivado hacia tópico donde realizan limpieza de la zona afectada, colocan crema y proceden a colocar una tira adhesiva con gasa (curita) como protector. Post evaluación, se menciona que no requiere traslado y el colaborador regresa a continuar con sus actividades en planta"/>
    <s v="Golpeado contra"/>
    <s v="CABEZA"/>
    <s v="Cabeza"/>
    <s v="LIMPIEZA  DE LINEA"/>
    <s v="NA"/>
    <s v="Corte/Herida"/>
    <n v="0"/>
    <n v="0"/>
    <n v="0"/>
    <s v="Trabajando"/>
    <n v="336"/>
    <s v="&gt; 10 años"/>
    <s v="PORTA BANDEJAS"/>
    <s v="CONTRATO INDEFINIDO"/>
  </r>
  <r>
    <x v="0"/>
    <s v="Distrito del Callao"/>
    <s v="Galletería"/>
    <x v="0"/>
    <x v="0"/>
    <s v="LINEA 1"/>
    <s v="Acc. No Incapacitante"/>
    <s v="Acc. No Incapacitante"/>
    <d v="2024-01-10T00:00:00"/>
    <n v="2"/>
    <n v="10"/>
    <n v="1"/>
    <n v="2024"/>
    <d v="1899-12-30T16:30:00"/>
    <s v="T"/>
    <s v="SENATI"/>
    <s v="SENATI"/>
    <s v="NAVARRO"/>
    <s v="CHERO"/>
    <s v="ZAYURI ALEXANDRA"/>
    <s v="FEMENINO"/>
    <n v="19"/>
    <s v="APRENDIZ SENATI"/>
    <d v="2023-08-03T00:00:00"/>
    <s v="Siendo las 06:30 p.m., la aprendiz de Senati se encontraba realizando labores de alimentación de galleta en la zona de envasado de galleta de la Línea 1, para ello durante la alimentación hace el traslado de jabas de producto para el abastecimiento manual, el incidente ocurrió cuando estaba abasteciendo los paquetes a la faja, su mano derecha rozo con la guía de la faja provocándole una raspadura en la parte superior de la mano. Después de lo ocurrido al no comunicar, el encargado de línea al percatarse la derivó con el coordinador e ingeniero._x000a__x000a_La aprendiz es derivada hacia tópico, donde se realizó el lavado, aplicación de crema y colocación de curita en la zona afectada. Post evaluación, el médico concluye que no necesita traslado hacia la clínica y puede continuar con su actividad en planta"/>
    <s v="Golpeado por"/>
    <s v="MANO"/>
    <s v="Mano/Muñeca/Dedos"/>
    <s v="ALIMENTACIÓN DE PAQUETES PRIMARIOS"/>
    <s v="NA"/>
    <s v="Corte/Herida"/>
    <n v="0"/>
    <n v="0"/>
    <n v="0"/>
    <s v="Trabajando"/>
    <n v="5"/>
    <s v="&lt; 3 a 6 meses"/>
    <s v="GUIA DE FAJA"/>
    <s v="APRENDIZAJE SENATI"/>
  </r>
  <r>
    <x v="1"/>
    <m/>
    <s v="PDF"/>
    <x v="1"/>
    <x v="0"/>
    <s v="SECADERO 67"/>
    <s v="Acc. Incapacitante"/>
    <s v="Acc. Incapacitante"/>
    <d v="2024-01-08T00:00:00"/>
    <n v="2"/>
    <n v="8"/>
    <n v="1"/>
    <n v="2024"/>
    <d v="1899-12-30T11:35:00"/>
    <s v="M"/>
    <s v="Contratista"/>
    <s v="COAPECOM"/>
    <s v="MARISCAL"/>
    <s v="SIBANTY"/>
    <s v="JULIO ALBERTO"/>
    <s v="MASCULINO"/>
    <n v="35"/>
    <s v="COORDINADOR DE CALIDAD"/>
    <d v="2023-11-13T00:00:00"/>
    <s v="La empresa COAPECOM se encontraba realizando la inspección eléctrica del sistema de transporte sin-fin de la tolva de residuos, misma que se encuentra en proceso de montaje. Como parte de la inspección, se instruyó al Supervisor de COAPECOM, Sr. Julio Mariscal, que elevara el transporte sin-fin; al accionar la manivela del equipo, se produce la caída brusca del sistema, ocasionado un giro violento de la manivela que impactó la mano derecha del supervisor."/>
    <s v="Golpeado por"/>
    <s v="MANO"/>
    <s v="Mano/Muñeca/Dedos"/>
    <s v="INSPECCIÓN ELÉCTRICA"/>
    <s v="Fractura 5o metacarpiano derecho"/>
    <s v="Fractura"/>
    <n v="24"/>
    <n v="0"/>
    <n v="24"/>
    <s v="En recuperación post operatorio"/>
    <n v="120"/>
    <s v="&lt; 1 a 5 años"/>
    <s v="TRANSPORTE SIN FIN"/>
    <s v="CONTRATO INDEFINIDO"/>
  </r>
  <r>
    <x v="1"/>
    <m/>
    <s v="CBB"/>
    <x v="2"/>
    <x v="0"/>
    <s v="MANTECA MARGARINA"/>
    <s v="Acc. No Incapacitante"/>
    <s v="Acc. No Incapacitante"/>
    <d v="2024-01-18T00:00:00"/>
    <n v="3"/>
    <n v="18"/>
    <n v="1"/>
    <n v="2024"/>
    <d v="1899-12-30T03:15:00"/>
    <s v="N"/>
    <s v="PROPIO"/>
    <s v="Alicorp S.A.A."/>
    <s v="SAENZ"/>
    <s v="ARRATIA"/>
    <s v="DANIEL"/>
    <s v="MASCULINO"/>
    <n v="43"/>
    <s v="RECEPCIONISTA DE MARGARINA"/>
    <d v="2014-03-01T00:00:00"/>
    <s v="A horas 3:15 am recepcionista de margarina Daniel Sáenz se tropieza con pallet de madera al estar trasladándose por la zona de cortina de ingreso de material de empaquetado, esto ocasiona que  el colaborador se  caiga y  se contusione levemente el antebrazo derecho, el operador presenta leve dolor en brazo derecho, por prevención inmediatamente se gestiona el traslado a caja nacional de salud para su revisión. "/>
    <s v="Caída al mismo nivel"/>
    <s v="ANTEBRAZO"/>
    <s v="Brazo/Codo/Hombro"/>
    <s v="ARME CAJAS"/>
    <s v="Policontusión"/>
    <s v="Contusión/Trauma"/>
    <n v="0"/>
    <s v="-"/>
    <n v="0"/>
    <s v="Trabajando"/>
    <n v="118"/>
    <s v="&lt; 5 a 10 años"/>
    <s v="PISO CON OBSTACULOS"/>
    <s v="CONTRATO INDEFINIDO"/>
  </r>
  <r>
    <x v="1"/>
    <m/>
    <s v="PDF"/>
    <x v="1"/>
    <x v="1"/>
    <s v="SOLVENTE CROWN"/>
    <s v="Acc. No Incapacitante"/>
    <s v="Acc. No Incapacitante"/>
    <d v="2024-01-03T00:00:00"/>
    <n v="1"/>
    <n v="3"/>
    <n v="1"/>
    <n v="2024"/>
    <d v="1899-12-30T00:35:00"/>
    <s v="N"/>
    <s v="PROPIO"/>
    <s v="Alicorp S.A.A."/>
    <s v="SALDAÑA"/>
    <s v="PADILLA"/>
    <s v="ERICKA"/>
    <s v="FEMENINO"/>
    <n v="53"/>
    <s v="ANALISTA DE LABORATORIO"/>
    <d v="2003-04-01T00:00:00"/>
    <s v="Bajada violenta de carro de muestreo, el cual golpea la fosa poplítea de la pierna derecha ocasionando caída al mismo nivel."/>
    <s v="Caída al mismo nivel"/>
    <s v="PIERNA"/>
    <s v="Pierna"/>
    <s v="TRASLADO DE MUESTRAS"/>
    <s v="Bursitis rodilla derecha"/>
    <s v="Contusión/Trauma"/>
    <n v="0"/>
    <s v="-"/>
    <n v="0"/>
    <s v="Trabajando"/>
    <n v="248"/>
    <s v="&gt; 10 años"/>
    <s v="PISO CON DESNIVELES"/>
    <s v="CONTRATO INDEFINIDO"/>
  </r>
  <r>
    <x v="0"/>
    <s v="PREDIO CENTRAL"/>
    <s v="Copsa"/>
    <x v="3"/>
    <x v="0"/>
    <s v="SALSAS 3"/>
    <s v="Acc. Incapacitante"/>
    <s v="Acc. Incapacitante"/>
    <d v="2024-01-02T00:00:00"/>
    <n v="1"/>
    <n v="2"/>
    <n v="1"/>
    <n v="2024"/>
    <d v="1899-12-30T08:35:00"/>
    <s v="M"/>
    <s v="PROPIO"/>
    <s v="Alicorp S.A.A"/>
    <s v="ABANTO"/>
    <s v="CHAVEZ"/>
    <s v="JUAN SALVADOR"/>
    <s v="MASCULINO"/>
    <n v="60"/>
    <s v="AYUDANTE DE SANEAMIENTO"/>
    <d v="2006-10-05T00:00:00"/>
    <s v="El colaborador se dirige a la azotea de Salsas 3 (3er piso) para recoger la cartelería que se había guardado en dicha zona, para retornarlo a su lugar de origen, al haber concluido los trabajos de pintura en la cámara de refrigeración (1er piso); en dicho trayecto se tropieza con la parte sobresaliente de unos pernos pasantes de soporte de tuberías, cayendo sobre su rodilla izquierda._x000a_El colaborador manifiesta que se repone y continúa su trayecto llegando al 1er piso y siente un fuerte dolor en la zona afectada, procediendo a comunicar a su líder de turno."/>
    <s v="Caída al mismo nivel"/>
    <s v="PIERNA"/>
    <s v="Rodilla"/>
    <s v="Traslado de carteles desde almacén de materiales a cámara de refrigeración"/>
    <s v="Esguince de rodilla izquierda"/>
    <s v="Esguince/Torcedura"/>
    <n v="180"/>
    <n v="0"/>
    <n v="180"/>
    <s v="En recuperación post intervención quirúrgica"/>
    <n v="207"/>
    <s v="&gt; 10 años"/>
    <s v="PISO CON PERNO PASANTE SOBRESALIENTE"/>
    <s v="CONTRATO INDEFINIDO"/>
  </r>
  <r>
    <x v="0"/>
    <s v="Distrito del Callao"/>
    <s v="Galletería"/>
    <x v="0"/>
    <x v="0"/>
    <s v="LINEA 1"/>
    <s v="Acc. Incapacitante"/>
    <s v="Acc. Incapacitante"/>
    <d v="2024-02-02T00:00:00"/>
    <n v="5"/>
    <n v="2"/>
    <n v="2"/>
    <n v="2024"/>
    <d v="1899-12-30T15:34:00"/>
    <s v="M"/>
    <s v="PROPIO"/>
    <s v="Alicorp S.A.A"/>
    <s v="COTRINA "/>
    <s v="ALANYA"/>
    <s v="MARIBEL"/>
    <s v="FEMENINO"/>
    <n v="25"/>
    <s v="OPERARIO DE PRODUCCIÓN"/>
    <d v="2024-01-24T00:00:00"/>
    <s v="Siendo las 03:34 p.m, la señorita operaria de producción se encontraba realizando labores de alimentación de galleta en la envasadora C3 de la línea 1, debido al fin de turno procede a realizar la limpieza de su zona de trabajo, durante la actividad al querer retirar residuos de galleta del pistón de centrado de la faja de acomodo, procede a introducir la mano por debajo de la guarda de seguridad, sufriendo un atrapamiento debido a la activación del pistón"/>
    <s v="Atrapado por Partes en Movimiento"/>
    <s v="MANO"/>
    <s v="Mano/Muñeca/Dedos"/>
    <s v="LIMPIEZA DE LINEA"/>
    <s v="TRAUMATISMO POR ATRAPAMIENTO DEL DEDO PULGAR Y OTROS DEDOS"/>
    <s v="Contusión/Trauma"/>
    <n v="30"/>
    <n v="0"/>
    <n v="30"/>
    <s v="Descanso Médico"/>
    <n v="0"/>
    <s v="&lt; 1 mes"/>
    <s v="PISTON"/>
    <s v="CONTRATO INDEFINIDO"/>
  </r>
  <r>
    <x v="1"/>
    <m/>
    <s v="PPI"/>
    <x v="4"/>
    <x v="0"/>
    <s v="RECEPCIÓN DE GRANO"/>
    <s v="Acc. No Incapacitante"/>
    <s v="Acc. No Incapacitante"/>
    <d v="2024-01-17T00:00:00"/>
    <n v="3"/>
    <n v="17"/>
    <n v="1"/>
    <n v="2024"/>
    <d v="1899-12-30T16:30:00"/>
    <s v="T"/>
    <s v="Contratista"/>
    <s v="APREMEC"/>
    <s v="ARIAS"/>
    <s v="SALCES"/>
    <s v="JESUS IGNACIO"/>
    <s v="MASCULINO"/>
    <n v="40"/>
    <s v="SUPERVISOR DE CUADRILLA"/>
    <d v="2024-01-07T00:00:00"/>
    <s v="El día 17/01/2023 a las 16:30 se reporta un corte superficial en la parte dorsal de la mano derecha de unos 3 cm aprox . El contratista se encontraba ajustando una tolva y cuando ejerce palanca con una barreta esta se sale de su posición y la mano se proyecta hacia la tolva golpeando un perno y ocasionándole el corte. Personal contratista fue atendido de primeros auxilios en posta médica. El corte en requirió sutura de 5 puntos y limpieza. Al otro día retornó a sus actividades restringido a realizar sus trabajos de supervisión de personal a nivel del piso."/>
    <s v="Contacto con superficie filosa"/>
    <s v="MANO"/>
    <s v="Mano/Muñeca/Dedos"/>
    <s v="AJUSTE DE TOLVA"/>
    <s v="Corte superficial mano derecha"/>
    <s v="Corte/Herida"/>
    <n v="0"/>
    <n v="0"/>
    <n v="0"/>
    <s v="Trabajando"/>
    <n v="120"/>
    <s v="&lt; 1 a 5 años"/>
    <s v="SUPERFICIE FILOSA"/>
    <s v="CONTRATO TEMPORAL"/>
  </r>
  <r>
    <x v="0"/>
    <s v="Distrito del Callao"/>
    <s v="Galletería"/>
    <x v="0"/>
    <x v="0"/>
    <s v="LINEA 3"/>
    <s v="Acc. Incapacitante"/>
    <s v="Acc. Incapacitante"/>
    <d v="2024-02-06T00:00:00"/>
    <n v="6"/>
    <n v="6"/>
    <n v="2"/>
    <n v="2024"/>
    <d v="1899-12-30T06:40:00"/>
    <s v="M"/>
    <s v="PROPIO"/>
    <s v="Alicorp S.A.A"/>
    <s v="ZAPATA"/>
    <s v="GASTELO"/>
    <s v="OSCAR PAUL"/>
    <s v="MASCULINO"/>
    <s v="-"/>
    <s v="OPERARIO DE PRODUCCIÓN"/>
    <s v="-"/>
    <s v="Siendo las 06:35, el operario de Producción Oscar Zapata Gastelo se encontraba realizando labores de alimentación de galletas en los magazines del equipo Torre Línea 3, durante la actividad su mano derecha entra en contacto con una astilla metálica en la superficie del magazine, causándole un corte en el quinto dedo de la mano derecha. "/>
    <s v="Contacto con superficie filosa"/>
    <s v="MANO"/>
    <s v="Mano/Muñeca/Dedos"/>
    <s v="ALIMENTACIÓN DE GALLETAS"/>
    <s v="Herida del dedo meñique"/>
    <s v="Corte/Herida"/>
    <n v="2"/>
    <n v="0"/>
    <n v="2"/>
    <s v="Descanso Médico"/>
    <n v="62"/>
    <s v="&lt; 5 a 10 años"/>
    <s v="SUPERFICIE FILOSA"/>
    <s v="CONTRATO INDEFINIDO"/>
  </r>
  <r>
    <x v="2"/>
    <s v="Distrito de Lurín"/>
    <s v="Intradevco"/>
    <x v="5"/>
    <x v="0"/>
    <s v="SOPLADO"/>
    <s v="Acc. Incapacitante"/>
    <s v="Acc. Incapacitante"/>
    <d v="2024-01-03T00:00:00"/>
    <n v="1"/>
    <n v="3"/>
    <n v="1"/>
    <n v="2024"/>
    <d v="1899-12-30T08:00:00"/>
    <s v="M"/>
    <s v="Service"/>
    <s v="Grupo Consulting"/>
    <s v="MEJÍA"/>
    <s v="CRISOSTOMO"/>
    <s v="ADA KELY"/>
    <s v="FEMENINO"/>
    <n v="23"/>
    <s v="OPERARIO DE PRODUCCIÓN"/>
    <d v="2023-04-01T00:00:00"/>
    <s v="La colaboradora se encontraba empleando una cuchilla para retirar las partes del plástico contaminado de uno de los frascos (galonera 5L). Esta actividad consiste en emplear una cuchilla para cortar en forma circular alrededor de las manchas o materiales extraños detectados en el frasco._x000a__x000a_Durante la actividad de corte, la colaboradora ejerce presión sobre la superficie que presentaba rigidez y realiza un corte ejerciendo fuerza en dirección a su cuerpo; producto de esta acción, la botella es cortada y la cuchilla alcanza la parte expuesta del antebrazo de la persona, entre el guante anticorte y el polo que se encontraba arremangado._x000a__x000a_La colaboradora comunica lo ocurrido a su supervisora y es atendida en el tópico. Se traslada a la colaboradora a la clínica para suturar la herida._x000a__x000a_Se procede con la investigación del accidente."/>
    <s v="Contacto con superficie cortante"/>
    <s v="ANTEBRAZO"/>
    <s v="Brazo/Codo/Hombro"/>
    <s v="Retiro de contaminación en envase"/>
    <s v="Herida en el antebrazo izquierdo"/>
    <s v="Corte/Herida"/>
    <n v="9"/>
    <n v="0"/>
    <n v="9"/>
    <s v="Trabajando"/>
    <n v="8"/>
    <s v="&lt; 0.5 a 1 año"/>
    <s v="SUPERFICIE FILOSA"/>
    <s v="CONTRATO TEMPORAL"/>
  </r>
  <r>
    <x v="2"/>
    <s v="Distrito de Chorrillos"/>
    <s v="Intradevco"/>
    <x v="6"/>
    <x v="0"/>
    <s v="PESADO"/>
    <s v="Acc. No Incapacitante"/>
    <s v="Acc. No Incapacitante"/>
    <d v="2024-01-09T00:00:00"/>
    <n v="2"/>
    <n v="9"/>
    <n v="1"/>
    <n v="2024"/>
    <d v="1899-12-30T07:50:00"/>
    <s v="M"/>
    <s v="Service"/>
    <s v="Grupo Consulting"/>
    <s v="RENGIFO"/>
    <s v="AMASIFUEN"/>
    <s v="DAN MICHAEL"/>
    <s v="MASCULINO"/>
    <n v="34"/>
    <s v="OPERARIO DE PRODUCCIÓN"/>
    <d v="2024-01-02T00:00:00"/>
    <s v="Trabajador refiere salpicadura de éter en espalda,  brazo y hemicara derecha. Refiere uso de EPP completo. Acudió a tópico donde se evaluó y se le brindo atención médica con reevaluación en 2 horas. _x000a_En la reevaluación, colaborador refirió cefalea, ardor en ambos ojos y parestesia de hemicara derecha."/>
    <s v="Exposición a Sustancias Químicas"/>
    <s v="CABEZA"/>
    <s v="Rostro/Nariz/Boca"/>
    <s v="Trasvase de productos"/>
    <s v="Dematitis"/>
    <s v="Quemadura Química"/>
    <n v="0"/>
    <n v="0"/>
    <n v="0"/>
    <s v="Cesado"/>
    <n v="0"/>
    <s v="&lt; 1 mes"/>
    <s v="Sustancia química"/>
    <s v="CONTRATO TEMPORAL"/>
  </r>
  <r>
    <x v="2"/>
    <s v="Distrito de Lurín"/>
    <s v="Intradevco"/>
    <x v="7"/>
    <x v="0"/>
    <s v="AEROSOLES"/>
    <s v="Acc. No Incapacitante"/>
    <s v="Acc. No Incapacitante"/>
    <d v="2024-01-19T00:00:00"/>
    <n v="3"/>
    <n v="19"/>
    <n v="1"/>
    <n v="2024"/>
    <d v="1899-12-30T06:00:00"/>
    <s v="M"/>
    <s v="Service"/>
    <s v="Grupo Consulting"/>
    <s v="VILLACORTA"/>
    <s v="ASIPALI"/>
    <s v="ALEX"/>
    <s v="MASCULINO"/>
    <n v="25"/>
    <s v="OPERARIO DE PRODUCCIÓN"/>
    <d v="2023-05-25T00:00:00"/>
    <s v="El colaborador accidentado se encontraba realizando actividades de colocación de pulsadores a las latas, en la mesa de trabajo al lado derecho de la máquina llenadora de gas._x000a__x000a_El colaborador se acerca hacia la izquierda para coger más latas, cuando siente la salpicadura de liquido en el ojo izquierdo. La salpicadura se dio en el llenado de gas, debido a que la válvula no fue encrimpada. "/>
    <s v="Exposición a Sustancias Químicas"/>
    <s v="OJOS"/>
    <s v="Ojos"/>
    <s v="Colocación de tapas a producto"/>
    <s v="Irritación visutal"/>
    <s v="Quemadura Química"/>
    <n v="0"/>
    <n v="0"/>
    <n v="0"/>
    <s v="Trabajando"/>
    <n v="8"/>
    <s v="&lt; 0.5 a 1 año"/>
    <s v="Sustancia química"/>
    <s v="CONTRATO TEMPORAL"/>
  </r>
  <r>
    <x v="2"/>
    <s v="Distrito de Lurín"/>
    <s v="Intradevco"/>
    <x v="8"/>
    <x v="0"/>
    <s v="SULFONACIÓN"/>
    <s v="Acc. No Incapacitante"/>
    <s v="Acc. No Incapacitante"/>
    <d v="2024-01-31T00:00:00"/>
    <n v="5"/>
    <n v="31"/>
    <n v="1"/>
    <n v="2024"/>
    <d v="1899-12-30T13:55:00"/>
    <s v="M"/>
    <s v="Service"/>
    <s v="Grupo Consulting"/>
    <s v="PALOMINO"/>
    <s v="YURIVILCA"/>
    <s v="YESSICA"/>
    <s v="FEMENINO"/>
    <n v="26"/>
    <s v="SUPERVISOR DE SEGURIDAD"/>
    <d v="2022-03-17T00:00:00"/>
    <s v="Colaboradoras Meilin Ticona Rodriguez (CAO) y Yessica Palomino Yurivilca (CAO) Se encontraban retornando de su hora de refrigerio con dirección a tubepack, cuando transitaban por el sendero peatonal de Sulfonacion 2 , perciben olor extraño, consigo ardor de vía nasal, ardor de garganta y tos. Inmediatamente dan aviso al supervisor de Planta Arturo Gonzales. Posteriormente se trasladan al tópico. "/>
    <s v="Exposición a Sustancias Químicas"/>
    <s v="VÍAS RESPIRATORIAS"/>
    <s v="Vías Respiratorias"/>
    <s v="Desplazamiento en sendero peatonal"/>
    <s v="Intoxicación"/>
    <s v="Intoxicación"/>
    <n v="0"/>
    <n v="0"/>
    <n v="0"/>
    <s v="Trabajando"/>
    <n v="22"/>
    <s v="&lt; 1 a 5 años"/>
    <s v="Sustancia química"/>
    <s v="CONTRATO TEMPORAL"/>
  </r>
  <r>
    <x v="2"/>
    <s v="Distrito de Lurín"/>
    <s v="Intradevco"/>
    <x v="7"/>
    <x v="0"/>
    <s v="ÁREA COMÚN"/>
    <s v="Acc. No Incapacitante"/>
    <s v="Acc. No Incapacitante"/>
    <d v="2024-02-03T00:00:00"/>
    <n v="5"/>
    <n v="3"/>
    <n v="2"/>
    <n v="2024"/>
    <d v="1899-12-30T12:15:00"/>
    <s v="M"/>
    <s v="Service"/>
    <s v="Grupo Consulting"/>
    <s v="MOZOMBITE"/>
    <s v="GARCIA"/>
    <s v="CLARA INES"/>
    <s v="FEMENINO"/>
    <n v="22"/>
    <s v="OPERARIO DE PRODUCCIÓN"/>
    <d v="2024-01-05T00:00:00"/>
    <s v="Colaboradora se encontraba bajando las escaleras luego de almorzar, menciona que estaba usando el pasamanos, pero encontrándose en los últimos peldaños se soltó, creyendo ya pisar el nivel del piso, pero un le faltaba el último peldaño, es ahí que cae y se golpea las rodillas. _x000a__x000a_Posteriormente da aviso a su supervisora y es trasladada al tópico "/>
    <s v="Caída a distinto nivel"/>
    <s v="RODILLAS"/>
    <s v="Rodilla"/>
    <s v="Desplazamiento en escalera"/>
    <s v="Contusión"/>
    <s v="Contusión/Trauma"/>
    <n v="0"/>
    <n v="0"/>
    <n v="0"/>
    <s v="Trabajando"/>
    <n v="0"/>
    <s v="&lt; 1 mes"/>
    <s v="Altura estructural"/>
    <s v="CONTRATO TEMPORAL"/>
  </r>
  <r>
    <x v="2"/>
    <s v="Distrito de Lurín"/>
    <s v="Intradevco"/>
    <x v="7"/>
    <x v="2"/>
    <s v="Compactado de residuos sólidos"/>
    <s v="Acc. No Incapacitante"/>
    <s v="Acc. No Incapacitante"/>
    <d v="2024-02-10T00:00:00"/>
    <n v="6"/>
    <n v="10"/>
    <n v="2"/>
    <n v="2024"/>
    <d v="1899-12-30T10:35:00"/>
    <s v="M"/>
    <s v="Tercero - Limpieza"/>
    <s v="Alteliza"/>
    <s v="DE LA TORRE"/>
    <s v="HUAMAN"/>
    <s v="DAVID MOISES"/>
    <s v="MASCULINO"/>
    <s v="-"/>
    <s v="OPERARIO"/>
    <s v="-"/>
    <s v="El colaborador David Moises De la Torre Huaman, culminó la actividad de prensado y procedió a cerrar las dos puertas de la compactadora en simultáneo, manteniendo el dedo pulgar de la mano izquierda entre ambas puertas, produciéndose una atricción y una herida superficial"/>
    <s v="Atrapado por Partes en Movimiento"/>
    <s v="DEDOS DE LA MANO"/>
    <s v="Mano/Muñeca/Dedos"/>
    <s v="Cierre de puerta de compactadora"/>
    <s v="Atricción"/>
    <s v="Contusión/Trauma"/>
    <n v="0"/>
    <n v="0"/>
    <n v="0"/>
    <s v="Trabajando"/>
    <m/>
    <m/>
    <s v="MÁQUINA/EQUIPO"/>
    <s v="CONTRATO TEMPORAL"/>
  </r>
  <r>
    <x v="2"/>
    <s v="Distrito de Lurín"/>
    <s v="Intradevco"/>
    <x v="7"/>
    <x v="0"/>
    <s v="Garita del lote 4"/>
    <s v="Acc. No Incapacitante"/>
    <s v="Acc. No Incapacitante"/>
    <d v="2024-02-13T00:00:00"/>
    <n v="7"/>
    <n v="13"/>
    <n v="2"/>
    <n v="2024"/>
    <d v="1899-12-30T09:15:00"/>
    <s v="N"/>
    <s v="Tercero - Limpieza"/>
    <s v="Alteliza"/>
    <s v="GUTIERREZ"/>
    <s v="ROJAS"/>
    <s v="JULIA"/>
    <s v="FEMENINO"/>
    <s v="-"/>
    <s v="OPERARIA"/>
    <s v="-"/>
    <s v="La colaboradora Julia Gutierrez Rojas (alteliza) estaba realizando limpieza en garita LOTE4, ya que estaba utilizando un envase con el contenido de lejía y agua, al momento de realizar la actividad el envase se le desprende de la mano y cae al suelo por lo que se rompió la rosca del gatillo y se produjo la Salpicadura en el ojo derecho, indicar que la colaborador no estaba haciendo uso de sus lentes de seguridad en plena actividad."/>
    <s v="Proyección de Sustancias Químicas"/>
    <s v="OJOS"/>
    <s v="Ojos"/>
    <s v="Limpieza del área"/>
    <s v="Irritación visutal"/>
    <s v="Cuerpo Extraño en Ojos"/>
    <n v="0"/>
    <n v="0"/>
    <n v="0"/>
    <s v="Trabajando"/>
    <m/>
    <m/>
    <s v="Sustancia química"/>
    <s v="CONTRATO TEMPORAL"/>
  </r>
  <r>
    <x v="2"/>
    <s v="Distrito de Lurín"/>
    <s v="Intradevco"/>
    <x v="7"/>
    <x v="0"/>
    <s v="Lejía"/>
    <s v="Acc. No Incapacitante"/>
    <s v="Acc. No Incapacitante"/>
    <d v="2024-02-13T00:00:00"/>
    <n v="7"/>
    <n v="13"/>
    <n v="2"/>
    <n v="2024"/>
    <s v="-"/>
    <s v="-"/>
    <s v="Contratista"/>
    <s v="Grupo Consulting"/>
    <s v="PALACIOS"/>
    <s v="ABAD"/>
    <s v="JOSE LUIS"/>
    <s v="MASCULINO"/>
    <s v="-"/>
    <s v="OPERARIO DE PRODUCCIÓN"/>
    <s v="-"/>
    <s v="Colaborador se encontraba realizando actividades de traslado de cajas con PT,  se percata que los rodillos giratorios se encontraban mojados, motivo por la cual procede con la limpieza del rodillo mientras ésta se encontraba girando aun, continua con la limpieza hasta tener acercamiento a la faja transportadora en movimiento y sufre atrapamiento de dedos entre el rodillo y la faja. Posteriormente da aviso a la supervisora y es trasladado al tópico."/>
    <s v="Atrapado por Partes en Movimiento"/>
    <s v="MANO"/>
    <s v="Mano/Muñeca/Dedos"/>
    <s v="Limpieza de polines"/>
    <s v="Atricción"/>
    <s v="Contusión/Trauma"/>
    <n v="0"/>
    <n v="0"/>
    <n v="0"/>
    <s v="Trabajando"/>
    <m/>
    <m/>
    <s v="MÁQUINA/EQUIPO"/>
    <s v="CONTRATO TEMPORAL"/>
  </r>
  <r>
    <x v="2"/>
    <s v="Distrito de Lurín"/>
    <s v="Intradevco"/>
    <x v="7"/>
    <x v="0"/>
    <s v="SOPLADO"/>
    <s v="Acc. No Incapacitante"/>
    <s v="Acc. No Incapacitante"/>
    <d v="2024-03-30T00:00:00"/>
    <n v="13"/>
    <n v="30"/>
    <n v="3"/>
    <n v="2024"/>
    <d v="1899-12-30T22:00:00"/>
    <s v="N"/>
    <s v="Service"/>
    <s v="Grupo Consulting"/>
    <s v="PAREJAS"/>
    <s v="CORNEJO"/>
    <s v="ESTEFANI"/>
    <s v="FEMENINO"/>
    <n v="25"/>
    <s v="OPERARIO DE PRODUCCIÓN"/>
    <d v="2024-05-01T00:00:00"/>
    <s v="Colaboradora iba realizar el traslado de una paleta hacia zona demarcada de apilamiento en la máquina JH5 Procede a intentar bajar la paleta desde una ruma de 3, levanta la plataforma y por el peso se le resbala quedando el dedo atrapado entre la plataforma y el taco, causando herida en la uña. *Colaboradora no se percató del mal estado de la paleta ( el taco central, estaba separado de la plataforma) dejando un clavo expuesto *Colaboradora se encontraba sin guantes para manipulación de paletas ."/>
    <s v="Contacto con superficie cortante"/>
    <s v="MANO"/>
    <s v="Mano/Muñeca/Dedos"/>
    <s v="Manipulación de paletas"/>
    <s v="Herida en dedo"/>
    <s v="Corte/Herida"/>
    <n v="0"/>
    <n v="0"/>
    <n v="0"/>
    <s v="Trabajando"/>
    <n v="10"/>
    <s v="&lt; 0.5 a 1 año"/>
    <s v="PALETA"/>
    <s v="CONTRATO TEMPORAL"/>
  </r>
  <r>
    <x v="2"/>
    <s v="DETERGENTES"/>
    <s v="Intradevco"/>
    <x v="9"/>
    <x v="3"/>
    <s v="Distribución"/>
    <s v="Acc. No Incapacitante"/>
    <s v="Acc. No Incapacitante"/>
    <d v="2024-01-08T00:00:00"/>
    <n v="2"/>
    <n v="8"/>
    <n v="1"/>
    <n v="2024"/>
    <d v="1899-12-30T22:30:00"/>
    <s v="N"/>
    <s v="Service"/>
    <s v="RANSA"/>
    <s v="BERRIO"/>
    <s v=" HUAMANI"/>
    <s v=" DIANA"/>
    <s v="FEMENINO"/>
    <n v="29"/>
    <s v="OPERARIO DE DESPACHO"/>
    <d v="2024-01-01T00:00:00"/>
    <s v="Manipulando transpaleta y al estacionar para descargar recibe contusión en dedo pulgar   con paletas mal apiladas"/>
    <s v="Golpeado por"/>
    <s v="DEDO PULGAR IZQUIERDO"/>
    <s v="Mano/Muñeca/Dedos"/>
    <s v="Operación de transpaleta"/>
    <s v="Contusion"/>
    <s v="Contusión/Trauma"/>
    <n v="0"/>
    <n v="0"/>
    <n v="0"/>
    <s v="Trabajando"/>
    <n v="0.23"/>
    <s v="&lt; 1 mes"/>
    <s v="PALETA"/>
    <s v="CONTRATO TEMPORAL"/>
  </r>
  <r>
    <x v="0"/>
    <s v="MCA"/>
    <s v="Otros"/>
    <x v="10"/>
    <x v="4"/>
    <s v="Proyecto Vestuarios"/>
    <s v="Acc. Incapacitante"/>
    <s v="Acc. Incapacitante"/>
    <d v="2024-01-17T00:00:00"/>
    <n v="3"/>
    <n v="17"/>
    <n v="1"/>
    <n v="2024"/>
    <d v="1899-12-30T08:40:00"/>
    <s v="M"/>
    <s v="Contratista"/>
    <s v="CONSTRUCTORA MORCONST S.A.C "/>
    <s v="ALVAREZ"/>
    <s v="CERVANTES"/>
    <s v="RODOLFO"/>
    <s v="MASCULINO"/>
    <n v="33"/>
    <s v="PEON"/>
    <s v="-"/>
    <s v="El 17 de enero a las 8:40 am, aproximadamente, el trabajador ALVAREZ CERVANTES ADOLFO, personal de la subcontrata de la empresa Binswanger, se encontraba descendiendo hacia dentro de la cisterna para hacer limpieza de esta._x000a_El trabajador intentó bajar al interior de la cisterna por el área de la escotilla, el área contaba con fierros sobresalidos cada uno con capuchones*_x000a_El trabajador colocó una escalera lineal* y la cual se deslizó, provocando la expulsión de uno de los capuchones de protección con el cual el trabajador sufrió la incrustación del fierro de unos centímetros, en la altura del abdomen (zona lateral derecha)."/>
    <s v="Caída a distinto nivel"/>
    <s v="Abdómen"/>
    <s v="Abdomen/Torso"/>
    <s v="-"/>
    <m/>
    <s v="Contusión/Trauma"/>
    <n v="16"/>
    <n v="0"/>
    <n v="16"/>
    <m/>
    <n v="60"/>
    <s v="&lt; 1 a 5 años"/>
    <m/>
    <m/>
  </r>
  <r>
    <x v="3"/>
    <s v="BICIS 2"/>
    <s v="Vitapro"/>
    <x v="11"/>
    <x v="5"/>
    <s v="Edificio de Manufactura Bicis 2"/>
    <s v="Acc. Incapacitante"/>
    <s v="Acc. Incapacitante"/>
    <d v="2024-01-17T00:00:00"/>
    <n v="3"/>
    <n v="17"/>
    <n v="1"/>
    <n v="2024"/>
    <d v="1899-12-30T14:30:00"/>
    <s v="M"/>
    <s v="Contratista"/>
    <s v="EVA ENGINEERING"/>
    <s v="FLORES"/>
    <s v="GARCÍA"/>
    <s v="DIEGO ARMANDO"/>
    <s v="MASCULINO"/>
    <n v="30"/>
    <s v="SOLDADOR"/>
    <s v="-"/>
    <s v="El 17 de enero a las 2:30 pm, el trabajador DIEGO ARMANDO FLORES GARCIA, de la empresa EVA ENGINEERING se encontraba realizando soldadura de las estructuras de una plataforma metálica en construcción ubicada a 3 metros de altura aproximadamente. _x000a__x000a_El trabajador al cambiarse de posición desenganchó su eslinga para poder trasladarse sobre la plataforma en construcción, indicó que se desvaneció en ese momento y cayó desde la plataforma hasta el nivel piso. El impacto de la caída golpea su rostro contra un equipo instalado _x000a_"/>
    <s v="Caída a distinto nivel"/>
    <s v="Labio inferior"/>
    <s v="Rostro/Nariz/Boca"/>
    <s v="-"/>
    <s v="Herida labio inferior 2cm"/>
    <s v="Corte/Herida"/>
    <n v="3"/>
    <n v="0"/>
    <n v="3"/>
    <m/>
    <m/>
    <s v="&lt; 5 a 10 años"/>
    <m/>
    <m/>
  </r>
  <r>
    <x v="3"/>
    <s v="Chile"/>
    <s v="Vitapro"/>
    <x v="12"/>
    <x v="6"/>
    <s v="Cernidor carga MP L3 y L4 "/>
    <s v="Acc. Incapacitante"/>
    <s v="Acc. Incapacitante"/>
    <d v="2024-01-04T00:00:00"/>
    <n v="1"/>
    <n v="4"/>
    <n v="1"/>
    <n v="2024"/>
    <d v="1899-12-30T15:00:00"/>
    <s v="M"/>
    <s v="PROPIO"/>
    <s v="VITAPRO"/>
    <s v="-"/>
    <s v="-"/>
    <s v="-"/>
    <s v="MASCULINO"/>
    <n v="28"/>
    <s v="TECNICO MECÁNICO"/>
    <s v="-"/>
    <s v="Durante el turno de la tarde, dos trabajadores de mantención mecánica reciben llamado al radiotransmisor por falla en elevador L3 y L4, al llegar a revisar, notan que el cernidor se encontraba trabado con producto húmedo, por lo cual comienzan a golpear las paredes del equipo con un combo de goma, un trabajador golpea el lado izquierdo y el segundo trabajador golpea el lado derecho (el cual tenía el acceso y espacio de trabajo mas reducido) en el momento que trabajador procede a golpear la pared del cernidor con el mazo de goma, pasa a golpear su mano contra el cernidor con toda la fuerza del golpe mientras sostenía el combo."/>
    <s v="Golpeado contra"/>
    <s v="Dedo anular mano derecha"/>
    <s v="Mano/Muñeca/Dedos"/>
    <s v="-"/>
    <s v="Lesión en dedo"/>
    <s v="Contusión/Trauma"/>
    <n v="9"/>
    <n v="0"/>
    <n v="9"/>
    <m/>
    <n v="20"/>
    <s v="&lt; 1 a 5 años"/>
    <s v="COMBA DE GOMA"/>
    <m/>
  </r>
  <r>
    <x v="0"/>
    <s v="Distrito del Callao"/>
    <s v="PDC"/>
    <x v="13"/>
    <x v="0"/>
    <s v="Escalera de servicios higiénicos - Detergentes"/>
    <s v="Acc. Incapacitante"/>
    <s v="Acc. Incapacitante"/>
    <d v="2024-01-05T00:00:00"/>
    <n v="1"/>
    <n v="5"/>
    <n v="1"/>
    <n v="2024"/>
    <d v="1899-12-30T02:30:00"/>
    <s v="N"/>
    <s v="PROPIO"/>
    <s v="Alicorp S.A.A"/>
    <s v="TENAZOA"/>
    <s v="AREVALO"/>
    <s v="KEVIN"/>
    <s v="MASCULINO"/>
    <n v="38"/>
    <s v="OPERADOR DE ENFARDADO"/>
    <d v="2014-01-20T00:00:00"/>
    <s v="El Sr. Kevin Tenazoa al bajar por las gradas de los SSHH frente a planta sufre un resbalón, haciendo que su rodilla derecha sufra una contusión, originándole dolor que le impidió ponerse de pie. Fue atendido por la ambulancia y posteriormente derivado a la clínica San Gabriel."/>
    <s v="Caída al mismo nivel"/>
    <s v="PIERNA"/>
    <s v="Rodilla"/>
    <s v="Bajando escaleras de SSHH"/>
    <s v="Esguince y torcedura en rodilla derecha"/>
    <s v="Esguince/Torcedura"/>
    <n v="180"/>
    <n v="0"/>
    <n v="180"/>
    <s v="Trabajando"/>
    <n v="119"/>
    <s v="&lt; 5 a 10 años"/>
    <s v="ESCALERAS"/>
    <s v="CONTRATO INDEFINIDO"/>
  </r>
  <r>
    <x v="0"/>
    <s v="Distrito del Callao"/>
    <s v="Otros"/>
    <x v="14"/>
    <x v="7"/>
    <s v="Comedor COPSA"/>
    <s v="Acc. No Incapacitante"/>
    <s v="Acc. No Incapacitante"/>
    <d v="2024-02-18T00:00:00"/>
    <n v="7"/>
    <n v="18"/>
    <n v="2"/>
    <n v="2024"/>
    <d v="1899-12-30T17:05:00"/>
    <s v="T"/>
    <s v="Tercero - Comedor"/>
    <s v="BALVINITO"/>
    <s v="DIAZ"/>
    <s v="PAREDES"/>
    <s v="JORGE"/>
    <s v="MASCULINO"/>
    <s v="-"/>
    <s v="COCINERO"/>
    <s v="-"/>
    <s v="-"/>
    <s v="Contacto con superficie filosa"/>
    <s v="MANO"/>
    <s v="Mano/Muñeca/Dedos"/>
    <s v="Cocina"/>
    <s v="NA"/>
    <s v="Corte/Herida"/>
    <n v="0"/>
    <n v="0"/>
    <n v="0"/>
    <s v="Trabajando"/>
    <m/>
    <m/>
    <s v="CUCHILLO"/>
    <s v="CONTRATO INDEFINIDO"/>
  </r>
  <r>
    <x v="0"/>
    <s v="Distrito de Miraflores"/>
    <s v="Otros"/>
    <x v="15"/>
    <x v="4"/>
    <s v="Edificio Miraflores"/>
    <s v="Acc. Incapacitante"/>
    <s v="Acc. Incapacitante"/>
    <d v="2024-02-19T00:00:00"/>
    <n v="8"/>
    <n v="19"/>
    <n v="2"/>
    <n v="2024"/>
    <d v="1899-12-30T11:30:00"/>
    <s v="M"/>
    <s v="Tercero - Mantenimiento"/>
    <s v="CUSHMAN &amp; WAKEFIELD"/>
    <s v="ESPINOZA"/>
    <s v="HUAMAN"/>
    <s v="GERSON ELI"/>
    <s v="MASCULINO"/>
    <n v="30"/>
    <s v="OFFICE BOYS"/>
    <s v="-"/>
    <s v="Siendo las 11:30 am del día 19 de febrero, el office Boys del Facility Cushman al querer unir un panel con otro, sus dedos mayor, anular y meñique de la mano izquierda quedaron aplastados entre ambos paneles generándole dolor en el momento pero sin prestarle mayor importancia ya que el dolor fue disminuyendo. Debido a ello no reportó lo sucedido._x000a_Al día siguiente, a las 9:30 am el office Boys se dirige al tópico de Alicorp del Edificio Miraflores ya que amanecieron sus dedos inflamados. Se le indica derivarlo a la Clínica Ricardo Palma para su atención, por lo que es acompañado por su trabajador social especialista en SST (Seguridad y salud en el trabajo)_x000a_"/>
    <s v="Atrapado por Partes en Movimiento"/>
    <s v="MANO"/>
    <s v="Mano/Muñeca/Dedos"/>
    <s v="Movimiento de puertas"/>
    <s v="FRACTURA FALANGE DISTAL DE MANO"/>
    <s v="Fractura"/>
    <n v="7"/>
    <n v="0"/>
    <n v="7"/>
    <s v="Trabajando"/>
    <n v="2"/>
    <s v="&lt; 1 a 3 meses"/>
    <s v="PUERTA"/>
    <s v="PLAZO DETERMINADO"/>
  </r>
  <r>
    <x v="3"/>
    <s v="BICIS 2"/>
    <s v="Vitapro"/>
    <x v="11"/>
    <x v="5"/>
    <s v="Edificio de Manufactura Bicis 2"/>
    <s v="Acc. Incapacitante"/>
    <s v="Acc. Incapacitante"/>
    <d v="2024-02-27T00:00:00"/>
    <n v="9"/>
    <n v="27"/>
    <n v="2"/>
    <n v="2024"/>
    <d v="1899-12-30T09:30:00"/>
    <s v="M"/>
    <s v="Contratista"/>
    <s v="CHINCASA"/>
    <s v="-"/>
    <s v="-"/>
    <s v="-"/>
    <s v="MASCULINO"/>
    <n v="55"/>
    <s v="AYUDANTE"/>
    <s v="-"/>
    <s v="Al momento de levantar las planchas, colocándolas de forma vertical, uno de los trabajadores al bajar la plancha a nivel de piso (75cm sobre el piso), se desliza y cae golpeando la parte superior al pie derecho del trabajador. El impacto se da dónde termina la puntera metálica de su bota de seguridad."/>
    <s v="Golpeado por"/>
    <s v="Dedo gordo del pie derecho"/>
    <s v="Mano/Muñeca/Dedos"/>
    <s v="-"/>
    <s v="Fisura "/>
    <s v="Fractura"/>
    <n v="30"/>
    <n v="0"/>
    <n v="30"/>
    <m/>
    <m/>
    <s v="&lt; 1 a 3 meses"/>
    <m/>
    <m/>
  </r>
  <r>
    <x v="1"/>
    <m/>
    <s v="CBB"/>
    <x v="2"/>
    <x v="3"/>
    <s v="Almacen de Producto Terminado"/>
    <s v="Acc. No Incapacitante"/>
    <s v="Acc. No Incapacitante"/>
    <d v="2024-02-09T00:00:00"/>
    <n v="6"/>
    <n v="9"/>
    <n v="2"/>
    <n v="2024"/>
    <d v="1899-12-30T06:30:00"/>
    <s v="M"/>
    <s v="PROPIO"/>
    <s v="Alicorp S.A.A."/>
    <s v="CLAROS"/>
    <s v="FERNANDEZ"/>
    <s v="LEONIDAS JHOSET"/>
    <s v="MASCULINO"/>
    <n v="32"/>
    <s v="MONTACARGUISTA"/>
    <d v="2014-09-01T00:00:00"/>
    <s v="A horas 06:30 am, el trabajador inicia su jornada de trabajo en el equipo: Tractor Massey Ferguson 290, por lo que al momento de subir por la escalera de acceso (altura escalera: 60 cm), su mano izq. resbala del agarrador, ocasionando que su mano derecha ejerza mayor fuerza de sujeción para evitar la caída, sufriendo una torcedura en la muñeca de la mano derecha."/>
    <s v="Caída al mismo nivel"/>
    <s v="MANO"/>
    <s v="Mano/Muñeca/Dedos"/>
    <s v="SUBIR AL TRACTOR"/>
    <s v="Torcedura de muñeca derecha"/>
    <s v="Esguince/Torcedura"/>
    <n v="0"/>
    <n v="0"/>
    <n v="0"/>
    <s v="Trabajando"/>
    <n v="114"/>
    <s v="&lt; 5 a 10 años"/>
    <s v="ESCALERA DE ACCESO"/>
    <s v="CONTRATO INDEFINIDO"/>
  </r>
  <r>
    <x v="1"/>
    <m/>
    <s v="PDF"/>
    <x v="1"/>
    <x v="3"/>
    <s v="APG"/>
    <s v="Acc. No Incapacitante"/>
    <s v="Acc. No Incapacitante"/>
    <d v="2024-02-27T00:00:00"/>
    <n v="9"/>
    <n v="27"/>
    <n v="2"/>
    <n v="2024"/>
    <d v="1899-12-30T13:20:00"/>
    <s v="M"/>
    <s v="PROPIO"/>
    <s v="Alicorp S.A.A."/>
    <s v=" - "/>
    <s v="BENAVIDES"/>
    <s v="EULOGIO"/>
    <s v="MASCULINO"/>
    <n v="48"/>
    <s v="CARGADOR /APILADOR"/>
    <d v="2024-01-03T00:00:00"/>
    <s v="Durante el apilado de bolsas de harina en camión de despacho, se encontraba aguardando de la cinta transportadora la recepción de la bolsas, en ese instante siente un mareo, y procede a sentarse sobre las bolsas apiladas, sus colegas tras evidenciar que el Sr. Benavides se sientan le consultan si se encuentra bien, en ese instante pierde el conocimiento y se desmaya. Inmediatamente paran el apilado de bolsas, y solicitan apoyo de la brigada de primeros auxilios."/>
    <s v="Sobreesfuerzo"/>
    <s v="-"/>
    <s v="Mano/Muñeca/Dedos"/>
    <s v="APILADO DE BOLSAS"/>
    <s v="Golpe de calor"/>
    <m/>
    <m/>
    <m/>
    <m/>
    <s v="Trabajando"/>
    <n v="40"/>
    <s v="&lt; 1 a 5 años"/>
    <m/>
    <s v="CONTRATO POR ZAFRA"/>
  </r>
  <r>
    <x v="2"/>
    <s v="Distrito de Lurín"/>
    <s v="Intradevco"/>
    <x v="16"/>
    <x v="0"/>
    <s v="Plasticos"/>
    <s v="Acc. Incapacitante"/>
    <s v="Acc. Incapacitante"/>
    <d v="2024-02-28T00:00:00"/>
    <n v="9"/>
    <n v="28"/>
    <n v="2"/>
    <n v="2024"/>
    <d v="1899-12-30T19:01:00"/>
    <s v="M"/>
    <s v="Service"/>
    <s v="Grupo Consulting"/>
    <s v="GUZMAN"/>
    <s v="GOMEZ"/>
    <s v=" EDER JUNIOR"/>
    <s v="MASCULINO"/>
    <n v="34"/>
    <s v="OPERARIO DE PRODUCCIÓN"/>
    <d v="2023-08-09T00:00:00"/>
    <s v="Siendo las 7:02pm. El colaborador Eder Guzman se encontraba ingresando al área de plástico zona de molienda junto a su compañero del área para el inicio de jornada laboral nocturna. Al evidenciar que la iluminaria se encontraba apagada, deja el pase a su compañero para el ingreso y procede a encender la luz apoyando la mano izquierda en la bisagra de la puerta, la puerta procede a cerrar ocasionando un aplastamiento en el dedo anular izquierdo. _x000a_Da aviso del evento y es trasladado al tópico para recibir atención médica. _x000a_"/>
    <s v="Golpeado por"/>
    <s v="DEDO ANULAR IZQUIERDO"/>
    <s v="Mano/Muñeca/Dedos"/>
    <s v="Ingreso a las instalaciones"/>
    <s v="Fractura de falange"/>
    <s v="Fractura"/>
    <n v="31"/>
    <n v="0"/>
    <n v="31"/>
    <s v="Trabajando"/>
    <n v="7"/>
    <s v="&lt; 0.5 a 1 año"/>
    <s v="PUERTA"/>
    <s v="CONTRATO TEMPORAL"/>
  </r>
  <r>
    <x v="2"/>
    <s v="Distrito de Lurín"/>
    <s v="Intradevco"/>
    <x v="16"/>
    <x v="0"/>
    <s v="Manufactura detergentes"/>
    <s v="Acc. No Incapacitante"/>
    <s v="Acc. No Incapacitante"/>
    <d v="2024-01-08T00:00:00"/>
    <n v="2"/>
    <n v="8"/>
    <n v="1"/>
    <n v="2024"/>
    <d v="1899-12-30T13:45:00"/>
    <s v="M"/>
    <s v="Service"/>
    <s v="Grupo Consulting"/>
    <s v="TENORIO"/>
    <s v=" ACUÑA"/>
    <s v="JOEL"/>
    <s v="MASCULINO"/>
    <n v="24"/>
    <s v="OPERARIO DE PRODUCCIÓN"/>
    <d v="2023-12-19T00:00:00"/>
    <s v="El colaborador se encontraba en el área de coches - proceso, el colaborador menciona que había jalado un coche vacío con fuerza y en el mismo momento se percata que había delante de él otro coche pero con producto fue entonces que le ganó y se impactó su talón de aquiles en la lado izquierdo."/>
    <s v="Golpeado por"/>
    <s v="PIE"/>
    <s v="Pie/Tobillo"/>
    <s v="Transporte de coches de detergentes"/>
    <s v="Contusion"/>
    <s v="Contusión/Trauma"/>
    <n v="0"/>
    <n v="0"/>
    <n v="0"/>
    <s v="Trabajando"/>
    <n v="0.6"/>
    <s v="&lt; 1 mes"/>
    <s v="COCHE"/>
    <s v="CONTRATO TEMPORAL"/>
  </r>
  <r>
    <x v="2"/>
    <s v="Distrito de Lurín"/>
    <s v="Intradevco"/>
    <x v="16"/>
    <x v="0"/>
    <s v="Empacado detergente"/>
    <s v="Acc. No Incapacitante"/>
    <s v="Acc. No Incapacitante"/>
    <d v="2024-01-22T00:00:00"/>
    <n v="4"/>
    <n v="22"/>
    <n v="1"/>
    <n v="2024"/>
    <d v="1899-12-30T17:50:00"/>
    <s v="N"/>
    <s v="Service"/>
    <s v="Grupo Consulting"/>
    <s v="GARRIDO"/>
    <s v=" LUYA"/>
    <s v=" VICTOR HUGO"/>
    <s v="MASCULINO"/>
    <n v="35"/>
    <s v="OPERARIO DE PRODUCCIÓN"/>
    <d v="2024-01-16T00:00:00"/>
    <s v="Manifiesta colaborador recibir contusión en pie izquierdo con baranda metal de coche en movimiento manejado por compañero "/>
    <s v="Golpeado por"/>
    <s v="PIE IZQUIERDO"/>
    <s v="Pie/Tobillo"/>
    <s v="Transporte de coches de detergentes"/>
    <s v="Contusion"/>
    <s v="Contusión/Trauma"/>
    <n v="0"/>
    <n v="0"/>
    <n v="0"/>
    <s v="Cesado"/>
    <n v="0.2"/>
    <s v="&lt; 1 mes"/>
    <s v="COCHE"/>
    <s v="CONTRATO TEMPORAL"/>
  </r>
  <r>
    <x v="2"/>
    <s v="Distrito de Lurín"/>
    <s v="Intradevco"/>
    <x v="16"/>
    <x v="0"/>
    <s v="Manufactura detergentes"/>
    <s v="Acc. No Incapacitante"/>
    <s v="Acc. No Incapacitante"/>
    <d v="2024-01-26T00:00:00"/>
    <n v="4"/>
    <n v="26"/>
    <n v="1"/>
    <n v="2024"/>
    <d v="1899-12-30T15:56:00"/>
    <s v="M"/>
    <s v="Service"/>
    <s v="Grupo Consulting"/>
    <s v="TORRES"/>
    <s v=" PEREZ"/>
    <s v=" YEFERSON BRYAN "/>
    <s v="MASCULINO"/>
    <n v="25"/>
    <s v="OPERARIO DE PRODUCCIÓN"/>
    <d v="2023-07-04T00:00:00"/>
    <s v="Colaborador se encontraba retirando muestra de detergente de la balanza N°1 para entregar a calidad mientras la compuerta estaba abierta y se llenaba el coche. El compañero Edgar Santillán ITDC jala el coche hacia atrás a pesar de que no se llenaba por completo generando así que el brazo derecho quede atrapado y presionado con el coche"/>
    <s v="Golpeado por"/>
    <s v="ANTEBRAZO"/>
    <s v="Brazo/Codo/Hombro"/>
    <s v="Muestreo de producto"/>
    <s v="Contusion"/>
    <s v="Contusión/Trauma"/>
    <n v="0"/>
    <n v="0"/>
    <n v="0"/>
    <s v="Trabajando"/>
    <n v="6"/>
    <s v="&lt; 0.5 a 1 año"/>
    <s v="COCHE"/>
    <s v="CONTRATO TEMPORAL"/>
  </r>
  <r>
    <x v="2"/>
    <s v="Distrito de Lurín"/>
    <s v="Intradevco"/>
    <x v="16"/>
    <x v="0"/>
    <s v="Empacado detergente"/>
    <s v="Acc. No Incapacitante"/>
    <s v="Acc. No Incapacitante"/>
    <d v="2024-01-31T00:00:00"/>
    <n v="5"/>
    <n v="31"/>
    <n v="1"/>
    <n v="2024"/>
    <d v="1899-12-30T06:53:00"/>
    <s v="M"/>
    <s v="PROPIO"/>
    <s v="Intradevco"/>
    <s v="GASPAR"/>
    <s v=" CHIROQUE"/>
    <s v="JUAN CARLOS"/>
    <s v="MASCULINO"/>
    <n v="35"/>
    <s v="OPERARIO DE PRODUCCIÓN"/>
    <d v="2021-02-03T00:00:00"/>
    <s v="Manifiesta colaborador , compresión de dedo con  maquina empacadora en movimiento"/>
    <s v="Atrapado por Partes en Movimiento"/>
    <s v="DEDO INDICE DERECHO"/>
    <s v="Mano/Muñeca/Dedos"/>
    <s v="Regulacion de equipo"/>
    <s v="Contusion"/>
    <s v="Contusión/Trauma"/>
    <n v="0"/>
    <n v="0"/>
    <n v="0"/>
    <s v="Trabajando"/>
    <n v="36"/>
    <s v="&lt; 1 a 5 años"/>
    <s v="ENVASADORA"/>
    <s v="CONTRATO INDEFINIDO"/>
  </r>
  <r>
    <x v="2"/>
    <s v="Distrito de Lurín"/>
    <s v="Intradevco"/>
    <x v="16"/>
    <x v="0"/>
    <s v="Empacado detergente"/>
    <s v="Acc. No Incapacitante"/>
    <s v="Acc. No Incapacitante"/>
    <d v="2024-02-01T00:00:00"/>
    <n v="5"/>
    <n v="1"/>
    <n v="2"/>
    <n v="2024"/>
    <d v="1899-12-30T05:27:00"/>
    <s v="M"/>
    <s v="Service"/>
    <s v="Grupo Consulting"/>
    <s v="QUIROZ"/>
    <s v="PEREZ"/>
    <s v=" ROBERTO CARLOS"/>
    <s v="MASCULINO"/>
    <n v="23"/>
    <s v="OPERARIO DE PRODUCCIÓN"/>
    <d v="2023-09-08T00:00:00"/>
    <s v="Colaborador se encontraba realizando cambio de coche de la línea 1 - máquina 1, al momento de retroceder y girar no se percata que había otro coche lleno detrás y se golpea los dedos medio y anular de la mano izquierda."/>
    <s v="Golpeado contra"/>
    <s v="DEDOS MEDIO Y ANULAR IZQUIERDO"/>
    <s v="Mano/Muñeca/Dedos"/>
    <s v="Manipulacion de coches"/>
    <s v="Contusion"/>
    <s v="Contusión/Trauma"/>
    <n v="0"/>
    <n v="0"/>
    <n v="0"/>
    <s v="Trabajando"/>
    <n v="5"/>
    <s v="&lt; 3 a 6 meses"/>
    <m/>
    <s v="CONTRATO TEMPORAL"/>
  </r>
  <r>
    <x v="2"/>
    <s v="Distrito de Lurín"/>
    <s v="Intradevco"/>
    <x v="16"/>
    <x v="0"/>
    <s v="Empacado detergente"/>
    <s v="Acc. No Incapacitante"/>
    <s v="Acc. No Incapacitante"/>
    <d v="2024-02-03T00:00:00"/>
    <n v="5"/>
    <n v="3"/>
    <n v="2"/>
    <n v="2024"/>
    <d v="1899-12-30T04:20:00"/>
    <s v="M"/>
    <s v="Service"/>
    <s v="Grupo Consulting"/>
    <s v="ASPAJO"/>
    <s v="VIDEIRA"/>
    <s v="ALFONSO GABRIEL"/>
    <s v="MASCULINO"/>
    <n v="39"/>
    <s v="OPERARIO DE PRODUCCIÓN"/>
    <d v="2024-01-09T00:00:00"/>
    <s v="El colaborador se encontraba agachado recogiendo detergente derramado de la máquina neumopack, al momento de levantarse se golpea contra la guarda la parte trasera del cuello."/>
    <s v="Golpeado contra"/>
    <s v="CUELLO"/>
    <s v="Cabeza"/>
    <s v="Manipulacion de bolsas de detergente"/>
    <s v="Contusion"/>
    <s v="Contusión/Trauma"/>
    <n v="0"/>
    <n v="0"/>
    <n v="0"/>
    <s v="Trabajando"/>
    <n v="1"/>
    <s v="&lt; 1 a 3 meses"/>
    <s v="GUARDA"/>
    <s v="CONTRATO TEMPORAL"/>
  </r>
  <r>
    <x v="2"/>
    <s v="Distrito de Lurín"/>
    <s v="Intradevco"/>
    <x v="16"/>
    <x v="0"/>
    <s v="Empacado detergente"/>
    <s v="Acc. No Incapacitante"/>
    <s v="Acc. No Incapacitante"/>
    <d v="2024-02-09T00:00:00"/>
    <n v="6"/>
    <n v="9"/>
    <n v="2"/>
    <n v="2024"/>
    <d v="1899-12-30T15:03:00"/>
    <s v="M"/>
    <s v="Service"/>
    <s v="Grupo Consulting"/>
    <s v="ROBALINO"/>
    <s v="RUIZ"/>
    <s v="EDWIN"/>
    <s v="MASCULINO"/>
    <n v="30"/>
    <s v="OPERARIO DE PRODUCCIÓN"/>
    <d v="2024-01-03T00:00:00"/>
    <s v="El colaborador se encontraba empujando el coche hacia el ducto, al momento de acomodar el coche agarro de los costados, fue entonces que se golpeó contra la baranda del ducto, su mano izquierda en el dedo meñique."/>
    <s v="Golpeado contra"/>
    <s v="DEDO MEÑIQUE IZQUIERDO"/>
    <s v="Mano/Muñeca/Dedos"/>
    <s v="Manipulacion de coches"/>
    <s v="Contusion"/>
    <s v="Contusión/Trauma"/>
    <n v="0"/>
    <n v="0"/>
    <n v="0"/>
    <s v="Trabajando"/>
    <n v="1"/>
    <s v="&lt; 1 a 3 meses"/>
    <s v="BARANDA"/>
    <s v="CONTRATO TEMPORAL"/>
  </r>
  <r>
    <x v="2"/>
    <s v="Distrito de Lurín"/>
    <s v="Intradevco"/>
    <x v="16"/>
    <x v="0"/>
    <s v="Lavavajilla"/>
    <s v="Acc. No Incapacitante"/>
    <s v="Acc. No Incapacitante"/>
    <d v="2024-02-14T00:00:00"/>
    <n v="7"/>
    <n v="14"/>
    <n v="2"/>
    <n v="2024"/>
    <d v="1899-12-30T12:25:00"/>
    <s v="M"/>
    <s v="Service"/>
    <s v="Grupo Consulting"/>
    <s v="YOVERA"/>
    <s v="SIESQUEN"/>
    <s v="DEILY JHONATAN"/>
    <s v="MASCULINO"/>
    <n v="29"/>
    <s v="OPERARIO DE PRODUCCIÓN"/>
    <d v="2024-01-16T00:00:00"/>
    <s v="Colaborador refiere haber estado realizando corte de un envase de plástico, al ejercer fuerza pierde el control y se provoca un corte superficial."/>
    <s v="Contacto con superficie filosa"/>
    <s v="-"/>
    <s v="Mano/Muñeca/Dedos"/>
    <s v="Corte de envase"/>
    <s v="Corte"/>
    <s v="Corte/Herida"/>
    <n v="0"/>
    <n v="0"/>
    <n v="0"/>
    <s v="Trabajando"/>
    <n v="1"/>
    <s v="&lt; 1 a 3 meses"/>
    <s v="CUCHILLA"/>
    <s v="CONTRATO TEMPORAL"/>
  </r>
  <r>
    <x v="2"/>
    <s v="Distrito de Lurín"/>
    <s v="Intradevco"/>
    <x v="16"/>
    <x v="0"/>
    <s v="Lavavajilla"/>
    <s v="Acc. No Incapacitante"/>
    <s v="Acc. No Incapacitante"/>
    <d v="2024-02-20T00:00:00"/>
    <n v="8"/>
    <n v="20"/>
    <n v="2"/>
    <n v="2024"/>
    <d v="1899-12-30T12:45:00"/>
    <s v="M"/>
    <s v="Service"/>
    <s v="Grupo Consulting"/>
    <s v="MIRAVAL"/>
    <s v="RAVINEZ"/>
    <s v="MELINDA ROSALIA"/>
    <s v="FEMENINO"/>
    <n v="23"/>
    <s v="OPERARIO DE PRODUCCIÓN"/>
    <d v="2024-02-19T00:00:00"/>
    <s v="Colaboradora se encontraba sentada pegando etiqueta a las tapas de envases de pulidores. Colaborador que se encarga de abastecer las líneas, pasa por su lado con 3 paquetes apilados (25 cajas cada uno), en ese momento choca contra máquina en desuso (envasadora línea 4) y se cae parte del primer paquete sobre el hombro de la colaboradora. Cabe resaltar que primer paquete de las cajas estaba sin precinto de seguridad."/>
    <s v="Golpeado contra"/>
    <s v="HOMBRO"/>
    <s v="Brazo/Codo/Hombro"/>
    <s v="Etiquetado de pulidores"/>
    <s v="Contusion"/>
    <s v="Contusión/Trauma"/>
    <n v="0"/>
    <n v="0"/>
    <n v="0"/>
    <s v="Trabajando"/>
    <n v="0"/>
    <s v="&lt; 1 mes"/>
    <s v="CAJAS DE CARTON"/>
    <s v="CONTRATO TEMPORAL"/>
  </r>
  <r>
    <x v="2"/>
    <s v="Distrito de Lurín"/>
    <s v="Intradevco"/>
    <x v="16"/>
    <x v="0"/>
    <s v="Detergente"/>
    <s v="Acc. No Incapacitante"/>
    <s v="Acc. No Incapacitante"/>
    <d v="2024-02-22T00:00:00"/>
    <n v="8"/>
    <n v="22"/>
    <n v="2"/>
    <n v="2024"/>
    <d v="1899-12-30T22:20:00"/>
    <s v="M"/>
    <s v="Service"/>
    <s v="Grupo Consulting"/>
    <s v="CHIMPAY"/>
    <s v="ORTIZ"/>
    <s v="ADRIAN ANDERSON"/>
    <s v="MASCULINO"/>
    <n v="25"/>
    <s v="OPERARIO DE PRODUCCIÓN"/>
    <d v="2024-01-01T00:00:00"/>
    <s v="El colaborador se encontraba apilando en la línea 2, al momento de alzar el Bolsón su mano derecha colocó en los bordes del polin, fue entonces que su dedo índice de la mano derecha se llega a lastimar."/>
    <s v="Atrapado por Partes en Movimiento"/>
    <s v="MANO DERECHA"/>
    <s v="Mano/Muñeca/Dedos"/>
    <s v="Manipulacion de bolsones de detergente"/>
    <s v="Contusion"/>
    <s v="Contusión/Trauma"/>
    <n v="0"/>
    <n v="0"/>
    <n v="0"/>
    <s v="Trabajando"/>
    <m/>
    <m/>
    <s v="POLIN"/>
    <s v="CONTRATO TEMPORAL"/>
  </r>
  <r>
    <x v="0"/>
    <s v="Distrito del Callao"/>
    <s v="Otros"/>
    <x v="17"/>
    <x v="4"/>
    <s v="Oficinas Jaboneria"/>
    <s v="Acc. No Incapacitante"/>
    <s v="Acc. No Incapacitante"/>
    <d v="2024-02-24T00:00:00"/>
    <n v="8"/>
    <n v="24"/>
    <n v="2"/>
    <n v="2024"/>
    <d v="1899-12-30T10:00:00"/>
    <s v="M"/>
    <s v="Tercero - Limpieza"/>
    <s v="Alteliza"/>
    <s v="VIRHUEZ"/>
    <s v="BENITEZ"/>
    <s v="JUAN CARLOS"/>
    <s v="MASCULINO"/>
    <n v="44"/>
    <s v="COLABORADOR DE SERVICIOS"/>
    <s v="-"/>
    <s v="El 24 de febrero de 2024, alrededor de las 9:50a.m., el colaborador Juan Carlos Virhuez Benites, quien está asignado a ALICORP PREDIO CENTRAL en la dirección Av. Argentina N°4793 -Carmen de La Legua Reynoso, se vio involucrado en un accidente mientras se preparaba para realizar la limpieza de la Sala de Control de Jabonería en el primer piso. Durante esta tarea, al comenzar a limpiar las ventanas, optó por manipular el gatillo pulverizador, cambiándolo del modo Off al modo Spray. En este momento, unas gotas del producto químico Limpiavidrios entraron en contacto con su ojo derecho. Es relevante señalar que el colaborador no llevaba puestos lentes de seguridad en ese momento. Tras el accidente, el colaborador se dirigió a lavarse los ojos y se encontró con personal de Alicorp en el lugar, quienes decidieron trasladarlo al Tópico ante esta situación. Allí, recibió un lavado de ojos y la aplicación de unas gotas por parte del médico presente, quien determinó que podía continuar con sus actividades después del tratamiento."/>
    <s v="Exposición a Sustancias Químicas"/>
    <s v="OJOS"/>
    <s v="Ojos"/>
    <s v="Limpieza de ventanas"/>
    <s v="HIPEREMIA DE CONJUNTIVA"/>
    <s v="Queratoconjuntivitis"/>
    <n v="0"/>
    <n v="0"/>
    <n v="0"/>
    <s v="Trabajando"/>
    <n v="88"/>
    <s v="&lt; 5 a 10 años"/>
    <s v="LIMPIAVIDRIOS"/>
    <s v="PLAZO DETERMINADO"/>
  </r>
  <r>
    <x v="0"/>
    <s v="Distrito del Callao"/>
    <s v="Otros"/>
    <x v="17"/>
    <x v="4"/>
    <s v="Garita Jorge Chavez"/>
    <s v="Acc. No Incapacitante"/>
    <s v="Acc. No Incapacitante"/>
    <d v="2024-02-27T00:00:00"/>
    <n v="9"/>
    <n v="27"/>
    <n v="2"/>
    <n v="2024"/>
    <d v="1899-12-30T16:40:00"/>
    <s v="M"/>
    <s v="Tercero - Limpieza"/>
    <s v="Alteliza"/>
    <s v="LECCA"/>
    <s v="DOMINGUEZ"/>
    <s v="ALBERT KENYI"/>
    <s v="MASCULINO"/>
    <n v="24"/>
    <s v="COLABORADOR DE SERVICIOS"/>
    <s v="-"/>
    <s v="El 27 de febrero de 2024, alrededor de las 4:40p.m., el colaborador Albert Kenyi Lecca Dominguez, quien está asignado a ALICORP PREDIO CENTRAL en la dirección Av. Argentina N°4793-Carmen de La Legua Reynoso, se vio involucrado en un evento mientras se preparaba para salir de las instalaciones en la Garita de Ingreso de CDC. Al intentar abrir la puerta eléctrica, accionó el botón con su dedo índice derecho, lo que resultó en una herida en la yema del dedo al engancharse en el botón. Al percatarse de la herida y notar la presencia de sangre, decidió regresar para lavarse. El personal de Liderman, al presenciar la situación, contactó a Tópico para proporcionar los primeros auxilios."/>
    <s v="Atrapado por"/>
    <s v="DEDO"/>
    <s v="Mano/Muñeca/Dedos"/>
    <s v="Abrir puerta"/>
    <s v="HERIDA EN EL DEDO MANO DERECHA"/>
    <s v="Corte/Herida"/>
    <n v="0"/>
    <n v="0"/>
    <n v="0"/>
    <s v="Trabajando"/>
    <n v="33"/>
    <s v="&lt; 1 a 5 años"/>
    <s v="PUERTA"/>
    <s v="PLAZO DETERMINADO"/>
  </r>
  <r>
    <x v="4"/>
    <s v="Distrito de Cajamarquilla"/>
    <s v="Global"/>
    <x v="18"/>
    <x v="7"/>
    <s v="Planta Avena"/>
    <s v="Acc. Incapacitante"/>
    <s v="Acc. Incapacitante"/>
    <d v="2024-02-02T00:00:00"/>
    <n v="5"/>
    <n v="2"/>
    <n v="2"/>
    <n v="2024"/>
    <d v="1899-12-30T08:27:00"/>
    <s v="M"/>
    <s v="Tercero - Limpieza"/>
    <s v="Alteliza"/>
    <s v="SORIANO"/>
    <s v="MEZA"/>
    <s v="RUTH LUCY"/>
    <s v="FEMENINO"/>
    <n v="42"/>
    <s v="COLABORADOR DE SERVICIOS"/>
    <s v="-"/>
    <s v="El día 02/02/24 a las 08:27am la trabajadora Soriano Meza, Ruth Lucy (operaria de limpieza) de la empresa Alteliza, se encontraba realizando la limpieza de pisos de la zona de paletizado de la planta de avena, retrocede sin darse cuenta de la paleta de madera y tropieza cayendo de espaldas sobre esta, inmediatamente es atendida por el operador líder de planta y trasladada al tópico, se comunica al supervisor y a la operadora líder de turno de la empresa Alteliza, luego de brindarle las primeras atenciones la trabajadora es trasladada a la Clínica Montefiori, para activar el Seguro Complementario de Trabajo de Riesgo (SCTR)."/>
    <s v="Caída al mismo nivel"/>
    <s v="MANO IZQUIERDA Y CADERA"/>
    <s v="Brazo/Codo/Hombro"/>
    <s v="Limpieza de piso"/>
    <s v="TRAUMATISMOS SUPERFICIALES MÚLTIPLES NO ESPECIFICADOS (MANO IZQUIERDA Y CINTURA)."/>
    <s v="Contusión/Trauma"/>
    <n v="8"/>
    <n v="0"/>
    <n v="8"/>
    <s v="Cesado"/>
    <n v="31"/>
    <s v="&lt; 1 a 5 años"/>
    <s v="Parihuela de madera"/>
    <s v="CONTRATO TEMPORAL"/>
  </r>
  <r>
    <x v="4"/>
    <s v="Distrito de Cajamarquilla"/>
    <s v="Otros"/>
    <x v="18"/>
    <x v="7"/>
    <s v="Área común"/>
    <s v="Acc. No Incapacitante"/>
    <s v="Acc. No Incapacitante"/>
    <d v="2024-02-21T00:00:00"/>
    <n v="8"/>
    <n v="21"/>
    <n v="2"/>
    <n v="2024"/>
    <d v="1899-12-30T09:30:00"/>
    <s v="M"/>
    <s v="Tercero - Limpieza"/>
    <s v="Alteliza"/>
    <s v="GABRIEL"/>
    <s v="BALLESTEROS"/>
    <s v="OFELIA ISABEL"/>
    <s v="FEMENINO"/>
    <n v="35"/>
    <s v="COLABORADOR DE SERVICIOS"/>
    <s v="-"/>
    <s v="colaboradora al realizar limpieza de paredes de planta maíz sufre una irritación de la piel al levantar las manos y discurrir la dilución de detergente industrial diluido Skill Cleaner 3009 (Para limpieza de Máquinas) en la zona del antebrazo la cual no llegaba a cubrirse con el guante de seguridad._x000a_"/>
    <s v="Exposición a Sustancias Químicas"/>
    <s v="ANTEBRAZO"/>
    <s v="Brazo/Codo/Hombro"/>
    <s v="Limpieza de paredes"/>
    <s v="Dermatitis"/>
    <s v="Dermatitis/Irritación de la piel"/>
    <n v="0"/>
    <n v="0"/>
    <n v="0"/>
    <s v="Trabajando"/>
    <n v="27"/>
    <s v="&lt; 1 mes"/>
    <s v="Sustancia química"/>
    <s v="CONTRATO TEMPORAL"/>
  </r>
  <r>
    <x v="0"/>
    <s v="Distrito del Callao"/>
    <s v="PDC"/>
    <x v="13"/>
    <x v="0"/>
    <s v="Planta de Elaboración"/>
    <s v="Acc. Incapacitante"/>
    <s v="Acc. Incapacitante"/>
    <d v="2024-03-16T00:00:00"/>
    <n v="11"/>
    <n v="16"/>
    <n v="3"/>
    <n v="2024"/>
    <d v="1899-12-30T01:40:00"/>
    <s v="N"/>
    <s v="PROPIO"/>
    <s v="Alicorp S.A.A"/>
    <s v="RAMOS"/>
    <s v="CHIRINOS"/>
    <s v="SEBASTIAN MAXIMO JAVIER"/>
    <s v="MASCULINO"/>
    <n v="22"/>
    <s v="AYUDANTE DE PLANTA"/>
    <d v="2024-03-07T00:00:00"/>
    <s v="Durante el proceso de agregado de Slop el trabajador observa que el granel estaba compactado en el big bag, ante ello el colaborador decide golpear la parte inferior del big bag con una comba para ablandar el producto. Al momento de golpear con la comba, se golpea el dedo pulgar de su mano derecha con la que sujetaba el mango de la comba contra el big bag compactado, luego de ello alerta a su compañero que se había golpeado y se acercan a la sala de control para informar del evento y es derivado al Tópico, es evaluado y derivado a la Clínica San Gabriel, donde se descartó alguna fractura o fisura."/>
    <s v="Golpeado contra"/>
    <s v="DEDO PULGAR"/>
    <s v="Mano/Muñeca/Dedos"/>
    <s v="Agregado de SLOP"/>
    <s v="Contusión en dedo pulgar mano derecha"/>
    <s v="Contusión/Trauma"/>
    <n v="7"/>
    <n v="0"/>
    <n v="7"/>
    <s v="Trabajando"/>
    <s v="0.25"/>
    <s v="&lt; 1 mes"/>
    <s v="Mango de comba"/>
    <s v="CONTRATO A PLAZO FIJO"/>
  </r>
  <r>
    <x v="2"/>
    <s v="Distrito de Lurín"/>
    <s v="Intradevco"/>
    <x v="16"/>
    <x v="0"/>
    <s v="Empacado detergente"/>
    <s v="Acc. No Incapacitante"/>
    <s v="Acc. No Incapacitante"/>
    <d v="2024-02-23T00:00:00"/>
    <n v="8"/>
    <n v="23"/>
    <n v="2"/>
    <n v="2024"/>
    <d v="1899-12-30T10:24:00"/>
    <s v="M"/>
    <s v="Service"/>
    <s v="Grupo Consulting"/>
    <s v="ASPAJO"/>
    <s v="VIDEIRA"/>
    <s v="ALFONSO GABRIEL"/>
    <s v="MASCULINO"/>
    <n v="39"/>
    <s v="OPERARIO DE PRODUCCIÓN"/>
    <d v="2024-01-09T00:00:00"/>
    <s v="Colaborador se encontraba realizando la actividad de doblar sacos y luego pasarle a su compañero para que se encargue de coser._x000a_Al momento que pasa el saco tiene que colocarlo cerca de la máquina cosedora para que no se mueva y es ahí que debido a la condición (falta de guarda) la parte expuesta sobresale como pulsador generando el golpe en la parte del dorso de la mano derecha"/>
    <s v="Atrapado por Partes en Movimiento"/>
    <s v="MANO DERECHA"/>
    <s v="Mano/Muñeca/Dedos"/>
    <s v="Cocido de sacos"/>
    <s v="Contusion"/>
    <s v="Contusión/Trauma"/>
    <n v="0"/>
    <n v="0"/>
    <n v="0"/>
    <s v="Trabajando"/>
    <n v="1"/>
    <s v="&lt; 1 mes"/>
    <s v="COCEDORA"/>
    <s v="CONTRATO TEMPORAL"/>
  </r>
  <r>
    <x v="2"/>
    <s v="Distrito de Lurín"/>
    <s v="Intradevco"/>
    <x v="16"/>
    <x v="0"/>
    <s v="Empacado detergente"/>
    <s v="Acc. No Incapacitante"/>
    <s v="Acc. No Incapacitante"/>
    <d v="2024-03-07T00:00:00"/>
    <n v="10"/>
    <n v="7"/>
    <n v="3"/>
    <n v="2024"/>
    <d v="1899-12-30T03:58:00"/>
    <s v="N"/>
    <s v="Service"/>
    <s v="Grupo Consulting"/>
    <s v="SOLIS"/>
    <s v="HUAPAYA"/>
    <s v="OSCAR"/>
    <s v="MASCULINO"/>
    <n v="27"/>
    <s v="OPERARIO DE PRODUCCIÓN"/>
    <d v="2024-01-11T00:00:00"/>
    <s v="Colaborador trasladaba paleta junto a su compañero para apilamiento de bolsones en la línea 1. Al retroceder para posicionarla no se percata de la columna y choca su mano derecha con la misma , quedando afectado el dedo índice"/>
    <s v="Golpeado contra"/>
    <s v="MANO DERECHA"/>
    <s v="Mano/Muñeca/Dedos"/>
    <s v="Manipulacion de paleta"/>
    <s v="contusion"/>
    <s v="Contusión/Trauma"/>
    <n v="0"/>
    <n v="0"/>
    <n v="0"/>
    <s v="Trabajando"/>
    <n v="2"/>
    <s v="&lt; 1 a 3 meses"/>
    <s v="Columna metalica"/>
    <s v="CONTRATO TEMPORAL"/>
  </r>
  <r>
    <x v="2"/>
    <s v="Distrito de Lurín"/>
    <s v="Intradevco"/>
    <x v="16"/>
    <x v="0"/>
    <s v="Empacado detergente"/>
    <s v="Acc. No Incapacitante"/>
    <s v="Acc. No Incapacitante"/>
    <d v="2024-03-07T00:00:00"/>
    <n v="10"/>
    <n v="7"/>
    <n v="3"/>
    <n v="2024"/>
    <d v="1899-12-30T07:30:00"/>
    <s v="M"/>
    <s v="Service"/>
    <s v="Grupo Consulting"/>
    <s v="JOCOPE"/>
    <s v="YAHUANA"/>
    <s v="EYBI"/>
    <s v="MASCULINO"/>
    <n v="26"/>
    <s v="OPERARIO DE PRODUCCIÓN"/>
    <d v="2024-02-19T00:00:00"/>
    <s v="El Colaborador Eybi Jocope Yahuana CA., menciona que a las 3 a.m. se rozó con la parte de adelante de la máquina cocedora, al momento no sintió nada, pasando las horas a las 6:40 am aproximadamente menciona que le empezó arder la cara fue entonces que se dirigió a los servicios y se percata que su rostro una parte estaba rojo."/>
    <s v="Exposición a Sustancias Químicas"/>
    <s v="ROSTRO"/>
    <s v="Rostro/Nariz/Boca"/>
    <s v="Cocido de sacos"/>
    <s v="irritacion"/>
    <s v="Dermatitis/Irritación de la piel"/>
    <n v="0"/>
    <n v="0"/>
    <n v="0"/>
    <s v="Trabajando"/>
    <n v="1"/>
    <s v="&lt; 1 mes"/>
    <s v="Particulas de detergente"/>
    <s v="CONTRATO TEMPORAL"/>
  </r>
  <r>
    <x v="2"/>
    <s v="Distrito de Lurín"/>
    <s v="Intradevco"/>
    <x v="16"/>
    <x v="0"/>
    <s v="Empacado detergente"/>
    <s v="Acc. No Incapacitante"/>
    <s v="Acc. No Incapacitante"/>
    <d v="2024-03-11T00:00:00"/>
    <n v="11"/>
    <n v="11"/>
    <n v="3"/>
    <n v="2024"/>
    <d v="1899-12-30T20:15:00"/>
    <s v="N"/>
    <s v="Service"/>
    <s v="Grupo Consulting"/>
    <s v="MENDIETA"/>
    <s v="QUISPE"/>
    <s v="DANIEL CRISTIAN"/>
    <s v="MASCULINO"/>
    <n v="22"/>
    <s v="OPERARIO DE PRODUCCIÓN"/>
    <d v="2023-05-16T00:00:00"/>
    <s v="Colaborador iba a realizar cambio de hilo, pero no se percata que no había presionado correctamente el botón de apagado. Al momento del cambio, la cosedora se enciende por el sensor y es ahí donde el colaborador se golpea contra parte interna (sujetador de hilo)."/>
    <s v="Golpeado por"/>
    <s v="PULGAR DERECHO"/>
    <s v="Mano/Muñeca/Dedos"/>
    <s v="Cambio de hilo"/>
    <s v="contusion"/>
    <s v="Contusión/Trauma"/>
    <n v="0"/>
    <n v="0"/>
    <n v="0"/>
    <s v="Trabajando"/>
    <n v="10"/>
    <s v="&lt; 0.5 a 1 año"/>
    <s v="Cocedora"/>
    <s v="CONTRATO TEMPORAL"/>
  </r>
  <r>
    <x v="2"/>
    <s v="Distrito de Lurín"/>
    <s v="Intradevco"/>
    <x v="16"/>
    <x v="0"/>
    <s v="Empacado detergente"/>
    <s v="Acc. No Incapacitante"/>
    <s v="Acc. No Incapacitante"/>
    <d v="2024-03-13T00:00:00"/>
    <n v="11"/>
    <n v="13"/>
    <n v="3"/>
    <n v="2024"/>
    <d v="1899-12-30T04:23:00"/>
    <s v="N"/>
    <s v="Service"/>
    <s v="Grupo Consulting"/>
    <s v="YARLAQUE"/>
    <s v="BENITES"/>
    <s v="RONALD FABIAN"/>
    <s v="MASCULINO"/>
    <n v="29"/>
    <s v="OPERARIO DE PRODUCCIÓN"/>
    <d v="2023-09-20T00:00:00"/>
    <s v="Colaborador menciona haber estado realizando la labor de doblado de saco en el ducto automático para pasarlo por la cosedora, ya que el doblez lo realiza hacia si mismo, esto provocó que la polución del detergente le cayera en los ojos._x000a_- Hizo uso del lavaojos acompañado del supervisor de 10 a 15 minutos aproximadamente _x000a_- Colaborador tenía puesto sus lentes antiparras."/>
    <s v="Proyección de Material Particulado"/>
    <s v="OJOS"/>
    <s v="Ojos"/>
    <s v="doblado de sacos"/>
    <s v="Irritación"/>
    <s v="Cuerpo Extraño en Ojos"/>
    <n v="0"/>
    <n v="0"/>
    <n v="0"/>
    <s v="Trabajando"/>
    <n v="5"/>
    <s v="&lt; 3 a 6 meses"/>
    <s v="Particulas de detergente"/>
    <s v="CONTRATO TEMPORAL"/>
  </r>
  <r>
    <x v="2"/>
    <s v="Distrito de Lurín"/>
    <s v="Intradevco"/>
    <x v="16"/>
    <x v="0"/>
    <s v="Empacado detergente"/>
    <s v="Acc. Incapacitante"/>
    <s v="Acc. Incapacitante"/>
    <d v="2024-03-15T00:00:00"/>
    <n v="11"/>
    <n v="15"/>
    <n v="3"/>
    <n v="2024"/>
    <d v="1899-12-30T09:50:00"/>
    <s v="M"/>
    <s v="Service"/>
    <s v="Grupo Consulting"/>
    <s v="ASPAJO"/>
    <s v="VIDEIRA"/>
    <s v="ALFONSO GABRIEL"/>
    <s v="MASCULINO"/>
    <n v="32"/>
    <s v="OPERARIO DE PRODUCCIÓN"/>
    <d v="2024-01-09T00:00:00"/>
    <s v="El colaborador Aspajo Videira Alfonso Gabriel CA. Estaba abasteciendo al ducto N°1 de la máquina intrapack 01, con el coche N° 94, al momento de empujar el coche se encontraba CORTADO(segun sr. Ríos ITDC, menciona  que cortado se refiere a cambio de producto). "/>
    <s v="Caída al mismo nivel"/>
    <s v="RODILLA IZQUIERDA"/>
    <s v="Rodilla"/>
    <s v="manipulacion de coches"/>
    <s v="Traumatismo de estructuras multiples de la rodilla"/>
    <s v="Contusión/Trauma"/>
    <n v="19"/>
    <n v="0"/>
    <n v="19"/>
    <s v="Trabajando"/>
    <n v="2"/>
    <s v="&lt; 1 a 3 meses"/>
    <s v="Piso"/>
    <s v="CONTRATO TEMPORAL"/>
  </r>
  <r>
    <x v="0"/>
    <s v="Distrito del Callao"/>
    <s v="Galletería"/>
    <x v="0"/>
    <x v="0"/>
    <s v="Elaboración"/>
    <s v="Acc. Incapacitante"/>
    <s v="Acc. Incapacitante"/>
    <d v="2024-03-27T00:00:00"/>
    <n v="13"/>
    <n v="27"/>
    <n v="3"/>
    <n v="2024"/>
    <d v="1899-12-30T17:30:00"/>
    <s v="T"/>
    <s v="PROPIO"/>
    <s v="Alicorp S.A.A"/>
    <s v="GIRALDO"/>
    <s v="ASCENCIO"/>
    <s v="JORGE "/>
    <s v="MASCULINO"/>
    <n v="39"/>
    <s v="OPERARIO DE PRODUCCIÓN"/>
    <d v="2007-03-01T00:00:00"/>
    <s v="Siendo las 16:35 , el trabajador realizaba limpieza de las tuberías de la batidora N°4. Al momento de salir, realiza un mal movimiento, golpea hacia arriba y su cabeza choca con canaleta. En compañía del ingeniero de turno es derivado al tópico . Es trasladado a la clínica donde se le brinda los primeros auxilios."/>
    <s v="Golpeado contra"/>
    <s v="CABEZA"/>
    <s v="Cabeza"/>
    <s v="LIMPIEZA DE TUBERIAS"/>
    <s v="Herida de la cabeza "/>
    <s v="Corte/Herida"/>
    <n v="8"/>
    <n v="0"/>
    <n v="8"/>
    <s v="Descanso Médico"/>
    <n v="204"/>
    <s v="&gt; 10 años"/>
    <s v="CANALETA DE CABLEADO"/>
    <s v="CONTRATO INDEFINIDO"/>
  </r>
  <r>
    <x v="2"/>
    <s v="Distrito de Lurín"/>
    <s v="Intradevco"/>
    <x v="16"/>
    <x v="0"/>
    <s v="Empacado detergente"/>
    <s v="Acc. No Incapacitante"/>
    <s v="Acc. No Incapacitante"/>
    <d v="2024-03-13T00:00:00"/>
    <n v="11"/>
    <n v="13"/>
    <n v="3"/>
    <n v="2024"/>
    <d v="1899-12-30T16:15:00"/>
    <s v="M"/>
    <s v="Service"/>
    <s v="Grupo Consulting"/>
    <s v="ALAVA"/>
    <s v="RIOS"/>
    <s v="LUIS OSWALDO"/>
    <s v="MASCULINO"/>
    <n v="33"/>
    <s v="OPERARIO DE PRODUCCIÓN"/>
    <d v="2022-10-05T00:00:00"/>
    <s v="Colaborador se encontraba verificando la mordaza de la enfardadora N°9 (cabe mencionar que las puertas-guardas estaban abiertas) ya que durante el turno menciona ha tenido fallas generando merma. En el transcurso de la actividad aún no estaban enviando producto de plataforma y al ver la luz roja de alerta se confió y no pulsó el botón de emergencia. Al momento que activan la máquina en plataforma y caen bolsitas, la mordaza se cierra haciendo presión en dedo medio de mano derecha lo cual no tuvo contacto con la cuchilla. Por reacción propia intenta retirar la mano y al jalar su guante se queda enganchado en el soporte de la guarda quedando descubierta la parte dorsal y provoca heridas debido al impacto"/>
    <s v="Atrapado por Partes en Movimiento"/>
    <s v="MANO DERECHA"/>
    <s v="Mano/Muñeca/Dedos"/>
    <s v="verificacion de mordaza"/>
    <s v="Contusion"/>
    <s v="Contusión/Trauma"/>
    <n v="0"/>
    <n v="0"/>
    <n v="0"/>
    <s v="Trabajando"/>
    <n v="17"/>
    <s v="&lt; 1 a 5 años"/>
    <s v="Mordaza"/>
    <s v="CONTRATO TEMPORAL"/>
  </r>
  <r>
    <x v="2"/>
    <s v="Distrito de Lurín"/>
    <s v="Intradevco"/>
    <x v="16"/>
    <x v="0"/>
    <s v="Lavavajilla"/>
    <s v="Acc. No Incapacitante"/>
    <s v="Acc. No Incapacitante"/>
    <d v="2024-03-19T00:00:00"/>
    <n v="12"/>
    <n v="19"/>
    <n v="3"/>
    <n v="2024"/>
    <d v="1899-12-30T21:40:00"/>
    <s v="N"/>
    <s v="Service"/>
    <s v="Grupo Consulting"/>
    <s v="LAYANGO"/>
    <s v="ORTEGA"/>
    <s v=" JON DEYVIS"/>
    <s v="MASCULINO"/>
    <n v="42"/>
    <s v="OPERARIO DE PRODUCCIÓN"/>
    <d v="2024-01-09T00:00:00"/>
    <s v="Colaborador se encontraba haciendo la actividad de limpieza y traspaso de envase. Al momento de levantarlo para pasarlo a la compañera, el frasco se cae y causa polución, esto se debe a que el envase estaba mal tapado. Cabe resaltar que el colaborador tenía mal colocados sus lentes. Se le condujo al lavaojos por 10 minutos aproximadamente."/>
    <s v="Proyección de Material Particulado"/>
    <s v="OJOS"/>
    <s v="Ojos"/>
    <s v="Manipulacion de envases"/>
    <s v="Cuerpo extraño en los ojos"/>
    <s v="Cuerpo Extraño en Ojos"/>
    <n v="0"/>
    <n v="0"/>
    <n v="0"/>
    <s v="Trabajando"/>
    <n v="2"/>
    <s v="&lt; 1 a 3 meses"/>
    <s v="Producto en polvo"/>
    <s v="CONTRATO TEMPORAL"/>
  </r>
  <r>
    <x v="2"/>
    <s v="Distrito de Chorrillos"/>
    <s v="Intradevco"/>
    <x v="6"/>
    <x v="8"/>
    <s v="Salud Ocupacional"/>
    <s v="Acc. Incapacitante"/>
    <s v="Acc. Incapacitante"/>
    <d v="2024-03-21T00:00:00"/>
    <n v="12"/>
    <n v="21"/>
    <n v="3"/>
    <n v="2024"/>
    <d v="1899-12-30T08:45:00"/>
    <s v="D"/>
    <s v="Service"/>
    <s v="Clinica del Trabajador"/>
    <s v="NUÑEZ"/>
    <s v="BLAS"/>
    <s v="YAKELIN"/>
    <s v="FEMENINO"/>
    <n v="35"/>
    <s v="ENFERMERA OCUPACIONAL"/>
    <d v="2020-01-08T00:00:00"/>
    <s v="Aproximadamente a las 8:50 am, durante el tránsito de la Enfermera ocupacional por el pasillo de ex– detergentes en dirección hacia el tópico, coincide con el traslado de potes impresos en una transpaleta eléctrica operada por el operario de almacén Mayco Ramos en dirección al almacén parabólico. Al momento en que el equipo se encontraba aproximándose a la ubicación de la enfermera, con la parte frontal de la carga, empuja un palet vacío ubicado delante, aprisionando ambos pies contra la estructura detrás de ella."/>
    <s v="Golpeado por"/>
    <s v="Pie izquierdo y pie derecho"/>
    <s v="Pie/Tobillo"/>
    <s v="Traslado a tópico (inicio de labores)"/>
    <s v="Fractura interna en tibia izquierda y fractura en tobillo derecho. "/>
    <s v="Fractura"/>
    <n v="180"/>
    <n v="0"/>
    <n v="180"/>
    <s v="Descanso Médico"/>
    <n v="48"/>
    <s v="&lt; 1 a 5 años"/>
    <s v="Transpaleta"/>
    <s v="Indefinido"/>
  </r>
  <r>
    <x v="1"/>
    <m/>
    <s v="CBB"/>
    <x v="2"/>
    <x v="0"/>
    <s v="Sala de envasado I"/>
    <s v="Acc. No Incapacitante"/>
    <s v="Acc. No Incapacitante"/>
    <d v="2024-03-26T00:00:00"/>
    <n v="13"/>
    <n v="26"/>
    <n v="3"/>
    <n v="2024"/>
    <d v="1899-12-30T07:30:00"/>
    <s v="M"/>
    <s v="PROPIO"/>
    <s v="Alicorp S.A.A."/>
    <s v="CANAZA"/>
    <s v="CAPALLA"/>
    <s v="ALFREDO"/>
    <s v="MASCULINO"/>
    <n v="56"/>
    <s v="OPERADOR NISSEI"/>
    <d v="1999-02-01T00:00:00"/>
    <s v="A horas 07:30 am, el trabajador iniciando su jornada de trabajo, busca una herramienta para regulación del equipo NISSEI PF, motivo por el cual la tapa metálica de la caja de herramientas que se encuentra abierta, cae sobre su mano derecho sufriendo un impacto sobre la palma, ocasionando un leve corte."/>
    <s v="Golpeado por"/>
    <s v="MANO"/>
    <s v="Mano/Muñeca/Dedos"/>
    <s v="BUSQUEDA DE HERRAMIENTAS"/>
    <s v="Trauma contuso cortante"/>
    <s v="Corte/Herida"/>
    <n v="0"/>
    <n v="0"/>
    <n v="0"/>
    <s v="Trabajando"/>
    <n v="306"/>
    <s v="&lt; 5 a 10 años"/>
    <s v="CAJA DE HERRAMIENTAS"/>
    <s v="CONTRATO INDEFINIDO"/>
  </r>
  <r>
    <x v="1"/>
    <m/>
    <s v="CBB"/>
    <x v="2"/>
    <x v="3"/>
    <s v="Almacen de Producto Terminado"/>
    <s v="Acc. No Incapacitante"/>
    <s v="Acc. No Incapacitante"/>
    <d v="2024-03-30T00:00:00"/>
    <n v="13"/>
    <n v="30"/>
    <n v="3"/>
    <n v="2024"/>
    <d v="1899-12-30T11:45:00"/>
    <s v="M"/>
    <s v="Contratista"/>
    <s v="FORZA"/>
    <s v="PAREDES"/>
    <s v="CHOQUE"/>
    <s v="OLIVERT"/>
    <s v="MASCULINO"/>
    <n v="25"/>
    <s v="ESTIBADOR"/>
    <d v="2023-02-15T00:00:00"/>
    <s v="A hrs. 11:45 am el Sr. Oliver Paredes Choque, estibador de la empresa FORZA se encontraba realizando trabajo de estibaje para el carguío de bidones de aceite de 20 litros (granel) sobre la plataforma de la chata. Al finalizar el paletizado, durante la manipulación inadecuada de los bidones (2 en 2) sufre una lesión en el pulgar de la mano derecha. "/>
    <s v="Golpeado por"/>
    <s v="MANO"/>
    <s v="Mano/Muñeca/Dedos"/>
    <s v="APILAMIENTO DE BIDONES 20 LITROS"/>
    <s v="Torcedura de pulgar mano derecha"/>
    <s v="Esguince/Torcedura"/>
    <n v="0"/>
    <n v="0"/>
    <n v="0"/>
    <s v="Trabajando"/>
    <n v="13"/>
    <s v="&lt; 5 a 10 años"/>
    <s v="BIDON DE 20 LITROS"/>
    <s v="CONTRATO A PLAZO FIJO"/>
  </r>
  <r>
    <x v="0"/>
    <s v="PREDIO CENTRAL"/>
    <s v="Copsa"/>
    <x v="3"/>
    <x v="0"/>
    <s v="SALSAS 1"/>
    <s v="Acc. No Incapacitante"/>
    <s v="Acc. No Incapacitante"/>
    <d v="2024-04-06T00:00:00"/>
    <n v="14"/>
    <n v="6"/>
    <n v="4"/>
    <n v="2024"/>
    <d v="1899-12-30T07:30:00"/>
    <s v="M"/>
    <s v="SENATI"/>
    <s v="SENATI"/>
    <s v="NAVARRO"/>
    <s v="CHERO"/>
    <s v="ZAYURI ALEXANDRA"/>
    <s v="FEMENINO"/>
    <n v="19"/>
    <s v="APRENDIZ SENATI"/>
    <d v="2023-08-03T00:00:00"/>
    <s v="La Aprendiz Senati procede a diluir el detergente desengrasante neutro Neodegreaser en un balde con agua. Es en esa actividad que unas gotas de la sustancia caen en su ojo izquierdo provocándole una irritación, procediendo a enjuagarse con abundante agua. Procede a comunicar al líder del área y se traslada al tópico para su evaluación; posteriormente, es derivada a la Clínica San Gabriel, donde es atendida por especialista y se le brinda descanso por el resto del día."/>
    <s v="Exposición a Sustancias Químicas"/>
    <s v="OJO IZQUIERDO"/>
    <s v="Ojos"/>
    <s v="Limpieza"/>
    <s v="Queratoconjuntivitis química ojo izquierdo"/>
    <s v="Queratoconjuntivitis"/>
    <n v="0"/>
    <n v="0"/>
    <n v="0"/>
    <s v="Trabajando"/>
    <n v="2"/>
    <s v="&lt; 1 a 3 meses"/>
    <s v="Detergente desengrasante neutro Neodegreaser"/>
    <s v="APRENDIZAJE SENATI"/>
  </r>
  <r>
    <x v="2"/>
    <s v="Distrito de Chorrillos"/>
    <s v="Intradevco"/>
    <x v="6"/>
    <x v="0"/>
    <s v="Ofertado"/>
    <s v="Acc. Incapacitante"/>
    <s v="Acc. Incapacitante"/>
    <d v="2024-04-09T00:00:00"/>
    <n v="15"/>
    <n v="9"/>
    <n v="4"/>
    <n v="2024"/>
    <d v="1899-12-30T08:30:00"/>
    <s v="D"/>
    <s v="Service"/>
    <s v="Grupo Consulting"/>
    <s v="RAMIREZ"/>
    <s v="SALGUEDO"/>
    <s v="JEREMY JESUS AARON "/>
    <s v="MASCULINO"/>
    <n v="27"/>
    <s v="OPERARIO DE PRODUCCIÓN"/>
    <d v="2024-03-01T00:00:00"/>
    <s v="Aproximadamente a las 8:30, el colaborador Ramírez se encontraba realizando la verificación de producto terminado, ubicado al lado del pallet en revisión para el traslado de cajas (desde el pallet a la mesa de trabajo). En ese momento el colaborador Paucar se dispone a retirar el pallet en revisión, para ello introduce la stocką manual con fuerza, sobresaliendo estos algunos centímetros fuera del área del pallet y golpeando el empeine del pie izquierdo del colaborador Ramírez."/>
    <s v="Golpeado por"/>
    <s v="PIE IZQUIERDO"/>
    <s v="Pie/Tobillo"/>
    <s v="Inspección de productos terminados"/>
    <s v="ESGUINCE Y TORCEDURA "/>
    <s v="Esguince/Torcedura"/>
    <n v="4"/>
    <n v="0"/>
    <n v="4"/>
    <s v="Cesó"/>
    <n v="1"/>
    <s v="&lt; 1 a 3 meses"/>
    <s v="STOCKA MANUAL"/>
    <s v="CONTRATO TEMPORAL"/>
  </r>
  <r>
    <x v="0"/>
    <s v="Distrito del Callao"/>
    <s v="PDC"/>
    <x v="13"/>
    <x v="0"/>
    <s v="Elaboración"/>
    <s v="Acc. No Incapacitante"/>
    <s v="Acc. No Incapacitante"/>
    <d v="2024-04-12T00:00:00"/>
    <n v="15"/>
    <n v="12"/>
    <n v="4"/>
    <n v="2024"/>
    <d v="1899-12-30T13:00:00"/>
    <s v="D"/>
    <s v="PROPIO"/>
    <s v="Alicorp S.A.A."/>
    <s v="INGA"/>
    <s v="CERRALTA"/>
    <s v="EMERSON HAROLD"/>
    <s v="MASCULINO"/>
    <n v="24"/>
    <s v="AYUDANTE DE PLANTA"/>
    <d v="2024-04-09T00:00:00"/>
    <s v="El trabajador procedió a preparar Slop, al momento de izar  el big bag mediante el tecle eléctrico no se dio cuenta que la parte inferior del big bag no estaba amarrado,  por lo cual  el polvo cayó al tq ocasionando que el polvo cayera a los costados y salpicara a su ojo derecho, acto seguido se lavó con abundante agua  sin comunicar a nadie de lo ocurrido. Al día siguiente informó al coordinador sobre el incidente ya que aun tenia un pequeño ardor en la vista, razón por la cual se le acompañó al tópico, donde le realizaron un lavado ocular e indicaron su retorno a planta, no era necesario el traslado a un centro médico. "/>
    <s v="Exposición a Sustancias Químicas"/>
    <s v="OJO DERECHO"/>
    <s v="Ojos"/>
    <s v="Preparación de SLOP"/>
    <s v="HIPEREMIA DE CONJUNTIVA OJO DERECHO"/>
    <s v="Cuerpo Extraño en Ojos"/>
    <n v="0"/>
    <n v="0"/>
    <n v="0"/>
    <s v="Trabajando"/>
    <s v="0.1"/>
    <s v="&lt; 1 mes"/>
    <s v="Detergente en polvo"/>
    <s v="CONTRATO A PLAZO FIJO"/>
  </r>
  <r>
    <x v="2"/>
    <s v="Distrito de Lurín"/>
    <s v="Intradevco"/>
    <x v="16"/>
    <x v="0"/>
    <s v="Empacado detergente"/>
    <s v="Acc. No Incapacitante"/>
    <s v="Acc. No Incapacitante"/>
    <d v="2024-03-19T00:00:00"/>
    <n v="12"/>
    <n v="19"/>
    <n v="3"/>
    <n v="2024"/>
    <d v="1899-12-30T23:47:00"/>
    <s v="N"/>
    <s v="Service"/>
    <s v="Grupo Consulting"/>
    <s v="FASABI"/>
    <s v="FASABI"/>
    <s v="TULER "/>
    <s v="MASCULINO"/>
    <n v="45"/>
    <s v="OPERARIO DE PRODUCCIÓN"/>
    <d v="2024-01-11T00:00:00"/>
    <s v="Manifiesta contusion de 3er  dedo  en mano derecha , con paleta el dia 18-03-2024"/>
    <s v="Golpeado por"/>
    <s v="MANO DERECHA"/>
    <s v="Mano/Muñeca/Dedos"/>
    <s v="Manipulacion de paleta"/>
    <s v="Contusion"/>
    <s v="Contusión/Trauma"/>
    <n v="0"/>
    <n v="0"/>
    <n v="0"/>
    <s v="Trabajando"/>
    <n v="2"/>
    <s v="&lt; 1 a 3 meses"/>
    <s v="Paleta"/>
    <s v="CONTRATO TEMPORAL"/>
  </r>
  <r>
    <x v="2"/>
    <s v="Distrito de Chorrillos"/>
    <s v="Intradevco"/>
    <x v="6"/>
    <x v="0"/>
    <s v="Plasticos"/>
    <s v="Acc. No Incapacitante"/>
    <s v="Acc. No Incapacitante"/>
    <d v="2024-04-01T00:00:00"/>
    <n v="14"/>
    <n v="1"/>
    <n v="4"/>
    <n v="2024"/>
    <d v="1899-12-30T15:00:00"/>
    <s v="D"/>
    <s v="Service"/>
    <s v="Grupo Consulting"/>
    <s v="VERDURA"/>
    <s v="RAMOS"/>
    <s v="CESAR"/>
    <s v="MASCULINO"/>
    <n v="41"/>
    <s v="OPERARIO DE PRODUCCIÓN"/>
    <d v="2024-02-20T00:00:00"/>
    <s v="Durante la actividad de colocado de bobinas, el trabajador Verdura Ramos Cesar se golpeó el lado dorsal y dedo pulgar de la mano izquierda, al intentar colocar el rollo de plastico ( bobina) color amarillo en el molino N°2."/>
    <s v="Golpeado por"/>
    <s v="MANO IZQUIERDA"/>
    <s v="Mano/Muñeca/Dedos"/>
    <s v="Colocación de bobinas"/>
    <s v="Contusion"/>
    <s v="Contusión/Trauma"/>
    <n v="0"/>
    <n v="0"/>
    <n v="0"/>
    <s v="Trabajando"/>
    <n v="1"/>
    <s v="&lt; 1 a 3 meses"/>
    <s v="Molino n°2"/>
    <s v="CONTRATO TEMPORAL"/>
  </r>
  <r>
    <x v="4"/>
    <s v="ÑAÑA"/>
    <s v="Global"/>
    <x v="19"/>
    <x v="7"/>
    <s v="Producción"/>
    <s v="Acc. No Incapacitante"/>
    <s v="Acc. No Incapacitante"/>
    <d v="2024-04-02T00:00:00"/>
    <n v="14"/>
    <n v="2"/>
    <n v="4"/>
    <n v="2024"/>
    <d v="1899-12-30T14:10:00"/>
    <s v="D"/>
    <s v="Tercero - Limpieza"/>
    <s v="Alteliza"/>
    <s v="VELÁSQUEZ"/>
    <s v="CONDE"/>
    <s v="JUDITH"/>
    <s v="FEMENINO"/>
    <n v="35"/>
    <s v="COLABORADOR DE SERVICIOS"/>
    <d v="2023-03-20T00:00:00"/>
    <s v="La operaria de limpieza Judith Velásquez Conde, se encontraba realizando sus labores de limpieza de pisos en la zona de indirectos 2; entre el horno secador y la sala de tableros, cuando de manera imprevista cayó agua por la parte superior de la tubería del circuito de recirculación del condensado de vapor, cayendo sobre su casco y sobre parte de sus hombros. "/>
    <s v="Contacto con Superficie Caliente"/>
    <s v="HOMBROS"/>
    <s v="Brazo/Codo/Hombro"/>
    <s v="Limpieza de pisos"/>
    <s v="Quemadura de primer grado"/>
    <s v="Quemadura por Temperatura"/>
    <n v="0"/>
    <n v="0"/>
    <n v="0"/>
    <s v="Trabajando"/>
    <n v="1"/>
    <s v="&lt; 0.5 a 1 año"/>
    <s v="EQUIPO DE RECIRCULACION DE CONDENSADO DE VAPOR"/>
    <s v="CONTRATO TEMPORAL"/>
  </r>
  <r>
    <x v="2"/>
    <s v="Distrito de Lurín"/>
    <s v="Intradevco"/>
    <x v="16"/>
    <x v="0"/>
    <s v="Empacado detergente"/>
    <s v="Acc. No Incapacitante"/>
    <s v="Acc. No Incapacitante"/>
    <d v="2024-04-03T00:00:00"/>
    <n v="14"/>
    <n v="3"/>
    <n v="4"/>
    <n v="2024"/>
    <d v="1899-12-30T17:21:00"/>
    <s v="D"/>
    <s v="Service"/>
    <s v="Grupo Consulting"/>
    <s v="RICOPA"/>
    <s v=" AHUANARI"/>
    <s v="VICTOR"/>
    <s v="MASCULINO"/>
    <n v="36"/>
    <s v="OPERARIO DE PRODUCCIÓN"/>
    <d v="2023-11-13T00:00:00"/>
    <s v="Colaborador se encontraba haciendo la actividad de limpieza y traspaso de envase. Al momento de levantarlo para pasarlo a la compañera, el frasco se cae y causa polución, esto se debe a que el envase estaba mal tapado. Cabe resaltar que el colaborador tenía mal colocados sus lentes. Se le condujo al lavaojos por 10 minutos aproximadamente."/>
    <s v="Golpeado por"/>
    <s v="TOBILLO IZQUIERDO"/>
    <s v="Pie/Tobillo"/>
    <s v="Manipulacion de coches"/>
    <s v="Contusion"/>
    <s v="Contusión/Trauma"/>
    <n v="0"/>
    <n v="0"/>
    <n v="0"/>
    <s v="Trabajando"/>
    <n v="5"/>
    <s v="&lt; 3 a 6 meses"/>
    <s v="Coche"/>
    <s v="CONTRATO TEMPORAL"/>
  </r>
  <r>
    <x v="2"/>
    <s v="Distrito de Lurín"/>
    <s v="Intradevco"/>
    <x v="16"/>
    <x v="0"/>
    <s v="Empacado detergente"/>
    <s v="Acc. No Incapacitante"/>
    <s v="Acc. No Incapacitante"/>
    <d v="2024-04-09T00:00:00"/>
    <n v="15"/>
    <n v="9"/>
    <n v="4"/>
    <n v="2024"/>
    <d v="1899-12-30T23:15:00"/>
    <s v="N"/>
    <s v="Service"/>
    <s v="Grupo Consulting"/>
    <s v="TUISIMA"/>
    <s v="CORDOVA"/>
    <s v="MIGUEL"/>
    <s v="MASCULINO"/>
    <n v="24"/>
    <s v="OPERARIO DE PRODUCCIÓN"/>
    <d v="2023-11-15T00:00:00"/>
    <s v="Colaborador se encontraba realizando la actividad de embolsado en la máquina VAI. Al acumularse las bolsas de presentación 5Kg en la faja dado que su compañero recién ingresaba a la línea, retira uno de ellos y al colocar en el bolsón su mano derecha impacta con la mesa metálica siendo afectado el dedo medio"/>
    <s v="Golpeado contra"/>
    <s v="DEDO MEDIO DERECHO"/>
    <s v="Mano/Muñeca/Dedos"/>
    <s v="Embolsado de producto"/>
    <s v="Contusion"/>
    <s v="Contusión/Trauma"/>
    <n v="0"/>
    <n v="0"/>
    <n v="0"/>
    <s v="Trabajando"/>
    <n v="5"/>
    <s v="&lt; 3 a 6 meses"/>
    <s v="Mesa metalica"/>
    <s v="CONTRATO TEMPORAL"/>
  </r>
  <r>
    <x v="2"/>
    <s v="Distrito de Lurín"/>
    <s v="Intradevco"/>
    <x v="16"/>
    <x v="0"/>
    <s v="Empacado detergente"/>
    <s v="Acc. No Incapacitante"/>
    <s v="Acc. No Incapacitante"/>
    <d v="2024-04-14T00:00:00"/>
    <n v="15"/>
    <n v="14"/>
    <n v="4"/>
    <n v="2024"/>
    <d v="1899-12-30T14:15:00"/>
    <s v="D"/>
    <s v="Service"/>
    <s v="Grupo Consulting"/>
    <s v="ARIRAMA"/>
    <s v=" DEL CASTILLO"/>
    <s v="YBONE"/>
    <s v="FEMENINO"/>
    <n v="37"/>
    <s v="OPERARIO DE PRODUCCIÓN"/>
    <d v="2023-01-31T00:00:00"/>
    <s v="La colaboradora refiere al momento de cortar el film utilizo la cuchilla retráctil y no tenía puesto sus guantes G-60, fue entonces que se hizo un corte superficial en el dedo medio de la mano izquierda."/>
    <s v="Contacto con superficie filosa"/>
    <s v="MANO IZQUIERDA"/>
    <s v="Mano/Muñeca/Dedos"/>
    <s v="Corte de stretch film"/>
    <s v="Corte"/>
    <s v="Corte/Herida"/>
    <n v="0"/>
    <n v="0"/>
    <n v="0"/>
    <s v="Trabajando"/>
    <n v="2"/>
    <s v="&lt; 1 a 3 meses"/>
    <s v="cuchilla"/>
    <s v="CONTRATO TEMPORAL"/>
  </r>
  <r>
    <x v="0"/>
    <s v="Distrito de Miraflores"/>
    <s v="Otros"/>
    <x v="20"/>
    <x v="7"/>
    <s v="Comedor MIRAFLORES"/>
    <s v="Acc. Incapacitante"/>
    <s v="Acc. Incapacitante"/>
    <d v="2024-04-09T00:00:00"/>
    <n v="15"/>
    <n v="9"/>
    <n v="4"/>
    <n v="2024"/>
    <d v="1899-12-30T13:00:00"/>
    <s v="D"/>
    <s v="Tercero - Comedor"/>
    <s v="NEWREST PERU S.A.C"/>
    <s v="LEON"/>
    <s v="RAYMUNDO"/>
    <s v="YOHANA"/>
    <s v="FEMENINO"/>
    <n v="40"/>
    <s v="AYUDANTE DE COCINA"/>
    <s v="-"/>
    <s v="Siendo aproximadamente las 13:00 p.m. la colaboradora del concesionario empieza a verter agua caliente en una de las bandejas gastronómicas, que se encontraban vacías, en el piso y apiladas unas sobre otras, porque iban a empezar a lavarlos. (el lavadero se encuentra a un metro de distancia); y es cuando la bandeja superior cae sobre su pie izquierdo, ocasionándole una quemadura de segundo grado, luego en compañía del jefe de operaciones de su empresa, es trasladado a la Clínica Ricardo Palma en donde se activó su SCTR. Por indicación médica la trabajadora se encuentra internada"/>
    <s v="Contacto con Superficie Caliente"/>
    <s v="PIE IZQUIERDO"/>
    <s v="Pie/Tobillo"/>
    <s v="Limpieza de bandejas"/>
    <s v="QUEMADURA DE SEGUNDO GRADO"/>
    <s v="Quemadura por Temperatura"/>
    <n v="20"/>
    <n v="0"/>
    <n v="20"/>
    <s v="Descanso Médico"/>
    <n v="115"/>
    <s v="&lt; 0.5 a 1 año"/>
    <s v="Agua Caliente"/>
    <m/>
  </r>
  <r>
    <x v="4"/>
    <s v="ÑAÑA"/>
    <s v="Global"/>
    <x v="19"/>
    <x v="0"/>
    <s v="Envasado"/>
    <s v="Acc. No Incapacitante"/>
    <s v="Acc. No Incapacitante"/>
    <d v="2024-04-16T00:00:00"/>
    <n v="16"/>
    <n v="16"/>
    <n v="4"/>
    <n v="2024"/>
    <d v="1899-12-30T06:30:00"/>
    <s v="D"/>
    <s v="PROPIO"/>
    <s v="Masterbread"/>
    <s v="ADAMA"/>
    <s v="MARCOS "/>
    <s v="JOSE LUIS"/>
    <s v="MASCULINO"/>
    <n v="33"/>
    <s v="OPERADOR DE ENVASADO"/>
    <d v="2016-10-01T00:00:00"/>
    <s v="El operador de envasado José Adama avisa que al levantar una bolsa con producto zuck y agregar al vibrador salida del secador de indirectos sintió un tirón causándole dolor y no podía agacharse. se procedió a llamar al servicio de ambulancia Seguricel, diagnosticándole una contractura muscular aplicándole un relajante muscular."/>
    <s v="Sobreesfuerzo"/>
    <s v="ESPALDA"/>
    <s v="Abdomen/Torso"/>
    <s v="Alimentación de producto para reproceso"/>
    <s v="Contractura muscular"/>
    <s v="Desgarro/Estiramiento Muscular"/>
    <n v="0"/>
    <n v="0"/>
    <n v="0"/>
    <s v="Trabajando"/>
    <n v="96"/>
    <s v="&lt; 5 a 10 años"/>
    <s v="Manimupación manual de cargas"/>
    <s v="Indefinido"/>
  </r>
  <r>
    <x v="0"/>
    <s v="PREDIO CENTRAL"/>
    <s v="Copsa"/>
    <x v="3"/>
    <x v="0"/>
    <s v="SALSAS 1"/>
    <s v="Acc. No Incapacitante"/>
    <s v="Acc. No Incapacitante"/>
    <d v="2024-04-17T00:00:00"/>
    <n v="16"/>
    <n v="17"/>
    <n v="4"/>
    <n v="2024"/>
    <d v="1899-12-30T07:30:00"/>
    <s v="D"/>
    <s v="PROPIO"/>
    <s v="Alicorp S.A.A."/>
    <s v="PALOMINO"/>
    <s v="TARAZONA"/>
    <s v="LILA IRIS"/>
    <s v="FEMENINO"/>
    <n v="51"/>
    <s v="OPERADOR MANUFACTURA SALSAS"/>
    <d v="2003-11-24T00:00:00"/>
    <s v="La operadora de manufactura se encontraba trasvasando producto del tanque Mixer 2 al tanque Mixer 1, en ese momento se percata que el sensor de nivel continuaba detectando producto en el Mixer 2, por lo cual decide aperturar la tapa del tanque para validar si aún contenía producto. Cuando apertura la tapa, no la aseguró correctamente en el gancho y esta cae por su propio peso rozando el costado izquierdo de su pecho con el asa."/>
    <s v="Golpeado por"/>
    <s v="Pecho"/>
    <s v="Abdomen/Torso"/>
    <s v="Trasvase de producto del tanque Mixer 2 al tanque Mixer 1"/>
    <s v="Contusión en costado izquierdo del pecho"/>
    <s v="Contusión/Trauma"/>
    <n v="0"/>
    <n v="0"/>
    <n v="0"/>
    <s v="Trabajando"/>
    <n v="31"/>
    <s v="&lt; 1 a 5 años"/>
    <s v="Asa de tapa del tanque Mixer 2"/>
    <s v="CONTRATO INDEFINIDO"/>
  </r>
  <r>
    <x v="4"/>
    <s v="Sicaya"/>
    <s v="Teal"/>
    <x v="21"/>
    <x v="0"/>
    <s v="Planta Caramelos"/>
    <s v="Acc. No Incapacitante"/>
    <s v="Acc. No Incapacitante"/>
    <d v="2024-04-20T00:00:00"/>
    <n v="16"/>
    <n v="20"/>
    <n v="4"/>
    <n v="2024"/>
    <d v="1899-12-30T21:30:00"/>
    <s v="N"/>
    <s v="Tercero - Limpieza"/>
    <s v="R&amp;M"/>
    <s v="TORRES"/>
    <s v="PINCHE"/>
    <s v="RUBEN"/>
    <s v="MASCULINO"/>
    <n v="23"/>
    <s v="OPERARIO DE LIMPIEZA"/>
    <d v="2024-04-22T00:00:00"/>
    <s v="En circunstancias que el colaborador de limpieza se encontraba realizando la operación de llenado de agua caliente al coche, aperturó la válvula de agua caliente, mientras sostenía la manguera sin el guante de seguridad correspondiente. Durante esta operación el colaborador siente un aumento de temperatura en la manguera y la suelta; provocándole quemaduras de primer grado en el antebrazo. Inmediatamente se brinda los primeros auxilios colocando la zona afectada en un caño de agua fría por más de 15 minutos."/>
    <s v="Contacto con agua caliente"/>
    <s v="Antebrazo izquierdo"/>
    <s v="Brazo/Codo/Hombro"/>
    <s v="Alimentación de agua caliente al coche del trapeador"/>
    <s v="Quemadura de 1er grado"/>
    <s v="Quemadura por Temperatura"/>
    <n v="0"/>
    <n v="0"/>
    <n v="0"/>
    <s v="Trabajando"/>
    <n v="24"/>
    <s v="&lt; 1 mes"/>
    <s v="Agua Caliente"/>
    <s v="CONTRATO TEMPORAL"/>
  </r>
  <r>
    <x v="0"/>
    <s v="Distrito del Callao"/>
    <s v="Galletería"/>
    <x v="0"/>
    <x v="0"/>
    <s v="Planta Instantáneos"/>
    <s v="Acc. No Incapacitante"/>
    <s v="Acc. No Incapacitante"/>
    <d v="2024-04-25T00:00:00"/>
    <n v="17"/>
    <n v="25"/>
    <n v="4"/>
    <n v="2024"/>
    <d v="1899-12-30T22:37:00"/>
    <s v="T"/>
    <s v="PROPIO"/>
    <s v="Alicorp S.A.A."/>
    <s v="TANTA "/>
    <s v="HUAJAN"/>
    <s v="RAUL"/>
    <s v="MASCULINO"/>
    <n v="57"/>
    <s v="OPERADOR MASERO"/>
    <d v="1995-10-02T00:00:00"/>
    <s v="Siendo las 20:37 , el trabajador procede a dirigirse al laboratorio de Inspección de calidad , en el trayecto, el piso se encontraba húmedo ,resbala y cae sentado._x000a_Se pone de pie y visualiza que el letrero de piso mojado, no se encontraba cerca a la zona de caída . Es derivado al tópico y se le suministra medicación . No requiere atención en clínica._x000a_"/>
    <s v="Caída a diferente nivel"/>
    <s v="Pierna"/>
    <s v="Pierna"/>
    <s v="Tránsito peatonal"/>
    <s v="Golpe"/>
    <s v="Contusión/Trauma"/>
    <n v="0"/>
    <n v="0"/>
    <n v="0"/>
    <s v="Trabajando"/>
    <n v="348"/>
    <s v="&gt; 10 años"/>
    <s v="Piso mojado"/>
    <s v="Indefinido"/>
  </r>
  <r>
    <x v="0"/>
    <s v="MCA"/>
    <s v="Molinos Lima"/>
    <x v="22"/>
    <x v="6"/>
    <s v="Mantenimiento"/>
    <s v="Acc. No Incapacitante"/>
    <s v="Acc. No Incapacitante"/>
    <d v="2024-04-30T00:00:00"/>
    <n v="18"/>
    <n v="30"/>
    <n v="4"/>
    <n v="2024"/>
    <d v="1899-12-30T10:15:00"/>
    <s v="D"/>
    <s v="PROPIO"/>
    <s v="Alicorp S.A.A."/>
    <s v="TEJADA"/>
    <s v="GRANDEZ "/>
    <s v="FREDY ALDAIR "/>
    <s v="MASCULINO"/>
    <n v="24"/>
    <s v="MECANICO"/>
    <d v="2024-04-30T00:00:00"/>
    <s v="Siendo las 10:30AM, el trabajador procede a dirigirse hacia la planta para ejecutar trabajos programados. Durante el trayecto una partícula ingresa al ojo derecho del colaborador, proveniente de la descarga de trigo de la zona de recepción, donde se encontraban 02 camiones en proceso de descarga._x000a_El colaborador continúa sus actividades, sin embargo, alrededor de las 12:30PM, hace de manifiesto su malestar por lo cual se solicita el cardio móvil para una evaluación médica. El colaborador es sometido a un lavado ocular y logra eliminar el cuerpo extraño. Posterior a la intervención, el colaborador retoma sus labores._x000a_"/>
    <s v="Proyección de Material Particulado"/>
    <s v="Ojos"/>
    <s v="Ojos"/>
    <s v="Tránsito peatonal"/>
    <s v="CUERPO EXTRAÑO EN EL PARPADO"/>
    <s v="Cuerpo Extraño en Ojos"/>
    <n v="0"/>
    <n v="0"/>
    <n v="0"/>
    <s v="Trabajando"/>
    <n v="7"/>
    <s v="&lt; 0.5 a 1 año"/>
    <s v="Cuerpo Extraño"/>
    <s v="Indefinido"/>
  </r>
  <r>
    <x v="0"/>
    <s v="CD HUACHIPA"/>
    <s v="Otros"/>
    <x v="23"/>
    <x v="3"/>
    <s v="Distribución"/>
    <s v="Acc. No Incapacitante"/>
    <s v="Acc. No Incapacitante"/>
    <d v="2024-03-15T00:00:00"/>
    <n v="11"/>
    <n v="15"/>
    <n v="3"/>
    <n v="2024"/>
    <d v="1899-12-30T23:30:00"/>
    <s v="N"/>
    <s v="PROPIO"/>
    <s v="Alicorp S.A.A."/>
    <s v="CUEVA"/>
    <s v="MONCADA"/>
    <s v="JOSÉ"/>
    <s v="MASCULINO"/>
    <s v="-"/>
    <s v="-"/>
    <s v="-"/>
    <s v="El colaborador se encotnraba descargando un pallet de lejía cloro sapolio, cuando realizaba la maniobra se produce la caída del material, cuando impactan con el suelo, se rompen y el OMC sufre salpicadura en del producto, inmediatamente se descontamina en el lavojos, y luego de una evaluación médica se determina una ligera irritación por lo que no es trasladado a la clínica."/>
    <s v="Exposición a Sustancias Químicas"/>
    <s v="Ojo izquierdo"/>
    <s v="Ojos"/>
    <s v="Descarga de pallets"/>
    <s v="Irritación de ojo"/>
    <s v="Cuerpo Extraño en Ojos"/>
    <n v="0"/>
    <m/>
    <m/>
    <s v="Trabajando "/>
    <n v="15"/>
    <s v="&lt; 1 a 5 años"/>
    <s v="Gotas de lejia"/>
    <s v="Indeterminado"/>
  </r>
  <r>
    <x v="1"/>
    <m/>
    <s v="PPI"/>
    <x v="4"/>
    <x v="0"/>
    <s v="Preparación de granos Crown"/>
    <s v="Acc. Incapacitante"/>
    <s v="Acc. Incapacitante"/>
    <d v="2024-04-05T00:00:00"/>
    <n v="14"/>
    <n v="5"/>
    <n v="4"/>
    <n v="2024"/>
    <d v="1899-12-30T16:15:00"/>
    <s v="T"/>
    <s v="PROPIO"/>
    <s v="Alicorp S.A.A"/>
    <s v="CHAMBI"/>
    <s v="VILLANUEVA"/>
    <s v="DIONICIO MAXIMO"/>
    <s v="MASCULINO"/>
    <n v="53"/>
    <s v="OPERADOR DE PREPARACIÓN CROWN"/>
    <d v="1998-02-26T00:00:00"/>
    <s v="El día 05 de abril a las 16:15 aproximadamente, el operador de la Preparación de Granos se encontraba realizando la purga de condensando de vapor del sector, posterior a esta operación se dirige hacia  los laminadores para control del proceso, en este trayecto durante su recorrido da un paso largo hacia una escalera de paso a desnivel logrando sólo pisar con la punta de su pie izquierdo en el primer peldaño y cuando da el paso con la pierna derecha no logra apoyarla ocasionándole  un estiramiento muscular que le produce un desgarro en la parte baja de la pierna izquierda. Tras el suceso, el operador informa al Supervisor de Planta del hecho y es enviado a la posta médica de planta y atendido por el médico de turno. Luego el Operador asiste al centro médico laboral (Caja Nacional de Salud) para realizar una ecografía y posterior revisión por el traumatólogo de la región muscular afectada diagnosticando como un desgarro parcial del musculo gemelo izquierdo"/>
    <s v="Sobreesfuerzo"/>
    <s v="MUSLO GEMELO INTERNO IZQUIERDO"/>
    <s v="Pierna"/>
    <s v="DESPLAZAMIENTO HACIA LAMINADORES "/>
    <s v="Desgarro Parcial del musculo Gemelo interno izquierdo_x000a_"/>
    <s v="Desgarro/Estiramiento Muscular"/>
    <n v="15"/>
    <n v="0"/>
    <n v="15"/>
    <s v="Trabajando"/>
    <n v="312"/>
    <s v="&gt; 10 años"/>
    <s v="COMPORTAMIENTO INSEGURO"/>
    <s v="CONTRATO A PLAZO FIJO"/>
  </r>
  <r>
    <x v="1"/>
    <m/>
    <s v="PDF"/>
    <x v="1"/>
    <x v="0"/>
    <s v="Preparación de granos Tecnal"/>
    <s v="Acc. No Incapacitante"/>
    <s v="Acc. No Incapacitante"/>
    <d v="2024-04-13T00:00:00"/>
    <n v="15"/>
    <n v="13"/>
    <n v="4"/>
    <n v="2024"/>
    <d v="1899-12-30T09:30:00"/>
    <s v="M"/>
    <s v="Contratista"/>
    <s v="TORNEMEC"/>
    <s v="GONZALES"/>
    <s v="DUMAY"/>
    <s v="CLAUS"/>
    <s v="MASCULINO"/>
    <n v="26"/>
    <s v="TÉCNICO MECÁNICO"/>
    <d v="2023-02-14T00:00:00"/>
    <s v="A promediar las 09:30 el técnico mecánico contratista de tornemec estaba realizando el traslado del carro hidráulico para transportar la mesa rectificadora desde el laminador #3 al laminador #4. Cuando procedía al movimiento del carro hidráulico jalándolo, este resbala por lo que se encontraba en una superficie con  harina húmeda y en un desnivel ocasionando un frenado el carro, cayendo al mismo nivel y golpeando la tibia de la pierna derecha contra el ojal inferior del carro hidráulico , inmediatamente sus colegas le colaboran a reponerse de la caída, y es trasladado a la posta medica donde realiza la atención de primeros auxilios por el coordinador de SST, se realiza las curaciones presentaba una pequeña herida"/>
    <s v="Golpeado contra"/>
    <s v="TIBIA PIERNA DERECHA"/>
    <s v="Pierna"/>
    <s v="TRASLADO DE CARRO HIDRÁULICO TRANSPORTAR MESA RECTIFICADORA"/>
    <s v="Golpe en tibia derecha"/>
    <s v="Contusión/Trauma"/>
    <n v="0"/>
    <n v="0"/>
    <n v="0"/>
    <s v="Trabajando"/>
    <n v="12"/>
    <s v="&lt; 0.5 a 1 año"/>
    <s v="CARRO HIDRÁULICO"/>
    <s v="CONTRATO TEMPORAL"/>
  </r>
  <r>
    <x v="1"/>
    <m/>
    <s v="PDF"/>
    <x v="1"/>
    <x v="0"/>
    <s v="Preparación de granos Alloco"/>
    <s v="Acc. No Incapacitante"/>
    <s v="Acc. No Incapacitante"/>
    <d v="2024-04-24T00:00:00"/>
    <n v="17"/>
    <n v="24"/>
    <n v="4"/>
    <n v="2024"/>
    <d v="1899-12-30T12:30:00"/>
    <s v="M"/>
    <s v="Contratista"/>
    <s v="SMFI"/>
    <s v="CARDOZO"/>
    <s v="PEREZ"/>
    <s v="ROGER"/>
    <s v="MASCULINO"/>
    <n v="40"/>
    <s v="TÉCNICO MECÁNICO"/>
    <d v="2022-07-27T00:00:00"/>
    <s v="A promediar las 12:00 se presenta una tarea no planeada en elevador 03 de Alloco, después de realizar una inspección del equipo por parte de mantenimiento se informa a la jefatura de mantenimiento para realizar la intervención del equipo quien da la autorización para la ejecución del trabajo. Posterior a ello se asigna una cuadrilla del contratista SMFI para atender el trabajo, la tarea arranca sin ART, los contratistas (ejecutores de la tarea) no aplicaron el LOTO, este fue aplicado por el supervisor de SST contratista SMFI. A horas 12:25 la empresa SMFI concluye la reposición de cangilones de plástico, al finalizar la ejecución de la tarea se solicita desbloquear el elevador para verificar con una prueba en vacío que no presentara rozamiento de cangilones. Durante la operación de prueba del elevador, el electricista junto al operador proceden a liberar el LOTO y arrancan el equipo, simultáneamente el contratista evidencia una contratuerca aflojada en el cangilón (equipo detenido) y decide asegurarla utilizando una pistola de impacto con extensión y dado, en ese momento arranca el equipo generando que un cangilón impacte en la mano izquierda del contratista mientras sujetaba la pistola de impacto, en ese momento procede a retirar su mano de la zona de riesgo antes de sufrir un atrapamiento entre el cangilón y la ventana del elevador._x000a_"/>
    <s v="Golpeado por"/>
    <s v="Mano izquierda"/>
    <s v="Mano/Muñeca/Dedos"/>
    <s v="CAMBIO DE CANGILONES EN ELEVADOR 03"/>
    <s v="Lesión contusa mano izquierda"/>
    <s v="Contusión/Trauma"/>
    <n v="0"/>
    <n v="0"/>
    <n v="0"/>
    <s v="Trabajando"/>
    <n v="12"/>
    <s v="&lt; 0.5 a 1 año"/>
    <s v="CANGILONES"/>
    <s v="CONTRATO TEMPORAL"/>
  </r>
  <r>
    <x v="1"/>
    <m/>
    <s v="Otros"/>
    <x v="24"/>
    <x v="0"/>
    <s v="Secadora MEGA"/>
    <s v="Acc. No Incapacitante"/>
    <s v="Acc. No Incapacitante"/>
    <d v="2024-04-26T00:00:00"/>
    <n v="17"/>
    <n v="26"/>
    <n v="4"/>
    <n v="2024"/>
    <d v="1899-12-30T05:30:00"/>
    <s v="M"/>
    <s v="Contratista"/>
    <s v="PROVISIONA"/>
    <s v="BRAVO"/>
    <s v="GIL"/>
    <s v="REMY"/>
    <s v="MASCULINO"/>
    <n v="28"/>
    <s v="AYUDANTE DE PLANTA"/>
    <d v="2024-04-23T00:00:00"/>
    <s v="Al promediar las 05:30 AM, el personal tercero de provisiona se encontraba cerrando las puertas de la secadora para arrancar con el secado, y al momento de caminar sobre la plataforma sufre una caída al mismo nivel, ocasionándole una herida en el mentón._x000a_ Se le dio primeros auxilios, primeramente, se limpió con agua la herida, para luego limpiarla con algodón y agua oxigenada, posteriormente se lo derivo al centro municipal de salud integral Pailón, en el cual se le realizo una sutura de la herida (2 puntos), así mismo se le suministro la vacuna antitetánica."/>
    <s v="Golpeado contra"/>
    <s v="MENTON"/>
    <s v="Rostro/Nariz/Boca"/>
    <s v="CERRAMIENTO DE COMPUERTAS DE SECADOR"/>
    <s v="HERIDA EN REGIÓN MAXILAR INFERIOR"/>
    <s v="Corte/Herida"/>
    <n v="0"/>
    <n v="0"/>
    <n v="0"/>
    <s v="Trabajando"/>
    <n v="18"/>
    <s v="&lt; 1 a 5 años"/>
    <s v="DESNIVEL EN PLATAFORMA"/>
    <s v="CONTRATO TEMPORAL"/>
  </r>
  <r>
    <x v="2"/>
    <s v="Distrito de Lurín"/>
    <s v="Intradevco"/>
    <x v="16"/>
    <x v="0"/>
    <s v="Lavavajilla"/>
    <s v="Acc. No Incapacitante"/>
    <s v="Acc. No Incapacitante"/>
    <d v="2024-04-17T00:00:00"/>
    <n v="16"/>
    <n v="17"/>
    <n v="4"/>
    <n v="2024"/>
    <d v="1899-12-30T18:43:00"/>
    <s v="D"/>
    <s v="Service"/>
    <s v="Grupo Consulting"/>
    <s v="SALVATIERRA"/>
    <s v="JURADO"/>
    <s v="BRILLITH ALEXANDRA"/>
    <s v="FEMENINO"/>
    <n v="38"/>
    <s v="OPERARIO DE PRODUCCIÓN"/>
    <d v="2023-11-21T00:00:00"/>
    <s v="Colaboradora realizaba limpieza del área y al terminar de lavar los trapos que utilizan en las líneas no tenía conocimiento dónde desechar el agua por lo que pregunta a sus compañeras y le indican que lo haga en los cilindros, sin embargo estaban llenos. La trabajadora Verónica Chumpitaz ITDC le menciona que lo deseche en segundo nivel de batidos. _x000a_En el transcurso de subir las escaleras con el balde, tropieza y cae en el peldaño golpeándose la rodilla izquierda"/>
    <s v="Caida al mismo nivel"/>
    <s v="BRAZO"/>
    <s v="Brazo/Codo/Hombro"/>
    <s v="Subir escaleras"/>
    <s v="Contusion"/>
    <s v="Contusión/Trauma"/>
    <n v="0"/>
    <n v="0"/>
    <n v="0"/>
    <s v="Trabajando"/>
    <n v="5"/>
    <s v="&lt; 3 a 6 meses"/>
    <s v="Escalera"/>
    <s v="CONTRATO TEMPORAL"/>
  </r>
  <r>
    <x v="2"/>
    <s v="Distrito de Lurín"/>
    <s v="Intradevco"/>
    <x v="16"/>
    <x v="0"/>
    <s v="Empacado detergente"/>
    <s v="Acc. No Incapacitante"/>
    <s v="Acc. No Incapacitante"/>
    <d v="2024-04-22T00:00:00"/>
    <n v="17"/>
    <n v="22"/>
    <n v="4"/>
    <n v="2024"/>
    <d v="1899-12-30T17:00:00"/>
    <s v="D"/>
    <s v="Service"/>
    <s v="Grupo Consulting"/>
    <s v="PACAYA"/>
    <s v=" IJUMA"/>
    <s v="CHARLIE EFRAIN"/>
    <s v="MASCULINO"/>
    <n v="25"/>
    <s v="OPERARIO DE PRODUCCIÓN"/>
    <d v="2023-06-14T00:00:00"/>
    <s v="El colaborador Pacaya CA_x000a_se encontraba cortando el film, tenía puesto su pie derecho entre la uña de la máquina de transpaleta, al momento de que su otro compañero transpaletista se dirigía con una paleta para almancen, se chocó contra la paleta de Pacaya CA generandole un golpe en su pie derecho."/>
    <s v="Golpeado por"/>
    <s v="PIE DERECHO"/>
    <s v="Pie/Tobillo"/>
    <s v="Corte de stretch film"/>
    <s v="Contusion"/>
    <s v="Contusion"/>
    <n v="0"/>
    <n v="0"/>
    <n v="0"/>
    <s v="Trabajando"/>
    <n v="10"/>
    <s v="&lt; 0.5 a 1 año"/>
    <s v="Paleta"/>
    <s v="CONTRATO TEMPORAL"/>
  </r>
  <r>
    <x v="2"/>
    <s v="Distrito de Lurín"/>
    <s v="Intradevco"/>
    <x v="16"/>
    <x v="0"/>
    <s v="Lavavajilla"/>
    <s v="Acc. No Incapacitante"/>
    <s v="Acc. No Incapacitante"/>
    <d v="2024-04-22T00:00:00"/>
    <n v="17"/>
    <n v="22"/>
    <n v="4"/>
    <n v="2024"/>
    <d v="1899-12-30T19:08:00"/>
    <s v="N"/>
    <s v="Service"/>
    <s v="Grupo Consulting"/>
    <s v="TANTA"/>
    <s v=" CHAVEZ"/>
    <s v=" MARIA LUISA"/>
    <s v="FEMENINO"/>
    <n v="47"/>
    <s v="OPERARIO DE PRODUCCIÓN"/>
    <d v="2023-04-18T00:00:00"/>
    <s v="Siendo 22 de abril a las 07:08 la Colaboradora se encontraba firmando el libro de charla de 5 minutos y al momento de coger una mascarilla, se le cae al suelo y al recogerla se golpea contra una estructura metálica de máquina en desuso que se encuentra al lado de escritorio(en ese momento no dio aviso), cerca de las 9pm tomó una pastilla (ibuprofeno) que le brindó una compañera, sin embargo dolor persistió hasta la hora de salida, que se acercó la colaboradora a hacernos conocimiento de lo sucedido, dolor con intensidad 7/10 (23.04 a las 7am aproximadamente, en ese momento no recibió atención médica porque le brindaron)_x000a_*DATO ADICIONAL* : Colaboradora refiere haber dado aviso a su supervisora 2 veces en el turno (9pm y 4am aproximadamente) sin embargo ella no se comunicó conmigo para informar sobre el caso."/>
    <s v="Golpeado contra"/>
    <s v="CABEZA"/>
    <s v="Cabeza"/>
    <s v="Llenado de registros"/>
    <s v="Contusion"/>
    <s v="Contusion"/>
    <n v="0"/>
    <n v="0"/>
    <n v="0"/>
    <s v="Trabajando"/>
    <n v="0"/>
    <s v="&lt; 1 mes"/>
    <s v="Equipo en desuso"/>
    <s v="CONTRATO TEMPORAL"/>
  </r>
  <r>
    <x v="2"/>
    <s v="Distrito de Lurín"/>
    <s v="Intradevco"/>
    <x v="16"/>
    <x v="0"/>
    <s v="Lavavajilla"/>
    <s v="Acc. No Incapacitante"/>
    <s v="Acc. No Incapacitante"/>
    <d v="2024-04-25T00:00:00"/>
    <n v="17"/>
    <n v="25"/>
    <n v="4"/>
    <n v="2024"/>
    <d v="1899-12-30T20:00:00"/>
    <s v="N"/>
    <s v="Service"/>
    <s v="Grupo Consulting"/>
    <s v="PEREZ"/>
    <s v=" MARICHIN"/>
    <s v="JUSTO HERNAN"/>
    <s v="MASCULINO"/>
    <n v="44"/>
    <s v="OPERARIO DE PRODUCCIÓN"/>
    <d v="2022-10-25T00:00:00"/>
    <s v="Colaborador se encontra jalando solo la tiza con la estoca (64 sacos), ya que sus compañeros estaban ocupados menciona (tener en cuenta que esta actividad se realiza entre dos personas), y debido a la fuerza que ejerce al jalar el pallet con producto se le resbala el pie y se golpea contra la llanta. No da aviso en el momento ya que no sentía molestias. Comunicó lo sucedido el día de hoy 27.04"/>
    <s v="Golpeado por"/>
    <s v="PIE"/>
    <s v="Pie/Tobillo"/>
    <s v="Manipulacion de stocka"/>
    <s v="Contusion"/>
    <s v="Contusion"/>
    <n v="0"/>
    <n v="0"/>
    <n v="0"/>
    <s v="Trabajando"/>
    <n v="18"/>
    <s v="&lt; 1 a 5 años"/>
    <s v="Estoca"/>
    <s v="CONTRATO TEMPORAL"/>
  </r>
  <r>
    <x v="2"/>
    <s v="Distrito de Lurín"/>
    <s v="Intradevco"/>
    <x v="16"/>
    <x v="0"/>
    <s v="Lavavajilla"/>
    <s v="Acc. Incapacitante"/>
    <s v="Acc. Incapacitante"/>
    <d v="2024-04-25T00:00:00"/>
    <n v="17"/>
    <n v="25"/>
    <n v="4"/>
    <n v="2024"/>
    <d v="1899-12-30T22:24:00"/>
    <s v="N"/>
    <s v="Service"/>
    <s v="Grupo Consulting"/>
    <s v="CAMACHO"/>
    <s v="ORTIZ"/>
    <s v="LUIS MANUEL"/>
    <s v="MASCULINO"/>
    <n v="26"/>
    <s v="OPERARIO DE PRODUCCIÓN"/>
    <d v="2024-04-10T00:00:00"/>
    <s v="El colaborador de encontraba saliendo del comedor luego de su cena, y al ver que sus demás compañeros estaban llegando para el ingreso, se baja de la vereda para abrir pase, pero no se percata que en la pista hay un desnivel, lo que ocasiona la torcedura del pie (tobillo izquierdo) y posterior caída. Se levanta con ayuda de sus compañeros y se dirige a los SSHH, pero se queda a mitad de camino ya que el dolor le impide seguir subiendo las escaleras. Es ahí donde la coordinadora que transitaba por el lugar se percata y me da aviso de lo sucedido."/>
    <s v="Caída al mismo nivel"/>
    <s v="TOBILLO IZQUIERDO"/>
    <s v="Pie/Tobillo"/>
    <s v="Transito por area"/>
    <s v="Contusion"/>
    <s v="Contusión/Trauma"/>
    <n v="11"/>
    <n v="0"/>
    <n v="11"/>
    <s v="Trabajando"/>
    <n v="1"/>
    <s v="&lt; 1 a 3 meses"/>
    <s v="PISO DE ASFALTO"/>
    <s v="CONTRATO TEMPORAL"/>
  </r>
  <r>
    <x v="2"/>
    <s v="Distrito de Lurín"/>
    <s v="Intradevco"/>
    <x v="16"/>
    <x v="0"/>
    <s v="Areas comunes"/>
    <s v="Acc. No Incapacitante"/>
    <s v="Acc. No Incapacitante"/>
    <d v="2024-04-27T00:00:00"/>
    <n v="17"/>
    <n v="27"/>
    <n v="4"/>
    <n v="2024"/>
    <d v="1899-12-30T22:26:00"/>
    <s v="N"/>
    <s v="Service"/>
    <s v="Grupo Consulting"/>
    <s v="VALENCIA"/>
    <s v="ROMAN"/>
    <s v="PABLO"/>
    <s v="MASCULINO"/>
    <n v="43"/>
    <s v="OPERARIO DE PRODUCCIÓN"/>
    <d v="2024-04-12T00:00:00"/>
    <s v="El colaborador Pablo Velencia Román se encontraba bajando las escaleras cuando de pronto ve que sus compañeros suben corriendo y él por tratar de esquivarlos baja apresuradamente un escalón pisando en falso, ocacionando que se doble el tobillo._x000a_Cabe mencionar que dicha zona se encuentra sin iluminación."/>
    <s v="Caida al mismo nivel"/>
    <s v="TOBILLO"/>
    <s v="Pie/Tobillo"/>
    <s v="Ascenso por escaleras"/>
    <s v="Contusion"/>
    <s v="Contusión/Trauma"/>
    <n v="0"/>
    <n v="0"/>
    <n v="0"/>
    <s v="Trabajando"/>
    <n v="1"/>
    <s v="&lt; 1 a 3 meses"/>
    <s v="ESCALERA"/>
    <s v="CONTRATO TEMPORAL"/>
  </r>
  <r>
    <x v="2"/>
    <s v="Distrito de Chorrillos"/>
    <s v="Intradevco"/>
    <x v="6"/>
    <x v="0"/>
    <s v="Sanitarios"/>
    <s v="Acc. No Incapacitante"/>
    <s v="Acc. No Incapacitante"/>
    <d v="2024-04-29T00:00:00"/>
    <n v="18"/>
    <n v="29"/>
    <n v="4"/>
    <n v="2024"/>
    <d v="1899-12-30T12:30:00"/>
    <s v="D"/>
    <s v="Service"/>
    <s v="Grupo Consulting"/>
    <s v="AHUANARI"/>
    <s v="PAYMA"/>
    <s v="WILMER"/>
    <s v="MASCULINO"/>
    <n v="33"/>
    <s v="OPERARIO DE PRODUCCIÓN"/>
    <d v="2024-02-07T00:00:00"/>
    <s v="El trabajador AHUANARI presenta ampollas en las manos debido a que realiza el tapado y enroscado en la MR2, ya que la tapadora neumática en ocasiones no cierra por completo, la tapa se inclina hacia un lado ( el trabajador ejerce presión y enrosca) o en su defecto el diámetro sobrepasa la capacidad para realizar el tapado (debido a esto se hace manual)."/>
    <s v="Contacto con "/>
    <s v="MANO DERECHA E IZQUIERDA"/>
    <s v="Mano/Muñeca/Dedos"/>
    <s v="Tapado y enroscado de frascos"/>
    <s v="Ampolla"/>
    <s v="Quemadura por Fricción"/>
    <n v="0"/>
    <n v="0"/>
    <n v="0"/>
    <s v="Trabajando"/>
    <n v="2"/>
    <s v="&lt; 1 a 3 meses"/>
    <s v="TAPADORA NEUMÁTICA"/>
    <s v="CONTRATO TEMPORAL"/>
  </r>
  <r>
    <x v="2"/>
    <s v="Distrito de Lurín"/>
    <s v="Intradevco"/>
    <x v="16"/>
    <x v="0"/>
    <s v="Empacado detergente"/>
    <s v="Acc. No Incapacitante"/>
    <s v="Acc. No Incapacitante"/>
    <d v="2024-05-02T00:00:00"/>
    <n v="18"/>
    <n v="2"/>
    <n v="5"/>
    <n v="2024"/>
    <d v="1899-12-30T03:09:00"/>
    <s v="N"/>
    <s v="Service"/>
    <s v="Grupo Consulting"/>
    <s v="AVALOS"/>
    <s v="FASANANDO"/>
    <s v="RAFAEL"/>
    <s v="MASCULINO"/>
    <n v="35"/>
    <s v="OPERARIO DE PRODUCCIÓN"/>
    <d v="2024-04-17T00:00:00"/>
    <s v="Colaborador Ávalos Fasanando Rafael se encontraba haciendo la actividad de colocado de bolsas, cuando se percata que una de ellas está mal puesta y al momento de acomodarla saca la mano derecha apresuradamente y se golpea contra plancha que cambia de posición automáticamente cuando los bolsones están llenos."/>
    <s v="Golpeado contra"/>
    <s v="MANO DERECHA"/>
    <s v="Mano/Muñeca/Dedos"/>
    <s v="Colocacion de bolsas"/>
    <s v="Contusion"/>
    <s v="Contusión/Trauma"/>
    <n v="0"/>
    <n v="0"/>
    <n v="0"/>
    <s v="Trabajando"/>
    <n v="1"/>
    <s v="&lt; 1 a 3 meses"/>
    <s v="PLANCHA METALICA"/>
    <s v="CONTRATO TEMPORAL"/>
  </r>
  <r>
    <x v="2"/>
    <s v="Distrito de Lurín"/>
    <s v="Intradevco"/>
    <x v="16"/>
    <x v="0"/>
    <s v="Lavavajilla"/>
    <s v="Acc. No Incapacitante"/>
    <s v="Acc. No Incapacitante"/>
    <d v="2024-05-02T00:00:00"/>
    <n v="18"/>
    <n v="2"/>
    <n v="5"/>
    <n v="2024"/>
    <d v="1899-12-30T12:58:00"/>
    <s v="D"/>
    <s v="Service"/>
    <s v="Grupo Consulting"/>
    <s v="CONDORI"/>
    <s v=" LOPEZ"/>
    <s v=" GUADALUPE ROXANA"/>
    <s v="FEMENINO"/>
    <n v="41"/>
    <s v="OPERARIO DE PRODUCCIÓN"/>
    <d v="2023-03-30T00:00:00"/>
    <s v="Colaboradora estuvo realizando encajado de potes, al terminar su rotación de actividad le indica a su compañero que saldría del área para acudir a los sshh y voltea sin percatarse de la mesa de trabajo golpeándose la rodilla izquierda"/>
    <s v="Golpeado contra"/>
    <s v="RODILLA IZQUIERDA"/>
    <s v="Rodilla"/>
    <s v="Encajado de potes"/>
    <s v="Contusion"/>
    <s v="Contusión/Trauma"/>
    <n v="0"/>
    <n v="0"/>
    <n v="0"/>
    <s v="Trabajando"/>
    <n v="13"/>
    <s v="&lt; 1 a 5 años"/>
    <s v="MESA"/>
    <s v="CONTRATO TEMPORAL"/>
  </r>
  <r>
    <x v="0"/>
    <s v="SIDSUR"/>
    <s v="Sidsur"/>
    <x v="25"/>
    <x v="0"/>
    <s v="Molino Victoria"/>
    <s v="Acc. Incapacitante"/>
    <s v="Acc. Incapacitante"/>
    <d v="2024-04-04T00:00:00"/>
    <n v="14"/>
    <n v="4"/>
    <n v="4"/>
    <n v="2024"/>
    <d v="1899-12-30T08:00:00"/>
    <s v="D"/>
    <s v="PROPIO"/>
    <s v="Alicorp S.A.A"/>
    <s v="CASTILLO"/>
    <s v="MAMANI"/>
    <s v="MAURO"/>
    <s v="MASCULINO"/>
    <n v="62"/>
    <s v="AYUDANTE DE MOLINO"/>
    <s v="-"/>
    <s v="El colaborador se encontraba en el 4° piso del Molino Victoria verificando que fluya el producto del pasaje C6 de forma continua, en ese momento el colaborador apoya su mano derecha sobre la tapa del motor, sintiendo un jalón de su dedo índice el cual retiro inmediatamente, cabe mencionar que la guarda del motor presentaba una abertura debido a la rotura de una de las ranuras de protección._x000a_Posteriormente, fue socorrido por el Coordinador de Turno quien toca la alarma de emergencias y lo acompaña al tópico, siendo atendido por el Inspector de Seguridad. Se procedió a llamar a la ambulancia, la cual lo derivo a la Clínica San Juan de Dios."/>
    <s v="Atrapado por Partes en Movimiento"/>
    <s v="Dedo anular mano derecha"/>
    <s v="Mano/Muñeca/Dedos"/>
    <s v="Verificando paso de producto"/>
    <s v="Fractura"/>
    <s v="Fractura"/>
    <n v="120"/>
    <n v="0"/>
    <n v="120"/>
    <s v="Trabajando"/>
    <n v="252"/>
    <s v="&gt; 10 años"/>
    <s v="Motor"/>
    <s v="Indefinido"/>
  </r>
  <r>
    <x v="0"/>
    <s v="PREDIO CENTRAL"/>
    <s v="Copsa"/>
    <x v="3"/>
    <x v="6"/>
    <s v="MANTENIMIENTO"/>
    <s v="Acc. Incapacitante"/>
    <s v="Acc. Incapacitante"/>
    <d v="2024-08-16T00:00:00"/>
    <n v="33"/>
    <n v="16"/>
    <n v="8"/>
    <n v="2024"/>
    <d v="1899-12-30T17:20:00"/>
    <s v="T"/>
    <s v="PROPIO"/>
    <s v="Alicorp S.A.A"/>
    <s v="HERRERA"/>
    <s v="FABIAN"/>
    <s v="ROGGER JHON"/>
    <s v="MASCULINO"/>
    <n v="52"/>
    <s v="ELECTRICISTA"/>
    <d v="2007-03-01T00:00:00"/>
    <s v="El colaborador se encontraba abriendo la puerta metálica enrollable de la sala de generación para iniciar la operación de los grupos electrógenos en hora punta. Para abrir la puerta, realiza un primer movimiento para levantarla del piso a la altura del pecho y cambia de agarre para empujar la puerta hacia arriba. En dicho cambio de agarre siente un tirón y dolor en el hombro derecho, sin terminar la apertura."/>
    <s v="Sobreesfuerzo"/>
    <s v="Hombro"/>
    <s v="Brazo/Codo/Hombro"/>
    <s v="Apertura de puerta metálica enrollable"/>
    <s v="Tendinosis del músculo supraespinoso en hombro derecho"/>
    <s v="Desgarro/Estiramiento Muscular"/>
    <n v="137"/>
    <n v="0"/>
    <n v="137"/>
    <s v="DM"/>
    <n v="209"/>
    <s v="&gt; 10 años"/>
    <s v="Puerta metálica enrollable"/>
    <s v="CONTRATO INDEFINIDO"/>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n v="1"/>
    <s v="PGL23660"/>
    <s v="PERÚ"/>
    <x v="0"/>
    <s v="Distrito del Callao"/>
    <s v="Galletería"/>
    <x v="0"/>
    <x v="0"/>
    <s v="HORNOS"/>
    <x v="0"/>
    <s v="Acc. No Incapacitante"/>
    <d v="2024-01-13T00:00:00"/>
    <n v="2"/>
    <n v="13"/>
    <x v="0"/>
    <n v="2024"/>
    <d v="1899-12-30T08:35:00"/>
    <s v="M"/>
    <s v="PROPIO"/>
    <s v="Alicorp S.A.A."/>
    <s v="ASENCIO"/>
    <s v="CANALES"/>
    <s v="JOSE"/>
    <s v="MASCULINO"/>
    <n v="45"/>
    <s v="OPERADOR DE HORNO"/>
    <d v="2002-11-27T00:00:00"/>
    <s v="Siendo las 08:35 a.m, el operador de horno se encontraba realizando labores de limpieza de pisos en la zona de laminado Línea 1, y mientras retiraba los residuos en la parte baja de la estación de pre laminado, se golpea la cabeza contra una estructura causándole un leve sangrado._x000a_ _x000a_El operador es derivado hacia tópico donde realizan limpieza de la zona afectada. Post evaluación, el trabajador firma hoja de desistimiento de traslado"/>
    <s v="Golpeado contra"/>
    <s v="CABEZA"/>
    <s v="Cabeza"/>
    <s v="LIMPIEZA  DE PISOS"/>
    <s v="NA"/>
    <s v="Corte/Herida"/>
    <s v="&lt;"/>
    <n v="0"/>
    <n v="0"/>
    <s v="Trabajando"/>
    <n v="252"/>
    <s v="&gt; 10 años"/>
    <s v="ESTRUCTURA"/>
    <s v="CONTRATO INDEFINIDO"/>
  </r>
  <r>
    <n v="2"/>
    <s v="PGL23719"/>
    <s v="PERÚ"/>
    <x v="0"/>
    <s v="Distrito del Callao"/>
    <s v="Galletería"/>
    <x v="0"/>
    <x v="0"/>
    <s v="BAÑADOS"/>
    <x v="0"/>
    <s v="Acc. No Incapacitante"/>
    <d v="2024-01-27T00:00:00"/>
    <n v="4"/>
    <n v="27"/>
    <x v="0"/>
    <n v="2024"/>
    <d v="1899-12-30T08:40:00"/>
    <s v="T"/>
    <s v="PROPIO"/>
    <s v="Alicorp S.A.A."/>
    <s v="GARCIA"/>
    <s v="SARAVIA"/>
    <s v="MANUEL"/>
    <s v="MASCULINO"/>
    <n v="58"/>
    <s v="OPERADOR DE MAQUINA ENVASADORA"/>
    <d v="2014-12-19T00:00:00"/>
    <s v="Siendo las 08:40 p.m, el operador de máquina envasadora se encontraba realizando labores de limpieza del equipo de la envasadora de galletas A9 del área de bañados, y mientras retiraba los residuos en la zona, se golpea la cabeza contra la estructura de la porta bandejas que se encontraba cerca._x000a__x000a_El operador es derivado hacia tópico donde realizan limpieza de la zona afectada, colocan crema y proceden a colocar una tira adhesiva con gasa (curita) como protector. Post evaluación, se menciona que no requiere traslado y el colaborador regresa a continuar con sus actividades en planta"/>
    <s v="Golpeado contra"/>
    <s v="CABEZA"/>
    <s v="Cabeza"/>
    <s v="LIMPIEZA  DE LINEA"/>
    <s v="NA"/>
    <s v="Corte/Herida"/>
    <n v="0"/>
    <n v="0"/>
    <n v="0"/>
    <s v="Trabajando"/>
    <n v="336"/>
    <s v="&gt; 10 años"/>
    <s v="PORTA BANDEJAS"/>
    <s v="CONTRATO INDEFINIDO"/>
  </r>
  <r>
    <n v="3"/>
    <s v="PGL23662"/>
    <s v="PERÚ"/>
    <x v="0"/>
    <s v="Distrito del Callao"/>
    <s v="Galletería"/>
    <x v="0"/>
    <x v="0"/>
    <s v="LINEA 1"/>
    <x v="0"/>
    <s v="Acc. No Incapacitante"/>
    <d v="2024-01-10T00:00:00"/>
    <n v="2"/>
    <n v="10"/>
    <x v="0"/>
    <n v="2024"/>
    <d v="1899-12-30T16:30:00"/>
    <s v="T"/>
    <s v="SENATI"/>
    <s v="SENATI"/>
    <s v="NAVARRO"/>
    <s v="CHERO"/>
    <s v="ZAYURI ALEXANDRA"/>
    <s v="FEMENINO"/>
    <n v="19"/>
    <s v="APRENDIZ SENATI"/>
    <d v="2023-08-03T00:00:00"/>
    <s v="Siendo las 06:30 p.m., la aprendiz de Senati se encontraba realizando labores de alimentación de galleta en la zona de envasado de galleta de la Línea 1, para ello durante la alimentación hace el traslado de jabas de producto para el abastecimiento manual, el incidente ocurrió cuando estaba abasteciendo los paquetes a la faja, su mano derecha rozo con la guía de la faja provocándole una raspadura en la parte superior de la mano. Después de lo ocurrido al no comunicar, el encargado de línea al percatarse la derivó con el coordinador e ingeniero._x000a__x000a_La aprendiz es derivada hacia tópico, donde se realizó el lavado, aplicación de crema y colocación de curita en la zona afectada. Post evaluación, el médico concluye que no necesita traslado hacia la clínica y puede continuar con su actividad en planta"/>
    <s v="Golpeado por"/>
    <s v="MANO"/>
    <s v="Mano/Muñeca/Dedos"/>
    <s v="ALIMENTACIÓN DE PAQUETES PRIMARIOS"/>
    <s v="NA"/>
    <s v="Corte/Herida"/>
    <n v="0"/>
    <n v="0"/>
    <n v="0"/>
    <s v="Trabajando"/>
    <n v="5"/>
    <s v="&lt; 3 a 6 meses"/>
    <s v="GUIA DE FAJA"/>
    <s v="APRENDIZAJE SENATI"/>
  </r>
  <r>
    <n v="4"/>
    <s v="-"/>
    <s v="BOLIVIA"/>
    <x v="1"/>
    <m/>
    <s v="PDF"/>
    <x v="1"/>
    <x v="0"/>
    <s v="SECADERO 67"/>
    <x v="1"/>
    <s v="Acc. Incapacitante"/>
    <d v="2024-01-08T00:00:00"/>
    <n v="2"/>
    <n v="8"/>
    <x v="0"/>
    <n v="2024"/>
    <d v="1899-12-30T11:35:00"/>
    <s v="M"/>
    <s v="Contratista"/>
    <s v="COAPECOM"/>
    <s v="MARISCAL"/>
    <s v="SIBANTY"/>
    <s v="JULIO ALBERTO"/>
    <s v="MASCULINO"/>
    <n v="35"/>
    <s v="COORDINADOR DE CALIDAD"/>
    <d v="2023-11-13T00:00:00"/>
    <s v="La empresa COAPECOM se encontraba realizando la inspección eléctrica del sistema de transporte sin-fin de la tolva de residuos, misma que se encuentra en proceso de montaje. Como parte de la inspección, se instruyó al Supervisor de COAPECOM, Sr. Julio Mariscal, que elevara el transporte sin-fin; al accionar la manivela del equipo, se produce la caída brusca del sistema, ocasionado un giro violento de la manivela que impactó la mano derecha del supervisor."/>
    <s v="Golpeado por"/>
    <s v="MANO"/>
    <s v="Mano/Muñeca/Dedos"/>
    <s v="INSPECCIÓN ELÉCTRICA"/>
    <s v="Fractura 5o metacarpiano derecho"/>
    <s v="Fractura"/>
    <n v="24"/>
    <n v="0"/>
    <n v="24"/>
    <s v="En recuperación post operatorio"/>
    <n v="120"/>
    <s v="&lt; 1 a 5 años"/>
    <s v="TRANSPORTE SIN FIN"/>
    <s v="CONTRATO INDEFINIDO"/>
  </r>
  <r>
    <n v="5"/>
    <s v="-"/>
    <s v="BOLIVIA"/>
    <x v="1"/>
    <m/>
    <s v="CBB"/>
    <x v="2"/>
    <x v="0"/>
    <s v="MANTECA MARGARINA"/>
    <x v="0"/>
    <s v="Acc. No Incapacitante"/>
    <d v="2024-01-18T00:00:00"/>
    <n v="3"/>
    <n v="18"/>
    <x v="0"/>
    <n v="2024"/>
    <d v="1899-12-30T03:15:00"/>
    <s v="N"/>
    <s v="PROPIO"/>
    <s v="Alicorp S.A.A."/>
    <s v="SAENZ"/>
    <s v="ARRATIA"/>
    <s v="DANIEL"/>
    <s v="MASCULINO"/>
    <n v="43"/>
    <s v="RECEPCIONISTA DE MARGARINA"/>
    <d v="2014-03-01T00:00:00"/>
    <s v="A horas 3:15 am recepcionista de margarina Daniel Sáenz se tropieza con pallet de madera al estar trasladándose por la zona de cortina de ingreso de material de empaquetado, esto ocasiona que  el colaborador se  caiga y  se contusione levemente el antebrazo derecho, el operador presenta leve dolor en brazo derecho, por prevención inmediatamente se gestiona el traslado a caja nacional de salud para su revisión. "/>
    <s v="Caída al mismo nivel"/>
    <s v="ANTEBRAZO"/>
    <s v="Brazo/Codo/Hombro"/>
    <s v="ARME CAJAS"/>
    <s v="Policontusión"/>
    <s v="Contusión/Trauma"/>
    <n v="0"/>
    <s v="-"/>
    <n v="0"/>
    <s v="Trabajando"/>
    <n v="118"/>
    <s v="&lt; 5 a 10 años"/>
    <s v="PISO CON OBSTACULOS"/>
    <s v="CONTRATO INDEFINIDO"/>
  </r>
  <r>
    <n v="6"/>
    <s v="-"/>
    <s v="BOLIVIA"/>
    <x v="1"/>
    <m/>
    <s v="PDF"/>
    <x v="1"/>
    <x v="1"/>
    <s v="SOLVENTE CROWN"/>
    <x v="0"/>
    <s v="Acc. No Incapacitante"/>
    <d v="2024-01-03T00:00:00"/>
    <n v="1"/>
    <n v="3"/>
    <x v="0"/>
    <n v="2024"/>
    <d v="1899-12-30T00:35:00"/>
    <s v="N"/>
    <s v="PROPIO"/>
    <s v="Alicorp S.A.A."/>
    <s v="SALDAÑA"/>
    <s v="PADILLA"/>
    <s v="ERICKA"/>
    <s v="FEMENINO"/>
    <n v="53"/>
    <s v="ANALISTA DE LABORATORIO"/>
    <d v="2003-04-01T00:00:00"/>
    <s v="Bajada violenta de carro de muestreo, el cual golpea la fosa poplítea de la pierna derecha ocasionando caída al mismo nivel."/>
    <s v="Caída al mismo nivel"/>
    <s v="PIERNA"/>
    <s v="Pierna"/>
    <s v="TRASLADO DE MUESTRAS"/>
    <s v="Bursitis rodilla derecha"/>
    <s v="Contusión/Trauma"/>
    <n v="0"/>
    <s v="-"/>
    <n v="0"/>
    <s v="Trabajando"/>
    <n v="248"/>
    <s v="&gt; 10 años"/>
    <s v="PISO CON DESNIVELES"/>
    <s v="CONTRATO INDEFINIDO"/>
  </r>
  <r>
    <n v="7"/>
    <s v="PCO23723"/>
    <s v="PERÚ"/>
    <x v="0"/>
    <s v="PREDIO CENTRAL"/>
    <s v="Copsa"/>
    <x v="3"/>
    <x v="0"/>
    <s v="SALSAS 3"/>
    <x v="1"/>
    <s v="Acc. Incapacitante"/>
    <d v="2024-01-02T00:00:00"/>
    <n v="1"/>
    <n v="2"/>
    <x v="0"/>
    <n v="2024"/>
    <d v="1899-12-30T08:35:00"/>
    <s v="M"/>
    <s v="PROPIO"/>
    <s v="Alicorp S.A.A"/>
    <s v="ABANTO"/>
    <s v="CHAVEZ"/>
    <s v="JUAN SALVADOR"/>
    <s v="MASCULINO"/>
    <n v="60"/>
    <s v="AYUDANTE DE SANEAMIENTO"/>
    <d v="2006-10-05T00:00:00"/>
    <s v="El colaborador se dirige a la azotea de Salsas 3 (3er piso) para recoger la cartelería que se había guardado en dicha zona, para retornarlo a su lugar de origen, al haber concluido los trabajos de pintura en la cámara de refrigeración (1er piso); en dicho trayecto se tropieza con la parte sobresaliente de unos pernos pasantes de soporte de tuberías, cayendo sobre su rodilla izquierda._x000a_El colaborador manifiesta que se repone y continúa su trayecto llegando al 1er piso y siente un fuerte dolor en la zona afectada, procediendo a comunicar a su líder de turno."/>
    <s v="Caída al mismo nivel"/>
    <s v="PIERNA"/>
    <s v="Rodilla"/>
    <s v="Traslado de carteles desde almacén de materiales a cámara de refrigeración"/>
    <s v="Esguince de rodilla izquierda"/>
    <s v="Esguince/Torcedura"/>
    <n v="180"/>
    <n v="0"/>
    <n v="180"/>
    <s v="En recuperación post intervención quirúrgica"/>
    <n v="207"/>
    <s v="&gt; 10 años"/>
    <s v="PISO CON PERNO PASANTE SOBRESALIENTE"/>
    <s v="CONTRATO INDEFINIDO"/>
  </r>
  <r>
    <n v="8"/>
    <s v="PGL23738"/>
    <s v="PERÚ"/>
    <x v="0"/>
    <s v="Distrito del Callao"/>
    <s v="Galletería"/>
    <x v="0"/>
    <x v="0"/>
    <s v="LINEA 1"/>
    <x v="1"/>
    <s v="Acc. Incapacitante"/>
    <d v="2024-02-02T00:00:00"/>
    <n v="5"/>
    <n v="2"/>
    <x v="1"/>
    <n v="2024"/>
    <d v="1899-12-30T15:34:00"/>
    <s v="M"/>
    <s v="PROPIO"/>
    <s v="Alicorp S.A.A"/>
    <s v="COTRINA "/>
    <s v="ALANYA"/>
    <s v="MARIBEL"/>
    <s v="FEMENINO"/>
    <n v="25"/>
    <s v="OPERARIO DE PRODUCCIÓN"/>
    <d v="2024-01-24T00:00:00"/>
    <s v="Siendo las 03:34 p.m, la señorita operaria de producción se encontraba realizando labores de alimentación de galleta en la envasadora C3 de la línea 1, debido al fin de turno procede a realizar la limpieza de su zona de trabajo, durante la actividad al querer retirar residuos de galleta del pistón de centrado de la faja de acomodo, procede a introducir la mano por debajo de la guarda de seguridad, sufriendo un atrapamiento debido a la activación del pistón"/>
    <s v="Atrapado por Partes en Movimiento"/>
    <s v="MANO"/>
    <s v="Mano/Muñeca/Dedos"/>
    <s v="LIMPIEZA DE LINEA"/>
    <s v="TRAUMATISMO POR ATRAPAMIENTO DEL DEDO PULGAR Y OTROS DEDOS"/>
    <s v="Contusión/Trauma"/>
    <n v="30"/>
    <n v="0"/>
    <n v="30"/>
    <s v="Descanso Médico"/>
    <n v="0"/>
    <s v="&lt; 1 mes"/>
    <s v="PISTON"/>
    <s v="CONTRATO INDEFINIDO"/>
  </r>
  <r>
    <n v="9"/>
    <s v="-"/>
    <s v="BOLIVIA"/>
    <x v="1"/>
    <m/>
    <s v="PPI"/>
    <x v="4"/>
    <x v="0"/>
    <s v="RECEPCIÓN DE GRANO"/>
    <x v="0"/>
    <s v="Acc. No Incapacitante"/>
    <d v="2024-01-17T00:00:00"/>
    <n v="3"/>
    <n v="17"/>
    <x v="0"/>
    <n v="2024"/>
    <d v="1899-12-30T16:30:00"/>
    <s v="T"/>
    <s v="Contratista"/>
    <s v="APREMEC"/>
    <s v="ARIAS"/>
    <s v="SALCES"/>
    <s v="JESUS IGNACIO"/>
    <s v="MASCULINO"/>
    <n v="40"/>
    <s v="SUPERVISOR DE CUADRILLA"/>
    <d v="2024-01-07T00:00:00"/>
    <s v="El día 17/01/2023 a las 16:30 se reporta un corte superficial en la parte dorsal de la mano derecha de unos 3 cm aprox . El contratista se encontraba ajustando una tolva y cuando ejerce palanca con una barreta esta se sale de su posición y la mano se proyecta hacia la tolva golpeando un perno y ocasionándole el corte. Personal contratista fue atendido de primeros auxilios en posta médica. El corte en requirió sutura de 5 puntos y limpieza. Al otro día retornó a sus actividades restringido a realizar sus trabajos de supervisión de personal a nivel del piso."/>
    <s v="Contacto con superficie filosa"/>
    <s v="MANO"/>
    <s v="Mano/Muñeca/Dedos"/>
    <s v="AJUSTE DE TOLVA"/>
    <s v="Corte superficial mano derecha"/>
    <s v="Corte/Herida"/>
    <n v="0"/>
    <n v="0"/>
    <n v="0"/>
    <s v="Trabajando"/>
    <n v="120"/>
    <s v="&lt; 1 a 5 años"/>
    <s v="SUPERFICIE FILOSA"/>
    <s v="CONTRATO TEMPORAL"/>
  </r>
  <r>
    <n v="10"/>
    <s v="PGL23731"/>
    <s v="PERÚ"/>
    <x v="0"/>
    <s v="Distrito del Callao"/>
    <s v="Galletería"/>
    <x v="0"/>
    <x v="0"/>
    <s v="LINEA 3"/>
    <x v="1"/>
    <s v="Acc. Incapacitante"/>
    <d v="2024-02-06T00:00:00"/>
    <n v="6"/>
    <n v="6"/>
    <x v="1"/>
    <n v="2024"/>
    <d v="1899-12-30T06:40:00"/>
    <s v="M"/>
    <s v="PROPIO"/>
    <s v="Alicorp S.A.A"/>
    <s v="ZAPATA"/>
    <s v="GASTELO"/>
    <s v="OSCAR PAUL"/>
    <s v="MASCULINO"/>
    <s v="-"/>
    <s v="OPERARIO DE PRODUCCIÓN"/>
    <s v="-"/>
    <s v="Siendo las 06:35, el operario de Producción Oscar Zapata Gastelo se encontraba realizando labores de alimentación de galletas en los magazines del equipo Torre Línea 3, durante la actividad su mano derecha entra en contacto con una astilla metálica en la superficie del magazine, causándole un corte en el quinto dedo de la mano derecha. "/>
    <s v="Contacto con superficie filosa"/>
    <s v="MANO"/>
    <s v="Mano/Muñeca/Dedos"/>
    <s v="ALIMENTACIÓN DE GALLETAS"/>
    <s v="Herida del dedo meñique"/>
    <s v="Corte/Herida"/>
    <n v="2"/>
    <n v="0"/>
    <n v="2"/>
    <s v="Descanso Médico"/>
    <n v="62"/>
    <s v="&lt; 5 a 10 años"/>
    <s v="SUPERFICIE FILOSA"/>
    <s v="CONTRATO INDEFINIDO"/>
  </r>
  <r>
    <n v="11"/>
    <s v="ILU23736"/>
    <s v="PERÚ"/>
    <x v="2"/>
    <s v="Distrito de Lurín"/>
    <s v="Intradevco"/>
    <x v="5"/>
    <x v="0"/>
    <s v="SOPLADO"/>
    <x v="1"/>
    <s v="Acc. Incapacitante"/>
    <d v="2024-01-03T00:00:00"/>
    <n v="1"/>
    <n v="3"/>
    <x v="0"/>
    <n v="2024"/>
    <d v="1899-12-30T08:00:00"/>
    <s v="M"/>
    <s v="Service"/>
    <s v="Grupo Consulting"/>
    <s v="MEJÍA"/>
    <s v="CRISOSTOMO"/>
    <s v="ADA KELY"/>
    <s v="FEMENINO"/>
    <n v="23"/>
    <s v="OPERARIO DE PRODUCCIÓN"/>
    <d v="2023-04-01T00:00:00"/>
    <s v="La colaboradora se encontraba empleando una cuchilla para retirar las partes del plástico contaminado de uno de los frascos (galonera 5L). Esta actividad consiste en emplear una cuchilla para cortar en forma circular alrededor de las manchas o materiales extraños detectados en el frasco._x000a__x000a_Durante la actividad de corte, la colaboradora ejerce presión sobre la superficie que presentaba rigidez y realiza un corte ejerciendo fuerza en dirección a su cuerpo; producto de esta acción, la botella es cortada y la cuchilla alcanza la parte expuesta del antebrazo de la persona, entre el guante anticorte y el polo que se encontraba arremangado._x000a__x000a_La colaboradora comunica lo ocurrido a su supervisora y es atendida en el tópico. Se traslada a la colaboradora a la clínica para suturar la herida._x000a__x000a_Se procede con la investigación del accidente."/>
    <s v="Contacto con superficie cortante"/>
    <s v="ANTEBRAZO"/>
    <s v="Brazo/Codo/Hombro"/>
    <s v="Retiro de contaminación en envase"/>
    <s v="Herida en el antebrazo izquierdo"/>
    <s v="Corte/Herida"/>
    <n v="9"/>
    <n v="0"/>
    <n v="9"/>
    <s v="Trabajando"/>
    <n v="8"/>
    <s v="&lt; 0.5 a 1 año"/>
    <s v="SUPERFICIE FILOSA"/>
    <s v="CONTRATO TEMPORAL"/>
  </r>
  <r>
    <n v="12"/>
    <s v="-"/>
    <s v="PERÚ"/>
    <x v="2"/>
    <s v="Distrito de Chorrillos"/>
    <s v="Intradevco"/>
    <x v="6"/>
    <x v="0"/>
    <s v="PESADO"/>
    <x v="0"/>
    <s v="Acc. No Incapacitante"/>
    <d v="2024-01-09T00:00:00"/>
    <n v="2"/>
    <n v="9"/>
    <x v="0"/>
    <n v="2024"/>
    <d v="1899-12-30T07:50:00"/>
    <s v="M"/>
    <s v="Service"/>
    <s v="Grupo Consulting"/>
    <s v="RENGIFO"/>
    <s v="AMASIFUEN"/>
    <s v="DAN MICHAEL"/>
    <s v="MASCULINO"/>
    <n v="34"/>
    <s v="OPERARIO DE PRODUCCIÓN"/>
    <d v="2024-01-02T00:00:00"/>
    <s v="Trabajador refiere salpicadura de éter en espalda,  brazo y hemicara derecha. Refiere uso de EPP completo. Acudió a tópico donde se evaluó y se le brindo atención médica con reevaluación en 2 horas. _x000a_En la reevaluación, colaborador refirió cefalea, ardor en ambos ojos y parestesia de hemicara derecha."/>
    <s v="Exposición a Sustancias Químicas"/>
    <s v="CABEZA"/>
    <s v="Rostro/Nariz/Boca"/>
    <s v="Trasvase de productos"/>
    <s v="Dematitis"/>
    <s v="Quemadura Química"/>
    <n v="0"/>
    <n v="0"/>
    <n v="0"/>
    <s v="Cesado"/>
    <n v="0"/>
    <s v="&lt; 1 mes"/>
    <s v="Sustancia química"/>
    <s v="CONTRATO TEMPORAL"/>
  </r>
  <r>
    <n v="13"/>
    <s v="-"/>
    <s v="PERÚ"/>
    <x v="2"/>
    <s v="Distrito de Lurín"/>
    <s v="Intradevco"/>
    <x v="7"/>
    <x v="0"/>
    <s v="AEROSOLES"/>
    <x v="0"/>
    <s v="Acc. No Incapacitante"/>
    <d v="2024-01-19T00:00:00"/>
    <n v="3"/>
    <n v="19"/>
    <x v="0"/>
    <n v="2024"/>
    <d v="1899-12-30T06:00:00"/>
    <s v="M"/>
    <s v="Service"/>
    <s v="Grupo Consulting"/>
    <s v="VILLACORTA"/>
    <s v="ASIPALI"/>
    <s v="ALEX"/>
    <s v="MASCULINO"/>
    <n v="25"/>
    <s v="OPERARIO DE PRODUCCIÓN"/>
    <d v="2023-05-25T00:00:00"/>
    <s v="El colaborador accidentado se encontraba realizando actividades de colocación de pulsadores a las latas, en la mesa de trabajo al lado derecho de la máquina llenadora de gas._x000a__x000a_El colaborador se acerca hacia la izquierda para coger más latas, cuando siente la salpicadura de liquido en el ojo izquierdo. La salpicadura se dio en el llenado de gas, debido a que la válvula no fue encrimpada. "/>
    <s v="Exposición a Sustancias Químicas"/>
    <s v="OJOS"/>
    <s v="Ojos"/>
    <s v="Colocación de tapas a producto"/>
    <s v="Irritación visutal"/>
    <s v="Quemadura Química"/>
    <n v="0"/>
    <n v="0"/>
    <n v="0"/>
    <s v="Trabajando"/>
    <n v="8"/>
    <s v="&lt; 0.5 a 1 año"/>
    <s v="Sustancia química"/>
    <s v="CONTRATO TEMPORAL"/>
  </r>
  <r>
    <n v="14"/>
    <s v="-"/>
    <s v="PERÚ"/>
    <x v="2"/>
    <s v="Distrito de Lurín"/>
    <s v="Intradevco"/>
    <x v="8"/>
    <x v="0"/>
    <s v="SULFONACIÓN"/>
    <x v="0"/>
    <s v="Acc. No Incapacitante"/>
    <d v="2024-01-31T00:00:00"/>
    <n v="5"/>
    <n v="31"/>
    <x v="0"/>
    <n v="2024"/>
    <d v="1899-12-30T13:55:00"/>
    <s v="M"/>
    <s v="Service"/>
    <s v="Grupo Consulting"/>
    <s v="PALOMINO"/>
    <s v="YURIVILCA"/>
    <s v="YESSICA"/>
    <s v="FEMENINO"/>
    <n v="26"/>
    <s v="SUPERVISOR DE SEGURIDAD"/>
    <d v="2022-03-17T00:00:00"/>
    <s v="Colaboradoras Meilin Ticona Rodriguez (CAO) y Yessica Palomino Yurivilca (CAO) Se encontraban retornando de su hora de refrigerio con dirección a tubepack, cuando transitaban por el sendero peatonal de Sulfonacion 2 , perciben olor extraño, consigo ardor de vía nasal, ardor de garganta y tos. Inmediatamente dan aviso al supervisor de Planta Arturo Gonzales. Posteriormente se trasladan al tópico. "/>
    <s v="Exposición a Sustancias Químicas"/>
    <s v="VÍAS RESPIRATORIAS"/>
    <s v="Vías Respiratorias"/>
    <s v="Desplazamiento en sendero peatonal"/>
    <s v="Intoxicación"/>
    <s v="Intoxicación"/>
    <n v="0"/>
    <n v="0"/>
    <n v="0"/>
    <s v="Trabajando"/>
    <n v="22"/>
    <s v="&lt; 1 a 5 años"/>
    <s v="Sustancia química"/>
    <s v="CONTRATO TEMPORAL"/>
  </r>
  <r>
    <n v="15"/>
    <s v="-"/>
    <s v="PERÚ"/>
    <x v="2"/>
    <s v="Distrito de Lurín"/>
    <s v="Intradevco"/>
    <x v="7"/>
    <x v="0"/>
    <s v="ÁREA COMÚN"/>
    <x v="0"/>
    <s v="Acc. No Incapacitante"/>
    <d v="2024-02-03T00:00:00"/>
    <n v="5"/>
    <n v="3"/>
    <x v="1"/>
    <n v="2024"/>
    <d v="1899-12-30T12:15:00"/>
    <s v="M"/>
    <s v="Service"/>
    <s v="Grupo Consulting"/>
    <s v="MOZOMBITE"/>
    <s v="GARCIA"/>
    <s v="CLARA INES"/>
    <s v="FEMENINO"/>
    <n v="22"/>
    <s v="OPERARIO DE PRODUCCIÓN"/>
    <d v="2024-01-05T00:00:00"/>
    <s v="Colaboradora se encontraba bajando las escaleras luego de almorzar, menciona que estaba usando el pasamanos, pero encontrándose en los últimos peldaños se soltó, creyendo ya pisar el nivel del piso, pero un le faltaba el último peldaño, es ahí que cae y se golpea las rodillas. _x000a__x000a_Posteriormente da aviso a su supervisora y es trasladada al tópico "/>
    <s v="Caída a distinto nivel"/>
    <s v="RODILLAS"/>
    <s v="Rodilla"/>
    <s v="Desplazamiento en escalera"/>
    <s v="Contusión"/>
    <s v="Contusión/Trauma"/>
    <n v="0"/>
    <n v="0"/>
    <n v="0"/>
    <s v="Trabajando"/>
    <n v="0"/>
    <s v="&lt; 1 mes"/>
    <s v="Altura estructural"/>
    <s v="CONTRATO TEMPORAL"/>
  </r>
  <r>
    <n v="16"/>
    <s v="-"/>
    <s v="PERÚ"/>
    <x v="2"/>
    <s v="Distrito de Lurín"/>
    <s v="Intradevco"/>
    <x v="7"/>
    <x v="2"/>
    <s v="Compactado de residuos sólidos"/>
    <x v="0"/>
    <s v="Acc. No Incapacitante"/>
    <d v="2024-02-10T00:00:00"/>
    <n v="6"/>
    <n v="10"/>
    <x v="1"/>
    <n v="2024"/>
    <d v="1899-12-30T10:35:00"/>
    <s v="M"/>
    <s v="Tercero - Limpieza"/>
    <s v="Alteliza"/>
    <s v="DE LA TORRE"/>
    <s v="HUAMAN"/>
    <s v="DAVID MOISES"/>
    <s v="MASCULINO"/>
    <s v="-"/>
    <s v="OPERARIO"/>
    <s v="-"/>
    <s v="El colaborador David Moises De la Torre Huaman, culminó la actividad de prensado y procedió a cerrar las dos puertas de la compactadora en simultáneo, manteniendo el dedo pulgar de la mano izquierda entre ambas puertas, produciéndose una atricción y una herida superficial"/>
    <s v="Atrapado por Partes en Movimiento"/>
    <s v="DEDOS DE LA MANO"/>
    <s v="Mano/Muñeca/Dedos"/>
    <s v="Cierre de puerta de compactadora"/>
    <s v="Atricción"/>
    <s v="Contusión/Trauma"/>
    <n v="0"/>
    <n v="0"/>
    <n v="0"/>
    <s v="Trabajando"/>
    <m/>
    <m/>
    <s v="MÁQUINA/EQUIPO"/>
    <s v="CONTRATO TEMPORAL"/>
  </r>
  <r>
    <n v="17"/>
    <s v="-"/>
    <s v="PERÚ"/>
    <x v="2"/>
    <s v="Distrito de Lurín"/>
    <s v="Intradevco"/>
    <x v="7"/>
    <x v="0"/>
    <s v="Garita del lote 4"/>
    <x v="0"/>
    <s v="Acc. No Incapacitante"/>
    <d v="2024-02-13T00:00:00"/>
    <n v="7"/>
    <n v="13"/>
    <x v="1"/>
    <n v="2024"/>
    <d v="1899-12-30T09:15:00"/>
    <s v="N"/>
    <s v="Tercero - Limpieza"/>
    <s v="Alteliza"/>
    <s v="GUTIERREZ"/>
    <s v="ROJAS"/>
    <s v="JULIA"/>
    <s v="FEMENINO"/>
    <s v="-"/>
    <s v="OPERARIA"/>
    <s v="-"/>
    <s v="La colaboradora Julia Gutierrez Rojas (alteliza) estaba realizando limpieza en garita LOTE4, ya que estaba utilizando un envase con el contenido de lejía y agua, al momento de realizar la actividad el envase se le desprende de la mano y cae al suelo por lo que se rompió la rosca del gatillo y se produjo la Salpicadura en el ojo derecho, indicar que la colaborador no estaba haciendo uso de sus lentes de seguridad en plena actividad."/>
    <s v="Proyección de Sustancias Químicas"/>
    <s v="OJOS"/>
    <s v="Ojos"/>
    <s v="Limpieza del área"/>
    <s v="Irritación visutal"/>
    <s v="Cuerpo Extraño en Ojos"/>
    <n v="0"/>
    <n v="0"/>
    <n v="0"/>
    <s v="Trabajando"/>
    <m/>
    <m/>
    <s v="Sustancia química"/>
    <s v="CONTRATO TEMPORAL"/>
  </r>
  <r>
    <n v="18"/>
    <s v="-"/>
    <s v="PERÚ"/>
    <x v="2"/>
    <s v="Distrito de Lurín"/>
    <s v="Intradevco"/>
    <x v="7"/>
    <x v="0"/>
    <s v="Lejía"/>
    <x v="0"/>
    <s v="Acc. No Incapacitante"/>
    <d v="2024-02-13T00:00:00"/>
    <n v="7"/>
    <n v="13"/>
    <x v="1"/>
    <n v="2024"/>
    <s v="-"/>
    <s v="-"/>
    <s v="Contratista"/>
    <s v="Grupo Consulting"/>
    <s v="PALACIOS"/>
    <s v="ABAD"/>
    <s v="JOSE LUIS"/>
    <s v="MASCULINO"/>
    <s v="-"/>
    <s v="OPERARIO DE PRODUCCIÓN"/>
    <s v="-"/>
    <s v="Colaborador se encontraba realizando actividades de traslado de cajas con PT,  se percata que los rodillos giratorios se encontraban mojados, motivo por la cual procede con la limpieza del rodillo mientras ésta se encontraba girando aun, continua con la limpieza hasta tener acercamiento a la faja transportadora en movimiento y sufre atrapamiento de dedos entre el rodillo y la faja. Posteriormente da aviso a la supervisora y es trasladado al tópico."/>
    <s v="Atrapado por Partes en Movimiento"/>
    <s v="MANO"/>
    <s v="Mano/Muñeca/Dedos"/>
    <s v="Limpieza de polines"/>
    <s v="Atricción"/>
    <s v="Contusión/Trauma"/>
    <n v="0"/>
    <n v="0"/>
    <n v="0"/>
    <s v="Trabajando"/>
    <m/>
    <m/>
    <s v="MÁQUINA/EQUIPO"/>
    <s v="CONTRATO TEMPORAL"/>
  </r>
  <r>
    <n v="19"/>
    <s v="-"/>
    <s v="PERÚ"/>
    <x v="2"/>
    <s v="Distrito de Lurín"/>
    <s v="Intradevco"/>
    <x v="7"/>
    <x v="0"/>
    <s v="SOPLADO"/>
    <x v="0"/>
    <s v="Acc. No Incapacitante"/>
    <d v="2024-03-30T00:00:00"/>
    <n v="13"/>
    <n v="30"/>
    <x v="2"/>
    <n v="2024"/>
    <d v="1899-12-30T22:00:00"/>
    <s v="N"/>
    <s v="Service"/>
    <s v="Grupo Consulting"/>
    <s v="PAREJAS"/>
    <s v="CORNEJO"/>
    <s v="ESTEFANI"/>
    <s v="FEMENINO"/>
    <n v="25"/>
    <s v="OPERARIO DE PRODUCCIÓN"/>
    <d v="2024-05-01T00:00:00"/>
    <s v="Colaboradora iba realizar el traslado de una paleta hacia zona demarcada de apilamiento en la máquina JH5 Procede a intentar bajar la paleta desde una ruma de 3, levanta la plataforma y por el peso se le resbala quedando el dedo atrapado entre la plataforma y el taco, causando herida en la uña. *Colaboradora no se percató del mal estado de la paleta ( el taco central, estaba separado de la plataforma) dejando un clavo expuesto *Colaboradora se encontraba sin guantes para manipulación de paletas ."/>
    <s v="Contacto con superficie cortante"/>
    <s v="MANO"/>
    <s v="Mano/Muñeca/Dedos"/>
    <s v="Manipulación de paletas"/>
    <s v="Herida en dedo"/>
    <s v="Corte/Herida"/>
    <n v="0"/>
    <n v="0"/>
    <n v="0"/>
    <s v="Trabajando"/>
    <n v="10"/>
    <s v="&lt; 0.5 a 1 año"/>
    <s v="PALETA"/>
    <s v="CONTRATO TEMPORAL"/>
  </r>
  <r>
    <n v="20"/>
    <s v="-"/>
    <s v="PERÚ"/>
    <x v="2"/>
    <s v="DETERGENTES"/>
    <s v="Intradevco"/>
    <x v="9"/>
    <x v="3"/>
    <s v="Distribución"/>
    <x v="0"/>
    <s v="Acc. No Incapacitante"/>
    <d v="2024-01-08T00:00:00"/>
    <n v="2"/>
    <n v="8"/>
    <x v="0"/>
    <n v="2024"/>
    <d v="1899-12-30T22:30:00"/>
    <s v="N"/>
    <s v="Service"/>
    <s v="RANSA"/>
    <s v="BERRIO"/>
    <s v=" HUAMANI"/>
    <s v=" DIANA"/>
    <s v="FEMENINO"/>
    <n v="29"/>
    <s v="OPERARIO DE DESPACHO"/>
    <d v="2024-01-01T00:00:00"/>
    <s v="Manipulando transpaleta y al estacionar para descargar recibe contusión en dedo pulgar   con paletas mal apiladas"/>
    <s v="Golpeado por"/>
    <s v="DEDO PULGAR IZQUIERDO"/>
    <s v="Mano/Muñeca/Dedos"/>
    <s v="Operación de transpaleta"/>
    <s v="Contusion"/>
    <s v="Contusión/Trauma"/>
    <n v="0"/>
    <n v="0"/>
    <n v="0"/>
    <s v="Trabajando"/>
    <n v="0.23"/>
    <s v="&lt; 1 mes"/>
    <s v="PALETA"/>
    <s v="CONTRATO TEMPORAL"/>
  </r>
  <r>
    <n v="21"/>
    <s v="-"/>
    <s v="PERÚ"/>
    <x v="0"/>
    <s v="MCA"/>
    <s v="Otros"/>
    <x v="10"/>
    <x v="4"/>
    <s v="Proyecto Vestuarios"/>
    <x v="1"/>
    <s v="Acc. Incapacitante"/>
    <d v="2024-01-17T00:00:00"/>
    <n v="3"/>
    <n v="17"/>
    <x v="0"/>
    <n v="2024"/>
    <d v="1899-12-30T08:40:00"/>
    <s v="M"/>
    <s v="Contratista"/>
    <s v="CONSTRUCTORA MORCONST S.A.C "/>
    <s v="ALVAREZ"/>
    <s v="CERVANTES"/>
    <s v="RODOLFO"/>
    <s v="MASCULINO"/>
    <n v="33"/>
    <s v="PEON"/>
    <s v="-"/>
    <s v="El 17 de enero a las 8:40 am, aproximadamente, el trabajador ALVAREZ CERVANTES ADOLFO, personal de la subcontrata de la empresa Binswanger, se encontraba descendiendo hacia dentro de la cisterna para hacer limpieza de esta._x000a_El trabajador intentó bajar al interior de la cisterna por el área de la escotilla, el área contaba con fierros sobresalidos cada uno con capuchones*_x000a_El trabajador colocó una escalera lineal* y la cual se deslizó, provocando la expulsión de uno de los capuchones de protección con el cual el trabajador sufrió la incrustación del fierro de unos centímetros, en la altura del abdomen (zona lateral derecha)."/>
    <s v="Caída a distinto nivel"/>
    <s v="Abdómen"/>
    <s v="Abdomen/Torso"/>
    <s v="-"/>
    <m/>
    <s v="Contusión/Trauma"/>
    <n v="16"/>
    <n v="0"/>
    <n v="16"/>
    <m/>
    <n v="60"/>
    <s v="&lt; 1 a 5 años"/>
    <m/>
    <m/>
  </r>
  <r>
    <n v="22"/>
    <s v="-"/>
    <s v="ECUADOR"/>
    <x v="3"/>
    <s v="BICIS 2"/>
    <s v="Vitapro"/>
    <x v="11"/>
    <x v="5"/>
    <s v="Edificio de Manufactura Bicis 2"/>
    <x v="1"/>
    <s v="Acc. Incapacitante"/>
    <d v="2024-01-17T00:00:00"/>
    <n v="3"/>
    <n v="17"/>
    <x v="0"/>
    <n v="2024"/>
    <d v="1899-12-30T14:30:00"/>
    <s v="M"/>
    <s v="Contratista"/>
    <s v="EVA ENGINEERING"/>
    <s v="FLORES"/>
    <s v="GARCÍA"/>
    <s v="DIEGO ARMANDO"/>
    <s v="MASCULINO"/>
    <n v="30"/>
    <s v="SOLDADOR"/>
    <s v="-"/>
    <s v="El 17 de enero a las 2:30 pm, el trabajador DIEGO ARMANDO FLORES GARCIA, de la empresa EVA ENGINEERING se encontraba realizando soldadura de las estructuras de una plataforma metálica en construcción ubicada a 3 metros de altura aproximadamente. _x000a__x000a_El trabajador al cambiarse de posición desenganchó su eslinga para poder trasladarse sobre la plataforma en construcción, indicó que se desvaneció en ese momento y cayó desde la plataforma hasta el nivel piso. El impacto de la caída golpea su rostro contra un equipo instalado _x000a_"/>
    <s v="Caída a distinto nivel"/>
    <s v="Labio inferior"/>
    <s v="Rostro/Nariz/Boca"/>
    <s v="-"/>
    <s v="Herida labio inferior 2cm"/>
    <s v="Corte/Herida"/>
    <n v="3"/>
    <n v="0"/>
    <n v="3"/>
    <m/>
    <m/>
    <s v="&lt; 5 a 10 años"/>
    <m/>
    <m/>
  </r>
  <r>
    <n v="23"/>
    <s v="-"/>
    <s v="CHILE"/>
    <x v="3"/>
    <s v="Chile"/>
    <s v="Vitapro"/>
    <x v="12"/>
    <x v="6"/>
    <s v="Cernidor carga MP L3 y L4 "/>
    <x v="1"/>
    <s v="Acc. Incapacitante"/>
    <d v="2024-01-04T00:00:00"/>
    <n v="1"/>
    <n v="4"/>
    <x v="0"/>
    <n v="2024"/>
    <d v="1899-12-30T15:00:00"/>
    <s v="M"/>
    <s v="PROPIO"/>
    <s v="VITAPRO"/>
    <s v="-"/>
    <s v="-"/>
    <s v="-"/>
    <s v="MASCULINO"/>
    <n v="28"/>
    <s v="TECNICO MECÁNICO"/>
    <s v="-"/>
    <s v="Durante el turno de la tarde, dos trabajadores de mantención mecánica reciben llamado al radiotransmisor por falla en elevador L3 y L4, al llegar a revisar, notan que el cernidor se encontraba trabado con producto húmedo, por lo cual comienzan a golpear las paredes del equipo con un combo de goma, un trabajador golpea el lado izquierdo y el segundo trabajador golpea el lado derecho (el cual tenía el acceso y espacio de trabajo mas reducido) en el momento que trabajador procede a golpear la pared del cernidor con el mazo de goma, pasa a golpear su mano contra el cernidor con toda la fuerza del golpe mientras sostenía el combo."/>
    <s v="Golpeado contra"/>
    <s v="Dedo anular mano derecha"/>
    <s v="Mano/Muñeca/Dedos"/>
    <s v="-"/>
    <s v="Lesión en dedo"/>
    <s v="Contusión/Trauma"/>
    <n v="9"/>
    <n v="0"/>
    <n v="9"/>
    <m/>
    <n v="20"/>
    <s v="&lt; 1 a 5 años"/>
    <s v="COMBA DE GOMA"/>
    <m/>
  </r>
  <r>
    <n v="24"/>
    <s v="-"/>
    <s v="PERÚ"/>
    <x v="0"/>
    <s v="Distrito del Callao"/>
    <s v="PDC"/>
    <x v="13"/>
    <x v="0"/>
    <s v="Escalera de servicios higiénicos - Detergentes"/>
    <x v="1"/>
    <s v="Acc. Incapacitante"/>
    <d v="2024-01-05T00:00:00"/>
    <n v="1"/>
    <n v="5"/>
    <x v="0"/>
    <n v="2024"/>
    <d v="1899-12-30T02:30:00"/>
    <s v="N"/>
    <s v="PROPIO"/>
    <s v="Alicorp S.A.A"/>
    <s v="TENAZOA"/>
    <s v="AREVALO"/>
    <s v="KEVIN"/>
    <s v="MASCULINO"/>
    <n v="38"/>
    <s v="OPERADOR DE ENFARDADO"/>
    <d v="2014-01-20T00:00:00"/>
    <s v="El Sr. Kevin Tenazoa al bajar por las gradas de los SSHH frente a planta sufre un resbalón, haciendo que su rodilla derecha sufra una contusión, originándole dolor que le impidió ponerse de pie. Fue atendido por la ambulancia y posteriormente derivado a la clínica San Gabriel."/>
    <s v="Caída al mismo nivel"/>
    <s v="PIERNA"/>
    <s v="Rodilla"/>
    <s v="Bajando escaleras de SSHH"/>
    <s v="Esguince y torcedura en rodilla derecha"/>
    <s v="Esguince/Torcedura"/>
    <n v="180"/>
    <n v="0"/>
    <n v="180"/>
    <s v="Trabajando"/>
    <n v="119"/>
    <s v="&lt; 5 a 10 años"/>
    <s v="ESCALERAS"/>
    <s v="CONTRATO INDEFINIDO"/>
  </r>
  <r>
    <n v="25"/>
    <s v="-"/>
    <s v="PERÚ"/>
    <x v="0"/>
    <s v="Distrito del Callao"/>
    <s v="Otros"/>
    <x v="14"/>
    <x v="7"/>
    <s v="Comedor COPSA"/>
    <x v="0"/>
    <s v="Acc. No Incapacitante"/>
    <d v="2024-02-18T00:00:00"/>
    <n v="7"/>
    <n v="18"/>
    <x v="1"/>
    <n v="2024"/>
    <d v="1899-12-30T17:05:00"/>
    <s v="T"/>
    <s v="Tercero - Comedor"/>
    <s v="BALVINITO"/>
    <s v="DIAZ"/>
    <s v="PAREDES"/>
    <s v="JORGE"/>
    <s v="MASCULINO"/>
    <s v="-"/>
    <s v="COCINERO"/>
    <s v="-"/>
    <s v="-"/>
    <s v="Contacto con superficie filosa"/>
    <s v="MANO"/>
    <s v="Mano/Muñeca/Dedos"/>
    <s v="Cocina"/>
    <s v="NA"/>
    <s v="Corte/Herida"/>
    <n v="0"/>
    <n v="0"/>
    <n v="0"/>
    <s v="Trabajando"/>
    <m/>
    <m/>
    <s v="CUCHILLO"/>
    <s v="CONTRATO INDEFINIDO"/>
  </r>
  <r>
    <n v="26"/>
    <s v="-"/>
    <s v="PERÚ"/>
    <x v="0"/>
    <s v="Distrito de Miraflores"/>
    <s v="Otros"/>
    <x v="15"/>
    <x v="4"/>
    <s v="Edificio Miraflores"/>
    <x v="1"/>
    <s v="Acc. Incapacitante"/>
    <d v="2024-02-19T00:00:00"/>
    <n v="8"/>
    <n v="19"/>
    <x v="1"/>
    <n v="2024"/>
    <d v="1899-12-30T11:30:00"/>
    <s v="M"/>
    <s v="Tercero - Mantenimiento"/>
    <s v="CUSHMAN &amp; WAKEFIELD"/>
    <s v="ESPINOZA"/>
    <s v="HUAMAN"/>
    <s v="GERSON ELI"/>
    <s v="MASCULINO"/>
    <n v="30"/>
    <s v="OFFICE BOYS"/>
    <s v="-"/>
    <s v="Siendo las 11:30 am del día 19 de febrero, el office Boys del Facility Cushman al querer unir un panel con otro, sus dedos mayor, anular y meñique de la mano izquierda quedaron aplastados entre ambos paneles generándole dolor en el momento pero sin prestarle mayor importancia ya que el dolor fue disminuyendo. Debido a ello no reportó lo sucedido._x000a_Al día siguiente, a las 9:30 am el office Boys se dirige al tópico de Alicorp del Edificio Miraflores ya que amanecieron sus dedos inflamados. Se le indica derivarlo a la Clínica Ricardo Palma para su atención, por lo que es acompañado por su trabajador social especialista en SST (Seguridad y salud en el trabajo)_x000a_"/>
    <s v="Atrapado por Partes en Movimiento"/>
    <s v="MANO"/>
    <s v="Mano/Muñeca/Dedos"/>
    <s v="Movimiento de puertas"/>
    <s v="FRACTURA FALANGE DISTAL DE MANO"/>
    <s v="Fractura"/>
    <n v="7"/>
    <n v="0"/>
    <n v="7"/>
    <s v="Trabajando"/>
    <n v="2"/>
    <s v="&lt; 1 a 3 meses"/>
    <s v="PUERTA"/>
    <s v="PLAZO DETERMINADO"/>
  </r>
  <r>
    <n v="27"/>
    <s v="-"/>
    <s v="ECUADOR"/>
    <x v="3"/>
    <s v="BICIS 2"/>
    <s v="Vitapro"/>
    <x v="11"/>
    <x v="5"/>
    <s v="Edificio de Manufactura Bicis 2"/>
    <x v="1"/>
    <s v="Acc. Incapacitante"/>
    <d v="2024-02-27T00:00:00"/>
    <n v="9"/>
    <n v="27"/>
    <x v="1"/>
    <n v="2024"/>
    <d v="1899-12-30T09:30:00"/>
    <s v="M"/>
    <s v="Contratista"/>
    <s v="CHINCASA"/>
    <s v="-"/>
    <s v="-"/>
    <s v="-"/>
    <s v="MASCULINO"/>
    <n v="55"/>
    <s v="AYUDANTE"/>
    <s v="-"/>
    <s v="Al momento de levantar las planchas, colocándolas de forma vertical, uno de los trabajadores al bajar la plancha a nivel de piso (75cm sobre el piso), se desliza y cae golpeando la parte superior al pie derecho del trabajador. El impacto se da dónde termina la puntera metálica de su bota de seguridad."/>
    <s v="Golpeado por"/>
    <s v="Dedo gordo del pie derecho"/>
    <s v="Mano/Muñeca/Dedos"/>
    <s v="-"/>
    <s v="Fisura "/>
    <s v="Fractura"/>
    <n v="30"/>
    <n v="0"/>
    <n v="30"/>
    <m/>
    <m/>
    <s v="&lt; 1 a 3 meses"/>
    <m/>
    <m/>
  </r>
  <r>
    <n v="28"/>
    <s v="-"/>
    <s v="BOLIVIA"/>
    <x v="1"/>
    <m/>
    <s v="CBB"/>
    <x v="2"/>
    <x v="3"/>
    <s v="Almacen de Producto Terminado"/>
    <x v="0"/>
    <s v="Acc. No Incapacitante"/>
    <d v="2024-02-09T00:00:00"/>
    <n v="6"/>
    <n v="9"/>
    <x v="1"/>
    <n v="2024"/>
    <d v="1899-12-30T06:30:00"/>
    <s v="M"/>
    <s v="PROPIO"/>
    <s v="Alicorp S.A.A."/>
    <s v="CLAROS"/>
    <s v="FERNANDEZ"/>
    <s v="LEONIDAS JHOSET"/>
    <s v="MASCULINO"/>
    <n v="32"/>
    <s v="MONTACARGUISTA"/>
    <d v="2014-09-01T00:00:00"/>
    <s v="A horas 06:30 am, el trabajador inicia su jornada de trabajo en el equipo: Tractor Massey Ferguson 290, por lo que al momento de subir por la escalera de acceso (altura escalera: 60 cm), su mano izq. resbala del agarrador, ocasionando que su mano derecha ejerza mayor fuerza de sujeción para evitar la caída, sufriendo una torcedura en la muñeca de la mano derecha."/>
    <s v="Caída al mismo nivel"/>
    <s v="MANO"/>
    <s v="Mano/Muñeca/Dedos"/>
    <s v="SUBIR AL TRACTOR"/>
    <s v="Torcedura de muñeca derecha"/>
    <s v="Esguince/Torcedura"/>
    <n v="0"/>
    <n v="0"/>
    <n v="0"/>
    <s v="Trabajando"/>
    <n v="114"/>
    <s v="&lt; 5 a 10 años"/>
    <s v="ESCALERA DE ACCESO"/>
    <s v="CONTRATO INDEFINIDO"/>
  </r>
  <r>
    <n v="29"/>
    <s v="-"/>
    <s v="BOLIVIA"/>
    <x v="1"/>
    <m/>
    <s v="PDF"/>
    <x v="1"/>
    <x v="3"/>
    <s v="APG"/>
    <x v="0"/>
    <s v="Acc. No Incapacitante"/>
    <d v="2024-02-27T00:00:00"/>
    <n v="9"/>
    <n v="27"/>
    <x v="1"/>
    <n v="2024"/>
    <d v="1899-12-30T13:20:00"/>
    <s v="M"/>
    <s v="PROPIO"/>
    <s v="Alicorp S.A.A."/>
    <s v=" - "/>
    <s v="BENAVIDES"/>
    <s v="EULOGIO"/>
    <s v="MASCULINO"/>
    <n v="48"/>
    <s v="CARGADOR /APILADOR"/>
    <d v="2024-01-03T00:00:00"/>
    <s v="Durante el apilado de bolsas de harina en camión de despacho, se encontraba aguardando de la cinta transportadora la recepción de la bolsas, en ese instante siente un mareo, y procede a sentarse sobre las bolsas apiladas, sus colegas tras evidenciar que el Sr. Benavides se sientan le consultan si se encuentra bien, en ese instante pierde el conocimiento y se desmaya. Inmediatamente paran el apilado de bolsas, y solicitan apoyo de la brigada de primeros auxilios."/>
    <s v="Sobreesfuerzo"/>
    <s v="-"/>
    <s v="Mano/Muñeca/Dedos"/>
    <s v="APILADO DE BOLSAS"/>
    <s v="Golpe de calor"/>
    <m/>
    <m/>
    <m/>
    <m/>
    <s v="Trabajando"/>
    <n v="40"/>
    <s v="&lt; 1 a 5 años"/>
    <m/>
    <s v="CONTRATO POR ZAFRA"/>
  </r>
  <r>
    <n v="30"/>
    <s v="ILU23830"/>
    <s v="PERÚ"/>
    <x v="2"/>
    <s v="Distrito de Lurín"/>
    <s v="Intradevco"/>
    <x v="16"/>
    <x v="0"/>
    <s v="Plasticos"/>
    <x v="1"/>
    <s v="Acc. Incapacitante"/>
    <d v="2024-02-28T00:00:00"/>
    <n v="9"/>
    <n v="28"/>
    <x v="1"/>
    <n v="2024"/>
    <d v="1899-12-30T19:01:00"/>
    <s v="M"/>
    <s v="Service"/>
    <s v="Grupo Consulting"/>
    <s v="GUZMAN"/>
    <s v="GOMEZ"/>
    <s v=" EDER JUNIOR"/>
    <s v="MASCULINO"/>
    <n v="34"/>
    <s v="OPERARIO DE PRODUCCIÓN"/>
    <d v="2023-08-09T00:00:00"/>
    <s v="Siendo las 7:02pm. El colaborador Eder Guzman se encontraba ingresando al área de plástico zona de molienda junto a su compañero del área para el inicio de jornada laboral nocturna. Al evidenciar que la iluminaria se encontraba apagada, deja el pase a su compañero para el ingreso y procede a encender la luz apoyando la mano izquierda en la bisagra de la puerta, la puerta procede a cerrar ocasionando un aplastamiento en el dedo anular izquierdo. _x000a_Da aviso del evento y es trasladado al tópico para recibir atención médica. _x000a_"/>
    <s v="Golpeado por"/>
    <s v="DEDO ANULAR IZQUIERDO"/>
    <s v="Mano/Muñeca/Dedos"/>
    <s v="Ingreso a las instalaciones"/>
    <s v="Fractura de falange"/>
    <s v="Fractura"/>
    <n v="31"/>
    <n v="0"/>
    <n v="31"/>
    <s v="Trabajando"/>
    <n v="7"/>
    <s v="&lt; 0.5 a 1 año"/>
    <s v="PUERTA"/>
    <s v="CONTRATO TEMPORAL"/>
  </r>
  <r>
    <n v="31"/>
    <s v="-"/>
    <s v="PERÚ"/>
    <x v="2"/>
    <s v="Distrito de Lurín"/>
    <s v="Intradevco"/>
    <x v="16"/>
    <x v="0"/>
    <s v="Manufactura detergentes"/>
    <x v="0"/>
    <s v="Acc. No Incapacitante"/>
    <d v="2024-01-08T00:00:00"/>
    <n v="2"/>
    <n v="8"/>
    <x v="0"/>
    <n v="2024"/>
    <d v="1899-12-30T13:45:00"/>
    <s v="M"/>
    <s v="Service"/>
    <s v="Grupo Consulting"/>
    <s v="TENORIO"/>
    <s v=" ACUÑA"/>
    <s v="JOEL"/>
    <s v="MASCULINO"/>
    <n v="24"/>
    <s v="OPERARIO DE PRODUCCIÓN"/>
    <d v="2023-12-19T00:00:00"/>
    <s v="El colaborador se encontraba en el área de coches - proceso, el colaborador menciona que había jalado un coche vacío con fuerza y en el mismo momento se percata que había delante de él otro coche pero con producto fue entonces que le ganó y se impactó su talón de aquiles en la lado izquierdo."/>
    <s v="Golpeado por"/>
    <s v="PIE"/>
    <s v="Pie/Tobillo"/>
    <s v="Transporte de coches de detergentes"/>
    <s v="Contusion"/>
    <s v="Contusión/Trauma"/>
    <n v="0"/>
    <n v="0"/>
    <n v="0"/>
    <s v="Trabajando"/>
    <n v="0.6"/>
    <s v="&lt; 1 mes"/>
    <s v="COCHE"/>
    <s v="CONTRATO TEMPORAL"/>
  </r>
  <r>
    <n v="32"/>
    <s v="-"/>
    <s v="PERÚ"/>
    <x v="2"/>
    <s v="Distrito de Lurín"/>
    <s v="Intradevco"/>
    <x v="16"/>
    <x v="0"/>
    <s v="Empacado detergente"/>
    <x v="0"/>
    <s v="Acc. No Incapacitante"/>
    <d v="2024-01-22T00:00:00"/>
    <n v="4"/>
    <n v="22"/>
    <x v="0"/>
    <n v="2024"/>
    <d v="1899-12-30T17:50:00"/>
    <s v="N"/>
    <s v="Service"/>
    <s v="Grupo Consulting"/>
    <s v="GARRIDO"/>
    <s v=" LUYA"/>
    <s v=" VICTOR HUGO"/>
    <s v="MASCULINO"/>
    <n v="35"/>
    <s v="OPERARIO DE PRODUCCIÓN"/>
    <d v="2024-01-16T00:00:00"/>
    <s v="Manifiesta colaborador recibir contusión en pie izquierdo con baranda metal de coche en movimiento manejado por compañero "/>
    <s v="Golpeado por"/>
    <s v="PIE IZQUIERDO"/>
    <s v="Pie/Tobillo"/>
    <s v="Transporte de coches de detergentes"/>
    <s v="Contusion"/>
    <s v="Contusión/Trauma"/>
    <n v="0"/>
    <n v="0"/>
    <n v="0"/>
    <s v="Cesado"/>
    <n v="0.2"/>
    <s v="&lt; 1 mes"/>
    <s v="COCHE"/>
    <s v="CONTRATO TEMPORAL"/>
  </r>
  <r>
    <n v="33"/>
    <s v="-"/>
    <s v="PERÚ"/>
    <x v="2"/>
    <s v="Distrito de Lurín"/>
    <s v="Intradevco"/>
    <x v="16"/>
    <x v="0"/>
    <s v="Manufactura detergentes"/>
    <x v="0"/>
    <s v="Acc. No Incapacitante"/>
    <d v="2024-01-26T00:00:00"/>
    <n v="4"/>
    <n v="26"/>
    <x v="0"/>
    <n v="2024"/>
    <d v="1899-12-30T15:56:00"/>
    <s v="M"/>
    <s v="Service"/>
    <s v="Grupo Consulting"/>
    <s v="TORRES"/>
    <s v=" PEREZ"/>
    <s v=" YEFERSON BRYAN "/>
    <s v="MASCULINO"/>
    <n v="25"/>
    <s v="OPERARIO DE PRODUCCIÓN"/>
    <d v="2023-07-04T00:00:00"/>
    <s v="Colaborador se encontraba retirando muestra de detergente de la balanza N°1 para entregar a calidad mientras la compuerta estaba abierta y se llenaba el coche. El compañero Edgar Santillán ITDC jala el coche hacia atrás a pesar de que no se llenaba por completo generando así que el brazo derecho quede atrapado y presionado con el coche"/>
    <s v="Golpeado por"/>
    <s v="ANTEBRAZO"/>
    <s v="Brazo/Codo/Hombro"/>
    <s v="Muestreo de producto"/>
    <s v="Contusion"/>
    <s v="Contusión/Trauma"/>
    <n v="0"/>
    <n v="0"/>
    <n v="0"/>
    <s v="Trabajando"/>
    <n v="6"/>
    <s v="&lt; 0.5 a 1 año"/>
    <s v="COCHE"/>
    <s v="CONTRATO TEMPORAL"/>
  </r>
  <r>
    <n v="34"/>
    <s v="-"/>
    <s v="PERÚ"/>
    <x v="2"/>
    <s v="Distrito de Lurín"/>
    <s v="Intradevco"/>
    <x v="16"/>
    <x v="0"/>
    <s v="Empacado detergente"/>
    <x v="0"/>
    <s v="Acc. No Incapacitante"/>
    <d v="2024-01-31T00:00:00"/>
    <n v="5"/>
    <n v="31"/>
    <x v="0"/>
    <n v="2024"/>
    <d v="1899-12-30T06:53:00"/>
    <s v="M"/>
    <s v="PROPIO"/>
    <s v="Intradevco"/>
    <s v="GASPAR"/>
    <s v=" CHIROQUE"/>
    <s v="JUAN CARLOS"/>
    <s v="MASCULINO"/>
    <n v="35"/>
    <s v="OPERARIO DE PRODUCCIÓN"/>
    <d v="2021-02-03T00:00:00"/>
    <s v="Manifiesta colaborador , compresión de dedo con  maquina empacadora en movimiento"/>
    <s v="Atrapado por Partes en Movimiento"/>
    <s v="DEDO INDICE DERECHO"/>
    <s v="Mano/Muñeca/Dedos"/>
    <s v="Regulacion de equipo"/>
    <s v="Contusion"/>
    <s v="Contusión/Trauma"/>
    <n v="0"/>
    <n v="0"/>
    <n v="0"/>
    <s v="Trabajando"/>
    <n v="36"/>
    <s v="&lt; 1 a 5 años"/>
    <s v="ENVASADORA"/>
    <s v="CONTRATO INDEFINIDO"/>
  </r>
  <r>
    <n v="35"/>
    <s v="-"/>
    <s v="PERÚ"/>
    <x v="2"/>
    <s v="Distrito de Lurín"/>
    <s v="Intradevco"/>
    <x v="16"/>
    <x v="0"/>
    <s v="Empacado detergente"/>
    <x v="0"/>
    <s v="Acc. No Incapacitante"/>
    <d v="2024-02-01T00:00:00"/>
    <n v="5"/>
    <n v="1"/>
    <x v="1"/>
    <n v="2024"/>
    <d v="1899-12-30T05:27:00"/>
    <s v="M"/>
    <s v="Service"/>
    <s v="Grupo Consulting"/>
    <s v="QUIROZ"/>
    <s v="PEREZ"/>
    <s v=" ROBERTO CARLOS"/>
    <s v="MASCULINO"/>
    <n v="23"/>
    <s v="OPERARIO DE PRODUCCIÓN"/>
    <d v="2023-09-08T00:00:00"/>
    <s v="Colaborador se encontraba realizando cambio de coche de la línea 1 - máquina 1, al momento de retroceder y girar no se percata que había otro coche lleno detrás y se golpea los dedos medio y anular de la mano izquierda."/>
    <s v="Golpeado contra"/>
    <s v="DEDOS MEDIO Y ANULAR IZQUIERDO"/>
    <s v="Mano/Muñeca/Dedos"/>
    <s v="Manipulacion de coches"/>
    <s v="Contusion"/>
    <s v="Contusión/Trauma"/>
    <n v="0"/>
    <n v="0"/>
    <n v="0"/>
    <s v="Trabajando"/>
    <n v="5"/>
    <s v="&lt; 3 a 6 meses"/>
    <m/>
    <s v="CONTRATO TEMPORAL"/>
  </r>
  <r>
    <n v="36"/>
    <s v="-"/>
    <s v="PERÚ"/>
    <x v="2"/>
    <s v="Distrito de Lurín"/>
    <s v="Intradevco"/>
    <x v="16"/>
    <x v="0"/>
    <s v="Empacado detergente"/>
    <x v="0"/>
    <s v="Acc. No Incapacitante"/>
    <d v="2024-02-03T00:00:00"/>
    <n v="5"/>
    <n v="3"/>
    <x v="1"/>
    <n v="2024"/>
    <d v="1899-12-30T04:20:00"/>
    <s v="M"/>
    <s v="Service"/>
    <s v="Grupo Consulting"/>
    <s v="ASPAJO"/>
    <s v="VIDEIRA"/>
    <s v="ALFONSO GABRIEL"/>
    <s v="MASCULINO"/>
    <n v="39"/>
    <s v="OPERARIO DE PRODUCCIÓN"/>
    <d v="2024-01-09T00:00:00"/>
    <s v="El colaborador se encontraba agachado recogiendo detergente derramado de la máquina neumopack, al momento de levantarse se golpea contra la guarda la parte trasera del cuello."/>
    <s v="Golpeado contra"/>
    <s v="CUELLO"/>
    <s v="Cabeza"/>
    <s v="Manipulacion de bolsas de detergente"/>
    <s v="Contusion"/>
    <s v="Contusión/Trauma"/>
    <n v="0"/>
    <n v="0"/>
    <n v="0"/>
    <s v="Trabajando"/>
    <n v="1"/>
    <s v="&lt; 1 a 3 meses"/>
    <s v="GUARDA"/>
    <s v="CONTRATO TEMPORAL"/>
  </r>
  <r>
    <n v="37"/>
    <s v="-"/>
    <s v="PERÚ"/>
    <x v="2"/>
    <s v="Distrito de Lurín"/>
    <s v="Intradevco"/>
    <x v="16"/>
    <x v="0"/>
    <s v="Empacado detergente"/>
    <x v="0"/>
    <s v="Acc. No Incapacitante"/>
    <d v="2024-02-09T00:00:00"/>
    <n v="6"/>
    <n v="9"/>
    <x v="1"/>
    <n v="2024"/>
    <d v="1899-12-30T15:03:00"/>
    <s v="M"/>
    <s v="Service"/>
    <s v="Grupo Consulting"/>
    <s v="ROBALINO"/>
    <s v="RUIZ"/>
    <s v="EDWIN"/>
    <s v="MASCULINO"/>
    <n v="30"/>
    <s v="OPERARIO DE PRODUCCIÓN"/>
    <d v="2024-01-03T00:00:00"/>
    <s v="El colaborador se encontraba empujando el coche hacia el ducto, al momento de acomodar el coche agarro de los costados, fue entonces que se golpeó contra la baranda del ducto, su mano izquierda en el dedo meñique."/>
    <s v="Golpeado contra"/>
    <s v="DEDO MEÑIQUE IZQUIERDO"/>
    <s v="Mano/Muñeca/Dedos"/>
    <s v="Manipulacion de coches"/>
    <s v="Contusion"/>
    <s v="Contusión/Trauma"/>
    <n v="0"/>
    <n v="0"/>
    <n v="0"/>
    <s v="Trabajando"/>
    <n v="1"/>
    <s v="&lt; 1 a 3 meses"/>
    <s v="BARANDA"/>
    <s v="CONTRATO TEMPORAL"/>
  </r>
  <r>
    <n v="38"/>
    <s v="-"/>
    <s v="PERÚ"/>
    <x v="2"/>
    <s v="Distrito de Lurín"/>
    <s v="Intradevco"/>
    <x v="16"/>
    <x v="0"/>
    <s v="Lavavajilla"/>
    <x v="0"/>
    <s v="Acc. No Incapacitante"/>
    <d v="2024-02-14T00:00:00"/>
    <n v="7"/>
    <n v="14"/>
    <x v="1"/>
    <n v="2024"/>
    <d v="1899-12-30T12:25:00"/>
    <s v="M"/>
    <s v="Service"/>
    <s v="Grupo Consulting"/>
    <s v="YOVERA"/>
    <s v="SIESQUEN"/>
    <s v="DEILY JHONATAN"/>
    <s v="MASCULINO"/>
    <n v="29"/>
    <s v="OPERARIO DE PRODUCCIÓN"/>
    <d v="2024-01-16T00:00:00"/>
    <s v="Colaborador refiere haber estado realizando corte de un envase de plástico, al ejercer fuerza pierde el control y se provoca un corte superficial."/>
    <s v="Contacto con superficie filosa"/>
    <s v="-"/>
    <s v="Mano/Muñeca/Dedos"/>
    <s v="Corte de envase"/>
    <s v="Corte"/>
    <s v="Corte/Herida"/>
    <n v="0"/>
    <n v="0"/>
    <n v="0"/>
    <s v="Trabajando"/>
    <n v="1"/>
    <s v="&lt; 1 a 3 meses"/>
    <s v="CUCHILLA"/>
    <s v="CONTRATO TEMPORAL"/>
  </r>
  <r>
    <n v="39"/>
    <s v="-"/>
    <s v="PERÚ"/>
    <x v="2"/>
    <s v="Distrito de Lurín"/>
    <s v="Intradevco"/>
    <x v="16"/>
    <x v="0"/>
    <s v="Lavavajilla"/>
    <x v="0"/>
    <s v="Acc. No Incapacitante"/>
    <d v="2024-02-20T00:00:00"/>
    <n v="8"/>
    <n v="20"/>
    <x v="1"/>
    <n v="2024"/>
    <d v="1899-12-30T12:45:00"/>
    <s v="M"/>
    <s v="Service"/>
    <s v="Grupo Consulting"/>
    <s v="MIRAVAL"/>
    <s v="RAVINEZ"/>
    <s v="MELINDA ROSALIA"/>
    <s v="FEMENINO"/>
    <n v="23"/>
    <s v="OPERARIO DE PRODUCCIÓN"/>
    <d v="2024-02-19T00:00:00"/>
    <s v="Colaboradora se encontraba sentada pegando etiqueta a las tapas de envases de pulidores. Colaborador que se encarga de abastecer las líneas, pasa por su lado con 3 paquetes apilados (25 cajas cada uno), en ese momento choca contra máquina en desuso (envasadora línea 4) y se cae parte del primer paquete sobre el hombro de la colaboradora. Cabe resaltar que primer paquete de las cajas estaba sin precinto de seguridad."/>
    <s v="Golpeado contra"/>
    <s v="HOMBRO"/>
    <s v="Brazo/Codo/Hombro"/>
    <s v="Etiquetado de pulidores"/>
    <s v="Contusion"/>
    <s v="Contusión/Trauma"/>
    <n v="0"/>
    <n v="0"/>
    <n v="0"/>
    <s v="Trabajando"/>
    <n v="0"/>
    <s v="&lt; 1 mes"/>
    <s v="CAJAS DE CARTON"/>
    <s v="CONTRATO TEMPORAL"/>
  </r>
  <r>
    <n v="40"/>
    <s v="-"/>
    <s v="PERÚ"/>
    <x v="2"/>
    <s v="Distrito de Lurín"/>
    <s v="Intradevco"/>
    <x v="16"/>
    <x v="0"/>
    <s v="Detergente"/>
    <x v="0"/>
    <s v="Acc. No Incapacitante"/>
    <d v="2024-02-22T00:00:00"/>
    <n v="8"/>
    <n v="22"/>
    <x v="1"/>
    <n v="2024"/>
    <d v="1899-12-30T22:20:00"/>
    <s v="M"/>
    <s v="Service"/>
    <s v="Grupo Consulting"/>
    <s v="CHIMPAY"/>
    <s v="ORTIZ"/>
    <s v="ADRIAN ANDERSON"/>
    <s v="MASCULINO"/>
    <n v="25"/>
    <s v="OPERARIO DE PRODUCCIÓN"/>
    <d v="2024-01-01T00:00:00"/>
    <s v="El colaborador se encontraba apilando en la línea 2, al momento de alzar el Bolsón su mano derecha colocó en los bordes del polin, fue entonces que su dedo índice de la mano derecha se llega a lastimar."/>
    <s v="Atrapado por Partes en Movimiento"/>
    <s v="MANO DERECHA"/>
    <s v="Mano/Muñeca/Dedos"/>
    <s v="Manipulacion de bolsones de detergente"/>
    <s v="Contusion"/>
    <s v="Contusión/Trauma"/>
    <n v="0"/>
    <n v="0"/>
    <n v="0"/>
    <s v="Trabajando"/>
    <m/>
    <m/>
    <s v="POLIN"/>
    <s v="CONTRATO TEMPORAL"/>
  </r>
  <r>
    <n v="41"/>
    <s v="-"/>
    <s v="PERÚ"/>
    <x v="0"/>
    <s v="Distrito del Callao"/>
    <s v="Otros"/>
    <x v="17"/>
    <x v="4"/>
    <s v="Oficinas Jaboneria"/>
    <x v="0"/>
    <s v="Acc. No Incapacitante"/>
    <d v="2024-02-24T00:00:00"/>
    <n v="8"/>
    <n v="24"/>
    <x v="1"/>
    <n v="2024"/>
    <d v="1899-12-30T10:00:00"/>
    <s v="M"/>
    <s v="Tercero - Limpieza"/>
    <s v="Alteliza"/>
    <s v="VIRHUEZ"/>
    <s v="BENITEZ"/>
    <s v="JUAN CARLOS"/>
    <s v="MASCULINO"/>
    <n v="44"/>
    <s v="COLABORADOR DE SERVICIOS"/>
    <s v="-"/>
    <s v="El 24 de febrero de 2024, alrededor de las 9:50a.m., el colaborador Juan Carlos Virhuez Benites, quien está asignado a ALICORP PREDIO CENTRAL en la dirección Av. Argentina N°4793 -Carmen de La Legua Reynoso, se vio involucrado en un accidente mientras se preparaba para realizar la limpieza de la Sala de Control de Jabonería en el primer piso. Durante esta tarea, al comenzar a limpiar las ventanas, optó por manipular el gatillo pulverizador, cambiándolo del modo Off al modo Spray. En este momento, unas gotas del producto químico Limpiavidrios entraron en contacto con su ojo derecho. Es relevante señalar que el colaborador no llevaba puestos lentes de seguridad en ese momento. Tras el accidente, el colaborador se dirigió a lavarse los ojos y se encontró con personal de Alicorp en el lugar, quienes decidieron trasladarlo al Tópico ante esta situación. Allí, recibió un lavado de ojos y la aplicación de unas gotas por parte del médico presente, quien determinó que podía continuar con sus actividades después del tratamiento."/>
    <s v="Exposición a Sustancias Químicas"/>
    <s v="OJOS"/>
    <s v="Ojos"/>
    <s v="Limpieza de ventanas"/>
    <s v="HIPEREMIA DE CONJUNTIVA"/>
    <s v="Queratoconjuntivitis"/>
    <n v="0"/>
    <n v="0"/>
    <n v="0"/>
    <s v="Trabajando"/>
    <n v="88"/>
    <s v="&lt; 5 a 10 años"/>
    <s v="LIMPIAVIDRIOS"/>
    <s v="PLAZO DETERMINADO"/>
  </r>
  <r>
    <n v="42"/>
    <s v="-"/>
    <s v="PERÚ"/>
    <x v="0"/>
    <s v="Distrito del Callao"/>
    <s v="Otros"/>
    <x v="17"/>
    <x v="4"/>
    <s v="Garita Jorge Chavez"/>
    <x v="0"/>
    <s v="Acc. No Incapacitante"/>
    <d v="2024-02-27T00:00:00"/>
    <n v="9"/>
    <n v="27"/>
    <x v="1"/>
    <n v="2024"/>
    <d v="1899-12-30T16:40:00"/>
    <s v="M"/>
    <s v="Tercero - Limpieza"/>
    <s v="Alteliza"/>
    <s v="LECCA"/>
    <s v="DOMINGUEZ"/>
    <s v="ALBERT KENYI"/>
    <s v="MASCULINO"/>
    <n v="24"/>
    <s v="COLABORADOR DE SERVICIOS"/>
    <s v="-"/>
    <s v="El 27 de febrero de 2024, alrededor de las 4:40p.m., el colaborador Albert Kenyi Lecca Dominguez, quien está asignado a ALICORP PREDIO CENTRAL en la dirección Av. Argentina N°4793-Carmen de La Legua Reynoso, se vio involucrado en un evento mientras se preparaba para salir de las instalaciones en la Garita de Ingreso de CDC. Al intentar abrir la puerta eléctrica, accionó el botón con su dedo índice derecho, lo que resultó en una herida en la yema del dedo al engancharse en el botón. Al percatarse de la herida y notar la presencia de sangre, decidió regresar para lavarse. El personal de Liderman, al presenciar la situación, contactó a Tópico para proporcionar los primeros auxilios."/>
    <s v="Atrapado por"/>
    <s v="DEDO"/>
    <s v="Mano/Muñeca/Dedos"/>
    <s v="Abrir puerta"/>
    <s v="HERIDA EN EL DEDO MANO DERECHA"/>
    <s v="Corte/Herida"/>
    <n v="0"/>
    <n v="0"/>
    <n v="0"/>
    <s v="Trabajando"/>
    <n v="33"/>
    <s v="&lt; 1 a 5 años"/>
    <s v="PUERTA"/>
    <s v="PLAZO DETERMINADO"/>
  </r>
  <r>
    <n v="43"/>
    <s v="-"/>
    <s v="PERÚ"/>
    <x v="4"/>
    <s v="Distrito de Cajamarquilla"/>
    <s v="Global"/>
    <x v="18"/>
    <x v="7"/>
    <s v="Planta Avena"/>
    <x v="1"/>
    <s v="Acc. Incapacitante"/>
    <d v="2024-02-02T00:00:00"/>
    <n v="5"/>
    <n v="2"/>
    <x v="1"/>
    <n v="2024"/>
    <d v="1899-12-30T08:27:00"/>
    <s v="M"/>
    <s v="Tercero - Limpieza"/>
    <s v="Alteliza"/>
    <s v="SORIANO"/>
    <s v="MEZA"/>
    <s v="RUTH LUCY"/>
    <s v="FEMENINO"/>
    <n v="42"/>
    <s v="COLABORADOR DE SERVICIOS"/>
    <s v="-"/>
    <s v="El día 02/02/24 a las 08:27am la trabajadora Soriano Meza, Ruth Lucy (operaria de limpieza) de la empresa Alteliza, se encontraba realizando la limpieza de pisos de la zona de paletizado de la planta de avena, retrocede sin darse cuenta de la paleta de madera y tropieza cayendo de espaldas sobre esta, inmediatamente es atendida por el operador líder de planta y trasladada al tópico, se comunica al supervisor y a la operadora líder de turno de la empresa Alteliza, luego de brindarle las primeras atenciones la trabajadora es trasladada a la Clínica Montefiori, para activar el Seguro Complementario de Trabajo de Riesgo (SCTR)."/>
    <s v="Caída al mismo nivel"/>
    <s v="MANO IZQUIERDA Y CADERA"/>
    <s v="Brazo/Codo/Hombro"/>
    <s v="Limpieza de piso"/>
    <s v="TRAUMATISMOS SUPERFICIALES MÚLTIPLES NO ESPECIFICADOS (MANO IZQUIERDA Y CINTURA)."/>
    <s v="Contusión/Trauma"/>
    <n v="8"/>
    <n v="0"/>
    <n v="8"/>
    <s v="Cesado"/>
    <n v="31"/>
    <s v="&lt; 1 a 5 años"/>
    <s v="Parihuela de madera"/>
    <s v="CONTRATO TEMPORAL"/>
  </r>
  <r>
    <n v="44"/>
    <s v="-"/>
    <s v="PERÚ"/>
    <x v="4"/>
    <s v="Distrito de Cajamarquilla"/>
    <s v="Otros"/>
    <x v="18"/>
    <x v="7"/>
    <s v="Área común"/>
    <x v="0"/>
    <s v="Acc. No Incapacitante"/>
    <d v="2024-02-21T00:00:00"/>
    <n v="8"/>
    <n v="21"/>
    <x v="1"/>
    <n v="2024"/>
    <d v="1899-12-30T09:30:00"/>
    <s v="M"/>
    <s v="Tercero - Limpieza"/>
    <s v="Alteliza"/>
    <s v="GABRIEL"/>
    <s v="BALLESTEROS"/>
    <s v="OFELIA ISABEL"/>
    <s v="FEMENINO"/>
    <n v="35"/>
    <s v="COLABORADOR DE SERVICIOS"/>
    <s v="-"/>
    <s v="colaboradora al realizar limpieza de paredes de planta maíz sufre una irritación de la piel al levantar las manos y discurrir la dilución de detergente industrial diluido Skill Cleaner 3009 (Para limpieza de Máquinas) en la zona del antebrazo la cual no llegaba a cubrirse con el guante de seguridad._x000a_"/>
    <s v="Exposición a Sustancias Químicas"/>
    <s v="ANTEBRAZO"/>
    <s v="Brazo/Codo/Hombro"/>
    <s v="Limpieza de paredes"/>
    <s v="Dermatitis"/>
    <s v="Dermatitis/Irritación de la piel"/>
    <n v="0"/>
    <n v="0"/>
    <n v="0"/>
    <s v="Trabajando"/>
    <n v="27"/>
    <s v="&lt; 1 mes"/>
    <s v="Sustancia química"/>
    <s v="CONTRATO TEMPORAL"/>
  </r>
  <r>
    <n v="45"/>
    <s v="DET23858"/>
    <s v="PERÚ"/>
    <x v="0"/>
    <s v="Distrito del Callao"/>
    <s v="PDC"/>
    <x v="13"/>
    <x v="0"/>
    <s v="Planta de Elaboración"/>
    <x v="1"/>
    <s v="Acc. Incapacitante"/>
    <d v="2024-03-16T00:00:00"/>
    <n v="11"/>
    <n v="16"/>
    <x v="2"/>
    <n v="2024"/>
    <d v="1899-12-30T01:40:00"/>
    <s v="N"/>
    <s v="PROPIO"/>
    <s v="Alicorp S.A.A"/>
    <s v="RAMOS"/>
    <s v="CHIRINOS"/>
    <s v="SEBASTIAN MAXIMO JAVIER"/>
    <s v="MASCULINO"/>
    <n v="22"/>
    <s v="AYUDANTE DE PLANTA"/>
    <d v="2024-03-07T00:00:00"/>
    <s v="Durante el proceso de agregado de Slop el trabajador observa que el granel estaba compactado en el big bag, ante ello el colaborador decide golpear la parte inferior del big bag con una comba para ablandar el producto. Al momento de golpear con la comba, se golpea el dedo pulgar de su mano derecha con la que sujetaba el mango de la comba contra el big bag compactado, luego de ello alerta a su compañero que se había golpeado y se acercan a la sala de control para informar del evento y es derivado al Tópico, es evaluado y derivado a la Clínica San Gabriel, donde se descartó alguna fractura o fisura."/>
    <s v="Golpeado contra"/>
    <s v="DEDO PULGAR"/>
    <s v="Mano/Muñeca/Dedos"/>
    <s v="Agregado de SLOP"/>
    <s v="Contusión en dedo pulgar mano derecha"/>
    <s v="Contusión/Trauma"/>
    <n v="7"/>
    <n v="0"/>
    <n v="7"/>
    <s v="Trabajando"/>
    <s v="0.25"/>
    <s v="&lt; 1 mes"/>
    <s v="Mango de comba"/>
    <s v="CONTRATO A PLAZO FIJO"/>
  </r>
  <r>
    <n v="46"/>
    <s v="-"/>
    <s v="PERÚ"/>
    <x v="2"/>
    <s v="Distrito de Lurín"/>
    <s v="Intradevco"/>
    <x v="16"/>
    <x v="0"/>
    <s v="Empacado detergente"/>
    <x v="0"/>
    <s v="Acc. No Incapacitante"/>
    <d v="2024-02-23T00:00:00"/>
    <n v="8"/>
    <n v="23"/>
    <x v="1"/>
    <n v="2024"/>
    <d v="1899-12-30T10:24:00"/>
    <s v="M"/>
    <s v="Service"/>
    <s v="Grupo Consulting"/>
    <s v="ASPAJO"/>
    <s v="VIDEIRA"/>
    <s v="ALFONSO GABRIEL"/>
    <s v="MASCULINO"/>
    <n v="39"/>
    <s v="OPERARIO DE PRODUCCIÓN"/>
    <d v="2024-01-09T00:00:00"/>
    <s v="Colaborador se encontraba realizando la actividad de doblar sacos y luego pasarle a su compañero para que se encargue de coser._x000a_Al momento que pasa el saco tiene que colocarlo cerca de la máquina cosedora para que no se mueva y es ahí que debido a la condición (falta de guarda) la parte expuesta sobresale como pulsador generando el golpe en la parte del dorso de la mano derecha"/>
    <s v="Atrapado por Partes en Movimiento"/>
    <s v="MANO DERECHA"/>
    <s v="Mano/Muñeca/Dedos"/>
    <s v="Cocido de sacos"/>
    <s v="Contusion"/>
    <s v="Contusión/Trauma"/>
    <n v="0"/>
    <n v="0"/>
    <n v="0"/>
    <s v="Trabajando"/>
    <n v="1"/>
    <s v="&lt; 1 mes"/>
    <s v="COCEDORA"/>
    <s v="CONTRATO TEMPORAL"/>
  </r>
  <r>
    <n v="47"/>
    <s v="-"/>
    <s v="PERÚ"/>
    <x v="2"/>
    <s v="Distrito de Lurín"/>
    <s v="Intradevco"/>
    <x v="16"/>
    <x v="0"/>
    <s v="Empacado detergente"/>
    <x v="0"/>
    <s v="Acc. No Incapacitante"/>
    <d v="2024-03-07T00:00:00"/>
    <n v="10"/>
    <n v="7"/>
    <x v="2"/>
    <n v="2024"/>
    <d v="1899-12-30T03:58:00"/>
    <s v="N"/>
    <s v="Service"/>
    <s v="Grupo Consulting"/>
    <s v="SOLIS"/>
    <s v="HUAPAYA"/>
    <s v="OSCAR"/>
    <s v="MASCULINO"/>
    <n v="27"/>
    <s v="OPERARIO DE PRODUCCIÓN"/>
    <d v="2024-01-11T00:00:00"/>
    <s v="Colaborador trasladaba paleta junto a su compañero para apilamiento de bolsones en la línea 1. Al retroceder para posicionarla no se percata de la columna y choca su mano derecha con la misma , quedando afectado el dedo índice"/>
    <s v="Golpeado contra"/>
    <s v="MANO DERECHA"/>
    <s v="Mano/Muñeca/Dedos"/>
    <s v="Manipulacion de paleta"/>
    <s v="contusion"/>
    <s v="Contusión/Trauma"/>
    <n v="0"/>
    <n v="0"/>
    <n v="0"/>
    <s v="Trabajando"/>
    <n v="2"/>
    <s v="&lt; 1 a 3 meses"/>
    <s v="Columna metalica"/>
    <s v="CONTRATO TEMPORAL"/>
  </r>
  <r>
    <n v="48"/>
    <s v="-"/>
    <s v="PERÚ"/>
    <x v="2"/>
    <s v="Distrito de Lurín"/>
    <s v="Intradevco"/>
    <x v="16"/>
    <x v="0"/>
    <s v="Empacado detergente"/>
    <x v="0"/>
    <s v="Acc. No Incapacitante"/>
    <d v="2024-03-07T00:00:00"/>
    <n v="10"/>
    <n v="7"/>
    <x v="2"/>
    <n v="2024"/>
    <d v="1899-12-30T07:30:00"/>
    <s v="M"/>
    <s v="Service"/>
    <s v="Grupo Consulting"/>
    <s v="JOCOPE"/>
    <s v="YAHUANA"/>
    <s v="EYBI"/>
    <s v="MASCULINO"/>
    <n v="26"/>
    <s v="OPERARIO DE PRODUCCIÓN"/>
    <d v="2024-02-19T00:00:00"/>
    <s v="El Colaborador Eybi Jocope Yahuana CA., menciona que a las 3 a.m. se rozó con la parte de adelante de la máquina cocedora, al momento no sintió nada, pasando las horas a las 6:40 am aproximadamente menciona que le empezó arder la cara fue entonces que se dirigió a los servicios y se percata que su rostro una parte estaba rojo."/>
    <s v="Exposición a Sustancias Químicas"/>
    <s v="ROSTRO"/>
    <s v="Rostro/Nariz/Boca"/>
    <s v="Cocido de sacos"/>
    <s v="irritacion"/>
    <s v="Dermatitis/Irritación de la piel"/>
    <n v="0"/>
    <n v="0"/>
    <n v="0"/>
    <s v="Trabajando"/>
    <n v="1"/>
    <s v="&lt; 1 mes"/>
    <s v="Particulas de detergente"/>
    <s v="CONTRATO TEMPORAL"/>
  </r>
  <r>
    <n v="49"/>
    <s v="-"/>
    <s v="PERÚ"/>
    <x v="2"/>
    <s v="Distrito de Lurín"/>
    <s v="Intradevco"/>
    <x v="16"/>
    <x v="0"/>
    <s v="Empacado detergente"/>
    <x v="0"/>
    <s v="Acc. No Incapacitante"/>
    <d v="2024-03-11T00:00:00"/>
    <n v="11"/>
    <n v="11"/>
    <x v="2"/>
    <n v="2024"/>
    <d v="1899-12-30T20:15:00"/>
    <s v="N"/>
    <s v="Service"/>
    <s v="Grupo Consulting"/>
    <s v="MENDIETA"/>
    <s v="QUISPE"/>
    <s v="DANIEL CRISTIAN"/>
    <s v="MASCULINO"/>
    <n v="22"/>
    <s v="OPERARIO DE PRODUCCIÓN"/>
    <d v="2023-05-16T00:00:00"/>
    <s v="Colaborador iba a realizar cambio de hilo, pero no se percata que no había presionado correctamente el botón de apagado. Al momento del cambio, la cosedora se enciende por el sensor y es ahí donde el colaborador se golpea contra parte interna (sujetador de hilo)."/>
    <s v="Golpeado por"/>
    <s v="PULGAR DERECHO"/>
    <s v="Mano/Muñeca/Dedos"/>
    <s v="Cambio de hilo"/>
    <s v="contusion"/>
    <s v="Contusión/Trauma"/>
    <n v="0"/>
    <n v="0"/>
    <n v="0"/>
    <s v="Trabajando"/>
    <n v="10"/>
    <s v="&lt; 0.5 a 1 año"/>
    <s v="Cocedora"/>
    <s v="CONTRATO TEMPORAL"/>
  </r>
  <r>
    <n v="50"/>
    <s v="-"/>
    <s v="PERÚ"/>
    <x v="2"/>
    <s v="Distrito de Lurín"/>
    <s v="Intradevco"/>
    <x v="16"/>
    <x v="0"/>
    <s v="Empacado detergente"/>
    <x v="0"/>
    <s v="Acc. No Incapacitante"/>
    <d v="2024-03-13T00:00:00"/>
    <n v="11"/>
    <n v="13"/>
    <x v="2"/>
    <n v="2024"/>
    <d v="1899-12-30T04:23:00"/>
    <s v="N"/>
    <s v="Service"/>
    <s v="Grupo Consulting"/>
    <s v="YARLAQUE"/>
    <s v="BENITES"/>
    <s v="RONALD FABIAN"/>
    <s v="MASCULINO"/>
    <n v="29"/>
    <s v="OPERARIO DE PRODUCCIÓN"/>
    <d v="2023-09-20T00:00:00"/>
    <s v="Colaborador menciona haber estado realizando la labor de doblado de saco en el ducto automático para pasarlo por la cosedora, ya que el doblez lo realiza hacia si mismo, esto provocó que la polución del detergente le cayera en los ojos._x000a_- Hizo uso del lavaojos acompañado del supervisor de 10 a 15 minutos aproximadamente _x000a_- Colaborador tenía puesto sus lentes antiparras."/>
    <s v="Proyección de Material Particulado"/>
    <s v="OJOS"/>
    <s v="Ojos"/>
    <s v="doblado de sacos"/>
    <s v="Irritación"/>
    <s v="Cuerpo Extraño en Ojos"/>
    <n v="0"/>
    <n v="0"/>
    <n v="0"/>
    <s v="Trabajando"/>
    <n v="5"/>
    <s v="&lt; 3 a 6 meses"/>
    <s v="Particulas de detergente"/>
    <s v="CONTRATO TEMPORAL"/>
  </r>
  <r>
    <n v="51"/>
    <s v="ILU23896"/>
    <s v="PERÚ"/>
    <x v="2"/>
    <s v="Distrito de Lurín"/>
    <s v="Intradevco"/>
    <x v="16"/>
    <x v="0"/>
    <s v="Empacado detergente"/>
    <x v="1"/>
    <s v="Acc. Incapacitante"/>
    <d v="2024-03-15T00:00:00"/>
    <n v="11"/>
    <n v="15"/>
    <x v="2"/>
    <n v="2024"/>
    <d v="1899-12-30T09:50:00"/>
    <s v="M"/>
    <s v="Service"/>
    <s v="Grupo Consulting"/>
    <s v="ASPAJO"/>
    <s v="VIDEIRA"/>
    <s v="ALFONSO GABRIEL"/>
    <s v="MASCULINO"/>
    <n v="32"/>
    <s v="OPERARIO DE PRODUCCIÓN"/>
    <d v="2024-01-09T00:00:00"/>
    <s v="El colaborador Aspajo Videira Alfonso Gabriel CA. Estaba abasteciendo al ducto N°1 de la máquina intrapack 01, con el coche N° 94, al momento de empujar el coche se encontraba CORTADO(segun sr. Ríos ITDC, menciona  que cortado se refiere a cambio de producto). "/>
    <s v="Caída al mismo nivel"/>
    <s v="RODILLA IZQUIERDA"/>
    <s v="Rodilla"/>
    <s v="manipulacion de coches"/>
    <s v="Traumatismo de estructuras multiples de la rodilla"/>
    <s v="Contusión/Trauma"/>
    <n v="19"/>
    <n v="0"/>
    <n v="19"/>
    <s v="Trabajando"/>
    <n v="2"/>
    <s v="&lt; 1 a 3 meses"/>
    <s v="Piso"/>
    <s v="CONTRATO TEMPORAL"/>
  </r>
  <r>
    <n v="52"/>
    <s v="PGL23885"/>
    <s v="PERÚ"/>
    <x v="0"/>
    <s v="Distrito del Callao"/>
    <s v="Galletería"/>
    <x v="0"/>
    <x v="0"/>
    <s v="Elaboración"/>
    <x v="1"/>
    <s v="Acc. Incapacitante"/>
    <d v="2024-03-27T00:00:00"/>
    <n v="13"/>
    <n v="27"/>
    <x v="2"/>
    <n v="2024"/>
    <d v="1899-12-30T17:30:00"/>
    <s v="T"/>
    <s v="PROPIO"/>
    <s v="Alicorp S.A.A"/>
    <s v="GIRALDO"/>
    <s v="ASCENCIO"/>
    <s v="JORGE "/>
    <s v="MASCULINO"/>
    <n v="39"/>
    <s v="OPERARIO DE PRODUCCIÓN"/>
    <d v="2007-03-01T00:00:00"/>
    <s v="Siendo las 16:35 , el trabajador realizaba limpieza de las tuberías de la batidora N°4. Al momento de salir, realiza un mal movimiento, golpea hacia arriba y su cabeza choca con canaleta. En compañía del ingeniero de turno es derivado al tópico . Es trasladado a la clínica donde se le brinda los primeros auxilios."/>
    <s v="Golpeado contra"/>
    <s v="CABEZA"/>
    <s v="Cabeza"/>
    <s v="LIMPIEZA DE TUBERIAS"/>
    <s v="Herida de la cabeza "/>
    <s v="Corte/Herida"/>
    <n v="8"/>
    <n v="0"/>
    <n v="8"/>
    <s v="Descanso Médico"/>
    <n v="204"/>
    <s v="&gt; 10 años"/>
    <s v="CANALETA DE CABLEADO"/>
    <s v="CONTRATO INDEFINIDO"/>
  </r>
  <r>
    <n v="53"/>
    <s v="-"/>
    <s v="PERÚ"/>
    <x v="2"/>
    <s v="Distrito de Lurín"/>
    <s v="Intradevco"/>
    <x v="16"/>
    <x v="0"/>
    <s v="Empacado detergente"/>
    <x v="0"/>
    <s v="Acc. No Incapacitante"/>
    <d v="2024-03-13T00:00:00"/>
    <n v="11"/>
    <n v="13"/>
    <x v="2"/>
    <n v="2024"/>
    <d v="1899-12-30T16:15:00"/>
    <s v="M"/>
    <s v="Service"/>
    <s v="Grupo Consulting"/>
    <s v="ALAVA"/>
    <s v="RIOS"/>
    <s v="LUIS OSWALDO"/>
    <s v="MASCULINO"/>
    <n v="33"/>
    <s v="OPERARIO DE PRODUCCIÓN"/>
    <d v="2022-10-05T00:00:00"/>
    <s v="Colaborador se encontraba verificando la mordaza de la enfardadora N°9 (cabe mencionar que las puertas-guardas estaban abiertas) ya que durante el turno menciona ha tenido fallas generando merma. En el transcurso de la actividad aún no estaban enviando producto de plataforma y al ver la luz roja de alerta se confió y no pulsó el botón de emergencia. Al momento que activan la máquina en plataforma y caen bolsitas, la mordaza se cierra haciendo presión en dedo medio de mano derecha lo cual no tuvo contacto con la cuchilla. Por reacción propia intenta retirar la mano y al jalar su guante se queda enganchado en el soporte de la guarda quedando descubierta la parte dorsal y provoca heridas debido al impacto"/>
    <s v="Atrapado por Partes en Movimiento"/>
    <s v="MANO DERECHA"/>
    <s v="Mano/Muñeca/Dedos"/>
    <s v="verificacion de mordaza"/>
    <s v="Contusion"/>
    <s v="Contusión/Trauma"/>
    <n v="0"/>
    <n v="0"/>
    <n v="0"/>
    <s v="Trabajando"/>
    <n v="17"/>
    <s v="&lt; 1 a 5 años"/>
    <s v="Mordaza"/>
    <s v="CONTRATO TEMPORAL"/>
  </r>
  <r>
    <n v="54"/>
    <s v="-"/>
    <s v="PERÚ"/>
    <x v="2"/>
    <s v="Distrito de Lurín"/>
    <s v="Intradevco"/>
    <x v="16"/>
    <x v="0"/>
    <s v="Lavavajilla"/>
    <x v="0"/>
    <s v="Acc. No Incapacitante"/>
    <d v="2024-03-19T00:00:00"/>
    <n v="12"/>
    <n v="19"/>
    <x v="2"/>
    <n v="2024"/>
    <d v="1899-12-30T21:40:00"/>
    <s v="N"/>
    <s v="Service"/>
    <s v="Grupo Consulting"/>
    <s v="LAYANGO"/>
    <s v="ORTEGA"/>
    <s v=" JON DEYVIS"/>
    <s v="MASCULINO"/>
    <n v="42"/>
    <s v="OPERARIO DE PRODUCCIÓN"/>
    <d v="2024-01-09T00:00:00"/>
    <s v="Colaborador se encontraba haciendo la actividad de limpieza y traspaso de envase. Al momento de levantarlo para pasarlo a la compañera, el frasco se cae y causa polución, esto se debe a que el envase estaba mal tapado. Cabe resaltar que el colaborador tenía mal colocados sus lentes. Se le condujo al lavaojos por 10 minutos aproximadamente."/>
    <s v="Proyección de Material Particulado"/>
    <s v="OJOS"/>
    <s v="Ojos"/>
    <s v="Manipulacion de envases"/>
    <s v="Cuerpo extraño en los ojos"/>
    <s v="Cuerpo Extraño en Ojos"/>
    <n v="0"/>
    <n v="0"/>
    <n v="0"/>
    <s v="Trabajando"/>
    <n v="2"/>
    <s v="&lt; 1 a 3 meses"/>
    <s v="Producto en polvo"/>
    <s v="CONTRATO TEMPORAL"/>
  </r>
  <r>
    <n v="55"/>
    <s v="ICH23864"/>
    <s v="PERÚ"/>
    <x v="2"/>
    <s v="Distrito de Chorrillos"/>
    <s v="Intradevco"/>
    <x v="6"/>
    <x v="8"/>
    <s v="Salud Ocupacional"/>
    <x v="1"/>
    <s v="Acc. Incapacitante"/>
    <d v="2024-03-21T00:00:00"/>
    <n v="12"/>
    <n v="21"/>
    <x v="2"/>
    <n v="2024"/>
    <d v="1899-12-30T08:45:00"/>
    <s v="D"/>
    <s v="Service"/>
    <s v="Clinica del Trabajador"/>
    <s v="NUÑEZ"/>
    <s v="BLAS"/>
    <s v="YAKELIN"/>
    <s v="FEMENINO"/>
    <n v="35"/>
    <s v="ENFERMERA OCUPACIONAL"/>
    <d v="2020-01-08T00:00:00"/>
    <s v="Aproximadamente a las 8:50 am, durante el tránsito de la Enfermera ocupacional por el pasillo de ex– detergentes en dirección hacia el tópico, coincide con el traslado de potes impresos en una transpaleta eléctrica operada por el operario de almacén Mayco Ramos en dirección al almacén parabólico. Al momento en que el equipo se encontraba aproximándose a la ubicación de la enfermera, con la parte frontal de la carga, empuja un palet vacío ubicado delante, aprisionando ambos pies contra la estructura detrás de ella."/>
    <s v="Golpeado por"/>
    <s v="Pie izquierdo y pie derecho"/>
    <s v="Pie/Tobillo"/>
    <s v="Traslado a tópico (inicio de labores)"/>
    <s v="Fractura interna en tibia izquierda y fractura en tobillo derecho. "/>
    <s v="Fractura"/>
    <n v="180"/>
    <n v="0"/>
    <n v="180"/>
    <s v="Descanso Médico"/>
    <n v="48"/>
    <s v="&lt; 1 a 5 años"/>
    <s v="Transpaleta"/>
    <s v="Indefinido"/>
  </r>
  <r>
    <n v="56"/>
    <s v="-"/>
    <s v="BOLIVIA"/>
    <x v="1"/>
    <m/>
    <s v="CBB"/>
    <x v="2"/>
    <x v="0"/>
    <s v="Sala de envasado I"/>
    <x v="0"/>
    <s v="Acc. No Incapacitante"/>
    <d v="2024-03-26T00:00:00"/>
    <n v="13"/>
    <n v="26"/>
    <x v="2"/>
    <n v="2024"/>
    <d v="1899-12-30T07:30:00"/>
    <s v="M"/>
    <s v="PROPIO"/>
    <s v="Alicorp S.A.A."/>
    <s v="CANAZA"/>
    <s v="CAPALLA"/>
    <s v="ALFREDO"/>
    <s v="MASCULINO"/>
    <n v="56"/>
    <s v="OPERADOR NISSEI"/>
    <d v="1999-02-01T00:00:00"/>
    <s v="A horas 07:30 am, el trabajador iniciando su jornada de trabajo, busca una herramienta para regulación del equipo NISSEI PF, motivo por el cual la tapa metálica de la caja de herramientas que se encuentra abierta, cae sobre su mano derecho sufriendo un impacto sobre la palma, ocasionando un leve corte."/>
    <s v="Golpeado por"/>
    <s v="MANO"/>
    <s v="Mano/Muñeca/Dedos"/>
    <s v="BUSQUEDA DE HERRAMIENTAS"/>
    <s v="Trauma contuso cortante"/>
    <s v="Corte/Herida"/>
    <n v="0"/>
    <n v="0"/>
    <n v="0"/>
    <s v="Trabajando"/>
    <n v="306"/>
    <s v="&lt; 5 a 10 años"/>
    <s v="CAJA DE HERRAMIENTAS"/>
    <s v="CONTRATO INDEFINIDO"/>
  </r>
  <r>
    <n v="57"/>
    <s v="-"/>
    <s v="BOLIVIA"/>
    <x v="1"/>
    <m/>
    <s v="CBB"/>
    <x v="2"/>
    <x v="3"/>
    <s v="Almacen de Producto Terminado"/>
    <x v="0"/>
    <s v="Acc. No Incapacitante"/>
    <d v="2024-03-30T00:00:00"/>
    <n v="13"/>
    <n v="30"/>
    <x v="2"/>
    <n v="2024"/>
    <d v="1899-12-30T11:45:00"/>
    <s v="M"/>
    <s v="Contratista"/>
    <s v="FORZA"/>
    <s v="PAREDES"/>
    <s v="CHOQUE"/>
    <s v="OLIVERT"/>
    <s v="MASCULINO"/>
    <n v="25"/>
    <s v="ESTIBADOR"/>
    <d v="2023-02-15T00:00:00"/>
    <s v="A hrs. 11:45 am el Sr. Oliver Paredes Choque, estibador de la empresa FORZA se encontraba realizando trabajo de estibaje para el carguío de bidones de aceite de 20 litros (granel) sobre la plataforma de la chata. Al finalizar el paletizado, durante la manipulación inadecuada de los bidones (2 en 2) sufre una lesión en el pulgar de la mano derecha. "/>
    <s v="Golpeado por"/>
    <s v="MANO"/>
    <s v="Mano/Muñeca/Dedos"/>
    <s v="APILAMIENTO DE BIDONES 20 LITROS"/>
    <s v="Torcedura de pulgar mano derecha"/>
    <s v="Esguince/Torcedura"/>
    <n v="0"/>
    <n v="0"/>
    <n v="0"/>
    <s v="Trabajando"/>
    <n v="13"/>
    <s v="&lt; 5 a 10 años"/>
    <s v="BIDON DE 20 LITROS"/>
    <s v="CONTRATO A PLAZO FIJO"/>
  </r>
  <r>
    <n v="58"/>
    <s v="PCO23898"/>
    <s v="PERÚ"/>
    <x v="0"/>
    <s v="PREDIO CENTRAL"/>
    <s v="Copsa"/>
    <x v="3"/>
    <x v="0"/>
    <s v="SALSAS 1"/>
    <x v="0"/>
    <s v="Acc. No Incapacitante"/>
    <d v="2024-04-06T00:00:00"/>
    <n v="14"/>
    <n v="6"/>
    <x v="3"/>
    <n v="2024"/>
    <d v="1899-12-30T07:30:00"/>
    <s v="M"/>
    <s v="SENATI"/>
    <s v="SENATI"/>
    <s v="NAVARRO"/>
    <s v="CHERO"/>
    <s v="ZAYURI ALEXANDRA"/>
    <s v="FEMENINO"/>
    <n v="19"/>
    <s v="APRENDIZ SENATI"/>
    <d v="2023-08-03T00:00:00"/>
    <s v="La Aprendiz Senati procede a diluir el detergente desengrasante neutro Neodegreaser en un balde con agua. Es en esa actividad que unas gotas de la sustancia caen en su ojo izquierdo provocándole una irritación, procediendo a enjuagarse con abundante agua. Procede a comunicar al líder del área y se traslada al tópico para su evaluación; posteriormente, es derivada a la Clínica San Gabriel, donde es atendida por especialista y se le brinda descanso por el resto del día."/>
    <s v="Exposición a Sustancias Químicas"/>
    <s v="OJO IZQUIERDO"/>
    <s v="Ojos"/>
    <s v="Limpieza"/>
    <s v="Queratoconjuntivitis química ojo izquierdo"/>
    <s v="Queratoconjuntivitis"/>
    <n v="0"/>
    <n v="0"/>
    <n v="0"/>
    <s v="Trabajando"/>
    <n v="2"/>
    <s v="&lt; 1 a 3 meses"/>
    <s v="Detergente desengrasante neutro Neodegreaser"/>
    <s v="APRENDIZAJE SENATI"/>
  </r>
  <r>
    <n v="59"/>
    <s v="ICH23917"/>
    <s v="PERÚ"/>
    <x v="2"/>
    <s v="Distrito de Chorrillos"/>
    <s v="Intradevco"/>
    <x v="6"/>
    <x v="0"/>
    <s v="Ofertado"/>
    <x v="1"/>
    <s v="Acc. Incapacitante"/>
    <d v="2024-04-09T00:00:00"/>
    <n v="15"/>
    <n v="9"/>
    <x v="3"/>
    <n v="2024"/>
    <d v="1899-12-30T08:30:00"/>
    <s v="D"/>
    <s v="Service"/>
    <s v="Grupo Consulting"/>
    <s v="RAMIREZ"/>
    <s v="SALGUEDO"/>
    <s v="JEREMY JESUS AARON "/>
    <s v="MASCULINO"/>
    <n v="27"/>
    <s v="OPERARIO DE PRODUCCIÓN"/>
    <d v="2024-03-01T00:00:00"/>
    <s v="Aproximadamente a las 8:30, el colaborador Ramírez se encontraba realizando la verificación de producto terminado, ubicado al lado del pallet en revisión para el traslado de cajas (desde el pallet a la mesa de trabajo). En ese momento el colaborador Paucar se dispone a retirar el pallet en revisión, para ello introduce la stocką manual con fuerza, sobresaliendo estos algunos centímetros fuera del área del pallet y golpeando el empeine del pie izquierdo del colaborador Ramírez."/>
    <s v="Golpeado por"/>
    <s v="PIE IZQUIERDO"/>
    <s v="Pie/Tobillo"/>
    <s v="Inspección de productos terminados"/>
    <s v="ESGUINCE Y TORCEDURA "/>
    <s v="Esguince/Torcedura"/>
    <n v="4"/>
    <n v="0"/>
    <n v="4"/>
    <s v="Cesó"/>
    <n v="1"/>
    <s v="&lt; 1 a 3 meses"/>
    <s v="STOCKA MANUAL"/>
    <s v="CONTRATO TEMPORAL"/>
  </r>
  <r>
    <n v="60"/>
    <s v="DET23928"/>
    <s v="PERÚ"/>
    <x v="0"/>
    <s v="Distrito del Callao"/>
    <s v="PDC"/>
    <x v="13"/>
    <x v="0"/>
    <s v="Elaboración"/>
    <x v="0"/>
    <s v="Acc. No Incapacitante"/>
    <d v="2024-04-12T00:00:00"/>
    <n v="15"/>
    <n v="12"/>
    <x v="3"/>
    <n v="2024"/>
    <d v="1899-12-30T13:00:00"/>
    <s v="D"/>
    <s v="PROPIO"/>
    <s v="Alicorp S.A.A."/>
    <s v="INGA"/>
    <s v="CERRALTA"/>
    <s v="EMERSON HAROLD"/>
    <s v="MASCULINO"/>
    <n v="24"/>
    <s v="AYUDANTE DE PLANTA"/>
    <d v="2024-04-09T00:00:00"/>
    <s v="El trabajador procedió a preparar Slop, al momento de izar  el big bag mediante el tecle eléctrico no se dio cuenta que la parte inferior del big bag no estaba amarrado,  por lo cual  el polvo cayó al tq ocasionando que el polvo cayera a los costados y salpicara a su ojo derecho, acto seguido se lavó con abundante agua  sin comunicar a nadie de lo ocurrido. Al día siguiente informó al coordinador sobre el incidente ya que aun tenia un pequeño ardor en la vista, razón por la cual se le acompañó al tópico, donde le realizaron un lavado ocular e indicaron su retorno a planta, no era necesario el traslado a un centro médico. "/>
    <s v="Exposición a Sustancias Químicas"/>
    <s v="OJO DERECHO"/>
    <s v="Ojos"/>
    <s v="Preparación de SLOP"/>
    <s v="HIPEREMIA DE CONJUNTIVA OJO DERECHO"/>
    <s v="Cuerpo Extraño en Ojos"/>
    <n v="0"/>
    <n v="0"/>
    <n v="0"/>
    <s v="Trabajando"/>
    <s v="0.1"/>
    <s v="&lt; 1 mes"/>
    <s v="Detergente en polvo"/>
    <s v="CONTRATO A PLAZO FIJO"/>
  </r>
  <r>
    <n v="61"/>
    <s v="-"/>
    <s v="PERÚ"/>
    <x v="2"/>
    <s v="Distrito de Lurín"/>
    <s v="Intradevco"/>
    <x v="16"/>
    <x v="0"/>
    <s v="Empacado detergente"/>
    <x v="0"/>
    <s v="Acc. No Incapacitante"/>
    <d v="2024-03-19T00:00:00"/>
    <n v="12"/>
    <n v="19"/>
    <x v="2"/>
    <n v="2024"/>
    <d v="1899-12-30T23:47:00"/>
    <s v="N"/>
    <s v="Service"/>
    <s v="Grupo Consulting"/>
    <s v="FASABI"/>
    <s v="FASABI"/>
    <s v="TULER "/>
    <s v="MASCULINO"/>
    <n v="45"/>
    <s v="OPERARIO DE PRODUCCIÓN"/>
    <d v="2024-01-11T00:00:00"/>
    <s v="Manifiesta contusion de 3er  dedo  en mano derecha , con paleta el dia 18-03-2024"/>
    <s v="Golpeado por"/>
    <s v="MANO DERECHA"/>
    <s v="Mano/Muñeca/Dedos"/>
    <s v="Manipulacion de paleta"/>
    <s v="Contusion"/>
    <s v="Contusión/Trauma"/>
    <n v="0"/>
    <n v="0"/>
    <n v="0"/>
    <s v="Trabajando"/>
    <n v="2"/>
    <s v="&lt; 1 a 3 meses"/>
    <s v="Paleta"/>
    <s v="CONTRATO TEMPORAL"/>
  </r>
  <r>
    <n v="62"/>
    <s v="-"/>
    <s v="PERÚ"/>
    <x v="2"/>
    <s v="Distrito de Chorrillos"/>
    <s v="Intradevco"/>
    <x v="6"/>
    <x v="0"/>
    <s v="Plasticos"/>
    <x v="0"/>
    <s v="Acc. No Incapacitante"/>
    <d v="2024-04-01T00:00:00"/>
    <n v="14"/>
    <n v="1"/>
    <x v="3"/>
    <n v="2024"/>
    <d v="1899-12-30T15:00:00"/>
    <s v="D"/>
    <s v="Service"/>
    <s v="Grupo Consulting"/>
    <s v="VERDURA"/>
    <s v="RAMOS"/>
    <s v="CESAR"/>
    <s v="MASCULINO"/>
    <n v="41"/>
    <s v="OPERARIO DE PRODUCCIÓN"/>
    <d v="2024-02-20T00:00:00"/>
    <s v="Durante la actividad de colocado de bobinas, el trabajador Verdura Ramos Cesar se golpeó el lado dorsal y dedo pulgar de la mano izquierda, al intentar colocar el rollo de plastico ( bobina) color amarillo en el molino N°2."/>
    <s v="Golpeado por"/>
    <s v="MANO IZQUIERDA"/>
    <s v="Mano/Muñeca/Dedos"/>
    <s v="Colocación de bobinas"/>
    <s v="Contusion"/>
    <s v="Contusión/Trauma"/>
    <n v="0"/>
    <n v="0"/>
    <n v="0"/>
    <s v="Trabajando"/>
    <n v="1"/>
    <s v="&lt; 1 a 3 meses"/>
    <s v="Molino n°2"/>
    <s v="CONTRATO TEMPORAL"/>
  </r>
  <r>
    <n v="63"/>
    <s v="-"/>
    <s v="PERÚ"/>
    <x v="4"/>
    <s v="ÑAÑA"/>
    <s v="Global"/>
    <x v="19"/>
    <x v="7"/>
    <s v="Producción"/>
    <x v="0"/>
    <s v="Acc. No Incapacitante"/>
    <d v="2024-04-02T00:00:00"/>
    <n v="14"/>
    <n v="2"/>
    <x v="3"/>
    <n v="2024"/>
    <d v="1899-12-30T14:10:00"/>
    <s v="D"/>
    <s v="Tercero - Limpieza"/>
    <s v="Alteliza"/>
    <s v="VELÁSQUEZ"/>
    <s v="CONDE"/>
    <s v="JUDITH"/>
    <s v="FEMENINO"/>
    <n v="35"/>
    <s v="COLABORADOR DE SERVICIOS"/>
    <d v="2023-03-20T00:00:00"/>
    <s v="La operaria de limpieza Judith Velásquez Conde, se encontraba realizando sus labores de limpieza de pisos en la zona de indirectos 2; entre el horno secador y la sala de tableros, cuando de manera imprevista cayó agua por la parte superior de la tubería del circuito de recirculación del condensado de vapor, cayendo sobre su casco y sobre parte de sus hombros. "/>
    <s v="Contacto con Superficie Caliente"/>
    <s v="HOMBROS"/>
    <s v="Brazo/Codo/Hombro"/>
    <s v="Limpieza de pisos"/>
    <s v="Quemadura de primer grado"/>
    <s v="Quemadura por Temperatura"/>
    <n v="0"/>
    <n v="0"/>
    <n v="0"/>
    <s v="Trabajando"/>
    <n v="1"/>
    <s v="&lt; 0.5 a 1 año"/>
    <s v="EQUIPO DE RECIRCULACION DE CONDENSADO DE VAPOR"/>
    <s v="CONTRATO TEMPORAL"/>
  </r>
  <r>
    <n v="64"/>
    <s v="-"/>
    <s v="PERÚ"/>
    <x v="2"/>
    <s v="Distrito de Lurín"/>
    <s v="Intradevco"/>
    <x v="16"/>
    <x v="0"/>
    <s v="Empacado detergente"/>
    <x v="0"/>
    <s v="Acc. No Incapacitante"/>
    <d v="2024-04-03T00:00:00"/>
    <n v="14"/>
    <n v="3"/>
    <x v="3"/>
    <n v="2024"/>
    <d v="1899-12-30T17:21:00"/>
    <s v="D"/>
    <s v="Service"/>
    <s v="Grupo Consulting"/>
    <s v="RICOPA"/>
    <s v=" AHUANARI"/>
    <s v="VICTOR"/>
    <s v="MASCULINO"/>
    <n v="36"/>
    <s v="OPERARIO DE PRODUCCIÓN"/>
    <d v="2023-11-13T00:00:00"/>
    <s v="Colaborador se encontraba haciendo la actividad de limpieza y traspaso de envase. Al momento de levantarlo para pasarlo a la compañera, el frasco se cae y causa polución, esto se debe a que el envase estaba mal tapado. Cabe resaltar que el colaborador tenía mal colocados sus lentes. Se le condujo al lavaojos por 10 minutos aproximadamente."/>
    <s v="Golpeado por"/>
    <s v="TOBILLO IZQUIERDO"/>
    <s v="Pie/Tobillo"/>
    <s v="Manipulacion de coches"/>
    <s v="Contusion"/>
    <s v="Contusión/Trauma"/>
    <n v="0"/>
    <n v="0"/>
    <n v="0"/>
    <s v="Trabajando"/>
    <n v="5"/>
    <s v="&lt; 3 a 6 meses"/>
    <s v="Coche"/>
    <s v="CONTRATO TEMPORAL"/>
  </r>
  <r>
    <n v="65"/>
    <s v="-"/>
    <s v="PERÚ"/>
    <x v="2"/>
    <s v="Distrito de Lurín"/>
    <s v="Intradevco"/>
    <x v="16"/>
    <x v="0"/>
    <s v="Empacado detergente"/>
    <x v="0"/>
    <s v="Acc. No Incapacitante"/>
    <d v="2024-04-09T00:00:00"/>
    <n v="15"/>
    <n v="9"/>
    <x v="3"/>
    <n v="2024"/>
    <d v="1899-12-30T23:15:00"/>
    <s v="N"/>
    <s v="Service"/>
    <s v="Grupo Consulting"/>
    <s v="TUISIMA"/>
    <s v="CORDOVA"/>
    <s v="MIGUEL"/>
    <s v="MASCULINO"/>
    <n v="24"/>
    <s v="OPERARIO DE PRODUCCIÓN"/>
    <d v="2023-11-15T00:00:00"/>
    <s v="Colaborador se encontraba realizando la actividad de embolsado en la máquina VAI. Al acumularse las bolsas de presentación 5Kg en la faja dado que su compañero recién ingresaba a la línea, retira uno de ellos y al colocar en el bolsón su mano derecha impacta con la mesa metálica siendo afectado el dedo medio"/>
    <s v="Golpeado contra"/>
    <s v="DEDO MEDIO DERECHO"/>
    <s v="Mano/Muñeca/Dedos"/>
    <s v="Embolsado de producto"/>
    <s v="Contusion"/>
    <s v="Contusión/Trauma"/>
    <n v="0"/>
    <n v="0"/>
    <n v="0"/>
    <s v="Trabajando"/>
    <n v="5"/>
    <s v="&lt; 3 a 6 meses"/>
    <s v="Mesa metalica"/>
    <s v="CONTRATO TEMPORAL"/>
  </r>
  <r>
    <n v="66"/>
    <s v="-"/>
    <s v="PERÚ"/>
    <x v="2"/>
    <s v="Distrito de Lurín"/>
    <s v="Intradevco"/>
    <x v="16"/>
    <x v="0"/>
    <s v="Empacado detergente"/>
    <x v="0"/>
    <s v="Acc. No Incapacitante"/>
    <d v="2024-04-14T00:00:00"/>
    <n v="15"/>
    <n v="14"/>
    <x v="3"/>
    <n v="2024"/>
    <d v="1899-12-30T14:15:00"/>
    <s v="D"/>
    <s v="Service"/>
    <s v="Grupo Consulting"/>
    <s v="ARIRAMA"/>
    <s v=" DEL CASTILLO"/>
    <s v="YBONE"/>
    <s v="FEMENINO"/>
    <n v="37"/>
    <s v="OPERARIO DE PRODUCCIÓN"/>
    <d v="2023-01-31T00:00:00"/>
    <s v="La colaboradora refiere al momento de cortar el film utilizo la cuchilla retráctil y no tenía puesto sus guantes G-60, fue entonces que se hizo un corte superficial en el dedo medio de la mano izquierda."/>
    <s v="Contacto con superficie filosa"/>
    <s v="MANO IZQUIERDA"/>
    <s v="Mano/Muñeca/Dedos"/>
    <s v="Corte de stretch film"/>
    <s v="Corte"/>
    <s v="Corte/Herida"/>
    <n v="0"/>
    <n v="0"/>
    <n v="0"/>
    <s v="Trabajando"/>
    <n v="2"/>
    <s v="&lt; 1 a 3 meses"/>
    <s v="cuchilla"/>
    <s v="CONTRATO TEMPORAL"/>
  </r>
  <r>
    <n v="67"/>
    <s v="ALI23926"/>
    <s v="PERÚ"/>
    <x v="0"/>
    <s v="Distrito de Miraflores"/>
    <s v="Otros"/>
    <x v="20"/>
    <x v="7"/>
    <s v="Comedor MIRAFLORES"/>
    <x v="1"/>
    <s v="Acc. Incapacitante"/>
    <d v="2024-04-09T00:00:00"/>
    <n v="15"/>
    <n v="9"/>
    <x v="3"/>
    <n v="2024"/>
    <d v="1899-12-30T13:00:00"/>
    <s v="D"/>
    <s v="Tercero - Comedor"/>
    <s v="NEWREST PERU S.A.C"/>
    <s v="LEON"/>
    <s v="RAYMUNDO"/>
    <s v="YOHANA"/>
    <s v="FEMENINO"/>
    <n v="40"/>
    <s v="AYUDANTE DE COCINA"/>
    <s v="-"/>
    <s v="Siendo aproximadamente las 13:00 p.m. la colaboradora del concesionario empieza a verter agua caliente en una de las bandejas gastronómicas, que se encontraban vacías, en el piso y apiladas unas sobre otras, porque iban a empezar a lavarlos. (el lavadero se encuentra a un metro de distancia); y es cuando la bandeja superior cae sobre su pie izquierdo, ocasionándole una quemadura de segundo grado, luego en compañía del jefe de operaciones de su empresa, es trasladado a la Clínica Ricardo Palma en donde se activó su SCTR. Por indicación médica la trabajadora se encuentra internada"/>
    <s v="Contacto con Superficie Caliente"/>
    <s v="PIE IZQUIERDO"/>
    <s v="Pie/Tobillo"/>
    <s v="Limpieza de bandejas"/>
    <s v="QUEMADURA DE SEGUNDO GRADO"/>
    <s v="Quemadura por Temperatura"/>
    <n v="20"/>
    <n v="0"/>
    <n v="20"/>
    <s v="Descanso Médico"/>
    <n v="115"/>
    <s v="&lt; 0.5 a 1 año"/>
    <s v="Agua Caliente"/>
    <m/>
  </r>
  <r>
    <n v="68"/>
    <s v="-"/>
    <s v="PERÚ"/>
    <x v="4"/>
    <s v="ÑAÑA"/>
    <s v="Global"/>
    <x v="19"/>
    <x v="0"/>
    <s v="Envasado"/>
    <x v="0"/>
    <s v="Acc. No Incapacitante"/>
    <d v="2024-04-16T00:00:00"/>
    <n v="16"/>
    <n v="16"/>
    <x v="3"/>
    <n v="2024"/>
    <d v="1899-12-30T06:30:00"/>
    <s v="D"/>
    <s v="PROPIO"/>
    <s v="Masterbread"/>
    <s v="ADAMA"/>
    <s v="MARCOS "/>
    <s v="JOSE LUIS"/>
    <s v="MASCULINO"/>
    <n v="33"/>
    <s v="OPERADOR DE ENVASADO"/>
    <d v="2016-10-01T00:00:00"/>
    <s v="El operador de envasado José Adama avisa que al levantar una bolsa con producto zuck y agregar al vibrador salida del secador de indirectos sintió un tirón causándole dolor y no podía agacharse. se procedió a llamar al servicio de ambulancia Seguricel, diagnosticándole una contractura muscular aplicándole un relajante muscular."/>
    <s v="Sobreesfuerzo"/>
    <s v="ESPALDA"/>
    <s v="Abdomen/Torso"/>
    <s v="Alimentación de producto para reproceso"/>
    <s v="Contractura muscular"/>
    <s v="Desgarro/Estiramiento Muscular"/>
    <n v="0"/>
    <n v="0"/>
    <n v="0"/>
    <s v="Trabajando"/>
    <n v="96"/>
    <s v="&lt; 5 a 10 años"/>
    <s v="Manimupación manual de cargas"/>
    <s v="Indefinido"/>
  </r>
  <r>
    <n v="69"/>
    <s v="PCO23979"/>
    <s v="PERÚ"/>
    <x v="0"/>
    <s v="PREDIO CENTRAL"/>
    <s v="Copsa"/>
    <x v="3"/>
    <x v="0"/>
    <s v="SALSAS 1"/>
    <x v="0"/>
    <s v="Acc. No Incapacitante"/>
    <d v="2024-04-17T00:00:00"/>
    <n v="16"/>
    <n v="17"/>
    <x v="3"/>
    <n v="2024"/>
    <d v="1899-12-30T07:30:00"/>
    <s v="D"/>
    <s v="PROPIO"/>
    <s v="Alicorp S.A.A."/>
    <s v="PALOMINO"/>
    <s v="TARAZONA"/>
    <s v="LILA IRIS"/>
    <s v="FEMENINO"/>
    <n v="51"/>
    <s v="OPERADOR MANUFACTURA SALSAS"/>
    <d v="2003-11-24T00:00:00"/>
    <s v="La operadora de manufactura se encontraba trasvasando producto del tanque Mixer 2 al tanque Mixer 1, en ese momento se percata que el sensor de nivel continuaba detectando producto en el Mixer 2, por lo cual decide aperturar la tapa del tanque para validar si aún contenía producto. Cuando apertura la tapa, no la aseguró correctamente en el gancho y esta cae por su propio peso rozando el costado izquierdo de su pecho con el asa."/>
    <s v="Golpeado por"/>
    <s v="Pecho"/>
    <s v="Abdomen/Torso"/>
    <s v="Trasvase de producto del tanque Mixer 2 al tanque Mixer 1"/>
    <s v="Contusión en costado izquierdo del pecho"/>
    <s v="Contusión/Trauma"/>
    <n v="0"/>
    <n v="0"/>
    <n v="0"/>
    <s v="Trabajando"/>
    <n v="31"/>
    <s v="&lt; 1 a 5 años"/>
    <s v="Asa de tapa del tanque Mixer 2"/>
    <s v="CONTRATO INDEFINIDO"/>
  </r>
  <r>
    <n v="70"/>
    <s v="-"/>
    <s v="PERÚ"/>
    <x v="4"/>
    <s v="Sicaya"/>
    <s v="Teal"/>
    <x v="21"/>
    <x v="0"/>
    <s v="Planta Caramelos"/>
    <x v="0"/>
    <s v="Acc. No Incapacitante"/>
    <d v="2024-04-20T00:00:00"/>
    <n v="16"/>
    <n v="20"/>
    <x v="3"/>
    <n v="2024"/>
    <d v="1899-12-30T21:30:00"/>
    <s v="N"/>
    <s v="Tercero - Limpieza"/>
    <s v="R&amp;M"/>
    <s v="TORRES"/>
    <s v="PINCHE"/>
    <s v="RUBEN"/>
    <s v="MASCULINO"/>
    <n v="23"/>
    <s v="OPERARIO DE LIMPIEZA"/>
    <d v="2024-04-22T00:00:00"/>
    <s v="En circunstancias que el colaborador de limpieza se encontraba realizando la operación de llenado de agua caliente al coche, aperturó la válvula de agua caliente, mientras sostenía la manguera sin el guante de seguridad correspondiente. Durante esta operación el colaborador siente un aumento de temperatura en la manguera y la suelta; provocándole quemaduras de primer grado en el antebrazo. Inmediatamente se brinda los primeros auxilios colocando la zona afectada en un caño de agua fría por más de 15 minutos."/>
    <s v="Contacto con agua caliente"/>
    <s v="Antebrazo izquierdo"/>
    <s v="Brazo/Codo/Hombro"/>
    <s v="Alimentación de agua caliente al coche del trapeador"/>
    <s v="Quemadura de 1er grado"/>
    <s v="Quemadura por Temperatura"/>
    <n v="0"/>
    <n v="0"/>
    <n v="0"/>
    <s v="Trabajando"/>
    <n v="24"/>
    <s v="&lt; 1 mes"/>
    <s v="Agua Caliente"/>
    <s v="CONTRATO TEMPORAL"/>
  </r>
  <r>
    <n v="71"/>
    <s v="-"/>
    <s v="PERÚ"/>
    <x v="0"/>
    <s v="Distrito del Callao"/>
    <s v="Galletería"/>
    <x v="0"/>
    <x v="0"/>
    <s v="Planta Instantáneos"/>
    <x v="0"/>
    <s v="Acc. No Incapacitante"/>
    <d v="2024-04-25T00:00:00"/>
    <n v="17"/>
    <n v="25"/>
    <x v="3"/>
    <n v="2024"/>
    <d v="1899-12-30T22:37:00"/>
    <s v="T"/>
    <s v="PROPIO"/>
    <s v="Alicorp S.A.A."/>
    <s v="TANTA "/>
    <s v="HUAJAN"/>
    <s v="RAUL"/>
    <s v="MASCULINO"/>
    <n v="57"/>
    <s v="OPERADOR MASERO"/>
    <d v="1995-10-02T00:00:00"/>
    <s v="Siendo las 20:37 , el trabajador procede a dirigirse al laboratorio de Inspección de calidad , en el trayecto, el piso se encontraba húmedo ,resbala y cae sentado._x000a_Se pone de pie y visualiza que el letrero de piso mojado, no se encontraba cerca a la zona de caída . Es derivado al tópico y se le suministra medicación . No requiere atención en clínica._x000a_"/>
    <s v="Caída a diferente nivel"/>
    <s v="Pierna"/>
    <s v="Pierna"/>
    <s v="Tránsito peatonal"/>
    <s v="Golpe"/>
    <s v="Contusión/Trauma"/>
    <n v="0"/>
    <n v="0"/>
    <n v="0"/>
    <s v="Trabajando"/>
    <n v="348"/>
    <s v="&gt; 10 años"/>
    <s v="Piso mojado"/>
    <s v="Indefinido"/>
  </r>
  <r>
    <n v="72"/>
    <s v="-"/>
    <s v="PERÚ"/>
    <x v="0"/>
    <s v="MCA"/>
    <s v="Molinos Lima"/>
    <x v="22"/>
    <x v="6"/>
    <s v="Mantenimiento"/>
    <x v="0"/>
    <s v="Acc. No Incapacitante"/>
    <d v="2024-04-30T00:00:00"/>
    <n v="18"/>
    <n v="30"/>
    <x v="3"/>
    <n v="2024"/>
    <d v="1899-12-30T10:15:00"/>
    <s v="D"/>
    <s v="PROPIO"/>
    <s v="Alicorp S.A.A."/>
    <s v="TEJADA"/>
    <s v="GRANDEZ "/>
    <s v="FREDY ALDAIR "/>
    <s v="MASCULINO"/>
    <n v="24"/>
    <s v="MECANICO"/>
    <d v="2024-04-30T00:00:00"/>
    <s v="Siendo las 10:30AM, el trabajador procede a dirigirse hacia la planta para ejecutar trabajos programados. Durante el trayecto una partícula ingresa al ojo derecho del colaborador, proveniente de la descarga de trigo de la zona de recepción, donde se encontraban 02 camiones en proceso de descarga._x000a_El colaborador continúa sus actividades, sin embargo, alrededor de las 12:30PM, hace de manifiesto su malestar por lo cual se solicita el cardio móvil para una evaluación médica. El colaborador es sometido a un lavado ocular y logra eliminar el cuerpo extraño. Posterior a la intervención, el colaborador retoma sus labores._x000a_"/>
    <s v="Proyección de Material Particulado"/>
    <s v="Ojos"/>
    <s v="Ojos"/>
    <s v="Tránsito peatonal"/>
    <s v="CUERPO EXTRAÑO EN EL PARPADO"/>
    <s v="Cuerpo Extraño en Ojos"/>
    <n v="0"/>
    <n v="0"/>
    <n v="0"/>
    <s v="Trabajando"/>
    <n v="7"/>
    <s v="&lt; 0.5 a 1 año"/>
    <s v="Cuerpo Extraño"/>
    <s v="Indefinido"/>
  </r>
  <r>
    <n v="73"/>
    <s v="DIS24483"/>
    <s v="PERÚ"/>
    <x v="0"/>
    <s v="CD HUACHIPA"/>
    <s v="Otros"/>
    <x v="23"/>
    <x v="3"/>
    <s v="Distribución"/>
    <x v="0"/>
    <s v="Acc. No Incapacitante"/>
    <d v="2024-03-15T00:00:00"/>
    <n v="11"/>
    <n v="15"/>
    <x v="2"/>
    <n v="2024"/>
    <d v="1899-12-30T23:30:00"/>
    <s v="N"/>
    <s v="PROPIO"/>
    <s v="Alicorp S.A.A."/>
    <s v="CUEVA"/>
    <s v="MONCADA"/>
    <s v="JOSÉ"/>
    <s v="MASCULINO"/>
    <s v="-"/>
    <s v="-"/>
    <s v="-"/>
    <s v="El colaborador se encotnraba descargando un pallet de lejía cloro sapolio, cuando realizaba la maniobra se produce la caída del material, cuando impactan con el suelo, se rompen y el OMC sufre salpicadura en del producto, inmediatamente se descontamina en el lavojos, y luego de una evaluación médica se determina una ligera irritación por lo que no es trasladado a la clínica."/>
    <s v="Exposición a Sustancias Químicas"/>
    <s v="Ojo izquierdo"/>
    <s v="Ojos"/>
    <s v="Descarga de pallets"/>
    <s v="Irritación de ojo"/>
    <s v="Cuerpo Extraño en Ojos"/>
    <n v="0"/>
    <m/>
    <m/>
    <s v="Trabajando "/>
    <n v="15"/>
    <s v="&lt; 1 a 5 años"/>
    <s v="Gotas de lejia"/>
    <s v="Indeterminado"/>
  </r>
  <r>
    <n v="74"/>
    <s v="-"/>
    <s v="BOLIVIA"/>
    <x v="1"/>
    <m/>
    <s v="PPI"/>
    <x v="4"/>
    <x v="0"/>
    <s v="Preparación de granos Crown"/>
    <x v="1"/>
    <s v="Acc. Incapacitante"/>
    <d v="2024-04-05T00:00:00"/>
    <n v="14"/>
    <n v="5"/>
    <x v="3"/>
    <n v="2024"/>
    <d v="1899-12-30T16:15:00"/>
    <s v="T"/>
    <s v="PROPIO"/>
    <s v="Alicorp S.A.A"/>
    <s v="CHAMBI"/>
    <s v="VILLANUEVA"/>
    <s v="DIONICIO MAXIMO"/>
    <s v="MASCULINO"/>
    <n v="53"/>
    <s v="OPERADOR DE PREPARACIÓN CROWN"/>
    <d v="1998-02-26T00:00:00"/>
    <s v="El día 05 de abril a las 16:15 aproximadamente, el operador de la Preparación de Granos se encontraba realizando la purga de condensando de vapor del sector, posterior a esta operación se dirige hacia  los laminadores para control del proceso, en este trayecto durante su recorrido da un paso largo hacia una escalera de paso a desnivel logrando sólo pisar con la punta de su pie izquierdo en el primer peldaño y cuando da el paso con la pierna derecha no logra apoyarla ocasionándole  un estiramiento muscular que le produce un desgarro en la parte baja de la pierna izquierda. Tras el suceso, el operador informa al Supervisor de Planta del hecho y es enviado a la posta médica de planta y atendido por el médico de turno. Luego el Operador asiste al centro médico laboral (Caja Nacional de Salud) para realizar una ecografía y posterior revisión por el traumatólogo de la región muscular afectada diagnosticando como un desgarro parcial del musculo gemelo izquierdo"/>
    <s v="Sobreesfuerzo"/>
    <s v="MUSLO GEMELO INTERNO IZQUIERDO"/>
    <s v="Pierna"/>
    <s v="DESPLAZAMIENTO HACIA LAMINADORES "/>
    <s v="Desgarro Parcial del musculo Gemelo interno izquierdo_x000a_"/>
    <s v="Desgarro/Estiramiento Muscular"/>
    <n v="15"/>
    <n v="0"/>
    <n v="15"/>
    <s v="Trabajando"/>
    <n v="312"/>
    <s v="&gt; 10 años"/>
    <s v="COMPORTAMIENTO INSEGURO"/>
    <s v="CONTRATO A PLAZO FIJO"/>
  </r>
  <r>
    <n v="75"/>
    <s v="-"/>
    <s v="BOLIVIA"/>
    <x v="1"/>
    <m/>
    <s v="PDF"/>
    <x v="1"/>
    <x v="0"/>
    <s v="Preparación de granos Tecnal"/>
    <x v="0"/>
    <s v="Acc. No Incapacitante"/>
    <d v="2024-04-13T00:00:00"/>
    <n v="15"/>
    <n v="13"/>
    <x v="3"/>
    <n v="2024"/>
    <d v="1899-12-30T09:30:00"/>
    <s v="M"/>
    <s v="Contratista"/>
    <s v="TORNEMEC"/>
    <s v="GONZALES"/>
    <s v="DUMAY"/>
    <s v="CLAUS"/>
    <s v="MASCULINO"/>
    <n v="26"/>
    <s v="TÉCNICO MECÁNICO"/>
    <d v="2023-02-14T00:00:00"/>
    <s v="A promediar las 09:30 el técnico mecánico contratista de tornemec estaba realizando el traslado del carro hidráulico para transportar la mesa rectificadora desde el laminador #3 al laminador #4. Cuando procedía al movimiento del carro hidráulico jalándolo, este resbala por lo que se encontraba en una superficie con  harina húmeda y en un desnivel ocasionando un frenado el carro, cayendo al mismo nivel y golpeando la tibia de la pierna derecha contra el ojal inferior del carro hidráulico , inmediatamente sus colegas le colaboran a reponerse de la caída, y es trasladado a la posta medica donde realiza la atención de primeros auxilios por el coordinador de SST, se realiza las curaciones presentaba una pequeña herida"/>
    <s v="Golpeado contra"/>
    <s v="TIBIA PIERNA DERECHA"/>
    <s v="Pierna"/>
    <s v="TRASLADO DE CARRO HIDRÁULICO TRANSPORTAR MESA RECTIFICADORA"/>
    <s v="Golpe en tibia derecha"/>
    <s v="Contusión/Trauma"/>
    <n v="0"/>
    <n v="0"/>
    <n v="0"/>
    <s v="Trabajando"/>
    <n v="12"/>
    <s v="&lt; 0.5 a 1 año"/>
    <s v="CARRO HIDRÁULICO"/>
    <s v="CONTRATO TEMPORAL"/>
  </r>
  <r>
    <n v="76"/>
    <s v="-"/>
    <s v="BOLIVIA"/>
    <x v="1"/>
    <m/>
    <s v="PDF"/>
    <x v="1"/>
    <x v="0"/>
    <s v="Preparación de granos Alloco"/>
    <x v="0"/>
    <s v="Acc. No Incapacitante"/>
    <d v="2024-04-24T00:00:00"/>
    <n v="17"/>
    <n v="24"/>
    <x v="3"/>
    <n v="2024"/>
    <d v="1899-12-30T12:30:00"/>
    <s v="M"/>
    <s v="Contratista"/>
    <s v="SMFI"/>
    <s v="CARDOZO"/>
    <s v="PEREZ"/>
    <s v="ROGER"/>
    <s v="MASCULINO"/>
    <n v="40"/>
    <s v="TÉCNICO MECÁNICO"/>
    <d v="2022-07-27T00:00:00"/>
    <s v="A promediar las 12:00 se presenta una tarea no planeada en elevador 03 de Alloco, después de realizar una inspección del equipo por parte de mantenimiento se informa a la jefatura de mantenimiento para realizar la intervención del equipo quien da la autorización para la ejecución del trabajo. Posterior a ello se asigna una cuadrilla del contratista SMFI para atender el trabajo, la tarea arranca sin ART, los contratistas (ejecutores de la tarea) no aplicaron el LOTO, este fue aplicado por el supervisor de SST contratista SMFI. A horas 12:25 la empresa SMFI concluye la reposición de cangilones de plástico, al finalizar la ejecución de la tarea se solicita desbloquear el elevador para verificar con una prueba en vacío que no presentara rozamiento de cangilones. Durante la operación de prueba del elevador, el electricista junto al operador proceden a liberar el LOTO y arrancan el equipo, simultáneamente el contratista evidencia una contratuerca aflojada en el cangilón (equipo detenido) y decide asegurarla utilizando una pistola de impacto con extensión y dado, en ese momento arranca el equipo generando que un cangilón impacte en la mano izquierda del contratista mientras sujetaba la pistola de impacto, en ese momento procede a retirar su mano de la zona de riesgo antes de sufrir un atrapamiento entre el cangilón y la ventana del elevador._x000a_"/>
    <s v="Golpeado por"/>
    <s v="Mano izquierda"/>
    <s v="Mano/Muñeca/Dedos"/>
    <s v="CAMBIO DE CANGILONES EN ELEVADOR 03"/>
    <s v="Lesión contusa mano izquierda"/>
    <s v="Contusión/Trauma"/>
    <n v="0"/>
    <n v="0"/>
    <n v="0"/>
    <s v="Trabajando"/>
    <n v="12"/>
    <s v="&lt; 0.5 a 1 año"/>
    <s v="CANGILONES"/>
    <s v="CONTRATO TEMPORAL"/>
  </r>
  <r>
    <n v="77"/>
    <s v="-"/>
    <s v="BOLIVIA"/>
    <x v="1"/>
    <m/>
    <s v="Otros"/>
    <x v="24"/>
    <x v="0"/>
    <s v="Secadora MEGA"/>
    <x v="0"/>
    <s v="Acc. No Incapacitante"/>
    <d v="2024-04-26T00:00:00"/>
    <n v="17"/>
    <n v="26"/>
    <x v="3"/>
    <n v="2024"/>
    <d v="1899-12-30T05:30:00"/>
    <s v="M"/>
    <s v="Contratista"/>
    <s v="PROVISIONA"/>
    <s v="BRAVO"/>
    <s v="GIL"/>
    <s v="REMY"/>
    <s v="MASCULINO"/>
    <n v="28"/>
    <s v="AYUDANTE DE PLANTA"/>
    <d v="2024-04-23T00:00:00"/>
    <s v="Al promediar las 05:30 AM, el personal tercero de provisiona se encontraba cerrando las puertas de la secadora para arrancar con el secado, y al momento de caminar sobre la plataforma sufre una caída al mismo nivel, ocasionándole una herida en el mentón._x000a_ Se le dio primeros auxilios, primeramente, se limpió con agua la herida, para luego limpiarla con algodón y agua oxigenada, posteriormente se lo derivo al centro municipal de salud integral Pailón, en el cual se le realizo una sutura de la herida (2 puntos), así mismo se le suministro la vacuna antitetánica."/>
    <s v="Golpeado contra"/>
    <s v="MENTON"/>
    <s v="Rostro/Nariz/Boca"/>
    <s v="CERRAMIENTO DE COMPUERTAS DE SECADOR"/>
    <s v="HERIDA EN REGIÓN MAXILAR INFERIOR"/>
    <s v="Corte/Herida"/>
    <n v="0"/>
    <n v="0"/>
    <n v="0"/>
    <s v="Trabajando"/>
    <n v="18"/>
    <s v="&lt; 1 a 5 años"/>
    <s v="DESNIVEL EN PLATAFORMA"/>
    <s v="CONTRATO TEMPORAL"/>
  </r>
  <r>
    <n v="78"/>
    <s v="-"/>
    <s v="PERÚ"/>
    <x v="2"/>
    <s v="Distrito de Lurín"/>
    <s v="Intradevco"/>
    <x v="16"/>
    <x v="0"/>
    <s v="Lavavajilla"/>
    <x v="0"/>
    <s v="Acc. No Incapacitante"/>
    <d v="2024-04-17T00:00:00"/>
    <n v="16"/>
    <n v="17"/>
    <x v="3"/>
    <n v="2024"/>
    <d v="1899-12-30T18:43:00"/>
    <s v="D"/>
    <s v="Service"/>
    <s v="Grupo Consulting"/>
    <s v="SALVATIERRA"/>
    <s v="JURADO"/>
    <s v="BRILLITH ALEXANDRA"/>
    <s v="FEMENINO"/>
    <n v="38"/>
    <s v="OPERARIO DE PRODUCCIÓN"/>
    <d v="2023-11-21T00:00:00"/>
    <s v="Colaboradora realizaba limpieza del área y al terminar de lavar los trapos que utilizan en las líneas no tenía conocimiento dónde desechar el agua por lo que pregunta a sus compañeras y le indican que lo haga en los cilindros, sin embargo estaban llenos. La trabajadora Verónica Chumpitaz ITDC le menciona que lo deseche en segundo nivel de batidos. _x000a_En el transcurso de subir las escaleras con el balde, tropieza y cae en el peldaño golpeándose la rodilla izquierda"/>
    <s v="Caida al mismo nivel"/>
    <s v="BRAZO"/>
    <s v="Brazo/Codo/Hombro"/>
    <s v="Subir escaleras"/>
    <s v="Contusion"/>
    <s v="Contusión/Trauma"/>
    <n v="0"/>
    <n v="0"/>
    <n v="0"/>
    <s v="Trabajando"/>
    <n v="5"/>
    <s v="&lt; 3 a 6 meses"/>
    <s v="Escalera"/>
    <s v="CONTRATO TEMPORAL"/>
  </r>
  <r>
    <n v="79"/>
    <s v="-"/>
    <s v="PERÚ"/>
    <x v="2"/>
    <s v="Distrito de Lurín"/>
    <s v="Intradevco"/>
    <x v="16"/>
    <x v="0"/>
    <s v="Empacado detergente"/>
    <x v="0"/>
    <s v="Acc. No Incapacitante"/>
    <d v="2024-04-22T00:00:00"/>
    <n v="17"/>
    <n v="22"/>
    <x v="3"/>
    <n v="2024"/>
    <d v="1899-12-30T17:00:00"/>
    <s v="D"/>
    <s v="Service"/>
    <s v="Grupo Consulting"/>
    <s v="PACAYA"/>
    <s v=" IJUMA"/>
    <s v="CHARLIE EFRAIN"/>
    <s v="MASCULINO"/>
    <n v="25"/>
    <s v="OPERARIO DE PRODUCCIÓN"/>
    <d v="2023-06-14T00:00:00"/>
    <s v="El colaborador Pacaya CA_x000a_se encontraba cortando el film, tenía puesto su pie derecho entre la uña de la máquina de transpaleta, al momento de que su otro compañero transpaletista se dirigía con una paleta para almancen, se chocó contra la paleta de Pacaya CA generandole un golpe en su pie derecho."/>
    <s v="Golpeado por"/>
    <s v="PIE DERECHO"/>
    <s v="Pie/Tobillo"/>
    <s v="Corte de stretch film"/>
    <s v="Contusion"/>
    <s v="Contusion"/>
    <n v="0"/>
    <n v="0"/>
    <n v="0"/>
    <s v="Trabajando"/>
    <n v="10"/>
    <s v="&lt; 0.5 a 1 año"/>
    <s v="Paleta"/>
    <s v="CONTRATO TEMPORAL"/>
  </r>
  <r>
    <n v="80"/>
    <s v="-"/>
    <s v="PERÚ"/>
    <x v="2"/>
    <s v="Distrito de Lurín"/>
    <s v="Intradevco"/>
    <x v="16"/>
    <x v="0"/>
    <s v="Lavavajilla"/>
    <x v="0"/>
    <s v="Acc. No Incapacitante"/>
    <d v="2024-04-22T00:00:00"/>
    <n v="17"/>
    <n v="22"/>
    <x v="3"/>
    <n v="2024"/>
    <d v="1899-12-30T19:08:00"/>
    <s v="N"/>
    <s v="Service"/>
    <s v="Grupo Consulting"/>
    <s v="TANTA"/>
    <s v=" CHAVEZ"/>
    <s v=" MARIA LUISA"/>
    <s v="FEMENINO"/>
    <n v="47"/>
    <s v="OPERARIO DE PRODUCCIÓN"/>
    <d v="2023-04-18T00:00:00"/>
    <s v="Siendo 22 de abril a las 07:08 la Colaboradora se encontraba firmando el libro de charla de 5 minutos y al momento de coger una mascarilla, se le cae al suelo y al recogerla se golpea contra una estructura metálica de máquina en desuso que se encuentra al lado de escritorio(en ese momento no dio aviso), cerca de las 9pm tomó una pastilla (ibuprofeno) que le brindó una compañera, sin embargo dolor persistió hasta la hora de salida, que se acercó la colaboradora a hacernos conocimiento de lo sucedido, dolor con intensidad 7/10 (23.04 a las 7am aproximadamente, en ese momento no recibió atención médica porque le brindaron)_x000a_*DATO ADICIONAL* : Colaboradora refiere haber dado aviso a su supervisora 2 veces en el turno (9pm y 4am aproximadamente) sin embargo ella no se comunicó conmigo para informar sobre el caso."/>
    <s v="Golpeado contra"/>
    <s v="CABEZA"/>
    <s v="Cabeza"/>
    <s v="Llenado de registros"/>
    <s v="Contusion"/>
    <s v="Contusion"/>
    <n v="0"/>
    <n v="0"/>
    <n v="0"/>
    <s v="Trabajando"/>
    <n v="0"/>
    <s v="&lt; 1 mes"/>
    <s v="Equipo en desuso"/>
    <s v="CONTRATO TEMPORAL"/>
  </r>
  <r>
    <n v="81"/>
    <s v="-"/>
    <s v="PERÚ"/>
    <x v="2"/>
    <s v="Distrito de Lurín"/>
    <s v="Intradevco"/>
    <x v="16"/>
    <x v="0"/>
    <s v="Lavavajilla"/>
    <x v="0"/>
    <s v="Acc. No Incapacitante"/>
    <d v="2024-04-25T00:00:00"/>
    <n v="17"/>
    <n v="25"/>
    <x v="3"/>
    <n v="2024"/>
    <d v="1899-12-30T20:00:00"/>
    <s v="N"/>
    <s v="Service"/>
    <s v="Grupo Consulting"/>
    <s v="PEREZ"/>
    <s v=" MARICHIN"/>
    <s v="JUSTO HERNAN"/>
    <s v="MASCULINO"/>
    <n v="44"/>
    <s v="OPERARIO DE PRODUCCIÓN"/>
    <d v="2022-10-25T00:00:00"/>
    <s v="Colaborador se encontra jalando solo la tiza con la estoca (64 sacos), ya que sus compañeros estaban ocupados menciona (tener en cuenta que esta actividad se realiza entre dos personas), y debido a la fuerza que ejerce al jalar el pallet con producto se le resbala el pie y se golpea contra la llanta. No da aviso en el momento ya que no sentía molestias. Comunicó lo sucedido el día de hoy 27.04"/>
    <s v="Golpeado por"/>
    <s v="PIE"/>
    <s v="Pie/Tobillo"/>
    <s v="Manipulacion de stocka"/>
    <s v="Contusion"/>
    <s v="Contusion"/>
    <n v="0"/>
    <n v="0"/>
    <n v="0"/>
    <s v="Trabajando"/>
    <n v="18"/>
    <s v="&lt; 1 a 5 años"/>
    <s v="Estoca"/>
    <s v="CONTRATO TEMPORAL"/>
  </r>
  <r>
    <n v="82"/>
    <s v="ILU23990"/>
    <s v="PERÚ"/>
    <x v="2"/>
    <s v="Distrito de Lurín"/>
    <s v="Intradevco"/>
    <x v="16"/>
    <x v="0"/>
    <s v="Lavavajilla"/>
    <x v="1"/>
    <s v="Acc. Incapacitante"/>
    <d v="2024-04-25T00:00:00"/>
    <n v="17"/>
    <n v="25"/>
    <x v="3"/>
    <n v="2024"/>
    <d v="1899-12-30T22:24:00"/>
    <s v="N"/>
    <s v="Service"/>
    <s v="Grupo Consulting"/>
    <s v="CAMACHO"/>
    <s v="ORTIZ"/>
    <s v="LUIS MANUEL"/>
    <s v="MASCULINO"/>
    <n v="26"/>
    <s v="OPERARIO DE PRODUCCIÓN"/>
    <d v="2024-04-10T00:00:00"/>
    <s v="El colaborador de encontraba saliendo del comedor luego de su cena, y al ver que sus demás compañeros estaban llegando para el ingreso, se baja de la vereda para abrir pase, pero no se percata que en la pista hay un desnivel, lo que ocasiona la torcedura del pie (tobillo izquierdo) y posterior caída. Se levanta con ayuda de sus compañeros y se dirige a los SSHH, pero se queda a mitad de camino ya que el dolor le impide seguir subiendo las escaleras. Es ahí donde la coordinadora que transitaba por el lugar se percata y me da aviso de lo sucedido."/>
    <s v="Caída al mismo nivel"/>
    <s v="TOBILLO IZQUIERDO"/>
    <s v="Pie/Tobillo"/>
    <s v="Transito por area"/>
    <s v="Contusion"/>
    <s v="Contusión/Trauma"/>
    <n v="11"/>
    <n v="0"/>
    <n v="11"/>
    <s v="Trabajando"/>
    <n v="1"/>
    <s v="&lt; 1 a 3 meses"/>
    <s v="PISO DE ASFALTO"/>
    <s v="CONTRATO TEMPORAL"/>
  </r>
  <r>
    <n v="83"/>
    <s v="-"/>
    <s v="PERÚ"/>
    <x v="2"/>
    <s v="Distrito de Lurín"/>
    <s v="Intradevco"/>
    <x v="16"/>
    <x v="0"/>
    <s v="Areas comunes"/>
    <x v="0"/>
    <s v="Acc. No Incapacitante"/>
    <d v="2024-04-27T00:00:00"/>
    <n v="17"/>
    <n v="27"/>
    <x v="3"/>
    <n v="2024"/>
    <d v="1899-12-30T22:26:00"/>
    <s v="N"/>
    <s v="Service"/>
    <s v="Grupo Consulting"/>
    <s v="VALENCIA"/>
    <s v="ROMAN"/>
    <s v="PABLO"/>
    <s v="MASCULINO"/>
    <n v="43"/>
    <s v="OPERARIO DE PRODUCCIÓN"/>
    <d v="2024-04-12T00:00:00"/>
    <s v="El colaborador Pablo Velencia Román se encontraba bajando las escaleras cuando de pronto ve que sus compañeros suben corriendo y él por tratar de esquivarlos baja apresuradamente un escalón pisando en falso, ocacionando que se doble el tobillo._x000a_Cabe mencionar que dicha zona se encuentra sin iluminación."/>
    <s v="Caida al mismo nivel"/>
    <s v="TOBILLO"/>
    <s v="Pie/Tobillo"/>
    <s v="Ascenso por escaleras"/>
    <s v="Contusion"/>
    <s v="Contusión/Trauma"/>
    <n v="0"/>
    <n v="0"/>
    <n v="0"/>
    <s v="Trabajando"/>
    <n v="1"/>
    <s v="&lt; 1 a 3 meses"/>
    <s v="ESCALERA"/>
    <s v="CONTRATO TEMPORAL"/>
  </r>
  <r>
    <n v="84"/>
    <s v="-"/>
    <s v="PERÚ"/>
    <x v="2"/>
    <s v="Distrito de Chorrillos"/>
    <s v="Intradevco"/>
    <x v="6"/>
    <x v="0"/>
    <s v="Sanitarios"/>
    <x v="0"/>
    <s v="Acc. No Incapacitante"/>
    <d v="2024-04-29T00:00:00"/>
    <n v="18"/>
    <n v="29"/>
    <x v="3"/>
    <n v="2024"/>
    <d v="1899-12-30T12:30:00"/>
    <s v="D"/>
    <s v="Service"/>
    <s v="Grupo Consulting"/>
    <s v="AHUANARI"/>
    <s v="PAYMA"/>
    <s v="WILMER"/>
    <s v="MASCULINO"/>
    <n v="33"/>
    <s v="OPERARIO DE PRODUCCIÓN"/>
    <d v="2024-02-07T00:00:00"/>
    <s v="El trabajador AHUANARI presenta ampollas en las manos debido a que realiza el tapado y enroscado en la MR2, ya que la tapadora neumática en ocasiones no cierra por completo, la tapa se inclina hacia un lado ( el trabajador ejerce presión y enrosca) o en su defecto el diámetro sobrepasa la capacidad para realizar el tapado (debido a esto se hace manual)."/>
    <s v="Contacto con "/>
    <s v="MANO DERECHA E IZQUIERDA"/>
    <s v="Mano/Muñeca/Dedos"/>
    <s v="Tapado y enroscado de frascos"/>
    <s v="Ampolla"/>
    <s v="Quemadura por Fricción"/>
    <n v="0"/>
    <n v="0"/>
    <n v="0"/>
    <s v="Trabajando"/>
    <n v="2"/>
    <s v="&lt; 1 a 3 meses"/>
    <s v="TAPADORA NEUMÁTICA"/>
    <s v="CONTRATO TEMPORAL"/>
  </r>
  <r>
    <n v="85"/>
    <s v="-"/>
    <s v="PERÚ"/>
    <x v="2"/>
    <s v="Distrito de Lurín"/>
    <s v="Intradevco"/>
    <x v="16"/>
    <x v="0"/>
    <s v="Empacado detergente"/>
    <x v="0"/>
    <s v="Acc. No Incapacitante"/>
    <d v="2024-05-02T00:00:00"/>
    <n v="18"/>
    <n v="2"/>
    <x v="4"/>
    <n v="2024"/>
    <d v="1899-12-30T03:09:00"/>
    <s v="N"/>
    <s v="Service"/>
    <s v="Grupo Consulting"/>
    <s v="AVALOS"/>
    <s v="FASANANDO"/>
    <s v="RAFAEL"/>
    <s v="MASCULINO"/>
    <n v="35"/>
    <s v="OPERARIO DE PRODUCCIÓN"/>
    <d v="2024-04-17T00:00:00"/>
    <s v="Colaborador Ávalos Fasanando Rafael se encontraba haciendo la actividad de colocado de bolsas, cuando se percata que una de ellas está mal puesta y al momento de acomodarla saca la mano derecha apresuradamente y se golpea contra plancha que cambia de posición automáticamente cuando los bolsones están llenos."/>
    <s v="Golpeado contra"/>
    <s v="MANO DERECHA"/>
    <s v="Mano/Muñeca/Dedos"/>
    <s v="Colocacion de bolsas"/>
    <s v="Contusion"/>
    <s v="Contusión/Trauma"/>
    <n v="0"/>
    <n v="0"/>
    <n v="0"/>
    <s v="Trabajando"/>
    <n v="1"/>
    <s v="&lt; 1 a 3 meses"/>
    <s v="PLANCHA METALICA"/>
    <s v="CONTRATO TEMPORAL"/>
  </r>
  <r>
    <n v="86"/>
    <s v="-"/>
    <s v="PERÚ"/>
    <x v="2"/>
    <s v="Distrito de Lurín"/>
    <s v="Intradevco"/>
    <x v="16"/>
    <x v="0"/>
    <s v="Lavavajilla"/>
    <x v="0"/>
    <s v="Acc. No Incapacitante"/>
    <d v="2024-05-02T00:00:00"/>
    <n v="18"/>
    <n v="2"/>
    <x v="4"/>
    <n v="2024"/>
    <d v="1899-12-30T12:58:00"/>
    <s v="D"/>
    <s v="Service"/>
    <s v="Grupo Consulting"/>
    <s v="CONDORI"/>
    <s v=" LOPEZ"/>
    <s v=" GUADALUPE ROXANA"/>
    <s v="FEMENINO"/>
    <n v="41"/>
    <s v="OPERARIO DE PRODUCCIÓN"/>
    <d v="2023-03-30T00:00:00"/>
    <s v="Colaboradora estuvo realizando encajado de potes, al terminar su rotación de actividad le indica a su compañero que saldría del área para acudir a los sshh y voltea sin percatarse de la mesa de trabajo golpeándose la rodilla izquierda"/>
    <s v="Golpeado contra"/>
    <s v="RODILLA IZQUIERDA"/>
    <s v="Rodilla"/>
    <s v="Encajado de potes"/>
    <s v="Contusion"/>
    <s v="Contusión/Trauma"/>
    <n v="0"/>
    <n v="0"/>
    <n v="0"/>
    <s v="Trabajando"/>
    <n v="13"/>
    <s v="&lt; 1 a 5 años"/>
    <s v="MESA"/>
    <s v="CONTRATO TEMPORAL"/>
  </r>
  <r>
    <n v="87"/>
    <s v="-"/>
    <s v="PERÚ"/>
    <x v="0"/>
    <s v="SIDSUR"/>
    <s v="Sidsur"/>
    <x v="25"/>
    <x v="0"/>
    <s v="Molino Victoria"/>
    <x v="1"/>
    <s v="Acc. Incapacitante"/>
    <d v="2024-04-04T00:00:00"/>
    <n v="14"/>
    <n v="4"/>
    <x v="3"/>
    <n v="2024"/>
    <d v="1899-12-30T08:00:00"/>
    <s v="D"/>
    <s v="PROPIO"/>
    <s v="Alicorp S.A.A"/>
    <s v="CASTILLO"/>
    <s v="MAMANI"/>
    <s v="MAURO"/>
    <s v="MASCULINO"/>
    <n v="62"/>
    <s v="AYUDANTE DE MOLINO"/>
    <s v="-"/>
    <s v="El colaborador se encontraba en el 4° piso del Molino Victoria verificando que fluya el producto del pasaje C6 de forma continua, en ese momento el colaborador apoya su mano derecha sobre la tapa del motor, sintiendo un jalón de su dedo índice el cual retiro inmediatamente, cabe mencionar que la guarda del motor presentaba una abertura debido a la rotura de una de las ranuras de protección._x000a_Posteriormente, fue socorrido por el Coordinador de Turno quien toca la alarma de emergencias y lo acompaña al tópico, siendo atendido por el Inspector de Seguridad. Se procedió a llamar a la ambulancia, la cual lo derivo a la Clínica San Juan de Dios."/>
    <s v="Atrapado por Partes en Movimiento"/>
    <s v="Dedo anular mano derecha"/>
    <s v="Mano/Muñeca/Dedos"/>
    <s v="Verificando paso de producto"/>
    <s v="Fractura"/>
    <s v="Fractura"/>
    <n v="120"/>
    <n v="0"/>
    <n v="120"/>
    <s v="Trabajando"/>
    <n v="252"/>
    <s v="&gt; 10 años"/>
    <s v="Motor"/>
    <s v="Indefinido"/>
  </r>
  <r>
    <n v="88"/>
    <s v="PCO24300"/>
    <s v="PERÚ"/>
    <x v="0"/>
    <s v="PREDIO CENTRAL"/>
    <s v="Copsa"/>
    <x v="3"/>
    <x v="6"/>
    <s v="MANTENIMIENTO"/>
    <x v="1"/>
    <s v="Acc. Incapacitante"/>
    <d v="2024-08-16T00:00:00"/>
    <n v="33"/>
    <n v="16"/>
    <x v="5"/>
    <n v="2024"/>
    <d v="1899-12-30T17:20:00"/>
    <s v="T"/>
    <s v="PROPIO"/>
    <s v="Alicorp S.A.A"/>
    <s v="HERRERA"/>
    <s v="FABIAN"/>
    <s v="ROGGER JHON"/>
    <s v="MASCULINO"/>
    <n v="52"/>
    <s v="ELECTRICISTA"/>
    <d v="2007-03-01T00:00:00"/>
    <s v="El colaborador se encontraba abriendo la puerta metálica enrollable de la sala de generación para iniciar la operación de los grupos electrógenos en hora punta. Para abrir la puerta, realiza un primer movimiento para levantarla del piso a la altura del pecho y cambia de agarre para empujar la puerta hacia arriba. En dicho cambio de agarre siente un tirón y dolor en el hombro derecho, sin terminar la apertura."/>
    <s v="Sobreesfuerzo"/>
    <s v="Hombro"/>
    <s v="Brazo/Codo/Hombro"/>
    <s v="Apertura de puerta metálica enrollable"/>
    <s v="Tendinosis del músculo supraespinoso en hombro derecho"/>
    <s v="Desgarro/Estiramiento Muscular"/>
    <n v="137"/>
    <n v="0"/>
    <n v="137"/>
    <s v="DM"/>
    <n v="209"/>
    <s v="&gt; 10 años"/>
    <s v="Puerta metálica enrollable"/>
    <s v="CONTRATO INDEFINIDO"/>
  </r>
  <r>
    <n v="89"/>
    <s v="ICH23994"/>
    <s v="PERÚ"/>
    <x v="2"/>
    <s v="Distrito de Chorrillos"/>
    <s v="Intradevco"/>
    <x v="6"/>
    <x v="0"/>
    <s v="Pasta Dental"/>
    <x v="1"/>
    <s v="Acc. Incapacitante"/>
    <d v="2024-05-04T00:00:00"/>
    <n v="18"/>
    <n v="4"/>
    <x v="4"/>
    <n v="2024"/>
    <d v="1899-12-30T11:45:00"/>
    <s v="D"/>
    <s v="PROPIO"/>
    <s v="Intradevco"/>
    <s v="GARCIA"/>
    <s v="CARBONEL"/>
    <s v="PETER"/>
    <s v="MASCULINO"/>
    <n v="51"/>
    <s v="OPERARIO DE PRODUCCIÓN"/>
    <s v="-"/>
    <s v="Aproximadamente a las 11:45am, durante la operación de envasado de pasta dental en línea 6, durante un atasco de cajas unitarias producido en apilador de packs, el colaborador introduce la mano derecha al interior de la maquina para liberar el atasco, de pronto retira la mano rápidamente; encontrándose ya con el dedo lesionado. La situación fue informada a producción y seguridad industrial, a continuación es trasladado al tópico donde recibe atención, activación del SCRT, y posterior traslado a la Clínica San Pablo de Surco._x000a_"/>
    <s v="Atrapado por Partes en Movimiento"/>
    <s v="MANO"/>
    <s v="Mano/Muñeca/Dedos"/>
    <s v="Desatoro de línea"/>
    <s v="HERIDA DE DEDOS DE LA MANO, SIN DAÑO DE UÑAS"/>
    <s v="Corte/Herida"/>
    <n v="21"/>
    <n v="0"/>
    <n v="21"/>
    <s v="Cesó"/>
    <n v="330"/>
    <s v="&gt; 10 años"/>
    <s v="Máquina encajadora"/>
    <s v="CONTRATO INDEFINIDO"/>
  </r>
  <r>
    <n v="90"/>
    <s v="MFA24121"/>
    <s v="PERÚ"/>
    <x v="0"/>
    <s v="CENTRAL"/>
    <s v="Molinos Lima"/>
    <x v="26"/>
    <x v="0"/>
    <s v="Producción"/>
    <x v="1"/>
    <s v="Acc. Incapacitante"/>
    <d v="2024-05-22T00:00:00"/>
    <n v="21"/>
    <n v="22"/>
    <x v="4"/>
    <n v="2024"/>
    <d v="1899-12-30T17:10:00"/>
    <s v="T"/>
    <s v="PROPIO"/>
    <s v="Alicorp S.A.A"/>
    <s v="CALDERON"/>
    <s v="HUANAMBAL"/>
    <s v="TEOFILO MARCELINO"/>
    <s v="MASCULINO"/>
    <n v="60"/>
    <s v="OPERADOR 2 DE MOLINO"/>
    <d v="2000-08-01T00:00:00"/>
    <s v="El colaborador se encontraba en el cuarto piso del molino B realizando su inspección de turno a los plansifter donde se percata que uno de los pasajes se empezó a llenar y botar harina por la manga, él se acerca para verificar y siente que ingresa una partícula en la vista izquierda causándole molestia"/>
    <s v="Contacto con"/>
    <s v="OJO IZQUIERDO"/>
    <s v="Ojos"/>
    <s v="Verificacion "/>
    <s v="Cuerpo Extraño en Ojos"/>
    <s v="Cuerpo Extraño en Ojos"/>
    <n v="1"/>
    <n v="0"/>
    <n v="1"/>
    <s v="Descanso Médico"/>
    <n v="163"/>
    <s v="&gt; 10 años"/>
    <s v="Polvo de Harina"/>
    <s v="Indefinido"/>
  </r>
  <r>
    <n v="91"/>
    <s v="ILU24268"/>
    <s v="PERÚ"/>
    <x v="2"/>
    <s v="Distrito de Lurín"/>
    <s v="Intradevco"/>
    <x v="5"/>
    <x v="0"/>
    <s v="Vestuarios"/>
    <x v="1"/>
    <s v="Acc. Incapacitante"/>
    <d v="2024-04-15T00:00:00"/>
    <n v="16"/>
    <n v="15"/>
    <x v="3"/>
    <n v="2024"/>
    <d v="1899-12-30T07:00:00"/>
    <s v="D"/>
    <s v="Service"/>
    <s v="Grupo Consulting"/>
    <s v="ROSALES"/>
    <s v="BLAS"/>
    <s v="FRANK"/>
    <s v="MASCULINO"/>
    <n v="28"/>
    <s v="OPERARIO DE PRODUCCIÓN"/>
    <d v="2024-01-15T00:00:00"/>
    <s v="El colaborador se encontraba colocándose el uniforme para el ingreso a su turno. Al colocarse el polo, extiende su mano izquierda, que tuvo contacto con bordes irregulares de uno de los casilleros del vestuario generando una herida en el dedo medio de la mano izquierda."/>
    <s v="Contacto con superficie filosa"/>
    <s v="MANO"/>
    <s v="Mano/Muñeca/Dedos"/>
    <s v="Cambio de ropa (colocación de uniforme)"/>
    <s v="Herida en dedo"/>
    <s v="Corte/Herida"/>
    <n v="11"/>
    <n v="0"/>
    <n v="11"/>
    <s v="Trabajando"/>
    <n v="3"/>
    <s v="&lt; 3 a 6 meses"/>
    <s v="CASILLERO"/>
    <s v="CONTRATO TEMPORAL"/>
  </r>
  <r>
    <n v="92"/>
    <s v="-"/>
    <s v="PERÚ"/>
    <x v="2"/>
    <s v="Distrito de Lurín"/>
    <s v="Intradevco"/>
    <x v="7"/>
    <x v="0"/>
    <s v="Soplado"/>
    <x v="0"/>
    <s v="Acc. No Incapacitante"/>
    <d v="2024-04-18T00:00:00"/>
    <n v="16"/>
    <n v="18"/>
    <x v="3"/>
    <n v="2024"/>
    <d v="1899-12-30T16:00:00"/>
    <s v="D"/>
    <s v="Service"/>
    <s v="Grupo Consulting"/>
    <s v="OSORIO"/>
    <s v="SOLIMANO"/>
    <s v="CARLOS DANIEL"/>
    <s v="MASCULINO"/>
    <s v="-"/>
    <s v="OPERARIO DE PRODUCCIÓN"/>
    <s v="-"/>
    <s v="Colaborador realizaba actividades en la mezcladora 1, procede con la apertura del desfogue para realizar el llenado de bolsas; se completó el llenado de bolsa con material por lo que el colaborador procedia a cerrar el desfogue, actividad que consiste en empujar la tapa de metal; debido a que el material sigue cayendo y la tapa se atora el colaborador ejerce fuerza al empujar; es ahi que sintió un estirón y posteriormente dolor."/>
    <s v="Sobreesfuerzo"/>
    <s v="MANO"/>
    <s v="Mano/Muñeca/Dedos"/>
    <s v="Cierre de compuerta"/>
    <s v="TENDINITIS POR USO EXCESIVO Y PRESION"/>
    <s v="Esguince/Torcedura"/>
    <n v="0"/>
    <m/>
    <m/>
    <s v="Trabajando"/>
    <m/>
    <m/>
    <m/>
    <m/>
  </r>
  <r>
    <n v="93"/>
    <s v="-"/>
    <s v="PERÚ"/>
    <x v="2"/>
    <s v="Distrito de Lurín"/>
    <s v="Intradevco"/>
    <x v="7"/>
    <x v="0"/>
    <s v="Aerosoles"/>
    <x v="0"/>
    <s v="Acc. No Incapacitante"/>
    <d v="2024-04-27T00:00:00"/>
    <n v="17"/>
    <n v="27"/>
    <x v="3"/>
    <n v="2024"/>
    <d v="1899-12-30T12:00:00"/>
    <s v="D"/>
    <s v="Service"/>
    <s v="Grupo Consulting"/>
    <s v="INGA"/>
    <s v="CHIROQUE "/>
    <s v="JHOVANA"/>
    <s v="FEMENINO"/>
    <s v="-"/>
    <s v="OPERARIO DE PRODUCCIÓN"/>
    <s v="-"/>
    <s v="El frasco pasó sin haberse encrimpado y al inyectar gas se produjo de la dispersión del líquido, menciona la colaboradora que si tenía puesto el antiparra"/>
    <s v="Exposición a Sustancias Químicas"/>
    <s v="OJOS"/>
    <s v="Ojos"/>
    <s v="Encrimpado de envases"/>
    <s v="Irritación por Sustancias Químicas OJOS"/>
    <s v="Quemadura Química"/>
    <n v="0"/>
    <n v="0"/>
    <n v="0"/>
    <s v="Trabajando"/>
    <m/>
    <m/>
    <s v="PRODUCTO (GRANEL DE AEROSOL)"/>
    <s v="CONTRATO TEMPORAL"/>
  </r>
  <r>
    <n v="94"/>
    <s v="PGL24022 "/>
    <s v="PERÚ"/>
    <x v="0"/>
    <s v="Distrito del Callao"/>
    <s v="Galletería"/>
    <x v="0"/>
    <x v="0"/>
    <s v="Alimentación"/>
    <x v="0"/>
    <s v="Acc. No Incapacitante"/>
    <d v="2024-05-18T00:00:00"/>
    <n v="20"/>
    <n v="18"/>
    <x v="4"/>
    <n v="2024"/>
    <d v="1899-12-30T19:00:00"/>
    <s v="T"/>
    <s v="PROPIO"/>
    <s v="Alicorp S.A.A."/>
    <s v="CASTAÑEDA "/>
    <s v="INOCENTE"/>
    <s v="RONAL JUNIOR "/>
    <s v="MASCULINO"/>
    <n v="28"/>
    <s v="OPERARIO DE PRODUCCIÓN"/>
    <d v="2023-11-13T00:00:00"/>
    <s v="Siendo las 19:00 el colaborador refiere que al momento de bandejar las galletas sufre contacto con la faja de alimentación presentando corte en el dedo medio de la mano derecha"/>
    <s v="contacto con superficie en movimiento"/>
    <s v="DEDO"/>
    <s v="Mano/Muñeca/Dedos"/>
    <s v="Bandejeo de galletas"/>
    <s v="Corte"/>
    <s v="Laceración"/>
    <n v="0"/>
    <n v="0"/>
    <n v="0"/>
    <s v="Trabajando"/>
    <n v="3"/>
    <s v="&lt; 0.5 a 1 año"/>
    <s v="Faja"/>
    <s v="CONTRATO INDEFINIDO"/>
  </r>
  <r>
    <n v="95"/>
    <s v="-"/>
    <s v="PERÚ"/>
    <x v="0"/>
    <s v="SIDSUR"/>
    <s v="Sidsur"/>
    <x v="25"/>
    <x v="0"/>
    <s v="Galletera - 2do piso "/>
    <x v="1"/>
    <s v="Acc. Incapacitante"/>
    <d v="2024-05-07T00:00:00"/>
    <n v="19"/>
    <n v="7"/>
    <x v="4"/>
    <n v="2024"/>
    <d v="1899-12-30T15:40:00"/>
    <s v="T"/>
    <s v="PROPIO"/>
    <s v="Alicorp S.A.A"/>
    <s v="BRICEÑO "/>
    <s v="ARANIBAR"/>
    <s v="JUAN CARLOS"/>
    <s v="MASCULINO"/>
    <n v="47"/>
    <s v="OPERARIO DE PRODUCCIÓN"/>
    <s v="-"/>
    <s v="Colaborador se encontraba en sus actividades rutinarias, cuando se retira de su zona de trabajo para dirigirse a los servicios higienicos, sufre un resbalón  del pie derecho hacia adelante, momento en el que se cae, pone su mano izquierda en el suelo, lo que causa dolor en la misma. Procede a reportarlo y posteriormente es trasladado a la clinica "/>
    <s v="Caída al mismo nivel"/>
    <s v="Mano izquierda"/>
    <s v="Mano/Muñeca/Dedos"/>
    <s v="Transito "/>
    <m/>
    <s v="Esguince/Torcedura"/>
    <n v="13"/>
    <n v="0"/>
    <n v="13"/>
    <s v="Trabajando"/>
    <n v="11"/>
    <s v="&lt; 0.5 a 1 año"/>
    <s v="Piso "/>
    <s v="CONTRATO INDEFINIDO "/>
  </r>
  <r>
    <n v="96"/>
    <s v="-"/>
    <s v="PERÚ"/>
    <x v="0"/>
    <s v="SIDSUR"/>
    <s v="Sidsur"/>
    <x v="25"/>
    <x v="0"/>
    <s v="Galletera - linea 1"/>
    <x v="1"/>
    <s v="Acc. Incapacitante"/>
    <d v="2024-05-21T00:00:00"/>
    <n v="21"/>
    <n v="21"/>
    <x v="4"/>
    <n v="2024"/>
    <d v="1899-12-30T11:30:00"/>
    <s v="D"/>
    <s v="PROPIO"/>
    <s v="Alicorp S.A.A"/>
    <s v="CORIMANYA"/>
    <s v="LACUTA"/>
    <s v="FRANCISCO "/>
    <s v="MASCULINO"/>
    <n v="49"/>
    <s v="OPERARIO DE PRODUCCIÓN"/>
    <s v="-"/>
    <s v="El colaborador se encontraba en el 2do. Piso del área de Galletería Línea 1, turno mañana;  y al dirigirse a cruzar del lado frontal hacia el lado posterior de la envasadora Victoria 7 para brindar soporte a su compañero a quien se le acumulaba las galletas y se caian debido a que la maquina envasadora dejó de funcionami, hace uso de la escalera puente qué cuenta con baranda, una vez cruzado el puente  al momento de bajar las escaleras hacia lado posterior de la Victoria 7 , sufre un resbalón en el segundo peldaño,  por ello pierde el equilibrio y cae sentado en el peldaño, sufriendo un  golpe en la cadera.   "/>
    <s v="Caída a distinto nivel "/>
    <s v="Cadera "/>
    <s v="Cadera "/>
    <s v="Descenso por escaleras"/>
    <m/>
    <s v="Contusión/Trauma"/>
    <n v="3"/>
    <n v="0"/>
    <n v="3"/>
    <s v="Trabajando "/>
    <n v="263"/>
    <s v="&gt; 10 años"/>
    <s v="Escalera"/>
    <s v="CONTRATO INDEFINIDO "/>
  </r>
  <r>
    <n v="97"/>
    <s v="-"/>
    <s v="BOLIVIA"/>
    <x v="1"/>
    <m/>
    <s v="PPI"/>
    <x v="4"/>
    <x v="0"/>
    <s v="RECEPCIÓN DE GRANO"/>
    <x v="0"/>
    <s v="Acc. No Incapacitante"/>
    <d v="2024-05-13T00:00:00"/>
    <n v="20"/>
    <n v="13"/>
    <x v="4"/>
    <n v="2024"/>
    <d v="1899-12-30T20:30:00"/>
    <s v="T"/>
    <s v="Contratista"/>
    <s v="SEPE"/>
    <s v="GUZMAN"/>
    <s v="TORRICO"/>
    <s v="DENNIS"/>
    <s v="MASCULINO"/>
    <n v="27"/>
    <s v="Ayudante laboral"/>
    <d v="2017-02-25T00:00:00"/>
    <s v="El día 13 de mayo a las 20:30, aproximadamente, el contratista de la empresa SEPE se encontraba realizando las actividades para descarga de camión tipo tolva bitren con grano de soya en volcadora ubicada en la Fosa de descarga N°2 del área de Recepción de granos._x000a_Una vez concluida la descarga de la tolva del camión, el conductor del camión se percata que quedaba una pequeña cantidad de grano dentro de la tolva debido a que el segundo registro no abre totalmente, por lo que le indica al contratista pueda acceder para retirar el sobrante. El contratista realiza las indicaciones del conductor ingresando por el registro de la descarga de la tolva e ingresando al interior, luego se posiciona en los bordes del registro e intenta vaciar el grano restante, se resbala y golpea su rodilla derecha en la parte metálica de la descarga._x000a_Posterior al golpe, el contratista continúa sus actividades de descarga de camiones y más tarde se percata de que tiene una molestia en su rodilla, por lo que procede a revisarse y encuentra que tenía un leve corte superficial y comunica al operador del sector._x000a_La comunicación llega al Supervisor, quien llama a los servicios de paramédicos de Emercom, quienes asisten a la persona realizándole una limpieza y realizándole una sutura de 3 puntos._x000a_Luego de la atención el contratista concluye su turno y se retira de las instalaciones."/>
    <s v="Golpeado contra"/>
    <s v="Rodilla"/>
    <s v="Rodilla"/>
    <s v="DESCARGA DE CAMIONES CON GRANO"/>
    <s v="Herida cortanten superficial en rodilla"/>
    <s v="Corte/Herida"/>
    <n v="0"/>
    <n v="0"/>
    <n v="0"/>
    <s v="Trabajando"/>
    <n v="84"/>
    <s v="&lt; 1 a 5 años"/>
    <s v="Tapa de registro"/>
    <s v="CONTRATO A PLAZO FIJO"/>
  </r>
  <r>
    <n v="98"/>
    <m/>
    <s v="PERÚ"/>
    <x v="0"/>
    <s v="PREDIO CENTRAL"/>
    <s v="Otros"/>
    <x v="23"/>
    <x v="3"/>
    <s v="CDC"/>
    <x v="0"/>
    <s v="Acc. No Incapacitante"/>
    <d v="2024-05-29T00:00:00"/>
    <n v="22"/>
    <n v="29"/>
    <x v="4"/>
    <n v="2024"/>
    <d v="1899-12-30T08:37:00"/>
    <s v="D"/>
    <s v="PROPIO"/>
    <s v="Alicorp S.A.A."/>
    <s v="BERAUN"/>
    <s v="VILLODAS"/>
    <s v="BRYAN"/>
    <s v="MASCULINO"/>
    <n v="25"/>
    <s v="OPERADOR DE MONTACARGAS"/>
    <d v="2023-04-13T00:00:00"/>
    <s v="COLABORADOR REFIERE, QUE AL ENCONTRARSE LABORANDO, SE LE INTRODUCE UNA PEQUEÑA PARTICULA EN EL OJO IZQUIERDO, QUE LE OCASIONA MOLESTIA, S E LE REALIZA LAVADO OCULAR Y NO REQUIERE TRASLADO"/>
    <s v="Proyección de Material Particulado"/>
    <s v="OJO IZQUIERDO"/>
    <s v="Ojos"/>
    <s v="Descarga de sacos de harina"/>
    <s v="Cuerpo extraño en ojo"/>
    <s v="Cuerpo Extraño en Ojos"/>
    <n v="0"/>
    <m/>
    <m/>
    <s v="Trabajando "/>
    <n v="15"/>
    <s v="&lt; 1 a 5 años"/>
    <s v="Sacos de harina"/>
    <s v="CONTRATO TEMPORAL"/>
  </r>
  <r>
    <n v="99"/>
    <s v="-"/>
    <s v="BOLIVIA"/>
    <x v="1"/>
    <m/>
    <s v="PDF"/>
    <x v="1"/>
    <x v="6"/>
    <s v="Mantenimiento"/>
    <x v="0"/>
    <s v="Acc. No Incapacitante"/>
    <d v="2024-05-18T00:00:00"/>
    <n v="20"/>
    <n v="18"/>
    <x v="4"/>
    <n v="2024"/>
    <d v="1899-12-30T04:15:00"/>
    <s v="M"/>
    <s v="PROPIO"/>
    <s v="Alicorp S.A.A."/>
    <s v="CRUZ"/>
    <s v="CABEZAS"/>
    <s v="DEMETRIO"/>
    <s v="MASCULINO"/>
    <n v="35"/>
    <s v="Instrumentista"/>
    <d v="2012-08-11T00:00:00"/>
    <s v="Aproximadamente a las 04:15 horas, convoca el operador de secaderos al técnico electricista para que revise una falla eléctrica, inmediatamente se desplaza el técnico desde la preparación a secaderos ; al momento de transitar por el pasillo de acondicionador rotativo a post limpieza, esquina lado noroeste de la barda de solvente Tecnal pisa la plancha corrugada de protección de canal desagüe con el pie derecho resbalando, perdió la estabilidad y asentando con su rodilla izquierda la plancha, generándole una laceración en la rodilla izquierda._x000a_De inmediato comunica del resbalamiento, y se procede darle los primeros auxilios identificando solo una laceración generada por el impacto contra objeto agudo, después continua con su jornada laboral sin dificultad._x000a_Acción inmediata, limpieza del área e hidro lavado  y colocado de cinta antideslizantes de 50 mm.(safety walk)."/>
    <s v="Golpeado contra"/>
    <s v="Rodilla"/>
    <s v="Rodilla"/>
    <s v="Actividad rutinaria en puesto de trabajo"/>
    <s v="CUERPO EXTRAÑO EN EL CUERPO CILIAR(OJO)"/>
    <s v="Cuerpo Extraño en Ojos"/>
    <n v="0"/>
    <n v="0"/>
    <n v="0"/>
    <s v="Trabajando"/>
    <n v="61"/>
    <s v="&lt; 5 a 10 años"/>
    <s v="Partícula"/>
    <s v="CONTRATO A PLAZO FIJO"/>
  </r>
  <r>
    <n v="100"/>
    <s v="-"/>
    <s v="PERÚ"/>
    <x v="2"/>
    <s v="Distrito de Lurín"/>
    <s v="Intradevco"/>
    <x v="16"/>
    <x v="0"/>
    <s v="Empacado detergente"/>
    <x v="0"/>
    <s v="Acc. No Incapacitante"/>
    <d v="2024-05-07T00:00:00"/>
    <n v="19"/>
    <n v="7"/>
    <x v="4"/>
    <n v="2024"/>
    <d v="1899-12-30T09:10:00"/>
    <s v="D"/>
    <s v="Service"/>
    <s v="Grupo Consulting"/>
    <s v="SANDOVAL"/>
    <s v=" RENGIFO"/>
    <s v="JORGE  LUIS"/>
    <s v="MASCULINO"/>
    <n v="24"/>
    <s v="OPERARIO DE PRODUCCIÓN"/>
    <d v="2024-03-05T00:00:00"/>
    <s v="El colaborador  Jorge Luis Sandoval Renfigo CA. se encontraba apilando en la Vai, al momento de retirarse Gira y se golpea su codo derecho contra la Ruma de las paletas "/>
    <s v="Golpeado contra"/>
    <s v="CODO DERECHO"/>
    <s v="Brazo/Codo/Hombro"/>
    <s v="Apilado de bolsas"/>
    <s v="Contusion"/>
    <s v="Contusión/Trauma"/>
    <n v="0"/>
    <n v="0"/>
    <n v="0"/>
    <s v="Trabajando"/>
    <n v="2"/>
    <s v="&lt; 1 a 3 meses"/>
    <s v="PALETA"/>
    <s v="CONTRATO TEMPORAL"/>
  </r>
  <r>
    <n v="101"/>
    <s v="-"/>
    <s v="PERÚ"/>
    <x v="2"/>
    <s v="Distrito de Lurín"/>
    <s v="Intradevco"/>
    <x v="16"/>
    <x v="0"/>
    <s v="Empacado detergente"/>
    <x v="0"/>
    <s v="Acc. No Incapacitante"/>
    <d v="2024-05-08T00:00:00"/>
    <n v="19"/>
    <n v="8"/>
    <x v="4"/>
    <n v="2024"/>
    <d v="1899-12-30T02:50:00"/>
    <s v="N"/>
    <s v="Service"/>
    <s v="Grupo Consulting"/>
    <s v="Tercero"/>
    <s v="Tercero"/>
    <s v="Tercero"/>
    <s v="MASCULINO"/>
    <n v="24"/>
    <s v="OPERARIO DE PRODUCCIÓN"/>
    <d v="2024-01-01T00:00:00"/>
    <s v="Colaborador se encontraba realizando la actividad de sellado en la línea de la máquina neumopack #01 y su compañero estaba golpeando el ducto en plataforma para que baje el producto, por lo que se proyecta detergente y genera que le ingrese a sus ojos causándole irritación "/>
    <s v="Proyección de Material Particulado"/>
    <s v="OJOS"/>
    <s v="Ojos"/>
    <s v="sellado de bolsas"/>
    <s v="Cuerpo Extraño en Ojos"/>
    <s v="Cuerpo Extraño en Ojos"/>
    <n v="0"/>
    <n v="0"/>
    <n v="0"/>
    <s v="Trabajando"/>
    <m/>
    <m/>
    <s v="Particulas de detergente"/>
    <s v="CONTRATO TEMPORAL"/>
  </r>
  <r>
    <n v="102"/>
    <s v="-"/>
    <s v="PERÚ"/>
    <x v="2"/>
    <s v="Distrito de Lurín"/>
    <s v="Intradevco"/>
    <x v="16"/>
    <x v="0"/>
    <s v="Manufactura detergentes"/>
    <x v="0"/>
    <s v="Acc. No Incapacitante"/>
    <d v="2024-05-14T00:00:00"/>
    <n v="20"/>
    <n v="14"/>
    <x v="4"/>
    <n v="2024"/>
    <d v="1899-12-30T03:00:00"/>
    <s v="N"/>
    <s v="Service"/>
    <s v="Grupo Consulting"/>
    <s v="ROJAS"/>
    <s v=" HUANUIRI"/>
    <s v=" MARDEN"/>
    <s v="MASCULINO"/>
    <n v="49"/>
    <s v="OPERARIO DE PRODUCCIÓN"/>
    <d v="2024-03-12T00:00:00"/>
    <s v="El colaborador Marpen Rojas Guanoyre CA. menciona al momento de empujar el coche, se abrió la compuerta y le cayo detergente en todo el cuerpo, generandole picazón en la vista, cabe mencionar que estában los dos coches llenos, y la compuerta se abre cada 30 segundos automáticamente, justo cuando el empuja se abre la compuerta, fue una mala coordinación. _x000a_Asimismo el colaborador no tenía conocimiento que la compuerta se abre automáticamente. "/>
    <s v="Proyección de Material Particulado"/>
    <s v="OJOS"/>
    <s v="Ojos"/>
    <s v="manipulacion de coches"/>
    <s v="Cuerpo Extraño en Ojos"/>
    <s v="Cuerpo Extraño en Ojos"/>
    <n v="0"/>
    <n v="0"/>
    <n v="0"/>
    <s v="Trabajando"/>
    <n v="2"/>
    <s v="&lt; 1 a 3 meses"/>
    <s v="Particulas de detergente"/>
    <s v="CONTRATO TEMPORAL"/>
  </r>
  <r>
    <n v="103"/>
    <s v="-"/>
    <s v="PERÚ"/>
    <x v="2"/>
    <s v="Distrito de Lurín"/>
    <s v="Intradevco"/>
    <x v="16"/>
    <x v="0"/>
    <s v="Empacado detergente"/>
    <x v="0"/>
    <s v="Acc. No Incapacitante"/>
    <d v="2024-05-14T00:00:00"/>
    <n v="20"/>
    <n v="14"/>
    <x v="4"/>
    <n v="2024"/>
    <d v="1899-12-30T17:30:00"/>
    <s v="D"/>
    <s v="Service"/>
    <s v="Grupo Consulting"/>
    <s v="MENDOZA"/>
    <s v=" QUIÑONES"/>
    <s v=" PEDRO ALEXANDER"/>
    <s v="MASCULINO"/>
    <n v="27"/>
    <s v="OPERARIO DE PRODUCCIÓN"/>
    <d v="2024-01-02T00:00:00"/>
    <s v="Colaborador se encontraba haciendo la actividad de doblado de sacos para pasarlo a cosedora, al momento de su compañero quitar el aire, la base hace polución y le ingresa partículas al ojo izquierdo. Se dirige al lavaojos por 15 minutos, pero al cabo de ésta sigue con sensación de ardor."/>
    <s v="Proyección de Material Particulado"/>
    <s v="OJO IZQUIERDO"/>
    <s v="Ojos"/>
    <s v="doblado de sacos"/>
    <s v="Cuerpo Extraño en Ojos"/>
    <s v="Cuerpo Extraño en Ojos"/>
    <n v="0"/>
    <n v="0"/>
    <n v="0"/>
    <s v="Trabajando"/>
    <n v="4"/>
    <s v="&lt; 3 a 6 meses"/>
    <s v="Particulas de detergente"/>
    <s v="CONTRATO TEMPORAL"/>
  </r>
  <r>
    <n v="104"/>
    <s v="-"/>
    <s v="PERÚ"/>
    <x v="2"/>
    <s v="Distrito de Lurín"/>
    <s v="Intradevco"/>
    <x v="16"/>
    <x v="0"/>
    <s v="Empacado detergente"/>
    <x v="0"/>
    <s v="Acc. No Incapacitante"/>
    <d v="2024-05-21T00:00:00"/>
    <n v="21"/>
    <n v="21"/>
    <x v="4"/>
    <n v="2024"/>
    <d v="1899-12-30T17:00:00"/>
    <s v="D"/>
    <s v="Service"/>
    <s v="Grupo Consulting"/>
    <s v="PAIMA"/>
    <s v="AMASIFUEN "/>
    <s v="GUILMEL"/>
    <s v="MASCULINO"/>
    <n v="32"/>
    <s v="OPERARIO DE PRODUCCIÓN"/>
    <d v="2024-04-12T00:00:00"/>
    <s v="Colaborador Paima Amasifuen Guimer se encontraban realizando la actividad de sellado en sellapack de la máquina VAI, al momento de querer retirar la bolsa, se golpea contra la mordaza el dedo pulgar izquierdo, (tenía puesto sus guantes g-60), ésto suede por querer avanzar rápidamente ya que las bolsas se le estaban acumulando en la mesa._x000a_Cabe resaltar que no dio aviso en su momento porque no sentía molestias, al cabo de hora comunica lo sucedido. Siendo su dolor una intensidad 5/10._x000a_Como dato adicional, colaborador tiene una deformidad en dedos de las manos, menciona que tiene las tiene así desde pequeño."/>
    <s v="Golpeado contra"/>
    <s v="PULGAR IZQUIERDO"/>
    <s v="Mano/Muñeca/Dedos"/>
    <s v="sellado de bolsas"/>
    <s v="Contusion"/>
    <s v="Contusión/Trauma"/>
    <n v="0"/>
    <n v="0"/>
    <n v="0"/>
    <s v="Trabajando"/>
    <n v="1"/>
    <s v="&lt; 1 a 3 meses"/>
    <s v="selladora"/>
    <s v="CONTRATO TEMPORAL"/>
  </r>
  <r>
    <n v="105"/>
    <s v="-"/>
    <s v="PERÚ"/>
    <x v="2"/>
    <s v="Distrito de Lurín"/>
    <s v="Intradevco"/>
    <x v="16"/>
    <x v="0"/>
    <s v="Lavavajilla"/>
    <x v="0"/>
    <s v="Acc. No Incapacitante"/>
    <d v="2024-05-27T00:00:00"/>
    <n v="22"/>
    <n v="27"/>
    <x v="4"/>
    <n v="2024"/>
    <d v="1899-12-30T06:15:00"/>
    <s v="N"/>
    <s v="Service"/>
    <s v="Grupo Consulting"/>
    <s v="CAMACHO"/>
    <s v=" ORTIZ"/>
    <s v=" LUIS MANUEL"/>
    <s v="MASCULINO"/>
    <n v="26"/>
    <s v="OPERARIO DE PRODUCCIÓN"/>
    <d v="2024-04-10T00:00:00"/>
    <s v="Colaborador Camacho Ortiz Luis se encontraba colocando film a la paleta de sacos de tiza para que sea retirado del área. Estaba cerca de la batidora N°4 y su pie derecho se queda enredado entre la batidora  y paleta generando caída. Se golpea mano derecha sintiendo dolor en dedos meñique y anular con intensidad 6/10"/>
    <s v="Caída al mismo nivel"/>
    <s v="DEDO MEÑIQUE Y ANULAR DERECHO"/>
    <s v="Mano/Muñeca/Dedos"/>
    <s v="enfilado de paleta"/>
    <s v="Contusion"/>
    <s v="Contusión/Trauma"/>
    <n v="0"/>
    <n v="0"/>
    <n v="0"/>
    <s v="Trabajando"/>
    <n v="1"/>
    <s v="&lt; 1 a 3 meses"/>
    <s v="paleta"/>
    <s v="CONTRATO TEMPORAL"/>
  </r>
  <r>
    <n v="106"/>
    <s v="-"/>
    <s v="PERÚ"/>
    <x v="2"/>
    <s v="Distrito de Lurín"/>
    <s v="Intradevco"/>
    <x v="16"/>
    <x v="0"/>
    <s v="Lavavajilla"/>
    <x v="0"/>
    <s v="Acc. No Incapacitante"/>
    <d v="2024-05-30T00:00:00"/>
    <n v="22"/>
    <n v="30"/>
    <x v="4"/>
    <n v="2024"/>
    <d v="1899-12-30T03:14:00"/>
    <s v="N"/>
    <s v="Service"/>
    <s v="Grupo Consulting"/>
    <s v="AMAZIFUEN"/>
    <s v="PEREZ"/>
    <s v="MARIA NATIVIDAD"/>
    <s v="FEMENINO"/>
    <n v="27"/>
    <s v="OPERARIO DE PRODUCCIÓN"/>
    <d v="2023-05-31T00:00:00"/>
    <s v="Colaboradora se encontraba realizando la actividad de esponjado y su compañero abastecedor al pasar con 2 paquetes de cajas para colocar en la línea (25 unidades cada una) se posiciona cerca de ella ya que no tenía espacio y choca con el abastecedor de la otra línea quien también se encontraba realizando la misma actividad, por lo que ante ello inclina los paquetes y uno de ellos cae en su cabeza generando impacto con las esquinas de las cajas, siendo su dolor 2/10 y a su vez produce mareos"/>
    <s v="Golpeado por"/>
    <s v="CABEZA"/>
    <s v="Cabeza"/>
    <s v="colocacion de esponjas"/>
    <s v="Contusion"/>
    <s v="Contusión/Trauma"/>
    <n v="0"/>
    <n v="0"/>
    <n v="0"/>
    <s v="Trabajando"/>
    <n v="0"/>
    <s v="&lt; 1 mes"/>
    <s v="CAJAS DE CARTON"/>
    <s v="CONTRATO TEMPORAL"/>
  </r>
  <r>
    <n v="107"/>
    <s v="-"/>
    <s v="PERÚ"/>
    <x v="2"/>
    <s v="Distrito de Lurín"/>
    <s v="Intradevco"/>
    <x v="16"/>
    <x v="0"/>
    <s v="Detergente"/>
    <x v="0"/>
    <s v="Acc. No Incapacitante"/>
    <d v="2024-05-30T00:00:00"/>
    <n v="22"/>
    <n v="30"/>
    <x v="4"/>
    <n v="2024"/>
    <d v="1899-12-30T18:50:00"/>
    <s v="D"/>
    <s v="Service"/>
    <s v="Grupo Consulting"/>
    <s v="RUITON"/>
    <s v=" TUTUMI"/>
    <s v=" FLOR DE MARIA"/>
    <s v="FEMENINO"/>
    <n v="54"/>
    <s v="OPERARIO DE PRODUCCIÓN"/>
    <d v="2022-05-12T00:00:00"/>
    <s v="Colaboradora registró su asistencia ya que ingresaba a turno nocturno y al retirarse del tareo para dirigirse a los vestuarios pasa por detrás de la acumulación de personas que hacían cola, generando que pise el filo de la rampa lo que ocasiona que pierda el equilibrio y se resbale. Su caída genera golpes de ambas rodillas con intensidad de dolor 2/10, se evidencia enrojecimiento sin aumento de volumen "/>
    <s v="Caída al mismo nivel"/>
    <s v="RODILLAS"/>
    <s v="Rodilla"/>
    <s v="Ingreso a las instalaciones"/>
    <s v="Contusion"/>
    <s v="Contusión/Trauma"/>
    <n v="0"/>
    <n v="0"/>
    <n v="0"/>
    <s v="Trabajando"/>
    <n v="1"/>
    <s v="&lt; 1 a 5 años"/>
    <s v="piso"/>
    <s v="CONTRATO TEMPORAL"/>
  </r>
  <r>
    <n v="108"/>
    <s v="-"/>
    <s v="PERÚ"/>
    <x v="2"/>
    <s v="Distrito de Lurín"/>
    <s v="Intradevco"/>
    <x v="16"/>
    <x v="0"/>
    <s v="Lavavajilla"/>
    <x v="0"/>
    <s v="Acc. No Incapacitante"/>
    <d v="2024-06-03T00:00:00"/>
    <n v="23"/>
    <n v="3"/>
    <x v="6"/>
    <n v="2024"/>
    <d v="1899-12-30T18:24:00"/>
    <s v="D"/>
    <s v="Service"/>
    <s v="Grupo Consulting"/>
    <s v="RIVERA"/>
    <s v=" JULCA"/>
    <s v=" MARIA"/>
    <s v="FEMENINO"/>
    <n v="33"/>
    <s v="OPERARIO DE PRODUCCIÓN"/>
    <d v="2024-01-03T00:00:00"/>
    <s v="Colaboradora se encontraba realizando la actividad de esponjado y de pronto el asiento de la silla se hunde generando su caída hacia atrás dado que no tenía de dónde sujetarse. Refiere dolor en codo derecho, glúteos y costillas, enrojecimiento sin volumen, intensidad de dolor 5/10 ._x000a_Cabe mencionar que una de las patas de la silla está doblada "/>
    <s v="Caída al mismo nivel"/>
    <s v="CODO DERECHO"/>
    <s v="Brazo/Codo/Hombro"/>
    <s v="colocacion de esponjas"/>
    <s v="Contusion"/>
    <s v="Contusión/Trauma"/>
    <n v="0"/>
    <n v="0"/>
    <n v="0"/>
    <s v="Trabajando"/>
    <n v="5"/>
    <s v="&lt; 3 a 6 meses"/>
    <s v="silla"/>
    <s v="CONTRATO TEMPORAL"/>
  </r>
  <r>
    <n v="109"/>
    <s v="-"/>
    <s v="PERÚ"/>
    <x v="4"/>
    <s v="Sicaya"/>
    <s v="Teal"/>
    <x v="21"/>
    <x v="0"/>
    <s v="Planta Molino"/>
    <x v="0"/>
    <s v="Acc. No Incapacitante"/>
    <d v="2024-06-05T00:00:00"/>
    <n v="23"/>
    <n v="5"/>
    <x v="6"/>
    <n v="2024"/>
    <d v="1899-12-30T10:00:00"/>
    <s v="D"/>
    <s v="Service"/>
    <s v="Nexos"/>
    <s v="RUIZ"/>
    <s v="SANTAMARIA"/>
    <s v="CESAR AUGUSTO"/>
    <s v="MASCULINO"/>
    <n v="29"/>
    <s v="OPERARIO DE ESTIBA PT"/>
    <d v="2024-05-02T00:00:00"/>
    <s v="En circunstancias el colaborador Cesar Ruiz Santamaria,  se encontraba  acomodando la paleta que estaba en el piso, levantando por un extremo,  se desprende la madera ocasionando la caída libre de la paleta sobre los pies del colaborador, golpeando el empeine del pie izquierdo teniendo una contusión leve."/>
    <s v="Golpeado por"/>
    <s v="PIE IZQUIERDO"/>
    <s v="Pie/Tobillo"/>
    <s v="Paletizado de sacos de harina"/>
    <s v="Contusión"/>
    <s v="Contusión/Trauma"/>
    <n v="0"/>
    <n v="0"/>
    <n v="0"/>
    <s v="Trabajando"/>
    <n v="24"/>
    <s v="&lt; 1 a 5 años"/>
    <s v="Parihuela de madera"/>
    <s v="CONTRATO TEMPORAL"/>
  </r>
  <r>
    <n v="110"/>
    <s v="-"/>
    <s v="PERÚ"/>
    <x v="0"/>
    <s v="MCA"/>
    <s v="Molinos Lima"/>
    <x v="22"/>
    <x v="0"/>
    <s v="Producción"/>
    <x v="1"/>
    <s v="Acc. Incapacitante"/>
    <d v="2024-06-19T00:00:00"/>
    <n v="25"/>
    <n v="19"/>
    <x v="6"/>
    <n v="2024"/>
    <d v="1899-12-30T09:45:00"/>
    <s v="D"/>
    <s v="PROPIO"/>
    <s v="Alicorp S.A.A"/>
    <s v="REYES"/>
    <s v="AGRAMONTE"/>
    <s v="ANDHY LUIS"/>
    <s v="MASCULINO"/>
    <n v="46"/>
    <s v="OPERADOR DE PLANTA"/>
    <s v="-"/>
    <s v="El trabajador se encontraba realizando la tarea de limpieza de los Twin en el área de Embolsado ubicado en el 7mo piso, antes de culminar con la limpieza del área el colaborador el personal se bajó al 2do piso del Embolsado para traer materiales de limpieza (escobas) sin encontrar material, posterior sube usando las escaleras del edificio de Embolsado. Al subir por las escaleras desde el 6to piso al 7mo piso el trabajador pisa en falso, el trabajador comunicó el suceso al inspector de Calidad, quien llama a los monitores de Producción Aldo Moreano Ronal Moreano e inspector de seguridad de turno Jorge Hoffman quién activó el protocolo de emergencia. El trabajador recibió los primeros auxilios por parte del inspector de seguridad, mientras llegaba la ambulancia Cardio móvil; luego de la evaluación del personal de Cardiomóvil se decide trasladarlo a la Clínica San Gabriel junto al monitor de producción._x000a_"/>
    <s v="Caída a distinto nivel"/>
    <s v="RODILLA DERECHA"/>
    <s v="Rodilla"/>
    <s v="Subiendo Escaleras"/>
    <s v="Contusión"/>
    <s v="Contusión/Trauma"/>
    <n v="28"/>
    <n v="0"/>
    <n v="28"/>
    <s v="Trabajando"/>
    <n v="60"/>
    <s v="&lt; 5 a 10 años"/>
    <s v="Escalera"/>
    <s v="CONTRATO INDEFINIDO"/>
  </r>
  <r>
    <n v="111"/>
    <s v="-"/>
    <s v="PERÚ"/>
    <x v="2"/>
    <s v="Distrito de Lurín"/>
    <s v="Intradevco"/>
    <x v="16"/>
    <x v="0"/>
    <s v="Empacado detergente"/>
    <x v="0"/>
    <s v="Acc. No Incapacitante"/>
    <d v="2024-06-06T00:00:00"/>
    <n v="23"/>
    <n v="6"/>
    <x v="6"/>
    <n v="2024"/>
    <d v="1899-12-30T04:00:00"/>
    <s v="N"/>
    <s v="Service"/>
    <s v="Grupo Consulting"/>
    <s v="YARLAQUE"/>
    <s v=" BENITES"/>
    <s v=" RONALD FABIAN"/>
    <s v="MASCULINO"/>
    <n v="29"/>
    <s v="OPERARIO DE PRODUCCIÓN"/>
    <d v="2023-09-20T00:00:00"/>
    <s v="Colaborador se encontraba realizando cambio de bobina en máquina enfardadora número 14, al momento de colocar la varilla del lado izquierdo se produce un aplastamiento y debido a ello una herida con abertura en el dedo índice (parte dorsal, 2da falange) de la mano del mismo lado, cabe mencionar que este cambio lo realizó sin tener puesto sus guantes de seguridad y de manera apresurada ya que desde mezzanine lo estaban apurando en realizar el cambio (recién llegaba de los sshh)_x000a_Éste hecho sucedió a las 4am aproximadamente, colaborador no dio aviso, sino hasta las 6am que el coordinador del área se percató del corte que tenía en el dedo. _x000a_- Ésta actividad la realizan sin apoyo._x000a_- Tiene aproximadamente 2 meses aprendiendo el manejo de máquina con un compañero, y desde esta semana se encuentra en línea 2, el supervisor le estuvo dando soporte en varias ocasiones durante su turno."/>
    <s v="Atrapado por"/>
    <s v="DEDO INDICE IZQUIERDO"/>
    <s v="Mano/Muñeca/Dedos"/>
    <s v="Cambio de bobina"/>
    <s v="Contusión"/>
    <s v="Contusión/Trauma"/>
    <n v="0"/>
    <n v="0"/>
    <n v="0"/>
    <s v="Trabajando"/>
    <n v="8"/>
    <s v="&lt; 0.5 a 1 año"/>
    <s v="Bobina"/>
    <m/>
  </r>
  <r>
    <n v="112"/>
    <s v="-"/>
    <s v="PERÚ"/>
    <x v="2"/>
    <s v="Distrito de Lurín"/>
    <s v="Intradevco"/>
    <x v="16"/>
    <x v="0"/>
    <s v="Lavavajilla"/>
    <x v="0"/>
    <s v="Acc. No Incapacitante"/>
    <d v="2024-06-17T00:00:00"/>
    <n v="25"/>
    <n v="17"/>
    <x v="6"/>
    <n v="2024"/>
    <d v="1899-12-30T10:45:00"/>
    <s v="D"/>
    <s v="Service"/>
    <s v="Grupo Consulting"/>
    <s v="PECHO"/>
    <s v="ALVA"/>
    <s v="JESUS"/>
    <s v="MASCULINO"/>
    <n v="41"/>
    <s v="OPERARIO DE PRODUCCIÓN"/>
    <d v="2024-03-12T00:00:00"/>
    <s v="_x000a_El colaborador JESUS PECHO ALVA se encontraba sosteniendo la escalera de tijera a su compañero, quien iba a realizar la colocación de manguera en tubería por donde se transporta el aire comprimido, sólo se cuenta con una llave que es la general, y ésta no se cierra para hacer la actividad, ya que al realizarlo lo que se ocasiona es el paro de todas las líneas._x000a_Lo que hacen es el doblez de manguera en dos puntos para cortar el aire, el compañero suelta la manguera para hacer la conexión, y es ahí donde se ocasiona el escape de aire con crema que se encontraba en el último tramo, dirigiéndose éste directamente al rostro del colaborador que se encontraba sujetando la escalera, la fuerza con la que se dio, hizo que sus lentes de seguridad salieran proyectados."/>
    <s v="Proyección de Sustancias Químicas"/>
    <s v="Ojos"/>
    <s v="Ojos"/>
    <s v="Sostenimiento de escalera"/>
    <s v="Cuerpo extraño en cuerpo ciliar."/>
    <s v="Cuerpo Extraño en Ojos"/>
    <n v="0"/>
    <n v="0"/>
    <n v="0"/>
    <s v="Trabajando"/>
    <n v="3"/>
    <s v="&lt; 1 a 3 meses"/>
    <s v="crema lavavajilla"/>
    <s v="CONTRATO TEMPORAL"/>
  </r>
  <r>
    <n v="113"/>
    <s v="-"/>
    <s v="PERÚ"/>
    <x v="2"/>
    <s v="Distrito de Lurín"/>
    <s v="Intradevco"/>
    <x v="16"/>
    <x v="0"/>
    <s v="Empacado detergente"/>
    <x v="0"/>
    <s v="Acc. No Incapacitante"/>
    <d v="2024-06-19T00:00:00"/>
    <n v="25"/>
    <n v="19"/>
    <x v="6"/>
    <n v="2024"/>
    <d v="1899-12-30T09:45:00"/>
    <s v="D"/>
    <s v="Service"/>
    <s v="Grupo Consulting"/>
    <s v="VILCA"/>
    <s v="QUISPE"/>
    <s v="CARLOS"/>
    <s v="MASCULINO"/>
    <n v="40"/>
    <s v="OPERARIO DE PRODUCCIÓN"/>
    <d v="2024-06-17T00:00:00"/>
    <s v="_x000a_Colaborador Vilca Quispe Carlos se encontraba realizando la actividad de colocación y retiro de bolsones en la máquina neumopack 01, al querer realizar el retiro de un bolsón, es golpeado por la contadora de metal, éste gira automáticamente cuando el bolsón está lleno (en ese momento se estaba realizando el formato 1600kg - 6 deterguentes por bolsón, el giro que da es relativamente lento) ésto sucede porque el colaborador tarda en hacer el retiro del bolsón y contadora le gana produciéndose así el golpe/atrapamiento en parte dorsal de la mano izquierda (debido a la reacción que tuvo, el querer sacar la mano, es que se da el atrapamiento)"/>
    <s v="Atrapado por Partes en Movimiento"/>
    <s v="Mano izquierda"/>
    <s v="Mano/Muñeca/Dedos"/>
    <s v="Colocacion de bolsones"/>
    <s v="_x000a_Contusión de otras partes de la muñeca y la mano."/>
    <s v="Contusión/Trauma"/>
    <n v="0"/>
    <n v="0"/>
    <n v="0"/>
    <s v="Trabajando"/>
    <n v="0.06"/>
    <s v="&lt; 1 mes"/>
    <s v="Contador de bolsones"/>
    <s v="CONTRATO TEMPORAL"/>
  </r>
  <r>
    <n v="114"/>
    <s v="-"/>
    <s v="PERÚ"/>
    <x v="2"/>
    <s v="Distrito de Lurín"/>
    <s v="Intradevco"/>
    <x v="16"/>
    <x v="0"/>
    <s v="Empacado detergente"/>
    <x v="0"/>
    <s v="Acc. No Incapacitante"/>
    <d v="2024-06-19T00:00:00"/>
    <n v="25"/>
    <n v="19"/>
    <x v="6"/>
    <n v="2024"/>
    <d v="1899-12-30T10:29:00"/>
    <s v="D"/>
    <s v="Service"/>
    <s v="Grupo Consulting"/>
    <s v="ZAMBRANO"/>
    <s v="TACUCHI"/>
    <s v="WILMER"/>
    <s v="MASCULINO"/>
    <n v="30"/>
    <s v="OPERARIO DE PRODUCCIÓN"/>
    <d v="2024-06-19T00:00:00"/>
    <s v="_x000a_El colaborador Zambrano Tacuchi Wilmer se encontraba realizando la actividad de abastecimiento se sacos en ducto automático._x000a_Éste se percata que el abastecedor de producto se retiró para ver que sacos estaban saliendo mal cocidos y es ahí donde toma la decisión colocar un saco, presiona la palanca con mano derecha y su mano izquierda queda cerca al sellador, produciéndose un aplastamiento en dedo pulgar._x000a_- Cabe resaltar que al colaborador no le dieron la indicación de realizar esa actividad, por ello no contaba con inducción."/>
    <s v="Atrapado por Partes en Movimiento"/>
    <s v="Pulgar izquierdo"/>
    <s v="Mano/Muñeca/Dedos"/>
    <s v="Colocacion de sacos"/>
    <s v="_x000a_Contusión en dedo."/>
    <s v="Contusión/Trauma"/>
    <n v="0"/>
    <n v="0"/>
    <n v="0"/>
    <s v="Trabajando"/>
    <m/>
    <m/>
    <s v="Envasadora de sacos"/>
    <s v="CONTRATO TEMPORAL"/>
  </r>
  <r>
    <n v="115"/>
    <s v="-"/>
    <s v="PERÚ"/>
    <x v="2"/>
    <s v="Distrito de Lurín"/>
    <s v="Intradevco"/>
    <x v="16"/>
    <x v="0"/>
    <s v="Empacado detergente"/>
    <x v="1"/>
    <s v="Acc. Incapacitante"/>
    <d v="2024-06-20T00:00:00"/>
    <n v="25"/>
    <n v="20"/>
    <x v="6"/>
    <n v="2024"/>
    <d v="1899-12-30T08:40:00"/>
    <s v="D"/>
    <s v="Service"/>
    <s v="Grupo Consulting"/>
    <s v="MEZA"/>
    <s v="ROSALES"/>
    <s v="EZEQUIEL"/>
    <s v="MASCULINO"/>
    <n v="24"/>
    <s v="OPERARIO DE PRODUCCIÓN"/>
    <d v="2024-01-23T00:00:00"/>
    <s v="Colaborador se encontraba realizando la actividades de apilado, sellado y colocación de bolsas en la sagbil 39, la máquina había parado por merma y al dar nuevamente el arranque el colaborador observa que la lámina se quedó atascada tomando la iniciativa de introducir su mano por debajo de la guarda y acomodarlo estando ésta en funcionamiento, es ahí donde su dedo índice de la mano izquierda es cortado por la mordaza de la máquina, acto seguido su compañero se percata de lo sucedido y apaga el equipo._x000a_- Colaborador se encontraba sin sus guantes de seguridad._x000a_- No se le dio la indicación de realizar trabajos en máquina, ya que no cuenta con inducción."/>
    <s v="Atrapado por Partes en Movimiento"/>
    <s v="Indice izquierdo"/>
    <s v="Mano/Muñeca/Dedos"/>
    <s v="Desatoro de lamina"/>
    <s v="Herida de dedo con daño en la uña"/>
    <s v="Contusión/Trauma"/>
    <n v="68"/>
    <n v="0"/>
    <n v="68"/>
    <s v="Descanso Médico"/>
    <n v="5"/>
    <s v="&lt; 3 a 6 meses"/>
    <s v="Envasadora de detergente"/>
    <s v="CONTRATO TEMPORAL"/>
  </r>
  <r>
    <n v="116"/>
    <s v="-"/>
    <s v="PERÚ"/>
    <x v="0"/>
    <s v="CENTRAL"/>
    <s v="Galletería"/>
    <x v="0"/>
    <x v="0"/>
    <s v="Comedor Galletera"/>
    <x v="0"/>
    <s v="Acc. No Incapacitante"/>
    <d v="2024-06-20T00:00:00"/>
    <n v="25"/>
    <n v="20"/>
    <x v="6"/>
    <n v="2024"/>
    <d v="1899-12-30T20:40:00"/>
    <s v="T"/>
    <s v="Service"/>
    <s v="PROLABORA"/>
    <s v="ILLESCAS"/>
    <s v="TARRAGA"/>
    <s v="SUSANA"/>
    <s v="FEMENINO"/>
    <n v="29"/>
    <s v="OPERARIO DE PRODUCCIÓN"/>
    <d v="1997-09-22T00:00:00"/>
    <s v="Al promediar las 9:10 pm la trabajadora Susana Illescas, operaria de la Línea 4, se encontraba en el comedor correspondiente al área de Galletera. Al terminar de _x000a_cenar guarda su táper en la conservadora del comedor, se dispone a regresar a planta y es cuando camina hacia la puerta de salida, pasa cerca a los microondas _x000a_y que observa la señalética de Pisos Resbalosos, pero decide caminar al costado del mismo. _x000a_A consecuencia de ello se resbala y cae al piso, todo el peso de su cuerpo cae en su codo derecho, personal que se encontraba en el mismo lugar la ayudan a _x000a_levantarse. La trabajadora se dirige a informar al supervisor de turno, el supervisor enterado de lo ocurrido va a darle el alcance y la dirige al tópico para ser _x000a_evaluada. Al llegar al tópico, el personal de salud del cliente limpia el raspón que se ocasionó, coloca crema en el codo y por último le brinda una pastilla para el _x000a_dolor. La trabajadora regresa a planta a continuar con sus labores"/>
    <s v="Caída al mismo nivel"/>
    <s v="Brazo derecho"/>
    <s v="Brazo/Codo/Hombro"/>
    <s v="Transito peatonal"/>
    <s v="Contusión Leve"/>
    <s v="Contusión/Trauma"/>
    <n v="0"/>
    <n v="0"/>
    <n v="0"/>
    <s v="Trabajando"/>
    <m/>
    <s v="&lt; 1 a 5 años"/>
    <s v="Piso Humedo"/>
    <s v="CONTRATO TEMPORAL"/>
  </r>
  <r>
    <n v="117"/>
    <s v="ICH24163"/>
    <s v="PERÚ"/>
    <x v="2"/>
    <s v="Distrito de Chorrillos"/>
    <s v="Intradevco"/>
    <x v="6"/>
    <x v="7"/>
    <s v="Comedor Intralab 2"/>
    <x v="1"/>
    <s v="Acc. Incapacitante"/>
    <d v="2024-06-20T00:00:00"/>
    <n v="25"/>
    <n v="20"/>
    <x v="6"/>
    <n v="2024"/>
    <d v="1899-12-30T21:30:00"/>
    <s v="N"/>
    <s v="Tercero - Comedor"/>
    <s v="RYO"/>
    <s v="SANCHEZ"/>
    <s v="ANDAMAYO"/>
    <s v="LIVIA"/>
    <s v="FEMENINO"/>
    <n v="49"/>
    <s v="COCINERA"/>
    <s v="-"/>
    <s v="Siendo las 20:30 horas aproximadamente, la colaboradora de la empresa encargada de comedores R&amp;O, Sra Livia Sanchez, se encontraba sellando un trozo de cerdo congelado, en un perol con aceite caliente, en este instante, el agua que tiene el cerdo congelado reacciona con el aceite, salpicando sobre la muñeca y el rostro de la trabajadora. De inmediato la colaboradora se dirige al lavadero y se aplica agua fría sobre la zona afectada._x000a_Al ser comunicado al inspector de SST en turno, este se acerca y atiende al accidentado, haciendo limpieza de la zona afectada y aplicando sulfadiazina de plata._x000a_"/>
    <s v="Proyección de Material Particulado"/>
    <s v="Cara y brazo"/>
    <s v="Rostro/Nariz/Boca"/>
    <s v="Preparación de alimentos"/>
    <s v="Quemadura de segundo grado en rostro y manos"/>
    <s v="Quemadura por Temperatura"/>
    <n v="17"/>
    <n v="0"/>
    <n v="17"/>
    <s v="Trabajando"/>
    <n v="17"/>
    <m/>
    <s v="Cocina"/>
    <m/>
  </r>
  <r>
    <n v="118"/>
    <s v="-"/>
    <s v="PERÚ"/>
    <x v="0"/>
    <s v="CENTRAL"/>
    <s v="Galletería"/>
    <x v="0"/>
    <x v="0"/>
    <s v="Linea 1"/>
    <x v="0"/>
    <s v="Acc. No Incapacitante"/>
    <d v="2024-06-21T00:00:00"/>
    <n v="25"/>
    <n v="21"/>
    <x v="6"/>
    <n v="2024"/>
    <d v="1899-12-30T08:30:00"/>
    <s v="D"/>
    <s v="PROPIO"/>
    <s v="Alicorp S.A.A."/>
    <s v="ROSALES"/>
    <s v="CRISPIN"/>
    <s v="DINA NOEMI"/>
    <s v="FEMENINO"/>
    <n v="34"/>
    <s v="OPERARIO DE PRODUCCIÓN"/>
    <s v="-"/>
    <s v="Siendo las 08:30:00  am, la operario de producción se encontraba realizando labores de traslado de paquetes primarios de las envasadoras primarias a la faja de alimentación de la pack C6, durante la actividad, no se percató que la guía metálica la cual sirve como pendiente de los paquetes, tenía una zona con bordes desgastados (puntiagudo); por la cual durante la actividad se produjo una punzada con dicha estructura provocándole una herida en el costado del dedo anular _x000a__x000a_El operador comenta a promotora de seguridad y al encargado, y es derivado hacia tópico donde realizan limpieza de la zona afectada, colocan crema y proceden a colocar una tira adhesiva (curita) como protector. Post evaluación, se menciona que no requiere traslado y el colaborador regresa a continuar con sus actividades en planta. _x000a_"/>
    <s v="Contacto con superficie filosa"/>
    <s v="Dedo Anula Mano izquierda"/>
    <s v="Mano/Muñeca/Dedos"/>
    <s v="Alimentando pack de galletas"/>
    <s v="Herida en dedo"/>
    <s v="Corte/Herida"/>
    <n v="0"/>
    <n v="0"/>
    <n v="0"/>
    <s v="Trabajando"/>
    <n v="72"/>
    <s v="&lt; 5 a 10 años"/>
    <s v="Superficie filosa"/>
    <s v="CONTRATO INDEFINIDO"/>
  </r>
  <r>
    <n v="119"/>
    <s v="-"/>
    <s v="PERÚ"/>
    <x v="0"/>
    <s v="Distrito de Miraflores"/>
    <s v="Otros"/>
    <x v="15"/>
    <x v="4"/>
    <s v="Ofic. Miraflores Piso 9"/>
    <x v="1"/>
    <s v="Acc. Incapacitante"/>
    <d v="2024-06-20T00:00:00"/>
    <n v="25"/>
    <n v="20"/>
    <x v="6"/>
    <n v="2024"/>
    <d v="1899-12-30T16:00:00"/>
    <s v="T"/>
    <s v="PROPIO"/>
    <s v="Alicorp S.A.A"/>
    <s v="DE LAS CASAS"/>
    <s v="UMBERT"/>
    <s v="MARIA FERNANDA"/>
    <s v="FEMENINO"/>
    <n v="32"/>
    <s v="Gerente de Visibility &amp; FDE "/>
    <d v="2024-05-27T00:00:00"/>
    <s v="Luego de una reunión comercial que sucedió en el piso 9, Maria Fernanda procedió a retirarse por las escaleras para llegar al piso 6. Mientras bajaba las escaleras (las que están en el descanso entre piso 8 y 9) conversaba con un grupo de personas y no se percato que faltaba una escalera para terminar de bajar. Al momento que piso el pie derecho se le doblo generando la lesión. En ese momento se notificó a enfermería quienes auxiliaron a Maria Fernanda y fue trasladada a clínica para recibir atención médica. El evento continuará su proceso regular de investigación. "/>
    <s v="Caída a distinto nivel"/>
    <s v="Pie derecho"/>
    <s v="Pie/Tobillo"/>
    <s v="Bajaba escalera"/>
    <s v="Esguince"/>
    <s v="Esguince/Torcedura"/>
    <n v="5"/>
    <n v="0"/>
    <n v="5"/>
    <s v="Realizando trabajo remoto"/>
    <n v="1"/>
    <s v="&lt; 1 mes"/>
    <s v="Escalera"/>
    <s v="CONTRATO INDEFINIDO"/>
  </r>
  <r>
    <n v="120"/>
    <s v="-"/>
    <s v="BOLIVIA"/>
    <x v="1"/>
    <m/>
    <s v="Otros"/>
    <x v="27"/>
    <x v="3"/>
    <s v="Almacen de Producto Terminado"/>
    <x v="1"/>
    <s v="Acc. Incapacitante"/>
    <d v="2024-06-26T00:00:00"/>
    <n v="26"/>
    <n v="26"/>
    <x v="6"/>
    <n v="2024"/>
    <d v="1899-12-30T08:50:00"/>
    <s v="M"/>
    <s v="Contratista"/>
    <s v="BM Group"/>
    <s v="KUNO"/>
    <s v="LAURA"/>
    <s v="YOSMAR"/>
    <s v="MASCULINO"/>
    <n v="21"/>
    <s v="Ayudante general Piking"/>
    <d v="2024-02-16T00:00:00"/>
    <s v="En fecha miércoles 26 de junio a horas 08:50 am durante el descarguío de producto terminado(camión), el estibador tercero de la empresa BM Group, intenta aperturar la penúltima compuerta del camión entre dos personas, quitando los seguros de esta sin percatarse de la presión contenida por el movimiento de la carga durante el transporte, inmediatamente la compuerta se abre cayéndose consigo 35 cajas de margarina(350 kg), el personal no logra contener el peso adicional de la compuerta más el producto, por lo cual, uno de los estibadores se hace a un lado y el afectado recibe un golpe con la compuerta e impacta la rodilla con el suelo donde sufre un corte en la misma, es derivado a su centro de salud donde le realizan 3 puntos en la rodilla, recomendando 2 dias de baja al trabajador."/>
    <s v="Golpeado por"/>
    <s v="Rodilla izquierda"/>
    <s v="Rodilla"/>
    <s v="APERTURA DE COMPUERTA LATERAL DE CAMIÓN PARA DESCARGA DE PRODUCTO"/>
    <s v="Contusión de otras partes y las no especificadas de la pierna"/>
    <s v="Corte/Herida"/>
    <n v="2"/>
    <n v="0"/>
    <n v="2"/>
    <s v="Trabajando"/>
    <n v="5"/>
    <s v="&lt; 0.5 a 1 año"/>
    <s v="COMPUERTA METÁLICA DE CAMIÓN"/>
    <s v="CONTRATO A PLAZO FIJO"/>
  </r>
  <r>
    <n v="121"/>
    <s v="ICH24167"/>
    <s v="PERÚ"/>
    <x v="2"/>
    <s v="Distrito de Chorrillos"/>
    <s v="Intradevco"/>
    <x v="6"/>
    <x v="0"/>
    <s v="Pasta dental"/>
    <x v="1"/>
    <s v="Acc. Incapacitante"/>
    <d v="2024-07-02T00:00:00"/>
    <n v="27"/>
    <n v="2"/>
    <x v="7"/>
    <n v="2024"/>
    <d v="1899-12-30T22:10:00"/>
    <s v="D"/>
    <s v="PROPIO"/>
    <s v="Intradevco"/>
    <s v="RAYA"/>
    <s v="TACURI"/>
    <s v="DAVID HUMBERTO"/>
    <s v="MASCULINO"/>
    <n v="51"/>
    <s v="MAQUINISTA"/>
    <s v="-"/>
    <s v="Aproximadamente a las 22:10, durante la operación de envasado de pasta dental en línea 7, el trabajador se encontraba acomodando los cepillos en la encartonadora y se percató que los tubos de pasta dental y los cepillos estaban mal colocados y por evitar un atoro de la línea, intentó moverlos, sufriendo un corte producto del contacto con el empujador."/>
    <s v="Atrapado por Partes en Movimiento"/>
    <s v="Dedo mano derecha"/>
    <s v="Mano/Muñeca/Dedos"/>
    <s v="Desatoro de encartonadora"/>
    <s v="Contusión de dedo"/>
    <s v="Corte/Herida"/>
    <n v="23"/>
    <n v="0"/>
    <n v="23"/>
    <s v="Trabajando"/>
    <n v="3"/>
    <s v="&lt; 3 a 6 meses"/>
    <s v="Encartonadora"/>
    <s v="CONTRATO INDEFINIDO"/>
  </r>
  <r>
    <n v="122"/>
    <s v="DIS24477"/>
    <s v="PERÚ"/>
    <x v="0"/>
    <s v="Distrito del Callao"/>
    <s v="Otros"/>
    <x v="28"/>
    <x v="3"/>
    <s v="Almacen EEII"/>
    <x v="1"/>
    <s v="Acc. Incapacitante"/>
    <d v="2024-06-19T00:00:00"/>
    <n v="25"/>
    <n v="19"/>
    <x v="6"/>
    <n v="2024"/>
    <d v="1899-12-30T19:45:00"/>
    <s v="N"/>
    <s v="Proveedor"/>
    <s v="Trupal"/>
    <s v="AGUILAR"/>
    <s v="SIFUENTES"/>
    <s v="JOSÉ DAVID"/>
    <s v="MASCULINO"/>
    <n v="29"/>
    <s v="ESTIBA"/>
    <d v="2024-04-19T00:00:00"/>
    <s v="Durante la descarga de la unidad AVD-785 de la empresa TRUPAL, el Sr. Aguilar inicia el proceso de descarga de insumos a las 07:50 pm desde el interior de la unidad. Para este fin, usa una ruma de pallets apilados como soporte de la descarga de cajas.  Luego de unos minutos, su compañero de descarga retira la ruma de pallets, el Sr. Aguilar pisa vacío y cae desde la plataforma del furgón de espaldas. Se notificó el accidente, brindó primeros auxilios y trasladó a la Clínica San Gabriel para recibir atención médica._x000a_"/>
    <s v="Caída a distinto nivel"/>
    <s v="Espalda inferior"/>
    <s v="Columna"/>
    <s v="Descarga de cajas"/>
    <s v="Fractura de la vertebra L2"/>
    <s v="Fractura"/>
    <n v="150"/>
    <n v="0"/>
    <n v="150"/>
    <s v="Descanso Médico"/>
    <n v="3"/>
    <s v="&lt; 1 a 3 meses"/>
    <s v="Ruma de pallets"/>
    <s v="CONTRATO TEMPORAL"/>
  </r>
  <r>
    <n v="123"/>
    <s v="-"/>
    <s v="PERÚ"/>
    <x v="2"/>
    <s v="LURIN"/>
    <s v="Intradevco"/>
    <x v="7"/>
    <x v="0"/>
    <s v="Producción"/>
    <x v="0"/>
    <s v="Acc. No Incapacitante"/>
    <d v="2024-07-04T00:00:00"/>
    <n v="27"/>
    <n v="4"/>
    <x v="7"/>
    <n v="2024"/>
    <d v="1899-12-30T10:40:00"/>
    <s v="D"/>
    <s v="Service"/>
    <s v="Grupo Consulting"/>
    <s v="TOCTO"/>
    <s v="ARCOS"/>
    <s v="EDISON RENZO"/>
    <s v="MASCULINO"/>
    <n v="32"/>
    <s v="OPERARIO DE PRODUCCIÓN"/>
    <d v="2024-05-31T00:00:00"/>
    <s v="Aproximadamente 10:40 am del presente el trabajador Edinson Renzo Tocto Arcos de 32 años de edad perteneciente al área de Lejía, se encontraba realizando su actividades rutinarias (apilado de cajas con producto terminado). En su palet número 13, al momento de colocar la cajas en la primera cama del palets, siente un dolor a modo estirón en la parte de la zona lumbar cerca a la columna. Debido a esto se retira de la zona y se va sentar para intentar calmar el dolor pero al seguir evidenciando la misma intensidad decida acudir a tópico pero al levantarse se complica._x000a_Se le da aviso a la supervisora del área y lo asisten para llegar a tópico."/>
    <s v="Sobreesfuerzo"/>
    <s v="-"/>
    <s v="Mano/Muñeca/Dedos"/>
    <s v="-"/>
    <m/>
    <m/>
    <m/>
    <m/>
    <m/>
    <m/>
    <m/>
    <m/>
    <m/>
    <m/>
  </r>
  <r>
    <n v="124"/>
    <s v="ILU24176"/>
    <s v="PERÚ"/>
    <x v="2"/>
    <s v="Distrito de Lurín"/>
    <s v="Intradevco"/>
    <x v="5"/>
    <x v="0"/>
    <s v="Limpiatodo"/>
    <x v="1"/>
    <s v="Acc. Incapacitante"/>
    <d v="2024-07-05T00:00:00"/>
    <n v="27"/>
    <n v="5"/>
    <x v="7"/>
    <n v="2024"/>
    <d v="1899-12-30T21:05:00"/>
    <s v="D"/>
    <s v="Service"/>
    <s v="Grupo Consulting"/>
    <s v="Lancha"/>
    <s v="Pizango"/>
    <s v="Jorge Luis "/>
    <s v="MASCULINO"/>
    <n v="30"/>
    <s v="OPERARIO DE PRODUCCIÓN"/>
    <d v="2024-02-21T00:00:00"/>
    <s v="El colaborador Jorge Lancha se encontraba realizando la actividad de abastecimiento manual de frascos en la línea Mengibar 2 de Limpiatodo. Esta actividad consiste en trasladar manualmente bandejas de frascos vacíos desde la paleta hasta el abastecedor automático de frascos, empleando una escalera de dos pasos. Al apoyar el pie derecho en la superficie superior, esta se rompe, por lo que el colaborador pierde la estabilidad y cae al suelo. "/>
    <s v="Caída a distinto nivel"/>
    <s v="PIE DERECHO"/>
    <s v="Pie/Tobillo"/>
    <s v="Abastecimiento de frascos a línea"/>
    <s v="ESGUINCE Y TORCEDURA "/>
    <s v="Esguince/Torcedura"/>
    <n v="10"/>
    <n v="0"/>
    <n v="10"/>
    <s v="Trabajando"/>
    <n v="4"/>
    <s v="&lt; 3 a 6 meses"/>
    <s v="Escalera subestándar"/>
    <s v="CONTRATO TEMPORAL"/>
  </r>
  <r>
    <n v="125"/>
    <s v="DIS24478"/>
    <s v="PERÚ"/>
    <x v="0"/>
    <s v="CD LAMBAYEQUE"/>
    <s v="Otros"/>
    <x v="23"/>
    <x v="3"/>
    <s v="CD LAMBAYEQUE"/>
    <x v="1"/>
    <s v="Acc. Incapacitante"/>
    <d v="2024-07-12T00:00:00"/>
    <n v="28"/>
    <n v="12"/>
    <x v="7"/>
    <n v="2024"/>
    <d v="1899-12-30T08:00:00"/>
    <s v="D"/>
    <s v="Transportista"/>
    <s v="Transporte Romaran"/>
    <s v="ESPINOZA"/>
    <s v="MAURICIO"/>
    <s v="MANUEL YONATAN"/>
    <s v="MASCULINO"/>
    <n v="33"/>
    <s v="TRANSPORTISTA"/>
    <d v="2024-07-12T00:00:00"/>
    <s v="Desde el 24/06, la puerta # 4 estaba bloqueada con paletas vacías debido a una rampa defectuosa que había sido reportada por el equipo Alicorp hacia Ransa. Como medida provisional se colocaron sogas para el ajuste en la rampa y permitir el cierre de la puerta. Entre el 24/06 y el día del accidente, el bloqueo de paletas fue retirado dando la apariencia de que el canal estaba habilitado. El día del accidente, el conductor de Transportes Romaran se acerca con su vehículo a la puerta # 4 y al comenzar la carga la soga se rompió, se libera la rampa que impactó en el brazo derecho del conductor. El DM se extiende hasta el 19/08."/>
    <s v="Golpeado por"/>
    <s v="Brazo"/>
    <s v="Brazo/Codo/Hombro"/>
    <s v="Descarga "/>
    <s v="Contusión"/>
    <s v="Contusión/Trauma"/>
    <n v="2"/>
    <n v="0"/>
    <n v="2"/>
    <s v="Trabajando "/>
    <n v="12"/>
    <s v="&lt; 0.5 a 1 año"/>
    <s v="Rampa"/>
    <s v="CONTRATO TEMPORAL"/>
  </r>
  <r>
    <n v="126"/>
    <s v="-"/>
    <s v="PERÚ"/>
    <x v="0"/>
    <s v="CENTRAL"/>
    <s v="Galletería"/>
    <x v="0"/>
    <x v="0"/>
    <s v="ZONA DE LAVADO"/>
    <x v="0"/>
    <s v="Acc. No Incapacitante"/>
    <d v="2024-07-17T00:00:00"/>
    <n v="29"/>
    <n v="17"/>
    <x v="7"/>
    <n v="2024"/>
    <d v="1899-12-30T20:45:00"/>
    <s v="T"/>
    <s v="PROPIO"/>
    <s v="ALICORP"/>
    <s v="ANDRADE"/>
    <s v="GENEBROSO"/>
    <s v="MADELEYNE"/>
    <s v="FEMENINO"/>
    <s v="-"/>
    <s v="operario de producción"/>
    <s v="-"/>
    <s v="Siendo las 20:45, la operadora se encontraba en la zona de lavado de bandejas junto con otro compañero, realizando labores de limpieza de utensilios. Al recoger residuos  y botarlos al tacho regresa para recoger la mariposa que había lavado, resbala y cae de espalda, cabe resaltar que es un área húmeda con piso mojado. Se le lleva al tópico para atención médica. No requiere traslado a la clínica"/>
    <s v="Caída al mismo nivel"/>
    <s v="Espalda"/>
    <s v="Columna"/>
    <s v="Lavado de utensilios"/>
    <s v="Golpe"/>
    <s v="Contusión/Trauma"/>
    <n v="0"/>
    <m/>
    <n v="0"/>
    <s v="Laborando"/>
    <m/>
    <m/>
    <s v="Piso mojado"/>
    <s v="CONTRATO INDEFINIDO"/>
  </r>
  <r>
    <n v="127"/>
    <s v="-"/>
    <s v="PERÚ"/>
    <x v="0"/>
    <s v="Distrito de Miraflores"/>
    <s v="Otros"/>
    <x v="15"/>
    <x v="4"/>
    <s v="PISO 5"/>
    <x v="1"/>
    <s v="Acc. Incapacitante"/>
    <d v="2024-07-18T00:00:00"/>
    <n v="29"/>
    <n v="18"/>
    <x v="7"/>
    <n v="2024"/>
    <d v="1899-12-30T17:07:00"/>
    <s v="T"/>
    <s v="PROPIO"/>
    <s v="Alicorp S.A.A"/>
    <s v="CARRASCO"/>
    <s v="ARAMBULO"/>
    <s v="KELLY STEPHANIE"/>
    <s v="FEMENINO"/>
    <n v="31"/>
    <s v="ANALISTA SR DE EFICIENCIA"/>
    <d v="2020-06-22T00:00:00"/>
    <s v="Al finalizar su día laboral, la colaboradora procedió a retirarse del espacio de NRM en el piso 5. Mientras se despedía de sus compañeros, retrocedió para salir y perdió el balance al toparse con un carrito móvil (donde se colocan las mochilas y otros artículos), cayendo de espaldas hacia el lado izquierdo protegiendo su panza, ya que está embarazada. En ese momento sus compañeros notificaron a enfermería, quienes bajaron a auxiliar a Kelly. La colaboradora se retiró con sus propios medios a la clínica para recibir atención médica._x000a_"/>
    <s v="Caída al mismo nivel"/>
    <s v="ESPALDA, CADERA"/>
    <s v="Mano/Muñeca/Dedos"/>
    <s v="Se retiraba de oficina con sus cosas"/>
    <s v="Traumatismos superficiales múltiples– Nivel 1 - Leve"/>
    <s v="Contusión/Trauma"/>
    <n v="2"/>
    <n v="0"/>
    <n v="2"/>
    <s v="Trabajando en remoto"/>
    <n v="48"/>
    <s v="&lt; 1 a 5 años"/>
    <s v="Carrito porta mochila"/>
    <s v="CONTRATO INDEFINIDO"/>
  </r>
  <r>
    <n v="128"/>
    <s v="ICH24198"/>
    <s v="PERÚ"/>
    <x v="2"/>
    <s v="Distrito de Chorrillos"/>
    <s v="Intradevco"/>
    <x v="6"/>
    <x v="0"/>
    <s v="Sanitarios"/>
    <x v="1"/>
    <s v="Acc. Incapacitante"/>
    <d v="2024-07-20T00:00:00"/>
    <n v="29"/>
    <n v="20"/>
    <x v="7"/>
    <n v="2024"/>
    <d v="1899-12-30T01:30:00"/>
    <s v="N"/>
    <s v="PROPIO"/>
    <s v="Intradevco"/>
    <s v="ROMERO"/>
    <s v="MACALUPU"/>
    <s v="CRISTIAN"/>
    <s v="MASCULINO"/>
    <n v="45"/>
    <s v="MAQUINISTA"/>
    <s v="-"/>
    <s v="El maquinista detectó que el pistón N°6 se encontraba aplastando el frasco, esto a causa del cambio de formato de 550 ml a 225 ml; procedió a realizar la regulación sin detener la máquina. Después de introducir sus manos al interior de la máquina, realizaba el ajuste con la mano derecha, y la izquierda estaba apoyada en una plancha metálica posterior a los llenadores._x000a_El trabajador manifiesta que empezó a regular cuando el juego de pistones estaba adelante y no se percató que su dedo anular izquierdo (afectado) se encontraba en la trayectoria de los llenadores, cuando el juego de pistones retrocede no logra retirar el dedo a tiempo y sufre el aprisionamiento._x000a_Una vez que el juego de pistones se mueve para llenar la fila delantera, puede retirar su mano, en ese momento es donde avisa a sus compañeros y acude con dirección al tópico."/>
    <s v="Atrapado por Partes en Movimiento"/>
    <s v="-"/>
    <s v="Mano/Muñeca/Dedos"/>
    <s v="-"/>
    <s v="Corte en dedo"/>
    <s v="Corte/Herida"/>
    <n v="19"/>
    <n v="0"/>
    <n v="19"/>
    <s v="Trabajando"/>
    <m/>
    <s v="&gt; 10 años"/>
    <s v="Maquina envasadora"/>
    <s v="CONTRATO INDEFINIDO"/>
  </r>
  <r>
    <n v="129"/>
    <s v="PCO24267"/>
    <s v="PERÚ"/>
    <x v="0"/>
    <s v="PREDIO CENTRAL"/>
    <s v="Copsa"/>
    <x v="3"/>
    <x v="0"/>
    <s v="ACEITES"/>
    <x v="0"/>
    <s v="Acc. No Incapacitante"/>
    <d v="2024-07-30T00:00:00"/>
    <n v="31"/>
    <n v="30"/>
    <x v="7"/>
    <n v="2024"/>
    <d v="1899-12-30T17:50:00"/>
    <s v="T"/>
    <s v="Contratista"/>
    <s v="San Miguel Industrias PET S.A."/>
    <s v="DIAZ"/>
    <s v="QUISPE"/>
    <s v="DANIEL"/>
    <s v="MASCULINO"/>
    <n v="32"/>
    <s v="AYUDANTE DE PRODUCCION"/>
    <s v="-"/>
    <s v="El colaborador se encontraba en el área de soplado. De repente empezó a sentir olor a pintura fresca que provenía de una actividad de pintado de piso en el área de almacenes. Comenzó a sentir dolor de cabeza y un ligero sangrado por la fosa nasal derecha. Se dirige al tópico, donde se le realiza examen físico con resultados normales y se le administra ketorolaco vía oral. Colaborador se siente bien y no requiere traslado."/>
    <s v="Exposición a Sustancias Químicas"/>
    <s v="Cabeza"/>
    <s v="Cabeza"/>
    <s v="Operaciones en área de soplado de bidones"/>
    <s v="Epistaxis (hemorragia nasal)"/>
    <s v="Intoxicación"/>
    <n v="0"/>
    <n v="0"/>
    <n v="0"/>
    <s v="Trabajando"/>
    <m/>
    <m/>
    <s v="Pintura"/>
    <s v="CONTRATO INDEFINIDO"/>
  </r>
  <r>
    <n v="130"/>
    <s v="-"/>
    <s v="BOLIVIA"/>
    <x v="1"/>
    <m/>
    <s v="CBB"/>
    <x v="2"/>
    <x v="3"/>
    <s v="Almacén de producto terminado"/>
    <x v="1"/>
    <s v="Acc. Incapacitante"/>
    <d v="2024-07-29T00:00:00"/>
    <n v="31"/>
    <n v="29"/>
    <x v="7"/>
    <n v="2024"/>
    <d v="1899-12-30T07:45:00"/>
    <s v="M"/>
    <s v="PROPIO"/>
    <s v="Alicorp S.A.A"/>
    <s v="CASTELLON"/>
    <s v="CONTRERAS"/>
    <s v="ARIEL"/>
    <s v="MASCULINO"/>
    <n v="48"/>
    <s v="MONTACARGUISTA"/>
    <d v="1999-02-01T00:00:00"/>
    <s v="En fecha 29 de julio a hrs. 07:45 am aprox. el operador de montacargas informa que se disponía a limpiar su Montacarga, buscando un trapo dentro un basurero próximo a su posición introduciendo la mano derecha (sin guantes), momento en el que sufre un corte en el dedo meñique por herramienta corto punzante que se encontraba en el interior, tras lo que comunica a un compañero de trabajo y posteriormente es evacuado en camioneta de la brigada al hospital de salud mas cercano."/>
    <s v="Contacto con superficie filosa"/>
    <s v="Mano"/>
    <s v="Mano/Muñeca/Dedos"/>
    <s v="Busqueda de materiales"/>
    <s v="Corte dedo meñique mano derecha"/>
    <s v="Corte/Herida"/>
    <n v="30"/>
    <n v="0"/>
    <n v="30"/>
    <s v="Descanso Médico"/>
    <n v="305"/>
    <s v="&gt; 10 años"/>
    <s v="Herramienta corto punzante"/>
    <s v="CONTRATO INDEFINIDO"/>
  </r>
  <r>
    <n v="131"/>
    <s v="-"/>
    <s v="PERÚ"/>
    <x v="2"/>
    <s v="LURIN"/>
    <s v="Intradevco"/>
    <x v="16"/>
    <x v="0"/>
    <s v="Empacado detergente"/>
    <x v="0"/>
    <s v="Acc. No Incapacitante"/>
    <d v="2024-06-28T08:10:00"/>
    <n v="26"/>
    <n v="28"/>
    <x v="6"/>
    <n v="2024"/>
    <d v="1899-12-30T08:10:00"/>
    <s v="D"/>
    <s v="Service"/>
    <s v="Grupo Consulting"/>
    <s v="TRINIDAD"/>
    <s v="OROSCO"/>
    <s v="LEVI"/>
    <s v="MASCULINO"/>
    <s v="-"/>
    <s v="OPERARIO DE PRODUCCIÓN"/>
    <s v="-"/>
    <s v="El colaborador Trinidad Orosco Levi se encontraba abasteciendo producto en línea 2, al momento de colocar el coche y jalar la soga para acomodar la lona en ducto de máquina 23 (estaba mal posicionado, con los pies separados y a la misma altura), ésta se rompe ocasionando que su cuerpo se vaya hacia atrás debido a la fuerza que ejerce al desatar soga y se golpee contra  la estructura metálica de otro coche el brazo y omóplato del lado derecho concentrándose el dolor en la zona del codo."/>
    <s v="Golpeado contra"/>
    <s v="Codo derecho"/>
    <s v="Brazo/Codo/Hombro"/>
    <s v="manipulacion de coches"/>
    <s v="Contusion en brazo"/>
    <s v="Contusión/Trauma"/>
    <n v="0"/>
    <n v="0"/>
    <n v="0"/>
    <s v="Trabajando"/>
    <m/>
    <m/>
    <s v="Coche de detergente"/>
    <s v="CONTRATO TEMPORAL"/>
  </r>
  <r>
    <n v="132"/>
    <s v="-"/>
    <s v="PERÚ"/>
    <x v="2"/>
    <s v="LURIN"/>
    <s v="Intradevco"/>
    <x v="16"/>
    <x v="0"/>
    <s v="Empacado detergente"/>
    <x v="0"/>
    <s v="Acc. No Incapacitante"/>
    <d v="2024-06-29T01:45:00"/>
    <n v="26"/>
    <n v="29"/>
    <x v="6"/>
    <n v="2024"/>
    <d v="1899-12-30T01:45:00"/>
    <s v="N"/>
    <s v="PROPIO"/>
    <s v="Intradevco"/>
    <s v="MATOS"/>
    <s v="CAMPOS"/>
    <s v="RANDY PAUL"/>
    <s v="MASCULINO"/>
    <s v="-"/>
    <s v="OPERARIO DE PRODUCCIÓN"/>
    <s v="-"/>
    <s v="El colaborador se encontraba reiniciando la  máquina neumopack N°1, al momento de presionar el botón del contador de la plancha, se encontraba agachado cerca de la plancha y fue entonces que la plancha al reiniciarse le golpea la nariz generandole sangrado, mareo e hinchazón en la nariz_x000a__x000a_- el colaborador menciona que no calculó la distancia y se encontraba agachado para sacar la bolsa, cabe mencionar que así no la manera adecuada de la actividad. "/>
    <s v="Golpeado por"/>
    <s v="Nariz"/>
    <s v="Rostro/Nariz/Boca"/>
    <s v="Regulacion de equipo"/>
    <s v="Contusion en nariz"/>
    <s v="Contusión/Trauma"/>
    <n v="0"/>
    <n v="0"/>
    <n v="0"/>
    <s v="Trabajando"/>
    <m/>
    <m/>
    <s v="Contador de bolsones"/>
    <s v="CONTRATO TEMPORAL"/>
  </r>
  <r>
    <n v="133"/>
    <s v="-"/>
    <s v="PERÚ"/>
    <x v="2"/>
    <s v="LURIN"/>
    <s v="Intradevco"/>
    <x v="16"/>
    <x v="0"/>
    <s v="Empacado detergente"/>
    <x v="0"/>
    <s v="Acc. No Incapacitante"/>
    <d v="2024-07-04T05:40:00"/>
    <n v="27"/>
    <n v="4"/>
    <x v="7"/>
    <n v="2024"/>
    <d v="1899-12-30T05:40:00"/>
    <s v="N"/>
    <s v="Service"/>
    <s v="Grupo Consulting"/>
    <s v="CHANCHARI"/>
    <s v="HUIÑAPI "/>
    <s v="DILVER"/>
    <s v="MASCULINO"/>
    <s v="-"/>
    <s v="OPERARIO DE PRODUCCIÓN"/>
    <s v="-"/>
    <s v="Colaborador se encontraba regulando el peso debido a la variación, mientras pulsaba el botón regulador alza la mirada hacia la tornamesa y cuando ésta gira se proyecta detergente en su dirección por lo que le ingresa al ojo derecho causando irritación. Contaba con lentes de seguridad._x000a_-Cabe mencionar que la máquina no cuenta con mica protectora _x000a_-Se realizó un primer lavado ocular en el área, sin embargo no hubo mejoría "/>
    <s v="Proyección de Material Particulado"/>
    <s v="Ojos"/>
    <s v="Ojos"/>
    <s v="Regulacion de equipo"/>
    <s v="Cuerpo Extraño en Ojos"/>
    <s v="Cuerpo Extraño en Ojos"/>
    <n v="0"/>
    <n v="0"/>
    <n v="0"/>
    <s v="Trabajando"/>
    <m/>
    <m/>
    <s v="Particulas de detergente"/>
    <s v="CONTRATO TEMPORAL"/>
  </r>
  <r>
    <n v="134"/>
    <s v="-"/>
    <s v="PERÚ"/>
    <x v="2"/>
    <s v="LURIN"/>
    <s v="Intradevco"/>
    <x v="16"/>
    <x v="0"/>
    <s v="Empacado detergente"/>
    <x v="0"/>
    <s v="Acc. No Incapacitante"/>
    <d v="2024-07-05T03:22:00"/>
    <n v="27"/>
    <n v="5"/>
    <x v="7"/>
    <n v="2024"/>
    <d v="1899-12-30T03:22:00"/>
    <s v="N"/>
    <s v="Service"/>
    <s v="Grupo Consulting"/>
    <s v="SANCHEZ"/>
    <s v="GUTIERREZ"/>
    <s v="CARLOS"/>
    <s v="MASCULINO"/>
    <s v="-"/>
    <s v="OPERARIO DE PRODUCCIÓN"/>
    <s v="-"/>
    <s v="Colaborador Sanchez Gutiérrez Carlos C.A, se encontraba trasladando una paleta junto a su compañero hacia la zona de ducto para traspaso de bolsones. _x000a_Durante la actividad estuvo en retroceso por lo que no se percata de la llenadora del ducto manual y se golpea, al ocurrir ello suelta la paleta e impacta en su pie derecho._x000a_Intensidad de dolor leve"/>
    <s v="Golpeado por"/>
    <s v="Pie derecho"/>
    <s v="Pie/Tobillo"/>
    <s v="Manipulacion de paleta"/>
    <s v="Contusion en pie derecho"/>
    <s v="Contusión/Trauma"/>
    <n v="0"/>
    <n v="0"/>
    <n v="0"/>
    <s v="Trabajando"/>
    <m/>
    <m/>
    <s v="Paleta"/>
    <s v="CONTRATO TEMPORAL"/>
  </r>
  <r>
    <n v="135"/>
    <s v="-"/>
    <s v="PERÚ"/>
    <x v="2"/>
    <s v="LURIN"/>
    <s v="Intradevco"/>
    <x v="16"/>
    <x v="0"/>
    <s v="Lavavajilla"/>
    <x v="0"/>
    <s v="Acc. No Incapacitante"/>
    <d v="2024-07-07T04:31:00"/>
    <n v="27"/>
    <n v="7"/>
    <x v="7"/>
    <n v="2024"/>
    <d v="1899-12-30T04:31:00"/>
    <s v="N"/>
    <s v="PROPIO"/>
    <s v="Intradevco"/>
    <s v="FIERRO"/>
    <s v="ARCE"/>
    <s v="EDWARD"/>
    <s v="MASCULINO"/>
    <s v="-"/>
    <s v="OPERARIO DE PRODUCCIÓN"/>
    <s v="-"/>
    <s v="Trabajador Fierro Arce Edward había terminado de realizar el abastecimiento de producto en la batidora N°2, al retirar los sacos vacíos de tiza se dirige hacia la mesa de trabajo para poder dejar sus epp's._x000a_En la batidora N°3 se encontraba apoyada la tapa del tanque de almacenamiento que había sido retirada para limpieza ya que la tubería estaba con crema pegada en su interior._x000a_Por ser el lugar más cercano pasa entre el espacio de las batidoras N°3 y 4 quedando enganchado su pantalón en el borde de la tapa mencionada, generando una herida superficial. Cabe mencionar que en ese espacio había colocado conos de seguridad."/>
    <s v="Contacto con superficie filosa"/>
    <s v="Pierna izquierda"/>
    <s v="Pierna"/>
    <s v="Transito en el area"/>
    <s v="Corte en pierna izquierda"/>
    <s v="Corte/Herida"/>
    <n v="0"/>
    <n v="0"/>
    <n v="0"/>
    <s v="Trabajando"/>
    <m/>
    <m/>
    <s v="Planca metalica"/>
    <s v="CONTRATO TEMPORAL"/>
  </r>
  <r>
    <n v="136"/>
    <s v="-"/>
    <s v="PERÚ"/>
    <x v="2"/>
    <s v="LURIN"/>
    <s v="Intradevco"/>
    <x v="16"/>
    <x v="0"/>
    <s v="Empacado detergente"/>
    <x v="0"/>
    <s v="Acc. No Incapacitante"/>
    <d v="2024-07-12T12:30:00"/>
    <n v="28"/>
    <n v="12"/>
    <x v="7"/>
    <n v="2024"/>
    <d v="1899-12-30T12:30:00"/>
    <s v="D"/>
    <s v="Service"/>
    <s v="Grupo Consulting"/>
    <s v="ARAUJO"/>
    <s v="CHOTA"/>
    <s v="EDINSON"/>
    <s v="MASCULINO"/>
    <s v="-"/>
    <s v="OPERARIO DE PRODUCCIÓN"/>
    <s v="-"/>
    <s v="Colaborador Araujo Chota Edinson, se encontraba realizando la actividad de colocación y retiro de bolsones y es golpeado por contadora de metal en la muñeca izquierda, ésta gira automáticamente, siendo su intensidad de dolor un 4/10."/>
    <s v="Golpeado por"/>
    <s v="Muñeca izquierda"/>
    <s v="Mano/Muñeca/Dedos"/>
    <s v="Colocacion de bolsones"/>
    <s v="Contusion en muñeca izquierda"/>
    <s v="Contusión/Trauma"/>
    <n v="0"/>
    <n v="0"/>
    <n v="0"/>
    <s v="Trabajando"/>
    <m/>
    <m/>
    <s v="Contador de bolsones"/>
    <s v="CONTRATO TEMPORAL"/>
  </r>
  <r>
    <n v="137"/>
    <s v="-"/>
    <s v="PERÚ"/>
    <x v="2"/>
    <s v="LURIN"/>
    <s v="Intradevco"/>
    <x v="16"/>
    <x v="0"/>
    <s v="Empacado detergente"/>
    <x v="0"/>
    <s v="Acc. No Incapacitante"/>
    <d v="2024-07-15T18:39:00"/>
    <n v="29"/>
    <n v="15"/>
    <x v="7"/>
    <n v="2024"/>
    <d v="1899-12-30T18:39:00"/>
    <s v="D"/>
    <s v="Service"/>
    <s v="Grupo Consulting"/>
    <s v="SANCHEZ"/>
    <s v="GUTIERREZ"/>
    <s v="CARLOS"/>
    <s v="MASCULINO"/>
    <s v="-"/>
    <s v="OPERARIO DE PRODUCCIÓN"/>
    <s v="-"/>
    <s v="Colaborador Sanchez Gutiérrez Carlos C.A se encontraba realizando la actividad de recuperado de merma por la zona de paletas y al sacudir una bolsita (ésta estaba mal sellada) se proyecta el detergente en dirección del rostro generando que le ingrese al ojo izquierdo._x000a_-Evento sucedió aproximadamente 5:30 pm sin embargo no dió aviso a tiempo._x000a_-Menciona que tenía colocado los lentes antiparras y aún así ingresó."/>
    <s v="Proyección de Material Particulado"/>
    <s v="Ojo izquierdo"/>
    <s v="Ojos"/>
    <s v="Recuperado de merma"/>
    <s v="Cuerpo Extraño en Ojos"/>
    <s v="Cuerpo Extraño en Ojos"/>
    <n v="0"/>
    <n v="0"/>
    <n v="0"/>
    <s v="Trabajando"/>
    <m/>
    <m/>
    <s v="Particulas de detergente"/>
    <s v="CONTRATO TEMPORAL"/>
  </r>
  <r>
    <n v="138"/>
    <s v="-"/>
    <s v="PERÚ"/>
    <x v="2"/>
    <s v="CHORRILLOS"/>
    <s v="Intradevco"/>
    <x v="6"/>
    <x v="0"/>
    <s v="Sanitarios"/>
    <x v="0"/>
    <s v="Acc. No Incapacitante"/>
    <d v="2024-07-15T00:00:00"/>
    <n v="29"/>
    <n v="15"/>
    <x v="7"/>
    <n v="2024"/>
    <d v="1899-12-30T14:30:00"/>
    <s v="D"/>
    <s v="Service"/>
    <s v="Grupo Consulting"/>
    <s v="CHAVEZ"/>
    <s v="CANAYO"/>
    <s v="KELLY PATRICIA"/>
    <s v="FEMENINO"/>
    <s v="-"/>
    <s v="OPERARIO DE PRODUCCIÓN"/>
    <s v="-"/>
    <s v="Aproximadamente a las 13:30 P.M, la colaboradora , _x000a_Empezó su trabajo en el Área de MR2, donde se envasaría el producto desatorador de cocina, la colaboradora realizaba la colocación de tapas en los envases al promediar las 15:20 P.M, El operador de la tapadora neumatica y Kelly empujan los envases a la mesa para ser encajados, donde un envase cae en una parte que estaba Humedecida con el producto desatorador y la colaboradora Kelly se inspecciona que no le hubiera salpicado en la ropa ,luego siente que le arde el rostro Kelly jala el respirador de media ccara on los guantes de nitrilo aun puesto, es ahi donde los compañeros le observan y le aconsejan que no se toque ni se rasque, y que fuera a lavarse la parte afectada en el lavaojos, luego de ello se le derivo al tópico donde la Dra. María le brinda los primeros auxilios y le coloca la crema sulfadiazina de plata 1%, Kelly negando dolor alguno y reaccionando de manera favorable, se le indica que puede continuar sus labores en el área ofertado._x000a_"/>
    <s v="Exposición a Sustancias Químicas"/>
    <s v="Cara"/>
    <s v="Mano/Muñeca/Dedos"/>
    <s v="Colocación de tapas"/>
    <m/>
    <m/>
    <n v="0"/>
    <n v="0"/>
    <n v="0"/>
    <s v="Trabajando"/>
    <m/>
    <m/>
    <s v="Producto desatorador"/>
    <s v="CONTRATO TEMPORAL"/>
  </r>
  <r>
    <n v="139"/>
    <s v="-"/>
    <s v="PERÚ"/>
    <x v="2"/>
    <s v="LURIN"/>
    <s v="Intradevco"/>
    <x v="16"/>
    <x v="0"/>
    <s v="Areas comunes"/>
    <x v="0"/>
    <s v="Acc. No Incapacitante"/>
    <d v="2024-07-19T22:30:00"/>
    <n v="29"/>
    <n v="19"/>
    <x v="7"/>
    <n v="2024"/>
    <d v="1899-12-30T22:30:00"/>
    <s v="N"/>
    <s v="Service"/>
    <s v="Grupo Consulting"/>
    <s v="BEJARANO"/>
    <s v="HUAPAYA"/>
    <s v="VICTOR"/>
    <s v="MASCULINO"/>
    <s v="-"/>
    <s v="OPERARIO DE PRODUCCIÓN"/>
    <s v="-"/>
    <s v="Colaborador se encontraba transitando con su compañera por el sendero peatonal camino al comedor en su hora de cena, al momento de doblar para subir a la vereda se abre demasiado al punto de chocar contra la caja de pase ubicada en la pared y se golpea con ella el brazo izquierdo _x000a__x000a_Según indica el colaborador tenía la mirada al frente y lo mismo menciona su compañera, quien caminaba detrás de él."/>
    <s v="Golpeado contra"/>
    <s v="Brazo izquierdo"/>
    <s v="Brazo/Codo/Hombro"/>
    <s v="Transito por areas comunes"/>
    <s v="Contusion en brazo izquierdo"/>
    <s v="Contusión/Trauma"/>
    <n v="0"/>
    <n v="0"/>
    <n v="0"/>
    <s v="Trabajando"/>
    <m/>
    <m/>
    <s v="Caja de paso"/>
    <s v="CONTRATO TEMPORAL"/>
  </r>
  <r>
    <n v="140"/>
    <s v="-"/>
    <s v="PERÚ"/>
    <x v="2"/>
    <s v="LURIN"/>
    <s v="Intradevco"/>
    <x v="16"/>
    <x v="0"/>
    <s v="Mantenimiento"/>
    <x v="0"/>
    <s v="Acc. No Incapacitante"/>
    <d v="2024-07-24T13:13:00"/>
    <n v="30"/>
    <n v="24"/>
    <x v="7"/>
    <n v="2024"/>
    <d v="1899-12-30T13:13:00"/>
    <s v="D"/>
    <s v="PROPIO"/>
    <s v="Intradevco"/>
    <s v="ROJAS"/>
    <s v="ESPINOZA"/>
    <s v="JESUS"/>
    <s v="MASCULINO"/>
    <s v="-"/>
    <s v="OPERARIO DE PRODUCCIÓN"/>
    <s v="-"/>
    <s v="colaborador de ITDC Jesus Rojas quiere bajar el motorreductor que estaba colocado sobre el coche, colaborador mete las manos para sujetar y poder bajarlo, cuando ya lo están bajando el eje interior choque con el piso y lo empuje hacia arriba lo que provoca la subida del engranaje interno y hace que aplaste el dedo medio de la mano derecha."/>
    <s v="Golpeado por"/>
    <s v="Dedo medio derecho"/>
    <s v="Mano/Muñeca/Dedos"/>
    <s v="Manipulacion de motoreductor"/>
    <s v="Contusion en dedo medio derecho"/>
    <s v="Contusión/Trauma"/>
    <n v="0"/>
    <n v="0"/>
    <n v="0"/>
    <s v="Trabajando"/>
    <m/>
    <m/>
    <s v="Motoreductor"/>
    <s v="CONTRATO TEMPORAL"/>
  </r>
  <r>
    <n v="141"/>
    <m/>
    <s v="PERÚ"/>
    <x v="0"/>
    <s v="CD AREQUIPA"/>
    <s v="Otros"/>
    <x v="23"/>
    <x v="3"/>
    <s v="CD AREQUIPA"/>
    <x v="0"/>
    <s v="Acc. No Incapacitante"/>
    <d v="2024-07-05T00:00:00"/>
    <n v="27"/>
    <n v="5"/>
    <x v="7"/>
    <n v="2024"/>
    <d v="1899-12-30T21:05:00"/>
    <s v="N"/>
    <s v="PROPIO"/>
    <s v="Alicorp S.A.A."/>
    <s v="VALENCIA"/>
    <s v="BARAZORDA"/>
    <s v="ROLANDO"/>
    <s v="MASCULINO"/>
    <m/>
    <s v="Operario de montacargas"/>
    <m/>
    <s v="El colaborador se encontraba realizando una llamada por teléfono fuera de la puerta principal de las oficinas del CD AREQUIPA. No se percató que se había posicionado cerca de una de las macertas de decoración, mientras hablaba por teléfono iba caminando y en un descuido tropezó con la maceta, sufrió un pequeño corte ye determina que al resultar una herida leve no requiere descanso médico."/>
    <s v="Golpeado por"/>
    <s v="Pierna"/>
    <s v="Pierna"/>
    <s v="Caminando hablado por teléfono"/>
    <s v="Herida leve"/>
    <s v="Corte/Herida"/>
    <n v="0"/>
    <m/>
    <m/>
    <s v="Trabajando "/>
    <m/>
    <s v="&gt; 10 años"/>
    <s v="Maceta"/>
    <s v="Indeterminado"/>
  </r>
  <r>
    <n v="142"/>
    <s v="DIS24485"/>
    <s v="PERÚ"/>
    <x v="0"/>
    <s v="CD AREQUIPA"/>
    <s v="Otros"/>
    <x v="23"/>
    <x v="3"/>
    <s v="CD AREQUIPA"/>
    <x v="0"/>
    <s v="Acc. No Incapacitante"/>
    <d v="2024-07-13T00:00:00"/>
    <n v="28"/>
    <n v="13"/>
    <x v="7"/>
    <n v="2024"/>
    <d v="1899-12-30T11:00:00"/>
    <s v="D"/>
    <s v="Estibador"/>
    <s v="IOLSA"/>
    <s v="APAZA"/>
    <s v="HUAYHUA"/>
    <s v="CARLOS FERNANDO"/>
    <s v="MASCULINO"/>
    <n v="21"/>
    <s v="Auxiliar de carga"/>
    <d v="2023-04-13T00:00:00"/>
    <s v="Cargando una unidad furgón, el operador de montacargas coloca un pallet de harinas en la parte interna del furgón; el Sr. Apaza Huayhua Carlos Fernando, auxiliar de carga de la empresa IOLSA, toma un saco para llevarlo al hombro sin embargo indica que le gana el peso y decide soltar el saco, pero también se desestabiliza y cae al piso golpeándose parte del hombro y espalda. Personal de alicorp e Iolsa acuden al accidentado, al preguntar por su estado el Sr. Apaza Huayhua Carlos Fernando, indica estar bien, de todas maneras, es conducido a una clínica para ser evaluado y descartar algún daño. Se descarta algún tipo de fractura o lesión grave y no se genera descanso médico. El personal de IOLSA procede a realizar la difusión y refuerzo de seguridad sobre el incidente ocurrido. "/>
    <s v="Caída al mismo nivel"/>
    <s v="Espalda superior"/>
    <s v="Brazo/Codo/Hombro"/>
    <s v="Descarga de sacos de harina"/>
    <s v="Contusión"/>
    <s v="Contusión/Trauma"/>
    <n v="0"/>
    <m/>
    <m/>
    <s v="Trabajando "/>
    <n v="15"/>
    <s v="&lt; 1 a 5 años"/>
    <s v="Sacos de harina"/>
    <s v="CONTRATO TEMPORAL"/>
  </r>
  <r>
    <n v="143"/>
    <s v="-"/>
    <s v="PERÚ"/>
    <x v="2"/>
    <s v="LURIN"/>
    <s v="Intradevco"/>
    <x v="16"/>
    <x v="0"/>
    <s v="Areas comunes"/>
    <x v="0"/>
    <s v="Acc. No Incapacitante"/>
    <d v="2024-07-26T15:29:00"/>
    <n v="30"/>
    <n v="26"/>
    <x v="7"/>
    <n v="2024"/>
    <d v="1899-12-30T15:29:00"/>
    <s v="D"/>
    <s v="Service"/>
    <s v="Grupo Consulting"/>
    <s v="GINEZ"/>
    <s v="BARRERA"/>
    <s v="VICTOR"/>
    <s v="MASCULINO"/>
    <s v="-"/>
    <s v="OPERARIO DE PRODUCCIÓN"/>
    <s v="-"/>
    <s v="Operador de equipo logístico Ginez Barrera Victor C.A realizaba actividades de ubicación de paletas de PT en la zona de pampa-patio de bombonas. Estaba designado solo para ésta actividad._x000a_- Al observar que sus compañeros están colocando toldo a las paletas de PT, por iniciativa propia baja del equipo para así ayudar _x000a_- Sube a las rumas de paletas con PT y se posiciona en el medio de ellas para poder jalar el toldo, en el transcurso retrocede y se enreda con el film generando que caiga en los mismos sacos, sin embargo todo el peso de su cuerpo lo apoyó en su mano derecha._x000a_- Pasado cierto tiempo supervisor de área se acerca a realizarle la consulta al colaborador debido a que notó que hacía gestos de incomodidad, movimiento constante de muñeca. Refiere que dolor era leve durante el término de turno por lo que no dieron aviso , recién la intensidad aumentó hoy por la madrugada"/>
    <s v="Golpeado contra"/>
    <s v="Mano derecha"/>
    <s v="Mano/Muñeca/Dedos"/>
    <s v="Manipulacion de toldo"/>
    <s v="Contusion en mano derecha"/>
    <s v="Contusión/Trauma"/>
    <n v="0"/>
    <n v="0"/>
    <n v="0"/>
    <s v="Trabajando"/>
    <m/>
    <m/>
    <s v="Toldo"/>
    <s v="CONTRATO TEMPORAL"/>
  </r>
  <r>
    <n v="144"/>
    <s v="-"/>
    <s v="PERÚ"/>
    <x v="2"/>
    <s v="LURIN"/>
    <s v="Intradevco"/>
    <x v="16"/>
    <x v="0"/>
    <s v="Empacado detergente"/>
    <x v="0"/>
    <s v="Acc. No Incapacitante"/>
    <d v="2024-08-06T06:30:00"/>
    <n v="32"/>
    <n v="6"/>
    <x v="5"/>
    <n v="2024"/>
    <d v="1899-12-30T06:30:00"/>
    <s v="N"/>
    <s v="Service"/>
    <s v="Grupo Consulting"/>
    <s v="GARCIA"/>
    <s v="VIDAURE"/>
    <s v="JORGE"/>
    <s v="MASCULINO"/>
    <s v="-"/>
    <s v="OPERARIO DE PRODUCCIÓN"/>
    <s v="-"/>
    <s v="El colaborador Garcia Vidaure Jorge CA. se encontraba apilando en la línea 2, debido a que desde plataforma estaban mandando sacos hacia el primer nivel por medio de un ducto, mientras apilaban se llegó a acumular los sacos entre el ducto y la faja, no dio aviso a plataforma para que dejen de mandar sacos para tener tiempo de retirar los sacos acumulados y en ese momento mientras se encontraba liberando los sacos uno de estos le impacta en la mano izquierda generandole dolor, su intensidad de dolor 5/10._x000a__x000a_Dato adicional:  el colaborador menciona que la acumulación de sacos se dio por que su compañero es nuevo  y no sabía apilar._x000a__x000a_Los sacos que mandaban pesaba 14 kilos aproximadamente."/>
    <s v="Golpeado por"/>
    <s v="Mano izquierda"/>
    <s v="Mano/Muñeca/Dedos"/>
    <s v="Manipulacion de sacos"/>
    <s v="Contusion en mano izquierda"/>
    <s v="Contusión/Trauma"/>
    <n v="0"/>
    <n v="0"/>
    <n v="0"/>
    <s v="Trabajando"/>
    <m/>
    <m/>
    <s v="Sacos de detergente"/>
    <s v="CONTRATO TEMPORAL"/>
  </r>
  <r>
    <n v="145"/>
    <s v="-"/>
    <s v="BOLIVIA"/>
    <x v="1"/>
    <m/>
    <s v="CBB"/>
    <x v="2"/>
    <x v="0"/>
    <s v="Refineria Cochabamba"/>
    <x v="0"/>
    <s v="Acc. No Incapacitante"/>
    <d v="2024-07-05T00:00:00"/>
    <n v="27"/>
    <n v="5"/>
    <x v="7"/>
    <n v="2024"/>
    <d v="1899-12-30T06:30:00"/>
    <s v="M"/>
    <s v="PROPIO"/>
    <s v="Alicorp S.A.A."/>
    <s v="POCA"/>
    <s v="TANGARA"/>
    <s v="FLORENCIO"/>
    <s v="MASCULINO"/>
    <n v="55"/>
    <s v="Encajonador recepcionista"/>
    <d v="1995-12-01T00:00:00"/>
    <s v="En fecha viernes 05 de julio a hrs. 06:30 am el Sr. Florencio Poca Tangara, persona que se encontraba reemplazando por vacación al asistente de refinería, mismo que se encontraba transitando por planta baja en el sector del tanque de Borra de la PX 100, donde existía rastros de borra en el suelo. El trabajador se resbala, sufriendo una caída al mismo nivel (sin daño alguno). Posteriormente se llevó al trabajador a la posta médica de planta para su valoración correspondiente."/>
    <s v="Caída al mismo nivel"/>
    <s v="Nalga"/>
    <s v="Columna"/>
    <s v="Transito en vías peatonales"/>
    <s v="Contusión región pelvica (nalga)"/>
    <s v="Contusión/Trauma"/>
    <n v="0"/>
    <n v="0"/>
    <n v="0"/>
    <s v="Trabajando"/>
    <n v="343"/>
    <s v="&gt; 10 años"/>
    <s v="Derrame de borra"/>
    <s v="CONTRATO INDEFINIDO"/>
  </r>
  <r>
    <n v="146"/>
    <s v="-"/>
    <s v="PERÚ"/>
    <x v="2"/>
    <s v="LURIN"/>
    <s v="Intradevco"/>
    <x v="29"/>
    <x v="0"/>
    <s v="Etiquetado"/>
    <x v="1"/>
    <s v="Acc. Incapacitante"/>
    <d v="2024-08-04T00:00:00"/>
    <n v="31"/>
    <n v="4"/>
    <x v="5"/>
    <n v="2024"/>
    <d v="1899-12-30T15:05:00"/>
    <s v="D"/>
    <s v="Service"/>
    <s v="Grupo Consulting"/>
    <s v="ACOSTA"/>
    <s v="MURAYARI"/>
    <s v="JHON"/>
    <s v="MASCULINO"/>
    <n v="23"/>
    <s v="OPERARIO DE PRODUCCIÓN"/>
    <s v="-"/>
    <s v="Colaborador Acosta Murayari Jhon C.A perteneciente al área de Etiquetado estaba desempeñando labores de apoyo como operario de producción, al culminar actividades se dirige a los vestuarios. Al abrir su casillero mete la mano derecha con gran impulso para agarrar su ropa y en el transcurso su mano impacta con el borde del casillero generando un corte en el dedo medio "/>
    <s v="Contacto con superficie filosa"/>
    <s v="Mano derecha"/>
    <s v="Mano/Muñeca/Dedos"/>
    <s v="Apertura de casillero"/>
    <s v="Corte en dedo medio derecho"/>
    <s v="Corte/Herida"/>
    <n v="16"/>
    <n v="0"/>
    <n v="16"/>
    <s v="DM"/>
    <m/>
    <m/>
    <s v="Casillero"/>
    <s v="CONTRATO TEMPORAL"/>
  </r>
  <r>
    <n v="147"/>
    <s v="ILU24261"/>
    <s v="PERÚ"/>
    <x v="2"/>
    <s v="Distrito de Lurín"/>
    <s v="Intradevco"/>
    <x v="5"/>
    <x v="0"/>
    <s v="Áreas comunes"/>
    <x v="1"/>
    <s v="Acc. Incapacitante"/>
    <d v="2024-07-06T00:00:00"/>
    <n v="27"/>
    <n v="6"/>
    <x v="7"/>
    <n v="2024"/>
    <d v="1899-12-30T01:40:00"/>
    <s v="N"/>
    <s v="Service"/>
    <s v="Grupo Consulting"/>
    <s v="GARCIA"/>
    <s v="SANDOVAL"/>
    <s v="NICOLE MISSI"/>
    <s v="FEMENINO"/>
    <n v="22"/>
    <s v="OPERARIO DE PRODUCCIÓN"/>
    <d v="2024-01-31T00:00:00"/>
    <s v="Aproximadamente a las 1:40 de la mañana la colaboradora Nicole García Sandoval, de 22 años pasaba por el sendero peatonal por la zona de tópico a la altura del ingreso y salida de materiales de limpia todo, mientras se dirigía al área de soplado había un transpalet # 1249 conducido por el operador Miguel angel Arteaga Muñoz, que pertenecía al área de AMP #5 dejando materiales y al momento de que se detuvo la colaboradora continúo pasando, luego cuando se da cuenta que el operador retrocede sin mirar hacia atrás ni tocar clauso, para que no la impacte puso la mano derecha como medida de protección la cual recibo un golpe, al momento que sucedió el evento no le aviso al operador quien continúo con sus labores."/>
    <s v="Golpeado por"/>
    <s v="MANO DERECHA"/>
    <s v="Mano/Muñeca/Dedos"/>
    <s v="Desplazamiento peatonal"/>
    <s v="Contusion"/>
    <s v="Contusión/Trauma"/>
    <n v="150"/>
    <n v="0"/>
    <n v="150"/>
    <s v="Descanso Médico"/>
    <n v="7"/>
    <s v="&lt; 0.5 a 1 año"/>
    <s v="Transpaleta"/>
    <s v="CONTRATO TEMPORAL"/>
  </r>
  <r>
    <n v="148"/>
    <s v="-"/>
    <s v="PERÚ"/>
    <x v="2"/>
    <s v="LURIN"/>
    <s v="Intradevco"/>
    <x v="30"/>
    <x v="0"/>
    <s v="Producción"/>
    <x v="0"/>
    <s v="Acc. No Incapacitante"/>
    <d v="2024-07-24T00:00:00"/>
    <n v="30"/>
    <n v="24"/>
    <x v="7"/>
    <n v="2024"/>
    <d v="1899-12-30T12:30:00"/>
    <s v="D"/>
    <s v="Contratista"/>
    <s v="SURFACE PROTECTION S.A.C"/>
    <s v="PONCE"/>
    <s v="TAPULLIMA"/>
    <s v="LUIS"/>
    <s v="MASCULINO"/>
    <s v="-"/>
    <s v="OPERADOR"/>
    <s v="-"/>
    <s v="Siendo las 12:44 aproximadamente el trabajador Luis Ponce Tapullima (empresa SURFACE PROTECTION S.A.C), sufrió un accidente menor al tener contacto con residuos de catolito en el interior del dique del tanque de salmuera declorada._x000a_El contacto ocurrió cuando secaba el piso del dique que tenía restos de sustancia química, empleando trapos industriales y haciendo uso de guantes inadecuados."/>
    <s v="Exposición a Sustancias Químicas"/>
    <s v="Mano derecha"/>
    <s v="Mano/Muñeca/Dedos"/>
    <s v="Limpieza de piso contaminado"/>
    <s v="Quemadura química"/>
    <s v="Dermatitis/Irritación de la piel"/>
    <n v="0"/>
    <m/>
    <m/>
    <m/>
    <m/>
    <s v="&lt; 1 mes"/>
    <m/>
    <m/>
  </r>
  <r>
    <n v="149"/>
    <s v="-"/>
    <s v="PERÚ"/>
    <x v="2"/>
    <s v="LURIN"/>
    <s v="Intradevco"/>
    <x v="9"/>
    <x v="3"/>
    <s v="Distribución"/>
    <x v="0"/>
    <s v="Acc. No Incapacitante"/>
    <d v="2024-06-18T00:00:00"/>
    <n v="25"/>
    <n v="18"/>
    <x v="6"/>
    <n v="2024"/>
    <d v="1899-12-30T21:39:00"/>
    <s v="N"/>
    <s v="Service"/>
    <s v="RANSA"/>
    <s v="MEZA"/>
    <s v="YAYE"/>
    <s v="LIZBETH"/>
    <s v="FEMENINO"/>
    <s v="-"/>
    <s v="ALMACENERO 2"/>
    <s v="-"/>
    <s v="Colaboradora Lizbeth Meza Yaye estaba llevando mercadería al canal y al notar que no había espacio para colocar la mercadería, procede a mover las paletas vacías al pasillo 15 para hacer espacio y así poder seguir trayendo mercadería, y en el momento de dejar las paletas en el pasillo 15, la colaboradora siente un estirón en su dedo producto de la manipulación propia del timón del traspalet. "/>
    <s v="Sobreesfuerzo"/>
    <s v="Dedo"/>
    <s v="Mano/Muñeca/Dedos"/>
    <s v="Operación de transpaleta"/>
    <s v="Tendinitis por contusión"/>
    <s v="Desgarro/Estiramiento Muscular"/>
    <n v="0"/>
    <n v="0"/>
    <n v="0"/>
    <s v="Trabajando"/>
    <m/>
    <m/>
    <s v="Transpaleta"/>
    <s v="CONTRATO TEMPORAL"/>
  </r>
  <r>
    <n v="150"/>
    <s v="-"/>
    <s v="PERÚ"/>
    <x v="0"/>
    <s v="SIDSUR"/>
    <s v="Sidsur"/>
    <x v="25"/>
    <x v="0"/>
    <s v="Galleteria"/>
    <x v="0"/>
    <s v="Acc. No Incapacitante"/>
    <d v="2024-07-19T00:00:00"/>
    <n v="29"/>
    <n v="19"/>
    <x v="7"/>
    <n v="2024"/>
    <d v="1899-12-30T07:40:00"/>
    <s v="D"/>
    <s v="SENATI"/>
    <s v="Alicorp S.A.A."/>
    <s v="BRIGIDA "/>
    <s v="PARISUAÑA"/>
    <s v="KARINA"/>
    <s v="FEMENINO"/>
    <n v="26"/>
    <s v="APRENDIZ SENATI"/>
    <s v="-"/>
    <s v="Colaboradora se encontraba en actividades en la máquina apiladora línea 1, relevando a su compañera quien salió de la linea a su refrigerio. Dicha actividad se realiza sobre una plataforma, a su vez se cuenta con una silla sobre ella. Cuando procedia a sentarse, consigo se inclina la silla puesto que las patas de la silla se encontraban al borde de la plataforma, en ese momento la colaboradora cae al suelo. Inmediatamente sus compañeros se acercan para ayudar a levantarse; luego recibe atencion de primeros auxilios por el inspector de turno. "/>
    <s v="Caída a distinto nivel"/>
    <s v="Brazo "/>
    <s v="Mano/Muñeca/Dedos"/>
    <s v="apilado de galleta "/>
    <s v="Contusión leve "/>
    <s v="Contusión/Trauma"/>
    <n v="0"/>
    <n v="0"/>
    <n v="0"/>
    <s v="Trabajando"/>
    <n v="4"/>
    <s v="&lt; 3 a 6 meses"/>
    <s v="Plataforma"/>
    <m/>
  </r>
  <r>
    <n v="151"/>
    <s v="-"/>
    <s v="PERÚ"/>
    <x v="0"/>
    <s v="SIDSUR"/>
    <s v="Sidsur"/>
    <x v="25"/>
    <x v="0"/>
    <s v="Galleteria"/>
    <x v="0"/>
    <s v="Acc. No Incapacitante"/>
    <d v="2024-07-20T00:00:00"/>
    <n v="29"/>
    <n v="20"/>
    <x v="7"/>
    <n v="2024"/>
    <d v="1899-12-30T14:45:00"/>
    <s v="T"/>
    <s v="SENATI"/>
    <s v="Alicorp S.A.A."/>
    <s v="HANCCO"/>
    <s v="GUTIERREZ"/>
    <s v="JACK ANTONNY"/>
    <s v="MASCULINO"/>
    <n v="21"/>
    <s v="APRENDIZ SENATI"/>
    <s v="-"/>
    <s v="Colaborador se encontraba ordenando cajas debido al corte de producción, cuando el coordinador de turno le solicita apoyo para trasladar la faja de transporte de la zona de cambios a la zona de granel, entonces proceden con el traslado. Llegado al lugar, colaborador intenta levantar la faja para que el coordinador  ancle los frenos desde una posicion frontal; al no lograrlo se coloca al lado lateral, momento en el cual al levantar la faja ésa se desestabiliza y se inclina, en el intento de evitar la caida el colaborador siente el roce del metal, lugar donde estuvo sujetando la faja, inmediatamente da aviso al cooridnador de turno del corte que surfrió, entonces  lo traslada al área de seguridad industrial, posteriormente se le traslada al tópico, siendo atendido por la parte médica quien realiza la limpieza y curación. No requiere traslado a la clinica. "/>
    <s v="Contacto con superficie filosa"/>
    <s v="Dedos indice y medio de la mano izquierda"/>
    <s v="Mano/Muñeca/Dedos"/>
    <s v="Traslado de faja"/>
    <s v="Corte superficial"/>
    <s v="Corte/Herida"/>
    <n v="0"/>
    <n v="0"/>
    <n v="0"/>
    <s v="Trabajando"/>
    <n v="0"/>
    <s v="&lt; 1 mes"/>
    <s v="Faja"/>
    <m/>
  </r>
  <r>
    <n v="152"/>
    <s v="-"/>
    <s v="PERÚ"/>
    <x v="2"/>
    <s v="LURIN"/>
    <s v="Intradevco"/>
    <x v="16"/>
    <x v="0"/>
    <s v="Producción"/>
    <x v="1"/>
    <s v="Acc. Incapacitante"/>
    <d v="2024-07-31T00:00:00"/>
    <n v="31"/>
    <n v="31"/>
    <x v="7"/>
    <n v="2024"/>
    <d v="1899-12-30T07:30:00"/>
    <s v="D"/>
    <s v="PROPIO"/>
    <s v="Intradevco"/>
    <s v="ROMERO"/>
    <s v=" MATUTE"/>
    <s v="MAIZA ROSARIO "/>
    <s v="FEMENINO"/>
    <n v="47"/>
    <s v="OPERARIO LINEA LAVAVAJILLA"/>
    <d v="2016-04-11T00:00:00"/>
    <s v="Mientras se transportaba a un grupo de trabajadores a la salida del turno de amanecida, desde la sede Lurín hacia el Norte, a la altura del paradero 08 (Av. Gálvez y Av. Lima) Zarumilla, la unidad de la empresa de Transportes Gabisho (movilidad del personal) impacta contra la parte derecha de la unidad de transporte publico de placa de AMS-896, la cual realizó un giro intempestivo en la intersección de la avenida mientras el semáforo se encontraba en rojo. Producto del evento se registraron daños personales a 3 trabajadores, los cuales fueron evacuados para recibir atención médica."/>
    <s v="Golpeado contra"/>
    <s v="Rodilla"/>
    <s v="Mano/Muñeca/Dedos"/>
    <s v="Uso de movilidad"/>
    <s v="Contusion de rodilla"/>
    <s v="Contusión/Trauma"/>
    <n v="9"/>
    <n v="0"/>
    <n v="9"/>
    <s v="DM"/>
    <m/>
    <s v="&lt; 5 a 10 años"/>
    <s v="Vehiculo"/>
    <s v="CONTRATO INDEFINIDO"/>
  </r>
  <r>
    <n v="153"/>
    <s v="-"/>
    <s v="PERÚ"/>
    <x v="2"/>
    <s v="LURIN"/>
    <s v="Intradevco"/>
    <x v="16"/>
    <x v="0"/>
    <s v="Producción"/>
    <x v="1"/>
    <s v="Acc. Incapacitante"/>
    <d v="2024-07-31T00:00:00"/>
    <n v="31"/>
    <n v="31"/>
    <x v="7"/>
    <n v="2024"/>
    <d v="1899-12-30T07:30:00"/>
    <s v="D"/>
    <s v="Service"/>
    <s v="Grupo Consulting"/>
    <s v="QUISPE"/>
    <s v=" COYLLO"/>
    <s v="EVA LUZMILA"/>
    <s v="FEMENINO"/>
    <n v="29"/>
    <s v="OPERARIO DE PRODUCCION"/>
    <s v="-"/>
    <s v="Mientras se transportaba a un grupo de trabajadores a la salida del turno de amanecida, desde la sede Lurín hacia el Norte, a la altura del paradero 08 (Av. Gálvez y Av. Lima) Zarumilla, la unidad de la empresa de Transportes Gabisho (movilidad del personal) impacta contra la parte derecha de la unidad de transporte publico de placa de AMS-896, la cual realizó un giro intempestivo en la intersección de la avenida mientras el semáforo se encontraba en rojo. Producto del evento se registraron daños personales a 3 trabajadores, los cuales fueron evacuados para recibir atención médica."/>
    <s v="Golpeado contra"/>
    <s v="Torax"/>
    <s v="Mano/Muñeca/Dedos"/>
    <s v="Uso de movilidad"/>
    <s v="Traumatismo de torax"/>
    <s v="Contusión/Trauma"/>
    <n v="9"/>
    <n v="0"/>
    <n v="9"/>
    <s v="DM"/>
    <m/>
    <m/>
    <s v="Vehiculo"/>
    <s v="CONTRATO TEMPORAL"/>
  </r>
  <r>
    <n v="154"/>
    <s v="-"/>
    <s v="PERÚ"/>
    <x v="2"/>
    <s v="LURIN"/>
    <s v="Intradevco"/>
    <x v="31"/>
    <x v="9"/>
    <s v="Almacen"/>
    <x v="1"/>
    <s v="Acc. Incapacitante"/>
    <d v="2024-07-31T00:00:00"/>
    <n v="31"/>
    <n v="31"/>
    <x v="7"/>
    <n v="2024"/>
    <d v="1899-12-30T07:30:00"/>
    <s v="D"/>
    <s v="PROPIO"/>
    <s v="Intradevco"/>
    <s v="CHAVEZ"/>
    <s v=" LIVIA"/>
    <s v="CESAR IVAN"/>
    <s v="MASCULINO"/>
    <n v="33"/>
    <s v="BALANCERO"/>
    <d v="2022-02-15T00:00:00"/>
    <s v="Mientras se transportaba a un grupo de trabajadores a la salida del turno de amanecida, desde la sede Lurín hacia el Norte, a la altura del paradero 08 (Av. Gálvez y Av. Lima) Zarumilla, la unidad de la empresa de Transportes Gabisho (movilidad del personal) impacta contra la parte derecha de la unidad de transporte publico de placa de AMS-896, la cual realizó un giro intempestivo en la intersección de la avenida mientras el semáforo se encontraba en rojo. Producto del evento se registraron daños personales a 3 trabajadores, los cuales fueron evacuados para recibir atención médica."/>
    <s v="Golpeado contra"/>
    <s v="Pierna derecha"/>
    <s v="Mano/Muñeca/Dedos"/>
    <s v="Uso de movilidad"/>
    <s v="Contusion en pierna derecha"/>
    <s v="Contusión/Trauma"/>
    <n v="5"/>
    <n v="0"/>
    <n v="5"/>
    <s v="DM"/>
    <m/>
    <s v="&lt; 1 a 5 años"/>
    <s v="Vehiculo"/>
    <s v="CONTRATO INDEFINIDO"/>
  </r>
  <r>
    <n v="155"/>
    <s v="-"/>
    <s v="PERÚ"/>
    <x v="0"/>
    <s v="SIDSUR"/>
    <s v="Sidsur"/>
    <x v="25"/>
    <x v="0"/>
    <s v="Limpieza"/>
    <x v="0"/>
    <s v="Acc. No Incapacitante"/>
    <d v="2024-07-30T00:00:00"/>
    <n v="31"/>
    <n v="30"/>
    <x v="7"/>
    <n v="2024"/>
    <d v="1899-12-30T07:15:00"/>
    <s v="D"/>
    <s v="Tercero - Limpieza"/>
    <s v="Alteliza"/>
    <s v="COAGUILA"/>
    <s v="COAGUILA"/>
    <s v="LOYOLA LOURDES"/>
    <s v="FEMENINO"/>
    <n v="42"/>
    <s v="OPERARIO DE LIMPIEZA"/>
    <s v="-"/>
    <s v="Colaboradora se encontraba realizando la limpieza de un puerta  de cristal con marco de metal de las oficinas de la planta de galleteria ubicada en el segundo piso de la planta, realizaba la limpieza con un trapo y tenia puesto guantes quirurgico; momento en que pasa la mano por una parte de vidrio roto sin percatarse de la condición sufre una corte superficial. Posteriormente es trasladada al tópico para recibir atención. "/>
    <s v="Contacto con superficie filosa"/>
    <s v="Dedo"/>
    <s v="Mano/Muñeca/Dedos"/>
    <s v="Limpieza "/>
    <s v="Corte superficial"/>
    <s v="Corte/Herida"/>
    <n v="0"/>
    <n v="0"/>
    <n v="0"/>
    <s v="Trabajando"/>
    <n v="9"/>
    <s v="&lt; 0.5 a 1 año"/>
    <s v="Vidrio roto"/>
    <m/>
  </r>
  <r>
    <n v="156"/>
    <s v="-"/>
    <s v="PERÚ"/>
    <x v="4"/>
    <s v="Sicaya"/>
    <s v="Teal"/>
    <x v="21"/>
    <x v="0"/>
    <s v="Linea Panetones"/>
    <x v="0"/>
    <s v="Acc. No Incapacitante"/>
    <d v="2024-08-02T00:00:00"/>
    <n v="31"/>
    <n v="2"/>
    <x v="5"/>
    <n v="2024"/>
    <d v="1899-12-30T14:25:00"/>
    <s v="D"/>
    <s v="PROPIO"/>
    <s v="Masterbread"/>
    <s v="BRAVO"/>
    <s v="CHUCARI"/>
    <s v="GERARDO JOSE"/>
    <s v="MASCULINO"/>
    <n v="19"/>
    <s v="OPERARIO DE PRODUCCION"/>
    <d v="2024-07-02T00:00:00"/>
    <s v="En circunstancias en que el Sr. Bravo Chucari Gerardo se encontraba cortando los zunchos de paquetes de los bloques de cajas de cartón para habilitar el armado de los mismo, hace una mala maniobra y sufre un corte superficial en el pulpejo del dedo medio de la mano derecha generando un pequeño sangrado, al instante es abordado por el supervisor de producción brindándole los primeros auxilios. Cabe precisar que el trabajador no utilizo sus guantes de protección asignado al puesto. "/>
    <s v="Contacto con superficie filosa"/>
    <s v="Dedo medio de la mano derecha"/>
    <s v="Mano/Muñeca/Dedos"/>
    <s v="Corte de zunchos del paquete de cajas de carton"/>
    <s v="Herida cortante"/>
    <s v="Corte/Herida"/>
    <n v="0"/>
    <n v="0"/>
    <n v="0"/>
    <s v="Trabajando"/>
    <n v="1"/>
    <s v="&lt; 1 a 3 meses"/>
    <s v="Cuchilla retractil estandar"/>
    <s v="CONTRATO TEMPORAL"/>
  </r>
  <r>
    <n v="157"/>
    <s v="-"/>
    <s v="PERÚ"/>
    <x v="4"/>
    <s v="Sicaya"/>
    <s v="Teal"/>
    <x v="21"/>
    <x v="0"/>
    <s v="Linea Panetones"/>
    <x v="0"/>
    <s v="Acc. No Incapacitante"/>
    <d v="2024-08-07T00:00:00"/>
    <n v="32"/>
    <n v="7"/>
    <x v="5"/>
    <n v="2024"/>
    <d v="1899-12-30T03:50:00"/>
    <s v="N"/>
    <s v="PROPIO"/>
    <s v="Masterbread"/>
    <s v="VASQUEZ"/>
    <s v="DE JESUS"/>
    <s v="DEYVIS"/>
    <s v="MASCULINO"/>
    <n v="26"/>
    <s v="OPERARIO DE PRODUCCION"/>
    <d v="2024-07-02T00:00:00"/>
    <s v="En circunstancias en que el Sr. Vasquez de Jesus Deivys se desplazaba a otra área en la zona de amasado de Panetones, sufrió un golpe en la ceja izquierda al impactar accidentalmente con la máquina amasadora inoperativa PEERLES 1. Este incidente provocó una pequeña lesión con sangrado activo. Inmediatamente fue asistido por el Supervisor de turno, quien le brindó los primeros auxilios y lo trasladó al tópico. Inmediatamente se llamo al servicio de ambulancia HelpMed para su evaluacion y curación respectiva"/>
    <s v="Golpeado contra"/>
    <s v="Ceja izquierda"/>
    <s v="Rostro/Nariz/Boca"/>
    <s v="Transito peatonal"/>
    <s v="Contusión"/>
    <s v="Contusión/Trauma"/>
    <n v="0"/>
    <n v="0"/>
    <n v="0"/>
    <s v="Trabajando"/>
    <n v="12"/>
    <s v="&lt; 0.5 a 1 año"/>
    <s v="Superficie de maquina"/>
    <s v="CONTRATO TEMPORAL"/>
  </r>
  <r>
    <n v="158"/>
    <s v="-"/>
    <s v="PERÚ"/>
    <x v="0"/>
    <s v="MCA"/>
    <s v="Molinos Lima"/>
    <x v="22"/>
    <x v="0"/>
    <s v="Producción"/>
    <x v="0"/>
    <s v="Acc. No Incapacitante"/>
    <d v="2024-08-13T00:00:00"/>
    <n v="33"/>
    <n v="13"/>
    <x v="5"/>
    <n v="2024"/>
    <d v="1899-12-30T00:49:00"/>
    <s v="N"/>
    <s v="PROPIO"/>
    <s v="Alicorp"/>
    <s v="MARCELO"/>
    <s v="CRUZ"/>
    <s v="JAIRO"/>
    <s v="MASCULINO"/>
    <s v="-"/>
    <s v="OPERADOR DE PLANTA"/>
    <d v="2024-08-14T00:00:00"/>
    <s v="Al presentarse falla en la maquina cosedora de línea 2 de embolsado, se solicita el soporte del mecánico de turno para su revisión de la maquina cocedora al revisar el mecánico indica cambiar la maquina cocedora, luego se dirige al taller de mantenimiento para traer otra cosedora para su cambio de la cosedora que se encontraba en falla, para desmontar la cocedora de la línea, solicita apoyo a los operadores de línea, con el apoyo del operador de planta Jairo Marcelo levantan la cocedora y al realizar el traslado hacia la mesa, el operador de planta se golpea la mano con el filo de la mesa y el peso de la cosedora._x000a_Inmediatamente fue asistido por el Ing. de turno, quien llamo al servicio de ambulancia Alerta Medica para su evaluación y atención respectiva. "/>
    <s v="Atrapado por"/>
    <s v="Dedo"/>
    <s v="Mano/Muñeca/Dedos"/>
    <s v="Desmontaje cosedora"/>
    <s v="Contusión"/>
    <s v="Contusión/Trauma"/>
    <n v="0"/>
    <n v="0"/>
    <n v="0"/>
    <s v="Trabajando"/>
    <n v="3"/>
    <s v="&lt; 1 a 5 años"/>
    <s v="Cosedora"/>
    <s v="CONTRATO INDEFINIDO"/>
  </r>
  <r>
    <n v="159"/>
    <s v="-"/>
    <s v="PERÚ"/>
    <x v="0"/>
    <s v="CENTRAL"/>
    <s v="Galletería"/>
    <x v="0"/>
    <x v="0"/>
    <s v="Producción"/>
    <x v="0"/>
    <s v="Acc. No Incapacitante"/>
    <d v="2024-08-16T00:00:00"/>
    <n v="33"/>
    <n v="16"/>
    <x v="5"/>
    <n v="2024"/>
    <d v="1899-12-30T21:45:00"/>
    <s v="D"/>
    <s v="PROPIO"/>
    <s v="ALICORP"/>
    <s v="SAENZ"/>
    <s v="MINAYA"/>
    <s v="VICTOR RAUL"/>
    <s v="MASCULINO"/>
    <s v="-"/>
    <s v="Operador Volante"/>
    <s v="-"/>
    <s v="Siendo las 21:35, el operador se encontraba alimentando la envasadora secundaria C7 de la línea 1, de repente; se produce un atasco de paquetes en la plancha de recepción hacia la pack en mención, el operador por tratar de sacar dicho paquete, hace contacto con la plancha filosa y se corta  el pulgar derecho"/>
    <s v="Contacto con superficie filosa"/>
    <s v="Dedo"/>
    <s v="Mano/Muñeca/Dedos"/>
    <s v="Acomodo de Galletas"/>
    <s v="Corte"/>
    <s v="Corte/Herida"/>
    <n v="0"/>
    <n v="0"/>
    <n v="0"/>
    <s v="Laborando"/>
    <n v="178"/>
    <s v="&gt; 10 años"/>
    <s v="Superficie Filosa"/>
    <s v="CONTRATO INDEFINIDO"/>
  </r>
  <r>
    <n v="160"/>
    <s v="-"/>
    <s v="PERÚ"/>
    <x v="3"/>
    <s v="Trujillo"/>
    <s v="Vitapro"/>
    <x v="32"/>
    <x v="0"/>
    <s v="Abastecimiento/Molienda"/>
    <x v="1"/>
    <s v="Acc. Incapacitante"/>
    <d v="2024-04-10T00:00:00"/>
    <n v="15"/>
    <n v="10"/>
    <x v="3"/>
    <n v="2024"/>
    <d v="1899-12-30T04:15:00"/>
    <s v="C"/>
    <s v="PROPIO"/>
    <s v="VITAPRO"/>
    <s v="-"/>
    <s v="-"/>
    <s v="-"/>
    <s v="MASCULINO"/>
    <n v="56"/>
    <s v="AUXLIAR DE PRODUCCIÓN"/>
    <s v="-"/>
    <s v="Siendo aproximadamente las 4:05 am el auxiliar de producción manifiesta que se produjo un obstrucción de materia prima en el ducto/esclusa del tolvin en el 5to nivel de L13 circunstancias en las que, procede a desmontar la tubería que conecta con la esclusa, luego se retira los guantes de protección de la mano derecha para verificar el paso del flujo de aire y ausencia de producto con equipo encendido, lo que ocasiona contacto del dedo índice derecho con las aspas de la esclusa._x000a_El colaborador es trasladado inmediatamente al servicio médico de turno , se evalúa al trabajador y es trasladado a la clínica para su tratamiento."/>
    <s v="Sobreesfuerzo"/>
    <s v="-"/>
    <s v="Mano/Muñeca/Dedos"/>
    <s v="-"/>
    <m/>
    <m/>
    <m/>
    <m/>
    <n v="60"/>
    <m/>
    <m/>
    <m/>
    <m/>
    <m/>
  </r>
  <r>
    <n v="161"/>
    <s v="-"/>
    <s v="PERÚ"/>
    <x v="0"/>
    <s v="SIDSUR"/>
    <s v="Sidsur"/>
    <x v="25"/>
    <x v="0"/>
    <s v="Gallete"/>
    <x v="0"/>
    <s v="Acc. No Incapacitante"/>
    <d v="2024-08-05T00:00:00"/>
    <n v="32"/>
    <n v="5"/>
    <x v="5"/>
    <n v="2024"/>
    <d v="1899-12-30T10:00:00"/>
    <s v="D"/>
    <s v="PROPIO"/>
    <s v="Alicorp"/>
    <s v="JARA"/>
    <s v="QUISPE"/>
    <s v="ELVIS FELIX"/>
    <s v="MASCULINO"/>
    <s v="-"/>
    <s v="MAQUINISTA ENVASADORA"/>
    <d v="2002-05-27T00:00:00"/>
    <s v="Colaborador menciona que se encontraba realizando actividad de cortado de galletas, actividad que realizaba sentado en una silla, indica que mientras ejecutaba la actividad la silla se inclina hacia la izquierda y cae al piso golpeadose la cadera, inmediatamente se pone de pie y evidencia que la silla tenia las patas dañadas. Posterioremnte es trasladado al tópico para ser atendido"/>
    <s v="Caída al mismo nivel"/>
    <s v="Cadera"/>
    <s v="Mano/Muñeca/Dedos"/>
    <s v="Cortado de galletas"/>
    <s v="Contusión"/>
    <s v="Contusión/Trauma"/>
    <n v="0"/>
    <n v="0"/>
    <m/>
    <s v="Trabajando"/>
    <m/>
    <m/>
    <m/>
    <m/>
  </r>
  <r>
    <n v="162"/>
    <s v="-"/>
    <s v="PERÚ"/>
    <x v="0"/>
    <s v="PREDIO CENTRAL"/>
    <s v="Otros"/>
    <x v="33"/>
    <x v="7"/>
    <s v="Comedor"/>
    <x v="1"/>
    <s v="Acc. Incapacitante"/>
    <d v="2024-08-14T00:00:00"/>
    <n v="33"/>
    <n v="14"/>
    <x v="5"/>
    <n v="2024"/>
    <d v="1899-12-30T14:30:00"/>
    <s v="T"/>
    <s v="Tercero - Comedor"/>
    <s v="Charlotte SA"/>
    <s v="Reynoso"/>
    <s v="Ipanaque"/>
    <s v="Valentin Bryan"/>
    <s v="MASCULINO"/>
    <s v="-"/>
    <s v="Ayudante de cocina"/>
    <d v="2024-08-12T00:00:00"/>
    <s v="El accidente sucedió aproximadamente las 14:30 p.m. momento en el que Valentin Bryan Reynoso Ypanaque, colaborador del concesionario se encontraba cortando verduras, y es cuando sufre el corte en el dedo medio de la mano derecha, ocasionándole un sangrado de regular cantidad, por ello es trasladado al tópico en donde le realizan la curación de la herida, luego en compañía de la supervisora de calidad de su empleador, es trasladado a la Clínica San Gabriel"/>
    <s v="Contacto con superficie filosa"/>
    <s v="dedo medio de mano derecha"/>
    <s v="Mano/Muñeca/Dedos"/>
    <s v="Corte de verduras"/>
    <s v="corte"/>
    <s v="Corte/Herida"/>
    <n v="8"/>
    <n v="0"/>
    <n v="8"/>
    <s v="Reasignado temporalmente a otras actividades"/>
    <m/>
    <s v="&lt; 1 mes"/>
    <s v="cuchillo de cocina"/>
    <s v="CONTRATO INDEFINIDO"/>
  </r>
  <r>
    <n v="163"/>
    <s v="DIS24484"/>
    <s v="PERÚ"/>
    <x v="0"/>
    <s v="PREDIO CENTRAL"/>
    <s v="Otros"/>
    <x v="23"/>
    <x v="3"/>
    <s v="EEII Galletera"/>
    <x v="0"/>
    <s v="Acc. No Incapacitante"/>
    <d v="2024-08-16T00:00:00"/>
    <n v="33"/>
    <n v="16"/>
    <x v="5"/>
    <n v="2024"/>
    <d v="1899-12-30T10:30:00"/>
    <s v="D"/>
    <s v="Tercero - Limpieza"/>
    <s v="FLAMIL"/>
    <s v="VELIZ"/>
    <s v="VELASQUEZ"/>
    <s v="YARAHI"/>
    <s v="FEMENINO"/>
    <n v="41"/>
    <s v="PDR"/>
    <d v="2024-02-01T00:00:00"/>
    <s v="Durante las labores de supervisión de las actividades del equipo de trabajo en la limpieza de pallets, la PDR sufre un accidente al apoyar la mano sobre una paleta, una pequeña astilla se incrustó en el dedo índice. En ese momento, se estaban utilizando guantes industriales de hilo con palma de látex, multipropósito, con el objetivo de recoger unos cartones del suelo. Tras varios intentos fallidos de retirar la astilla por cuenta propia, acudió al tópico de Alicorp para proceder con la extracción de la misma."/>
    <s v="Contacto con superficie filosa"/>
    <s v="Dedo índice derecho"/>
    <s v="Mano/Muñeca/Dedos"/>
    <s v="Supervisión"/>
    <s v="Cuerpo extraño en tejido blando"/>
    <s v="Corte/Herida"/>
    <n v="0"/>
    <n v="0"/>
    <n v="0"/>
    <s v="Trabajando"/>
    <n v="6"/>
    <s v="&lt; 3 a 6 meses"/>
    <s v="Paleta"/>
    <s v="CONTRATO TEMPORAL"/>
  </r>
  <r>
    <n v="164"/>
    <s v="-"/>
    <s v="PERÚ"/>
    <x v="0"/>
    <s v="Miraflores"/>
    <s v="Otros"/>
    <x v="20"/>
    <x v="4"/>
    <s v="Piso 9"/>
    <x v="0"/>
    <s v="Acc. No Incapacitante"/>
    <d v="2024-08-20T00:00:00"/>
    <n v="34"/>
    <n v="20"/>
    <x v="5"/>
    <n v="2024"/>
    <d v="1899-12-30T14:20:00"/>
    <s v="T"/>
    <s v="Tercero - Limpieza"/>
    <s v="DecoClean Express"/>
    <s v="Martinez"/>
    <s v="Ñaupari"/>
    <s v="Xiomara"/>
    <s v="FEMENINO"/>
    <n v="18"/>
    <s v="Operario de limpieza"/>
    <d v="2024-04-17T00:00:00"/>
    <s v="COLABORADORA REFIERE QUE LAVANDO LOS UTENSILIOS DE COCINA, ACCIDENTALMENTE SE ROMPIO UN VASO, ORIGINANDO UNA PEQUEÑA HERIDA EN EL DEDO DE LA MANO IZQUIERDA. SE REALIZO LA CURACION RESPECTIVA."/>
    <s v="Contacto con superficie filosa"/>
    <s v="dedo de mano izquierda"/>
    <s v="Mano/Muñeca/Dedos"/>
    <s v="Lavado de vaso"/>
    <s v="herida de dedo de mano izquierda"/>
    <s v="Corte/Herida"/>
    <n v="0"/>
    <n v="0"/>
    <n v="0"/>
    <s v="Trabajando"/>
    <n v="4"/>
    <s v="&lt; 3 a 6 meses"/>
    <s v="vaso"/>
    <s v="determinado"/>
  </r>
  <r>
    <n v="165"/>
    <s v="-"/>
    <s v="PERÚ"/>
    <x v="0"/>
    <s v="Miraflores"/>
    <s v="Otros"/>
    <x v="20"/>
    <x v="4"/>
    <s v="Piso 9"/>
    <x v="1"/>
    <s v="Acc. Incapacitante"/>
    <d v="2024-08-21T00:00:00"/>
    <n v="34"/>
    <n v="21"/>
    <x v="5"/>
    <n v="2024"/>
    <d v="1899-12-30T12:20:00"/>
    <s v="D"/>
    <s v="PROPIO"/>
    <s v="Alicorp S.A.A"/>
    <s v="Crisostomo"/>
    <s v="Barrios"/>
    <s v="Adian"/>
    <s v="MASCULINO"/>
    <n v="40"/>
    <s v="GERENTE SR DE CATEGORIA"/>
    <d v="2012-05-08T00:00:00"/>
    <s v="REFIERE QUE ESTABA CAMINANDO CON EL CELULAR EN LA MANO ATENDIENDO LOS MENSAJES, NO SE PERCATÓ DE LA ESTRUCTURA METALICA DE LA ESCALERA Y SE GOLPEO LA CABEZA. SE APLICO HIELO EN LA ZONA AFECTADA Y SE DIO TRATAMIENTO ANALGESICO VIA ORAL. SE DIO LA RECOMENDACION DE PERSISTIR CEFALEA O PRESENTAR ALGUNA SINTOMATOLOGIA ADICIONAL ACUDIR A SU ESTABLECIMIENTO DE SALUD. SE REALIZA SEGUIMIENTO DESPUES DE UNA HORA, REFIERE QUE SE ENCUENTRA EN UNA REUNION. LUEGO DE ELLO ACUDE A LA CLINICA SANNA DE SAN BORJA. INDICA QUE LE DIERON UNA ORDEN PARA PLACA DE RX Y SE ENCUENTRA CON TRATAMIENTO INTRAMUSCULAR."/>
    <s v="Golpeado contra"/>
    <s v="cabeza"/>
    <s v="Cabeza"/>
    <s v="Desplazamineto por oficina"/>
    <s v="Traumatismo superficial de la cabeza"/>
    <s v="Contusión/Trauma"/>
    <n v="8"/>
    <n v="0"/>
    <n v="8"/>
    <m/>
    <n v="144"/>
    <s v="&gt; 10 años"/>
    <s v="Escalera"/>
    <s v="CONTRATO INDEFINIDO"/>
  </r>
  <r>
    <n v="166"/>
    <s v="-"/>
    <s v="PERÚ"/>
    <x v="0"/>
    <s v="Miraflores"/>
    <s v="Otros"/>
    <x v="20"/>
    <x v="4"/>
    <s v="Piso 9"/>
    <x v="0"/>
    <s v="Acc. No Incapacitante"/>
    <d v="2024-08-21T00:00:00"/>
    <n v="34"/>
    <n v="21"/>
    <x v="5"/>
    <n v="2024"/>
    <d v="1899-12-30T10:25:00"/>
    <s v="D"/>
    <s v="PROPIO"/>
    <s v="Alicorp S.A.A."/>
    <s v="Delgadillo"/>
    <s v="Chau"/>
    <s v="Yury"/>
    <s v="FEMENINO"/>
    <n v="34"/>
    <s v="COORDINADOR DE DESARROLLO CONSULTIVO DE CLIENTE"/>
    <d v="2021-02-15T00:00:00"/>
    <s v="REFIERE QUE SE ENCONTRABA PREPARANDO UNA INFUSION Y AL INTENTAR TOMAR LA HERVIDORA PARA LLENAR LA TAZA DE AGUA SALPICO EN EL DEDO PULGAR DE LA MANO IZQUIERDA, EL AGUA HIRVIENDO OCASIONANDO UNA QUEMADURA DE PRIMER GRADO; QUE SE PUDO CONTROLAR CON AGUA A CHORRO Y CURACION. SE INDICO REEVALUACION DENTRO DE UNA HORA, LA EVOLUCION FUE FAVORABLE. SE DIO INDICACIONES Y REGRESO A SUS LABORES."/>
    <s v="Contacto con Superficie Caliente"/>
    <s v="Dedo pulgar y muñeca de Mano izquierda"/>
    <s v="Mano/Muñeca/Dedos"/>
    <s v="uso de kitchenette"/>
    <s v="Quemadura de primer grado"/>
    <s v="Quemadura por Temperatura"/>
    <n v="0"/>
    <m/>
    <n v="0"/>
    <s v="Trabajando"/>
    <n v="36"/>
    <s v="&lt; 1 a 5 años"/>
    <s v="hervidor"/>
    <s v="CONTRATO INDEFINIDO"/>
  </r>
  <r>
    <n v="167"/>
    <s v="-"/>
    <s v="PERÚ"/>
    <x v="0"/>
    <s v="CENTRAL"/>
    <s v="Galletería"/>
    <x v="0"/>
    <x v="0"/>
    <s v="Envasadora C3"/>
    <x v="0"/>
    <s v="Acc. No Incapacitante"/>
    <d v="2024-08-24T00:00:00"/>
    <n v="34"/>
    <n v="24"/>
    <x v="5"/>
    <n v="2024"/>
    <d v="1899-12-30T08:45:00"/>
    <s v="D"/>
    <s v="PROPIO"/>
    <s v="ALICORP"/>
    <s v="LOSTAUNAU"/>
    <s v="ARANA"/>
    <s v="FREDY"/>
    <s v="MASCULINO"/>
    <s v="-"/>
    <s v="Operador de máquina envasadora"/>
    <s v="-"/>
    <s v="El colaborador estuvo regulando la plancha de ordena los paquetes a la salida de la envasadora C3, en ese momento el extremo de la llave queda atrapada con una de las tablillas, el operador al percibir el atrapamiento jala la llave y su dedo meñique sufre una contusión con una de las tablillas."/>
    <s v="Atrapado por Partes en Movimiento"/>
    <s v="Dedo meñique mano derecha"/>
    <s v="Mano/Muñeca/Dedos"/>
    <s v="Regulando plancha"/>
    <s v="Contusión"/>
    <s v="Contusión/Trauma"/>
    <n v="0"/>
    <m/>
    <n v="0"/>
    <s v="Laborando"/>
    <n v="168"/>
    <s v="&gt; 10 años"/>
    <s v="Tablillas"/>
    <s v="CONTRATO INDEFINIDO"/>
  </r>
  <r>
    <n v="168"/>
    <s v="-"/>
    <s v="PERÚ"/>
    <x v="0"/>
    <s v="PREDIO CENTRAL"/>
    <s v="Fideería Lima"/>
    <x v="34"/>
    <x v="0"/>
    <s v="Envasadora R - L28"/>
    <x v="1"/>
    <s v="Acc. Incapacitante"/>
    <d v="2024-08-25T00:00:00"/>
    <n v="34"/>
    <n v="25"/>
    <x v="5"/>
    <n v="2024"/>
    <d v="1899-12-30T06:10:00"/>
    <s v="N"/>
    <s v="PROPIO"/>
    <s v="Alicorp S.A.A"/>
    <s v="QUISPE"/>
    <s v="ALVA"/>
    <s v="JHONATAN"/>
    <s v="MASCULINO"/>
    <s v="-"/>
    <s v="Operador de Envasado"/>
    <s v="-"/>
    <s v="El accidente sucedió aproximadamente a las 06:10 a.m. momento en el que Jhonatan Quispe Alva, operador de envasado de la línea 28 de pasta larga se encontraba realizando la actividad de cambio de bobina, y es cuando al momento de colocar la bobina (20 Kg aprox) en el eje, no calcula bien y se le resbala la bobina, golpeándole la palma de la mano y muñeca contra la mesa. El colaborador es trasladado al tópico donde le revisan la mano y deciden trasladarlo a la Clínica San Gabriel en compañía del coordinador. Posteriormente le otorgan descanso médico hasta el 27/08/24"/>
    <s v="Golpeado por"/>
    <s v="Mano muñeca izquierda"/>
    <s v="Mano/Muñeca/Dedos"/>
    <s v="Cambio de bobinas"/>
    <s v="Contusión"/>
    <s v="Contusión/Trauma"/>
    <n v="60"/>
    <n v="0"/>
    <n v="60"/>
    <m/>
    <m/>
    <m/>
    <m/>
    <s v="CONTRATO INDEFINIDO"/>
  </r>
  <r>
    <n v="169"/>
    <s v="-"/>
    <s v="PERÚ"/>
    <x v="0"/>
    <s v="PREDIO CENTRAL"/>
    <s v="Otros"/>
    <x v="3"/>
    <x v="5"/>
    <s v="Pasadizo auditorio"/>
    <x v="1"/>
    <s v="Acc. Incapacitante"/>
    <d v="2024-08-02T00:00:00"/>
    <n v="31"/>
    <n v="2"/>
    <x v="5"/>
    <n v="2024"/>
    <d v="1899-12-30T14:00:00"/>
    <s v="D"/>
    <s v="Contratista"/>
    <s v="RYCH"/>
    <s v="ROSALES"/>
    <s v="MENDOZA"/>
    <s v="RAFAEL"/>
    <s v="FEMENINO"/>
    <n v="45"/>
    <s v="Soldador"/>
    <d v="2018-08-02T00:00:00"/>
    <s v="El 02 de agosto a las 14:00 horas aprox. La empresa RYCH se encontraba realizando el desmontaje y desguace de una porción del puente a nivel del piso. En ese instante el trabajador RAFAEL FERMIN ROSALES MENDOZA (Soldador) se encontraba cortando dicha estructura a una altura de 1.85m. Luego de culminada la actividad, se dispone a bajar por la escalera y al apoyarse en la rejilla (grating) esta no se encontraba fija; por lo cual hace que pierda el equilibrio y caiga."/>
    <s v="Caída a distinto nivel"/>
    <s v="Torax parte izquierda"/>
    <s v="Abdomen/Torso"/>
    <s v="corte de estructuras"/>
    <s v="contusión"/>
    <s v="Contusión/Trauma"/>
    <n v="10"/>
    <n v="0"/>
    <n v="10"/>
    <s v="Trabajando"/>
    <n v="168"/>
    <s v="&lt; 5 a 10 años"/>
    <s v="grating suelto"/>
    <s v="CONTRATO INDEFINIDO"/>
  </r>
  <r>
    <n v="170"/>
    <s v="-"/>
    <s v="PERÚ"/>
    <x v="2"/>
    <s v="LURIN"/>
    <s v="Intradevco"/>
    <x v="16"/>
    <x v="0"/>
    <s v="Empacado detergente"/>
    <x v="0"/>
    <s v="Acc. No Incapacitante"/>
    <d v="2024-08-07T00:00:00"/>
    <n v="32"/>
    <n v="7"/>
    <x v="5"/>
    <n v="2024"/>
    <d v="1899-12-30T11:40:00"/>
    <s v="D"/>
    <s v="Service"/>
    <s v="Grupo Consulting"/>
    <s v="YUMBATO"/>
    <s v="PACAYA"/>
    <s v="ALEXIS EGLINTON "/>
    <s v="MASCULINO"/>
    <s v="-"/>
    <s v="OPERARIO DE PRODUCCIÓN"/>
    <s v="-"/>
    <s v="El colaborador Yumbato Pacaya Alexis se encontraba apilando en la línea 1, al momento de agarrar la bolsa solo la alza con una mano (derecha) debido a ello esta se le resbala y como consecuencia se impacta su muñeca derecha contra la guarda de la faja. "/>
    <s v="Golpeado contra"/>
    <s v="Mano derecha"/>
    <s v="Mano/Muñeca/Dedos"/>
    <s v="Manipulacion de sacos"/>
    <s v="Contusion en mano derecha"/>
    <s v="Contusión/Trauma"/>
    <n v="0"/>
    <n v="0"/>
    <n v="0"/>
    <s v="Trabajando"/>
    <m/>
    <m/>
    <s v="Guarda"/>
    <s v="CONTRATO TEMPORAL"/>
  </r>
  <r>
    <n v="171"/>
    <s v="-"/>
    <s v="PERÚ"/>
    <x v="2"/>
    <s v="LURIN"/>
    <s v="Intradevco"/>
    <x v="16"/>
    <x v="0"/>
    <s v="Lavavajilla"/>
    <x v="0"/>
    <s v="Acc. No Incapacitante"/>
    <d v="2024-08-20T00:00:00"/>
    <n v="34"/>
    <n v="20"/>
    <x v="5"/>
    <n v="2024"/>
    <d v="1899-12-30T14:40:00"/>
    <s v="D"/>
    <s v="Service"/>
    <s v="Grupo Consulting"/>
    <s v="NUÑEZ"/>
    <s v="AHUAMAN"/>
    <s v="PABLO GABRIEL"/>
    <s v="MASCULINO"/>
    <s v="-"/>
    <s v="OPERARIO DE PRODUCCIÓN"/>
    <s v="-"/>
    <s v="El colaborador Nuñez Ahuanari se encontraba haciendo limpieza en la parte interna de la batidora número 2 con la espátula, pero la introduce demás lo que provoca que choque contra el hélice edicodial y éste rebote hacia arriba haciendo que la mano con la que manipula la parte superior de la herramienta choque contra la guarda del motor y sufra un  aplastamiento en dedo pulgar de la mano izquierda._x000a_- La limpieza se realiza sólo en la parte superior de la olla, no es necesario introducir demasiado la espátula._x000a_- Esta actividad la realizan con la máquina encendida._x000a_Como dato adicional:_x000a_- Se recomienda implementar el uso de guantes antiimpacto para realizar ésta actividad y prevenir se vuelvan a dar futuros accidentes, ya que colaboradores mencionan que en ocasiones sucede que espátula choca contra hélice y se produce un rebote hacia arriba."/>
    <s v="Golpeado contra"/>
    <s v="Pulgar izquierdo"/>
    <s v="Mano/Muñeca/Dedos"/>
    <s v="Limpieza"/>
    <s v="Contusion en pulgar izquierdo"/>
    <s v="Contusión/Trauma"/>
    <n v="0"/>
    <n v="0"/>
    <n v="0"/>
    <s v="Trabajando"/>
    <m/>
    <m/>
    <s v="Tapa de batidora"/>
    <s v="CONTRATO TEMPORAL"/>
  </r>
  <r>
    <n v="172"/>
    <s v="-"/>
    <s v="PERÚ"/>
    <x v="2"/>
    <s v="LURIN"/>
    <s v="Intradevco"/>
    <x v="16"/>
    <x v="0"/>
    <s v="Areas comunes"/>
    <x v="0"/>
    <s v="Acc. No Incapacitante"/>
    <d v="2024-08-20T00:00:00"/>
    <n v="34"/>
    <n v="20"/>
    <x v="5"/>
    <n v="2024"/>
    <d v="1899-12-30T19:00:00"/>
    <s v="N"/>
    <s v="Service"/>
    <s v="Grupo Consulting"/>
    <s v="TORRES"/>
    <s v="ORUE"/>
    <s v="JHONATHAN HANS "/>
    <s v="MASCULINO"/>
    <s v="-"/>
    <s v="OPERARIO DE PRODUCCIÓN"/>
    <s v="-"/>
    <s v="Colaborador Torres Orue Jhonatan estuvo bajando por las escaleras para poder retirarse ya que era término de turno. Al haber tránsito de compañeros no pisa bien uno de los peldaños generando caída hacia atrás y se golpea su brazo derecho con el filo del antideslizante._x000a_- Se realiza la consulta al colaborador y manifiesta que no hizo uso del pasamanos ya que &quot;se le olvidó&quot;_x000a_- Luminarias de escaleras no están en funcionamiento lo que dificulta la visibilidad"/>
    <s v="Caída al mismo nivel"/>
    <s v="Brazo derecho"/>
    <s v="Brazo/Codo/Hombro"/>
    <s v="Uso de escalera"/>
    <s v="Corte en brazo derecho"/>
    <s v="Corte/Herida"/>
    <n v="0"/>
    <n v="0"/>
    <n v="0"/>
    <s v="Trabajando"/>
    <m/>
    <m/>
    <s v="Escalera"/>
    <s v="CONTRATO TEMPORAL"/>
  </r>
  <r>
    <n v="173"/>
    <s v="-"/>
    <s v="PERÚ"/>
    <x v="2"/>
    <s v="LURIN"/>
    <s v="Intradevco"/>
    <x v="16"/>
    <x v="0"/>
    <s v="Empacado detergente"/>
    <x v="0"/>
    <s v="Acc. No Incapacitante"/>
    <d v="2024-08-22T00:00:00"/>
    <n v="34"/>
    <n v="22"/>
    <x v="5"/>
    <n v="2024"/>
    <d v="1899-12-30T08:45:00"/>
    <s v="D"/>
    <s v="Service"/>
    <s v="Grupo Consulting"/>
    <s v="SANCHEZ "/>
    <s v="GUTIERREZ "/>
    <s v="CARLOS YASER"/>
    <s v="MASCULINO"/>
    <s v="-"/>
    <s v="OPERARIO DE PRODUCCIÓN"/>
    <s v="-"/>
    <s v="El colaborador Sánchez Gutiérrez Carlos menciona el día de ayer  21/08/24 a las 3:00 pm se encontraba en la línea 1 apilando, mencióna que su compañero apilaba lento y los bolsones venían rápido fue entonces que se juntaron dos bolsones y al momento de alzar cruza sus brazos y su mano derecha el dedo del medio queda atrapado entre la faja y su soporte de inmediato saca su mano continúo laborando ya que no sentía dolor, no dió aviso y a las 6:30 pm le empezó doler el dedo del medio de su mano derecha  y no dió aviso a nadie, llego a su casa se puso hielo y tomo pastilla paracetamol. _x000a__x000a_- hoy se encontraba apilando en la línea 1 y recién da aviso del dolor que siente al momento de alzar el bolsón, su intensidad de dolor es 5/10."/>
    <s v="Atrapado por Partes en Movimiento"/>
    <s v="Dedo medio derecho"/>
    <s v="Mano/Muñeca/Dedos"/>
    <s v="Apilado de sacos"/>
    <s v="Contusion en dedo medio derecho"/>
    <s v="Contusión/Trauma"/>
    <n v="0"/>
    <n v="0"/>
    <n v="0"/>
    <s v="Trabajando"/>
    <m/>
    <m/>
    <s v="Faja"/>
    <s v="CONTRATO TEMPORAL"/>
  </r>
  <r>
    <n v="174"/>
    <s v="-"/>
    <s v="PERÚ"/>
    <x v="2"/>
    <s v="LURIN"/>
    <s v="Intradevco"/>
    <x v="16"/>
    <x v="0"/>
    <s v="Lavavajilla"/>
    <x v="0"/>
    <s v="Acc. No Incapacitante"/>
    <d v="2024-08-27T00:00:00"/>
    <n v="35"/>
    <n v="27"/>
    <x v="5"/>
    <n v="2024"/>
    <d v="1899-12-30T23:50:00"/>
    <s v="N"/>
    <s v="Service"/>
    <s v="Grupo Consulting"/>
    <s v="-"/>
    <s v="-"/>
    <s v="-"/>
    <s v="FEMENINO"/>
    <s v="-"/>
    <s v="OPERARIO DE PRODUCCIÓN"/>
    <s v="-"/>
    <s v="La colaboradora se encontraba realizando la actividad de recuperado de bolsitas, al ejercer presión para revisión una de éstas se encontraba abierta, es ahí cuando el detergente se  proyecta al rostro siendo afectado su ojo izquierdo._x000a_- Antes de la atención por tópico fue llevada al lavaojos por 15 minutos, a pesar de ello aún tenía la vista roja y sentía ardor._x000a_- Sus lentes de seguridad no los tenía bien colocados, la colaboradora refiere que tenerlos pegados al rostro ocasiona que éstos se le empañen a causa del respirador N95 que tenía colocado."/>
    <s v="Proyección de Material Particulado"/>
    <s v="Ojos"/>
    <s v="Ojos"/>
    <s v="Recuperado de merma"/>
    <s v="Cuerpo Extraño en Ojos"/>
    <s v="Cuerpo Extraño en Ojos"/>
    <n v="0"/>
    <n v="0"/>
    <n v="0"/>
    <s v="Trabajando"/>
    <m/>
    <m/>
    <s v="Particulas de detergente"/>
    <s v="CONTRATO TEMPORAL"/>
  </r>
  <r>
    <n v="175"/>
    <s v="-"/>
    <s v="PERÚ"/>
    <x v="2"/>
    <s v="LURIN"/>
    <s v="Intradevco"/>
    <x v="16"/>
    <x v="0"/>
    <s v="Lavavajilla"/>
    <x v="0"/>
    <s v="Acc. No Incapacitante"/>
    <d v="2024-08-28T00:00:00"/>
    <n v="35"/>
    <n v="28"/>
    <x v="5"/>
    <n v="2024"/>
    <d v="1899-12-30T06:30:00"/>
    <s v="D"/>
    <s v="Service"/>
    <s v="Grupo Consulting"/>
    <s v="PAREDES"/>
    <s v=" SALAZAR"/>
    <s v=" ERLITA MARIBEL"/>
    <s v="FEMENINO"/>
    <s v="-"/>
    <s v="OPERARIO DE PRODUCCIÓN"/>
    <s v="-"/>
    <s v="La colaboradora se encontraba en la línea 3 encajando, da un paso para pasar la caja por la encintadora pero se resbala dado que los pisadores estaban separados, ocasionando que se resbale y se doble el pie derecho."/>
    <s v="Caída al mismo nivel"/>
    <s v="Pie derecho"/>
    <s v="Pie/Tobillo"/>
    <s v="Encajado"/>
    <s v="Contusion en pie derecho"/>
    <s v="Contusión/Trauma"/>
    <n v="0"/>
    <n v="0"/>
    <n v="0"/>
    <s v="Trabajando"/>
    <m/>
    <m/>
    <s v="Reposapies"/>
    <s v="CONTRATO TEMPORAL"/>
  </r>
  <r>
    <n v="176"/>
    <s v="-"/>
    <s v="PERÚ"/>
    <x v="2"/>
    <s v="LURIN"/>
    <s v="Intradevco"/>
    <x v="16"/>
    <x v="0"/>
    <s v="Empacado detergente"/>
    <x v="0"/>
    <s v="Acc. No Incapacitante"/>
    <d v="2024-08-29T00:00:00"/>
    <n v="35"/>
    <n v="29"/>
    <x v="5"/>
    <n v="2024"/>
    <d v="1899-12-30T18:20:00"/>
    <s v="D"/>
    <s v="Service"/>
    <s v="Grupo Consulting"/>
    <s v="GARCIA"/>
    <s v=" MONRROY"/>
    <s v=" LUIS ALFREDO "/>
    <s v="MASCULINO"/>
    <s v="-"/>
    <s v="OPERARIO DE PRODUCCIÓN"/>
    <s v="-"/>
    <s v="El colaborador García Monrroy Luis  CA. se encontraba en la actividad de colocación de bolsas, al momento de colocar la bolsa al soporte metálico queda atrapado su mano izquierda con la contadora N°1, el colaborador menciona que sus lentes se encontraban empañados y es por eso que no se dió cuenta cuando giro la contadora N°1."/>
    <s v="Atrapado por Partes en Movimiento"/>
    <s v="Mano izquierda"/>
    <s v="Mano/Muñeca/Dedos"/>
    <s v="Embolsado de producto"/>
    <s v="Contusion en mano izquierda"/>
    <s v="Contusión/Trauma"/>
    <n v="0"/>
    <n v="0"/>
    <n v="0"/>
    <s v="Trabajando"/>
    <m/>
    <m/>
    <s v="Contador de bolsones"/>
    <s v="CONTRATO TEMPORAL"/>
  </r>
  <r>
    <n v="177"/>
    <s v="-"/>
    <s v="PERÚ"/>
    <x v="2"/>
    <s v="LURIN"/>
    <s v="Intradevco"/>
    <x v="16"/>
    <x v="0"/>
    <s v="Empacado detergente"/>
    <x v="0"/>
    <s v="Acc. No Incapacitante"/>
    <d v="2024-08-30T00:00:00"/>
    <n v="35"/>
    <n v="30"/>
    <x v="5"/>
    <n v="2024"/>
    <d v="1899-12-30T23:50:00"/>
    <s v="N"/>
    <s v="Service"/>
    <s v="Grupo Consulting"/>
    <s v="WONG"/>
    <s v=" CONDORI"/>
    <s v=" YULIANA"/>
    <s v="FEMENINO"/>
    <s v="-"/>
    <s v="OPERARIO DE PRODUCCIÓN"/>
    <s v="-"/>
    <s v="La colaboradora Wong Condori se encontraba realizando la actividad de recuperado de merma, al sacudir una de las bolsitas el Deterguente sale proyectado hacia el rostro, siendo afectado su ojo derecho._x000a_- Se hizo uso del lavaojos durante 10 minutos, pero malestar de ardor continuó."/>
    <s v="Proyección de Material Particulado"/>
    <s v="Ojos"/>
    <s v="Ojos"/>
    <s v="Recuperado de merma"/>
    <s v="Cuerpo Extraño en Ojos"/>
    <s v="Cuerpo Extraño en Ojos"/>
    <n v="0"/>
    <n v="0"/>
    <n v="0"/>
    <s v="Trabajando"/>
    <m/>
    <m/>
    <s v="Particulas de detergente"/>
    <s v="CONTRATO TEMPORAL"/>
  </r>
  <r>
    <n v="178"/>
    <s v="-"/>
    <s v="BOLIVIA"/>
    <x v="1"/>
    <m/>
    <s v="CBB"/>
    <x v="2"/>
    <x v="0"/>
    <s v="Manteca"/>
    <x v="0"/>
    <s v="Acc. No Incapacitante"/>
    <d v="2024-08-14T00:00:00"/>
    <n v="33"/>
    <n v="14"/>
    <x v="5"/>
    <n v="2024"/>
    <d v="1899-12-30T04:00:00"/>
    <s v="N"/>
    <s v="PROPIO"/>
    <s v="ALICORP"/>
    <s v="Ramos"/>
    <s v="Yapiticona"/>
    <s v="David"/>
    <s v="MASCULINO"/>
    <n v="35"/>
    <s v="Recepcionista de manteca"/>
    <d v="2007-06-19T00:00:00"/>
    <s v="En fecha 14 de agosto a hrs. 04:00 am aprox. el trabajador David Ramos Yapiticona (Recepcionista) persona que se encontraba reemplazando al asistente de envasado; detuvieron la línea de envasado de Manteca (Tecmar) por derrame de producto en la cinta transportadora, motivo por el cual procedió a limpiar la cinta con un trapo (huaype), momento en el que sufre un corte en el dedo índice de la mano izquierda por contacto con superficie filosa (Resguardo de la cinta transportadora). Posteriormente es evacuado a la posta médica donde se realiza los primeros auxilios."/>
    <s v="Contacto con superficie filosa"/>
    <s v="Mano izquierda"/>
    <s v="Mano/Muñeca/Dedos"/>
    <s v="Limpieza de cinta de transporte"/>
    <s v="Herida cortante superficial, menor a 1 cm en el dedo índice de la mano izquierda"/>
    <s v="Corte/Herida"/>
    <n v="0"/>
    <n v="0"/>
    <n v="0"/>
    <s v="Trabajando"/>
    <n v="206"/>
    <s v="&gt; 10 años"/>
    <s v="Resguardo de cinta transportadora"/>
    <s v="CONTRATO INDEFINIDO"/>
  </r>
  <r>
    <n v="179"/>
    <s v="-"/>
    <s v="BOLIVIA"/>
    <x v="1"/>
    <m/>
    <s v="CBB"/>
    <x v="2"/>
    <x v="0"/>
    <s v="Planta de frío"/>
    <x v="0"/>
    <s v="Acc. No Incapacitante"/>
    <d v="2024-08-21T00:00:00"/>
    <n v="34"/>
    <n v="21"/>
    <x v="5"/>
    <n v="2024"/>
    <d v="1899-12-30T09:45:00"/>
    <s v="M"/>
    <s v="PROPIO"/>
    <s v="Alicorp S.A.A."/>
    <s v="Rivero"/>
    <s v="Torrez"/>
    <s v="Romina"/>
    <s v="FEMENINO"/>
    <n v="22"/>
    <s v="Practica de producción"/>
    <d v="2024-07-02T00:00:00"/>
    <s v="En fecha 21 de agosto a hrs 08:15 am aprox. la practicante de producción Romina Rivero Torrez, realizaba la toma de datos para el control de la dosificación de aditivos (wetcool 305) en las torres de Frio Raf en la Planta Frío. Para ello acompaño al responsable de la operación de dosificación Juan Carlos Galvez. Durante el bombeo del aditivo que se realizaba con una bomba de desplazamiento positivo, se rompe la unión patente de pvc, salpicando la sustancia de trabajo al rostro de la practicante quien se encontraba próximo al área de trabajo. Inmediatamente el operador procede a realizarle el lavado en la ducha de emergencia del área."/>
    <s v="Proyección de Sustancias Químicas"/>
    <s v="Rostro"/>
    <s v="Ojos"/>
    <s v="Registro de toma de datos"/>
    <s v="Conjuntivitis irritativa en los ojos por contacto con sustancia peligrosa"/>
    <s v="Cuerpo Extraño en Ojos"/>
    <n v="0"/>
    <n v="0"/>
    <n v="0"/>
    <s v="Realizando su práctica"/>
    <n v="2"/>
    <s v="&lt; 1 a 3 meses"/>
    <s v="Sistema de dosificación de aditivos (bomba de succión)"/>
    <s v="Practica universitaria"/>
  </r>
  <r>
    <n v="180"/>
    <s v="-"/>
    <s v="BOLIVIA"/>
    <x v="1"/>
    <m/>
    <s v="PDF"/>
    <x v="1"/>
    <x v="0"/>
    <s v="Pelletizado"/>
    <x v="0"/>
    <s v="Acc. No Incapacitante"/>
    <d v="2024-08-30T00:00:00"/>
    <n v="35"/>
    <n v="30"/>
    <x v="5"/>
    <n v="2024"/>
    <d v="1899-12-30T09:45:00"/>
    <s v="M"/>
    <s v="PROPIO"/>
    <s v="Alicorp S.A.A."/>
    <s v="Hervas"/>
    <s v="Veizaga"/>
    <s v="Boris"/>
    <s v="MASCULINO"/>
    <n v="44"/>
    <s v="Supervisor de producción"/>
    <d v="2015-08-17T00:00:00"/>
    <s v="Durante la rutina de supervision diaria el funcionario Boris Herbas, se encontraba desplazandose del sector de peletizado hacia el embolsado, en un momento se desestabiliza doblandose su pies izquierdo generandole una leve molestia. Inmediatamente retorna con una pequeña dificultad a las oficinas de ingenieria y comunica sobre el eventos, y se procede trasladarlo a la posta medica para su respectiva valoracion y atencion."/>
    <s v="Sobreesfuerzo"/>
    <s v="Tobillo izquierdo"/>
    <s v="Pie/Tobillo"/>
    <s v="Transito en vías peatonales"/>
    <s v="Esguince grado I"/>
    <s v="Esguince/Torcedura"/>
    <n v="0"/>
    <n v="0"/>
    <n v="0"/>
    <s v="Trabajando"/>
    <n v="114"/>
    <s v="&gt; 10 años"/>
    <s v="Piso con desnivel"/>
    <s v="CONTRATO INDEFINIDO"/>
  </r>
  <r>
    <n v="181"/>
    <s v="PCO24388"/>
    <s v="PERÚ"/>
    <x v="0"/>
    <s v="PREDIO CENTRAL"/>
    <s v="Copsa"/>
    <x v="3"/>
    <x v="0"/>
    <s v="ACEITES"/>
    <x v="0"/>
    <s v="Acc. No Incapacitante"/>
    <d v="2024-09-03T00:00:00"/>
    <n v="36"/>
    <n v="3"/>
    <x v="8"/>
    <n v="2024"/>
    <d v="1899-12-30T10:30:00"/>
    <s v="M"/>
    <s v="PROPIO"/>
    <s v="Alicorp S.A.A."/>
    <s v="PINEDA"/>
    <s v="ARRIOLA"/>
    <s v="PEDRO GUILLERMO"/>
    <s v="MASCULINO"/>
    <n v="37"/>
    <s v="JEFE DE PRODUCCION ENVASADO ACEITES"/>
    <d v="2015-05-18T00:00:00"/>
    <s v="El colaborador se encontraba en el área de paletizado automático de envasado de aceites y al caminar no se percató de la estructura metálica de la zona de salida de paletas e impactó a la altura de la pantorrilla, generándose una excoriación superficial"/>
    <s v="Golpeado contra"/>
    <s v="Pierna"/>
    <s v="Pierna"/>
    <s v="Coordinación en planta"/>
    <s v="Contusión leve"/>
    <s v="Contusión/Trauma"/>
    <n v="0"/>
    <n v="0"/>
    <n v="0"/>
    <s v="Trabajando"/>
    <n v="111"/>
    <s v="&lt; 5 a 10 años"/>
    <s v="Estructura metálica de la zona de salida de paletas"/>
    <s v="CONTRATO INDEFINIDO"/>
  </r>
  <r>
    <n v="182"/>
    <s v="-"/>
    <s v="PERÚ"/>
    <x v="2"/>
    <s v="LURIN"/>
    <s v="Intradevco"/>
    <x v="9"/>
    <x v="9"/>
    <s v="Almacen EEII"/>
    <x v="1"/>
    <s v="Acc. Incapacitante"/>
    <d v="2024-09-04T00:00:00"/>
    <n v="36"/>
    <n v="4"/>
    <x v="8"/>
    <n v="2024"/>
    <d v="1899-12-30T09:40:00"/>
    <s v="M"/>
    <s v="Service"/>
    <s v="RANSA"/>
    <s v="Zuñiga"/>
    <s v="Fernández"/>
    <s v="Kevin"/>
    <s v="MASCULINO"/>
    <n v="20"/>
    <s v="almacenero 2_x0009_"/>
    <s v="-"/>
    <s v="Aproximadamente a las 09:40 a.m., el colaborador se encontraba en el almacen de insumos ( CD2 ), trasladando mercadería a los pasillos, al momento de cargar un bloque de cajas con un peso de 42 kg, junto a un compañero, perdieron el control de la carga, y esta golpeó sobre el tobillo derecho del colaborador, el colaborador es atendido en el topico y posteriormente evacuado a la clinica"/>
    <s v="Golpeado por"/>
    <s v="Tobillo derecho"/>
    <s v="Pie/Tobillo"/>
    <s v="Manipulacion de separadores"/>
    <s v="Contusion"/>
    <s v="Contusión/Trauma"/>
    <n v="12"/>
    <n v="0"/>
    <n v="12"/>
    <s v="Trabajando"/>
    <n v="4"/>
    <s v="&lt; 3 a 6 meses"/>
    <s v="Separadores"/>
    <s v="CONTRATO TEMPORAL"/>
  </r>
  <r>
    <n v="183"/>
    <s v="-"/>
    <s v="PERÚ"/>
    <x v="2"/>
    <s v="LURIN"/>
    <s v="Intradevco"/>
    <x v="7"/>
    <x v="0"/>
    <s v="Producción"/>
    <x v="0"/>
    <s v="Acc. No Incapacitante"/>
    <d v="2024-08-07T00:00:00"/>
    <n v="32"/>
    <n v="7"/>
    <x v="5"/>
    <n v="2024"/>
    <d v="1899-12-30T17:00:00"/>
    <s v="D"/>
    <s v="PROPIO"/>
    <s v="Intradevco"/>
    <s v="GOMEZ"/>
    <s v="BENDEZU"/>
    <s v="RICARDO ALEJANDRO"/>
    <s v="MASCULINO"/>
    <s v="-"/>
    <s v="MECÁNICO"/>
    <s v="-"/>
    <s v="El colaborador se acercó al tópico de emergencia solicitando atención médica por contacto de sustancia química (Mezcla de barsol con solvente dieléctrico) en el dorso de la mano izquierda._x000a_Refiere que se contaminó al momento de realizar la limpieza en el interior de empacadora Meypack al utilizar un trapo humedo con la sustancia química, cabe indicar que usaba guantes descartable de nitrilo, que al parecer se encontraba con hueco."/>
    <s v="Exposición a Sustancias Químicas"/>
    <s v="Mano izquierda"/>
    <s v="Mano/Muñeca/Dedos"/>
    <s v="Limpieza de equipo"/>
    <s v="Quemadura química"/>
    <s v="Dermatitis/Irritación de la piel"/>
    <n v="0"/>
    <m/>
    <m/>
    <m/>
    <m/>
    <m/>
    <s v="Mezcla química"/>
    <m/>
  </r>
  <r>
    <n v="184"/>
    <s v="-"/>
    <s v="PERÚ"/>
    <x v="2"/>
    <s v="LURIN"/>
    <s v="Intradevco"/>
    <x v="7"/>
    <x v="0"/>
    <s v="Producción"/>
    <x v="0"/>
    <s v="Acc. No Incapacitante"/>
    <d v="2024-08-16T00:00:00"/>
    <n v="33"/>
    <n v="16"/>
    <x v="5"/>
    <n v="2024"/>
    <d v="1899-12-30T09:51:00"/>
    <s v="D"/>
    <s v="PROPIO"/>
    <s v="SENATI"/>
    <s v="Chero"/>
    <s v="Adrian"/>
    <s v="Sandoval"/>
    <s v="MASCULINO"/>
    <s v="-"/>
    <s v="OPERARIO DE PRODUCCIÓN"/>
    <s v="-"/>
    <s v="presenta heridad de corte en el rostro lado derecho, producido por el impacto al momento de bajar una caja llena con tapas actuadoras, golpea contra su lente de seguridad, generando presión sobre su rostro y produciendo un corte superficial. "/>
    <s v="Contacto con superficie cortante"/>
    <s v="Rostro"/>
    <s v="Rostro/Nariz/Boca"/>
    <s v="Movimiento de cajas"/>
    <s v="Herida"/>
    <m/>
    <n v="0"/>
    <m/>
    <m/>
    <m/>
    <m/>
    <m/>
    <s v="Lente de seguridad"/>
    <m/>
  </r>
  <r>
    <n v="185"/>
    <s v="-"/>
    <s v="PERÚ"/>
    <x v="2"/>
    <s v="LURIN"/>
    <s v="Intradevco"/>
    <x v="7"/>
    <x v="0"/>
    <s v="Producción"/>
    <x v="0"/>
    <s v="Acc. No Incapacitante"/>
    <d v="2024-08-19T00:00:00"/>
    <n v="34"/>
    <n v="19"/>
    <x v="5"/>
    <n v="2024"/>
    <d v="1899-12-30T16:50:00"/>
    <s v="D"/>
    <s v="Service"/>
    <s v="Grupo Consulting"/>
    <s v="Huapaya"/>
    <s v="Ochoa "/>
    <s v="Randy Ronald"/>
    <s v="MASCULINO"/>
    <s v="-"/>
    <s v="OPERARIO DE PRODUCCIÓN"/>
    <s v="-"/>
    <s v="El colaborador Huapaya Ochoa Randy Ronald se encontraba colocando una paleta con producto terminado sobre la plataforma de la Robopack. En esas circunstancias, fue impactado en su tobillo izquierdo por la parte inferior de una paleta de madera que contenía una ruma de cajas, la cual era transportada en un transpalet eléctrico operado por el colaborador Pedro Conde (CAO)."/>
    <s v="Golpeado por"/>
    <s v="Pie izquierdo"/>
    <s v="Pie/Tobillo"/>
    <s v="Colocación de paleta en Robopack"/>
    <s v="Contusión"/>
    <m/>
    <n v="0"/>
    <m/>
    <m/>
    <m/>
    <m/>
    <m/>
    <s v="Transpaleta"/>
    <m/>
  </r>
  <r>
    <n v="186"/>
    <s v="ALI24533"/>
    <s v="PERÚ"/>
    <x v="0"/>
    <s v="Distrito del Callao"/>
    <s v="Otros"/>
    <x v="17"/>
    <x v="4"/>
    <s v="Exteriores vestuarios CDC"/>
    <x v="1"/>
    <s v="Acc. Incapacitante"/>
    <d v="2024-09-10T00:00:00"/>
    <n v="37"/>
    <n v="10"/>
    <x v="8"/>
    <n v="2024"/>
    <d v="1899-12-30T06:50:00"/>
    <s v="M"/>
    <s v="Tercero - Limpieza"/>
    <s v="Alteliza"/>
    <s v="HUAMANI"/>
    <s v="QUISPE"/>
    <s v="JULIO"/>
    <s v="MASCULINO"/>
    <n v="49"/>
    <s v="OPERARIO DE LIMPIEZA"/>
    <s v="-"/>
    <s v="El señor Julio Huamani Quispe, se encontraba bajando la escalera ubicada en la zona de los vestuarios de terceros de CDC al llegar a los últimos escalones sufre un resbalón ocasionando la caída golpeándose el tobillo. Trató de pararse sin embargo sintió dolor y, caminó hacia el almacén de Alteliza ubicado en CDC; su Supervisor contactó al Tópico posteriormente llega la ambulancia y es derivado a la Clínica San Gabriel._x000a_Diagnóstico: esguince de 3er. Grado y es trasladado a la clínica San Gabriel activándose el SCTR."/>
    <s v="Caída a distinto nivel"/>
    <s v="Tobillo izquierdo"/>
    <s v="Pie/Tobillo"/>
    <s v="Bajando escaleras"/>
    <s v="Fractura de tobillo izquierdo"/>
    <s v="Fractura"/>
    <n v="29"/>
    <n v="0"/>
    <n v="29"/>
    <s v="DM"/>
    <n v="6"/>
    <s v="&lt; 3 a 6 meses"/>
    <s v="ESCALERA"/>
    <s v="PLAZO DETERMINADO"/>
  </r>
  <r>
    <n v="187"/>
    <s v="-"/>
    <s v="PERÚ"/>
    <x v="0"/>
    <s v="Miraflores"/>
    <s v="Otros"/>
    <x v="20"/>
    <x v="4"/>
    <s v="Oficinas"/>
    <x v="0"/>
    <s v="Acc. No Incapacitante"/>
    <d v="2024-09-11T00:00:00"/>
    <n v="37"/>
    <n v="11"/>
    <x v="8"/>
    <n v="2024"/>
    <d v="1899-12-30T17:14:00"/>
    <s v="T"/>
    <s v="PROPIO"/>
    <s v="Alicorp S.A.A."/>
    <s v="Lazarte"/>
    <s v="Escudero"/>
    <s v="Gabriela"/>
    <s v="FEMENINO"/>
    <n v="26"/>
    <s v="EJECUTIVO DE MARCA CONSERVAS"/>
    <d v="2022-09-13T00:00:00"/>
    <s v="Tropiezo en escalera"/>
    <s v="Golpeado contra"/>
    <s v="brazo"/>
    <s v="Mano/Muñeca/Dedos"/>
    <s v="-"/>
    <s v="Traumatismo superficial de antebrazo"/>
    <s v="contusión"/>
    <n v="0"/>
    <n v="0"/>
    <n v="0"/>
    <s v="Laborando"/>
    <n v="24"/>
    <m/>
    <s v="escalera"/>
    <s v="CONTRATO INDEFINIDO"/>
  </r>
  <r>
    <n v="188"/>
    <s v="-"/>
    <s v="PERÚ"/>
    <x v="2"/>
    <s v="LURIN"/>
    <s v="Intradevco"/>
    <x v="16"/>
    <x v="0"/>
    <s v="Empacado detergente"/>
    <x v="1"/>
    <s v="Acc. Incapacitante"/>
    <d v="2024-09-07T00:00:00"/>
    <n v="36"/>
    <n v="7"/>
    <x v="8"/>
    <n v="2024"/>
    <d v="1899-12-30T02:40:00"/>
    <s v="N"/>
    <s v="PROPIO"/>
    <s v="Intradevco"/>
    <s v="TECCSI"/>
    <s v="RODRIGUEZ"/>
    <s v=" RAFAEL FELIPE"/>
    <s v="MASCULINO"/>
    <n v="62"/>
    <s v="MAQUINISTA"/>
    <s v="-"/>
    <s v="Aproximadamente a las 2:40 am el colaborador Rafael Teccsi se encontraba en su área de trabajo en la zona de enfardado de detergentes, el colaborador aprecia que la bobina de enfardado de la maquina N° 04 se desplazó unos centímetros a la derecha, por lo que el colaborador opta por colocarla en su lugar de manera manual, esta acción la ejecuta mediante su pierna izquierda, con la cual eleva la bobina y con ayuda de sus manos desplaza el eje hacia la izquierda. Al ejercer esta acción, el colaborador siente un dolor intenso en el tendón de aquiles de la pierna izquierda. El trabajador da aviso de lo ocurrido y es trasladado al tópico para recibir atención."/>
    <s v="Sobreesfuerzo"/>
    <s v="Pie izquierdo"/>
    <s v="Pie/Tobillo"/>
    <s v="Colocacion de bobina"/>
    <s v="TRAUMATISMO DEL PIE Y TOBILLO IZQUIERDO"/>
    <s v="Contusión/Trauma"/>
    <n v="9"/>
    <n v="0"/>
    <n v="9"/>
    <s v="DM"/>
    <n v="72"/>
    <s v="&lt; 5 a 10 años"/>
    <s v="Portabobinas"/>
    <s v="CONTRATO INDEFINIDO"/>
  </r>
  <r>
    <n v="189"/>
    <s v="PCO24389"/>
    <s v="PERÚ"/>
    <x v="0"/>
    <s v="PREDIO CENTRAL"/>
    <s v="Copsa"/>
    <x v="3"/>
    <x v="0"/>
    <s v="ACEITES"/>
    <x v="1"/>
    <s v="Acc. Incapacitante"/>
    <d v="2024-09-10T00:00:00"/>
    <n v="37"/>
    <n v="10"/>
    <x v="8"/>
    <n v="2024"/>
    <d v="1899-12-30T16:40:00"/>
    <s v="T"/>
    <s v="PROPIO"/>
    <s v="Alicorp S.A.A"/>
    <s v="FAUSTINO"/>
    <s v="ZEVALLOS"/>
    <s v="FRANCISCO JOSE"/>
    <s v="MASCULINO"/>
    <n v="46"/>
    <s v="OPERADOR LLENADORA ACEITE"/>
    <d v="2006-09-01T00:00:00"/>
    <s v="El colaborador se encontraba desenrollando el zuncho para el tapado de bines, con una tijera en la mano derecha. En este proceso, su mano derecha impacta contra un grupo de cajas de cartón que se encontraban a su costado y rebota en dirección hacia su rostro, golpeando con la tijera el párpado inferior de su ojo derecho."/>
    <s v="Golpeado por"/>
    <s v="Ojo derecho"/>
    <s v="Ojos"/>
    <s v="Desenrollado de zuncho para el tapado de bines"/>
    <s v="Contusión en ojo derecho"/>
    <s v="Contusión/Trauma"/>
    <n v="1"/>
    <n v="0"/>
    <n v="1"/>
    <s v="Trabajando"/>
    <n v="53"/>
    <s v="&lt; 1 a 5 años"/>
    <s v="Tijera"/>
    <s v="CONTRATO INDEFINIDO"/>
  </r>
  <r>
    <n v="190"/>
    <s v="-"/>
    <s v="PERÚ"/>
    <x v="4"/>
    <s v="Sicaya"/>
    <s v="Teal"/>
    <x v="21"/>
    <x v="0"/>
    <s v="Planta Caramelos"/>
    <x v="1"/>
    <s v="Acc. Incapacitante"/>
    <d v="2024-09-09T00:00:00"/>
    <n v="37"/>
    <n v="9"/>
    <x v="8"/>
    <n v="2024"/>
    <d v="1899-12-30T19:30:00"/>
    <s v="N"/>
    <s v="PROPIO"/>
    <s v="Masterbread"/>
    <s v="TORRES"/>
    <s v="RUIZ"/>
    <s v="CARLOS DANIEL"/>
    <s v="MASCULINO"/>
    <n v="26"/>
    <s v="OPERARIO DE PRODUCCION"/>
    <d v="2024-06-16T00:00:00"/>
    <s v="En circunstancias que el señor Carlos Torres, se encontraba apilando una jaba con caramelos envueltos sobre una ruma de 3 jabas de altura (1.40 m), se distrae escuchando una conversación de sus compañeros desviando la mirada hacia otro lado y a la vez posicionando la jaba, sufriendo el aplastamiento de su dedo anular de la mano derecha entre el borde de la base de la jaba superior con la jaba inferior, provocando el traumatismo en referencia. _x000a_Cabe precisar que el Colaborador reporto el hecho despues de 12 horas de haber ocurrido el accidente."/>
    <s v="Aprisionado entre"/>
    <s v="Dedo anular de la mano derecha"/>
    <s v="Mano/Muñeca/Dedos"/>
    <s v="Apilamiento de jabas con caramelo duro envuelto"/>
    <s v="Traumatismo de tendon y musculo extensor del dedo anular"/>
    <s v="Contusión/Trauma"/>
    <n v="58"/>
    <n v="0"/>
    <n v="58"/>
    <s v="DM"/>
    <n v="2"/>
    <s v="&lt; 1 a 3 meses"/>
    <s v="Manipulación de jabas en forma manual"/>
    <s v="CONTRATO TEMPORAL"/>
  </r>
  <r>
    <n v="191"/>
    <s v="ALI24532_x000a_"/>
    <s v="PERÚ"/>
    <x v="0"/>
    <s v="Distrito del Callao"/>
    <s v="Otros"/>
    <x v="13"/>
    <x v="4"/>
    <s v="Edificio Elaboración"/>
    <x v="1"/>
    <s v="Acc. Incapacitante"/>
    <d v="2024-09-16T00:00:00"/>
    <n v="38"/>
    <n v="16"/>
    <x v="8"/>
    <n v="2024"/>
    <d v="1899-12-30T09:30:00"/>
    <s v="M"/>
    <s v="Tercero - Limpieza"/>
    <s v="Alteliza"/>
    <s v="GONZALES"/>
    <s v="ORTIZ"/>
    <s v="EDUARDO"/>
    <s v="MASCULINO"/>
    <n v="40"/>
    <s v="OPERARIO DE LIMPIEZA"/>
    <s v="-"/>
    <s v="El día 16/09 aproximadamente a las 9:30 am el trabajador Eduardo Gonzales Ortiz de la empresa ALTELIZA por indicación de su líder de grupo, se encontraba bajando las escaleras del edificio de Elaboración de Planta Detergentes desde el 3er al 1er nivel, en el trayecto sufre un resbalón, para no caerse hacia adelante se sostiene del pasamanos, siente un estirón y hormigueo en la pierna derecha y espalda._x000a_El trabajador da aviso de lo ocurrido a su líder de grupo, quien le indica reposo para luego ser trasladado al tópico para recibir atención, quien luego de la evaluación del médico se decide trasladarlo a la clínica San Gabriel._x000a_En la clínica le brindan el diagnóstico de esguince y torcedura de columna lumbar, otorgándole un descanso médico hasta el 08 de octubre."/>
    <s v="Caída a distinto nivel"/>
    <s v="Zona lumbar de la Columna"/>
    <s v="Columna"/>
    <s v="Bajando escaleras"/>
    <s v="Esguince y torceduras de columna lumbar"/>
    <s v="Esguince/Torcedura"/>
    <n v="22"/>
    <n v="0"/>
    <n v="22"/>
    <s v="DM"/>
    <n v="30"/>
    <s v="&lt; 1 a 5 años"/>
    <s v="ESCALERA"/>
    <s v="PLAZO DETERMINADO"/>
  </r>
  <r>
    <n v="192"/>
    <s v="PCO24401"/>
    <s v="PERÚ"/>
    <x v="0"/>
    <s v="PREDIO CENTRAL"/>
    <s v="Copsa"/>
    <x v="3"/>
    <x v="0"/>
    <s v="REFINERIA"/>
    <x v="1"/>
    <s v="Acc. Incapacitante"/>
    <d v="2024-09-17T00:00:00"/>
    <n v="38"/>
    <n v="17"/>
    <x v="8"/>
    <n v="2024"/>
    <d v="1899-12-30T09:20:00"/>
    <s v="M"/>
    <s v="Contratista"/>
    <s v="SSAYS SAC"/>
    <s v="CALIXTRO"/>
    <s v="OCHOA"/>
    <s v="HAROLD JUNIOR"/>
    <s v="MASCULINO"/>
    <n v="39"/>
    <s v="OPERARIO DE LIMPIEZA"/>
    <s v="-"/>
    <s v="El colaborador de la empresa tercera que brinda el servicio de limpieza en planta refinería se encontraba realizando la labor de limpieza de pisos, en el transcurso de la limpieza intenta mover una plataforma con otro compañero que al momento de jalar de lado opuesto se pierde la inercia y el colaborador se resbala golpeándose el mentón en la baranda media de la plataforma, el cual le ocasiona un corte de aprox. 1.5 cm. "/>
    <s v="Golpeado contra"/>
    <s v="Mentón"/>
    <s v="Rostro/Nariz/Boca"/>
    <s v="Limpieza de planta"/>
    <s v="Herida contusa en mentón"/>
    <s v="Contusión/Trauma"/>
    <n v="2"/>
    <n v="0"/>
    <n v="2"/>
    <s v="Trabajando"/>
    <m/>
    <s v="&lt; 0.5 a 1 año"/>
    <s v="Baranda de plataforma"/>
    <m/>
  </r>
  <r>
    <n v="193"/>
    <s v="PGL24396"/>
    <s v="PERÚ"/>
    <x v="0"/>
    <s v="PREDIO CENTRAL"/>
    <s v="Galletería"/>
    <x v="0"/>
    <x v="0"/>
    <s v="Línea 4"/>
    <x v="0"/>
    <s v="Acc. No Incapacitante"/>
    <d v="2024-09-18T00:00:00"/>
    <n v="38"/>
    <n v="18"/>
    <x v="8"/>
    <n v="2024"/>
    <d v="1899-12-30T18:30:00"/>
    <s v="T"/>
    <s v="TERCERO"/>
    <s v="Prolabora"/>
    <s v="VALVERDE"/>
    <s v=" BERECHE "/>
    <s v="ROSITA ISABEL"/>
    <s v="FEMENINO"/>
    <n v="20"/>
    <s v="Operario de Producción"/>
    <d v="2024-09-11T00:00:00"/>
    <s v="La operadora se encontraba trasladando bandejas hacia la zona de bandejas vacías temporales, cuando bajando con las tres bandejas en mano resbala del primer peldaño cayendo y colocando su mano como soporte. No reportó hasta las 19:20, su supervisora la acompañó al tópico para atención médica. "/>
    <s v="Caída al mismo nivel"/>
    <s v="Mano"/>
    <s v="Mano/Muñeca/Dedos"/>
    <s v="Alimentación de galletas a granel"/>
    <s v="Contusión Leve"/>
    <s v="Contusión/Trauma"/>
    <n v="0"/>
    <n v="0"/>
    <n v="0"/>
    <s v="Laborando"/>
    <n v="0"/>
    <s v="&lt; 1 mes"/>
    <s v="escalera"/>
    <s v="CONTRATO TEMPORAL"/>
  </r>
  <r>
    <n v="194"/>
    <s v="PGL24545"/>
    <s v="PERÚ"/>
    <x v="0"/>
    <s v="PREDIO CENTRAL"/>
    <s v="Galletería"/>
    <x v="0"/>
    <x v="0"/>
    <s v="Línea 4"/>
    <x v="1"/>
    <s v="Acc. Incapacitante"/>
    <d v="2024-09-19T00:00:00"/>
    <n v="38"/>
    <n v="19"/>
    <x v="8"/>
    <n v="2024"/>
    <d v="1899-12-30T21:30:00"/>
    <s v="T"/>
    <s v="Service"/>
    <s v="Prolabora"/>
    <s v="VALVERDE"/>
    <s v=" BERECHE "/>
    <s v="ROSITA ISABEL"/>
    <s v="FEMENINO"/>
    <n v="20"/>
    <s v="Operario de Producción"/>
    <d v="2024-09-11T00:00:00"/>
    <s v="La colaboradora se encontraba alimentando galletas en la L4 - D3  y al tratar de movilizarse pierde el equilibrio y al sostenerse para evitar su caída , se golpea ambas manos (no presenta fracturas pero si un corte en la mano izquierda). Se le brindan los primeros auxilios y se otorga un DM de 03 días."/>
    <s v="Caída a distinto nivel"/>
    <s v="Mano"/>
    <s v="Mano/Muñeca/Dedos"/>
    <s v="Alimentación de galletas a granel"/>
    <s v="Corte"/>
    <s v="Corte/Herida"/>
    <n v="14"/>
    <n v="0"/>
    <n v="14"/>
    <s v="DM"/>
    <n v="0"/>
    <s v="&lt; 1 mes"/>
    <s v="Plataforma"/>
    <s v="CONTRATO TEMPORAL"/>
  </r>
  <r>
    <n v="195"/>
    <s v="PGL24403"/>
    <s v="PERÚ"/>
    <x v="0"/>
    <s v="PREDIO CENTRAL"/>
    <s v="Galletería"/>
    <x v="0"/>
    <x v="0"/>
    <s v="Línea 4"/>
    <x v="0"/>
    <s v="Acc. No Incapacitante"/>
    <d v="2024-09-21T00:00:00"/>
    <n v="38"/>
    <n v="21"/>
    <x v="8"/>
    <n v="2024"/>
    <d v="1899-12-30T10:40:00"/>
    <s v="M"/>
    <s v="TERCERO"/>
    <s v="Prolabora"/>
    <s v="RAMOS "/>
    <s v="MALLQUI "/>
    <s v="GIOVANNA NERY"/>
    <s v="FEMENINO"/>
    <n v="40"/>
    <s v="Operario de Producción"/>
    <d v="2024-08-14T00:00:00"/>
    <s v="Siendo las 10:40, la operaria de producción se encontraba realizando labores de bandejeo de granel Margarita en la posición de mesa de acomodo (altura de envasadora D1), cuando de pronto su compañera Yessica Estacio quien también se encontraba realizando la misma labor en esta zona, levanta la bandeja con granel para realizar el apilado golpeando el rostro del lado izquierdo de su compañera. Se deriva a la trabajadora al tópico para evaluación y tratamiento farmacológico correspondiente. No requiere traslado._x000a_"/>
    <s v="Golpeado por"/>
    <s v="Rostro"/>
    <s v="Mano/Muñeca/Dedos"/>
    <s v="Alimentación de galletas a granel"/>
    <s v="Constusión en cara"/>
    <s v="Contusión/Trauma"/>
    <n v="0"/>
    <n v="0"/>
    <n v="0"/>
    <s v="Laborando"/>
    <n v="1"/>
    <s v="&lt; 1 a 3 meses"/>
    <s v="Bandeja"/>
    <s v="CONTRATO TEMPORAL"/>
  </r>
  <r>
    <n v="196"/>
    <s v="-"/>
    <s v="BOLIVIA"/>
    <x v="1"/>
    <m/>
    <s v="PDF"/>
    <x v="1"/>
    <x v="9"/>
    <s v="Almacen de Producto Terminado"/>
    <x v="1"/>
    <s v="Acc. Incapacitante"/>
    <d v="2024-09-18T00:00:00"/>
    <n v="38"/>
    <n v="18"/>
    <x v="8"/>
    <n v="2024"/>
    <d v="1899-12-30T10:00:00"/>
    <s v="M"/>
    <s v="Estibador"/>
    <s v="Alicorp S.A.A"/>
    <s v="Muñoz"/>
    <s v="Rodriguez"/>
    <s v="Richard"/>
    <s v="MASCULINO"/>
    <n v="41"/>
    <s v="Estibador de cascara"/>
    <d v="2019-04-09T00:00:00"/>
    <s v="Alrededor de las 10:00 am el estibar de cascara Richard Muñoz Rodríguez se encontraba manipulando el chimango para su acomodo dentro del almacén de cascara de soya en planta PDF._x000a_Al momento de realizar el traslado de una posición a otra, junto con sus compañeros de trabajo (4 personas), realiza presiones con el pie izquierdo sobre una de las llantas (acción subestándar) para direccionar la misma en la posición deseada, posteriormente junto con sus compañeros empujan el chimango hacia la posición deseando, momento en el que el estibador de cascara siente un estirón en la pantorrilla de la pierna izquierda._x000a_Inmediatamente es derivado hacia la posta media, donde recibe la atención correspondiente y se procede con la derivación a ente de salud externo para la valoración de la lesión en compañía con el medico de planta."/>
    <s v="Sobreesfuerzo"/>
    <s v="MUSLO GEMELO INTERNO IZQUIERDO"/>
    <s v="Pierna"/>
    <s v="Presión con pie a rueda de chimango"/>
    <s v="Desgarro miofibrilar grado I-II Gemelo interno izquierdo"/>
    <s v="Desgarro/Estiramiento Muscular"/>
    <n v="3"/>
    <n v="0"/>
    <n v="3"/>
    <s v="Descanso Médico"/>
    <n v="2190"/>
    <s v="&lt; 5 a 10 años"/>
    <s v="COMPORTAMIENTO INSEGURO"/>
    <s v="CONTRATO POR TEMPORADA"/>
  </r>
  <r>
    <n v="197"/>
    <s v="PCO24420"/>
    <s v="PERÚ"/>
    <x v="0"/>
    <s v="PREDIO CENTRAL"/>
    <s v="Copsa"/>
    <x v="3"/>
    <x v="1"/>
    <s v="LABORATORIO DE MICROBIOLOGIA"/>
    <x v="1"/>
    <s v="Acc. Incapacitante"/>
    <d v="2024-09-24T00:00:00"/>
    <n v="39"/>
    <n v="24"/>
    <x v="8"/>
    <n v="2024"/>
    <d v="1899-12-30T15:45:00"/>
    <s v="T"/>
    <s v="PROPIO"/>
    <s v="Alicorp S.A.A"/>
    <s v="SILVA"/>
    <s v="CADENILLAS"/>
    <s v="GERALDINE ALISSON"/>
    <s v="FEMENINO"/>
    <n v="29"/>
    <s v="TECNICO DE LABORATORIO"/>
    <d v="2020-07-27T00:00:00"/>
    <s v="La colaboradora refiere que trasladando un equipo homogenizador (vortex), éste se le resbala de las manos; al intentar evitar que el equipo caiga al piso, extiende la mano derecha, ocasionando que dicho equipo impacte contra su mano, provocando la contusión en el dorso (4to y 5to dedo)"/>
    <s v="Golpeado por"/>
    <s v="Mano"/>
    <s v="Mano/Muñeca/Dedos"/>
    <s v="Traslado de equipo homogenizador (vortex)"/>
    <s v="Contusión en dorso de mano derecha, 4to y 5to dedo"/>
    <s v="Contusión/Trauma"/>
    <n v="8"/>
    <n v="0"/>
    <n v="8"/>
    <s v="Descanso Médico"/>
    <n v="50"/>
    <s v="&lt; 1 a 5 años"/>
    <s v="Equipo homogenizador (vortex)"/>
    <s v="CONTRATO INDEFINIDO"/>
  </r>
  <r>
    <n v="198"/>
    <s v="DIS24479"/>
    <s v="PERÚ"/>
    <x v="0"/>
    <s v="PREDIO CENTRAL"/>
    <s v="Otros"/>
    <x v="23"/>
    <x v="3"/>
    <s v="Transportes"/>
    <x v="1"/>
    <s v="Acc. Incapacitante"/>
    <d v="2024-09-23T00:00:00"/>
    <n v="39"/>
    <n v="23"/>
    <x v="8"/>
    <n v="2024"/>
    <d v="1899-12-30T13:40:00"/>
    <s v="D"/>
    <s v="Transportista"/>
    <s v="TRC"/>
    <s v="MANTILLA"/>
    <s v="RODRIGUEZ"/>
    <s v="ROGER MANUEL"/>
    <s v="MASCULINO"/>
    <n v="46"/>
    <s v="Transportista"/>
    <s v="NA"/>
    <s v="El accidente sucedió aproximadamente 1:30pm en la zona de fumigación del CDC. El conductor de la empresa de Transportes Rodrigo Carranza (TRC) que transportaba la unidad de placa T6W806 para realizar un Traslado Nacional, se encontraba a la espera de la fumigación de su unidad cuando intenta levantar una manta cobertora que se encontraba en el suelo con la ayuda de otro trabajador, en ese instante experimenta un fuerte dolor en la espalda baja que le impidió moverse. Se comunica el evento, con el soporte de los inspectores de seguridad el conductor _x000a_es trasladado al tópico donde tras una evaluación inicial, se decidió derivarlo a la Clínica San Gabriel para el tratamiento médico que corresponda (En curso). _x000a_"/>
    <s v="Sobreesfuerzo"/>
    <s v="Cadera"/>
    <s v="Columna"/>
    <s v="Levantando una manta cobertora"/>
    <s v="Lumbago ciática"/>
    <s v="Desgarro/Estiramiento Muscular"/>
    <n v="15"/>
    <n v="0"/>
    <n v="15"/>
    <s v="Descanso Médico"/>
    <n v="180"/>
    <s v="&gt; 10 años"/>
    <s v="Manta cobertora"/>
    <s v="CONTRATO INDEFINIDO"/>
  </r>
  <r>
    <n v="199"/>
    <s v="PGL24546"/>
    <s v="PERÚ"/>
    <x v="0"/>
    <s v="PREDIO CENTRAL"/>
    <s v="Galletería"/>
    <x v="0"/>
    <x v="0"/>
    <s v="Comedor G&amp;I"/>
    <x v="1"/>
    <s v="Acc. Incapacitante"/>
    <d v="2024-09-25T00:00:00"/>
    <n v="39"/>
    <n v="25"/>
    <x v="8"/>
    <n v="2024"/>
    <d v="1899-12-30T19:00:00"/>
    <s v="D"/>
    <s v="PROPIO"/>
    <s v="Alicorp S.A.A"/>
    <s v="ZANABRIA "/>
    <s v="AYMA"/>
    <s v=" MELQUIADES"/>
    <s v="MASCULINO"/>
    <n v="48"/>
    <s v="Operario de Producción"/>
    <m/>
    <s v="El colaborador intentó retirar su táper de comida del microondas con una sola mano, lo que provocó que el envase se desestabilizara y se rompiera. Al intentar evitar la caída, sufrió un corte en la mano izquierda debido al contacto con un borde afilado._x000a_El colaborador recibió atención en el centro médico, donde le realizaron la sutura de la herida y le han otorgado dos días de descanso médico por el momento."/>
    <s v="Contacto con superficie filosa"/>
    <s v="Mano"/>
    <s v="Mano/Muñeca/Dedos"/>
    <s v="Refrigerio"/>
    <s v="Herida en la mano"/>
    <s v="Corte/Herida"/>
    <n v="11"/>
    <n v="0"/>
    <n v="11"/>
    <s v="Descanso Médico"/>
    <m/>
    <m/>
    <s v="Recipiente roto"/>
    <s v="CONTRATO INDEFINIDO"/>
  </r>
  <r>
    <n v="200"/>
    <s v="PGL24472 "/>
    <s v="PERÚ"/>
    <x v="0"/>
    <s v="PREDIO CENTRAL"/>
    <s v="Galletería"/>
    <x v="0"/>
    <x v="0"/>
    <s v="Bañados"/>
    <x v="0"/>
    <s v="Acc. No Incapacitante"/>
    <d v="2024-09-27T00:00:00"/>
    <n v="39"/>
    <n v="27"/>
    <x v="8"/>
    <n v="2024"/>
    <d v="1899-12-30T08:40:00"/>
    <s v="D"/>
    <s v="PROPIO"/>
    <s v="Alicorp S.A.A."/>
    <s v=" ZEVALLOS "/>
    <s v="ORRILLO"/>
    <s v="EMITERIO"/>
    <s v="MASCULINO"/>
    <n v="50"/>
    <s v="Operario de Producción"/>
    <m/>
    <s v="El colaborador intentó desatorar la  acumulación de galletas en el magazine , al aperturar la guarda y proceder a retirar presenta contacto con una superficie por la fuerza impartida para retirar el producto , es atendido en tópico y se le brindan los primeros auxilios"/>
    <s v="Golpeado por"/>
    <s v="Mano"/>
    <s v="Mano/Muñeca/Dedos"/>
    <s v="Alimentación de Galletas"/>
    <s v="Herida en la mano"/>
    <s v="Corte/Herida"/>
    <n v="0"/>
    <n v="0"/>
    <n v="0"/>
    <s v="Laborando"/>
    <m/>
    <m/>
    <s v="Magazine"/>
    <s v="CONTRATO INDEFINIDO"/>
  </r>
  <r>
    <n v="201"/>
    <s v="PCO24522"/>
    <s v="PERÚ"/>
    <x v="0"/>
    <s v="PREDIO CENTRAL"/>
    <s v="Copsa"/>
    <x v="3"/>
    <x v="6"/>
    <s v="MANTENIMIENTO"/>
    <x v="0"/>
    <s v="Acc. No Incapacitante"/>
    <d v="2024-09-21T00:00:00"/>
    <n v="38"/>
    <n v="21"/>
    <x v="8"/>
    <n v="2024"/>
    <d v="1899-12-30T14:39:00"/>
    <s v="M"/>
    <s v="Contratista"/>
    <s v="ADEMI"/>
    <s v="AGUILAR"/>
    <s v="DE LA CRUZ"/>
    <s v="EDDY GODOFREDO"/>
    <s v="MASCULINO"/>
    <n v="46"/>
    <s v="MAESTRO DE OBRA"/>
    <m/>
    <s v="El colaborador de la empresa tercera se encontraba en los vestuarios para lavarse la cara luego de haber realizado trabajos de desmontajes de tuberías. Se retira el casco con careta y en ese instante le caen partículas sólidas en el ojo derecho. Se realiza un lavado en los ojos pero la molestia persiste y opta por ir al tópico. En el tópico se le realiza un lavado ocular y no requiere traslado."/>
    <s v="Proyección de Material Particulado"/>
    <s v="Ojo derecho"/>
    <s v="Ojos"/>
    <s v="Lavado de cara en vestuarios"/>
    <s v="Cuerpo extraño en parte externa del ojo derecho"/>
    <s v="Cuerpo Extraño en Ojos"/>
    <n v="0"/>
    <n v="0"/>
    <n v="0"/>
    <s v="Trabajando"/>
    <m/>
    <m/>
    <s v="Partículas sólidas producto del desmontaje de tuberías"/>
    <m/>
  </r>
  <r>
    <n v="202"/>
    <m/>
    <s v="PERÚ"/>
    <x v="2"/>
    <s v="LURIN"/>
    <s v="Intradevco"/>
    <x v="16"/>
    <x v="0"/>
    <s v="Empacado detergente"/>
    <x v="0"/>
    <s v="Acc. No Incapacitante"/>
    <d v="2024-09-11T00:00:00"/>
    <n v="37"/>
    <n v="11"/>
    <x v="8"/>
    <n v="2024"/>
    <d v="1899-12-30T17:24:00"/>
    <s v="D"/>
    <s v="Service"/>
    <s v="Grupo Consulting"/>
    <s v="CARDENAS"/>
    <s v=" MELENDEZ"/>
    <s v="MINDOR"/>
    <s v="MASCULINO"/>
    <m/>
    <s v="OPERARIO DE PRODUCCIÓN"/>
    <m/>
    <s v="Colaborador se encontraba levantando la tapa del buzón- zona externa del área junto a otra persona para limpieza, ya que había charco de agua debido a que salía de la tubería rota._x000a_Al compañero se le resbaló la tapa generando que ésta caiga y los bordes le provoque raspones en la pierna posterior derecha"/>
    <s v="Golpeado por"/>
    <s v="Pierna"/>
    <s v="Pierna"/>
    <s v="Manipulacion de tapa de buzon"/>
    <s v="Contusion"/>
    <s v="Contusión/Trauma"/>
    <n v="0"/>
    <n v="0"/>
    <n v="0"/>
    <s v="Laborando"/>
    <m/>
    <m/>
    <s v="Tapa de buzon"/>
    <s v="CONTRATO TEMPORAL"/>
  </r>
  <r>
    <n v="203"/>
    <m/>
    <s v="PERÚ"/>
    <x v="2"/>
    <s v="LURIN"/>
    <s v="Intradevco"/>
    <x v="29"/>
    <x v="0"/>
    <s v="Etiquetado"/>
    <x v="0"/>
    <s v="Acc. No Incapacitante"/>
    <d v="2024-09-11T00:00:00"/>
    <n v="37"/>
    <n v="11"/>
    <x v="8"/>
    <n v="2024"/>
    <d v="1899-12-30T17:30:00"/>
    <s v="D"/>
    <s v="Service"/>
    <s v="Grupo Consulting"/>
    <s v="RUEDA"/>
    <s v="VASQUEZ"/>
    <s v="DARLING"/>
    <s v="FEMENINO"/>
    <m/>
    <s v="OPERARIO DE PRODUCCIÓN"/>
    <m/>
    <s v="Colaboradora se encontraba realizando la actividad de etiquetado de galonera de 4 litros en una línea manual, su compañera al momento de lanzar un envase sobre la piscina a una distancia de 1 metro aproximadamente, éste rebota y la punta le cae en el seno derecho."/>
    <s v="Golpeado por"/>
    <s v="Seno"/>
    <s v="Abdomen/Torso"/>
    <s v="Manipulacion de envases"/>
    <s v="Contusion"/>
    <s v="Contusión/Trauma"/>
    <n v="0"/>
    <n v="0"/>
    <n v="0"/>
    <s v="Laborando"/>
    <m/>
    <m/>
    <s v="Envase"/>
    <s v="CONTRATO TEMPORAL"/>
  </r>
  <r>
    <n v="204"/>
    <m/>
    <s v="PERÚ"/>
    <x v="2"/>
    <s v="LURIN"/>
    <s v="Intradevco"/>
    <x v="16"/>
    <x v="0"/>
    <s v="Lavavajilla"/>
    <x v="0"/>
    <s v="Acc. No Incapacitante"/>
    <d v="2024-09-13T00:00:00"/>
    <n v="37"/>
    <n v="13"/>
    <x v="8"/>
    <n v="2024"/>
    <d v="1899-12-30T15:30:00"/>
    <s v="D"/>
    <s v="Service"/>
    <s v="Grupo Consulting"/>
    <s v="PIZARRO"/>
    <s v=" CORONEL"/>
    <s v="YENY"/>
    <s v="FEMENINO"/>
    <m/>
    <s v="OPERARIO DE PRODUCCIÓN"/>
    <m/>
    <s v="Colaboradora se encontraba realizando la actividad de tapado de potes en la línea 2._x000a_Al compañero que realizaba el abastecimiento se le resbaló la primera caja de esponjas generando que ésta caiga y el borde inferior impacte contra su hombro derecho."/>
    <s v="Golpeado por"/>
    <s v="Hombro derecho"/>
    <s v="Brazo/Codo/Hombro"/>
    <s v="Tapado de potes"/>
    <s v="Contusion"/>
    <s v="Contusión/Trauma"/>
    <n v="0"/>
    <n v="0"/>
    <n v="0"/>
    <s v="Laborando"/>
    <m/>
    <m/>
    <s v="Caja"/>
    <s v="CONTRATO TEMPORAL"/>
  </r>
  <r>
    <n v="205"/>
    <m/>
    <s v="PERÚ"/>
    <x v="2"/>
    <s v="LURIN"/>
    <s v="Intradevco"/>
    <x v="16"/>
    <x v="0"/>
    <s v="Lavavajilla"/>
    <x v="0"/>
    <s v="Acc. No Incapacitante"/>
    <d v="2024-09-14T00:00:00"/>
    <n v="37"/>
    <n v="14"/>
    <x v="8"/>
    <n v="2024"/>
    <d v="1899-12-30T12:06:00"/>
    <s v="D"/>
    <s v="Service"/>
    <s v="Grupo Consulting"/>
    <s v="PEREZ"/>
    <s v="SOLANO"/>
    <s v="ASTRID FIORELLA"/>
    <s v="FEMENINO"/>
    <m/>
    <s v="OPERARIO DE PRODUCCIÓN"/>
    <m/>
    <s v="La colaboradora menciona que estaba en la actividad de recuperado; sin embargo, indica que aún no había comenzado dicha actividad. En ese momento, no llevaba puestos sus lentes, mientras conversaba con su compañera, se rió y se agachó. Su compañera, que estaba a su lado, lanza el producto (detergente), y el filo del producto le roza el ojo izquierdo en la &quot;esclerótica&quot;."/>
    <s v="Golpeado por"/>
    <s v="Ojo izquierdo"/>
    <s v="Ojos"/>
    <s v="Recuperado de bolsas"/>
    <s v="Contusion"/>
    <s v="Contusión/Trauma"/>
    <n v="0"/>
    <n v="0"/>
    <n v="0"/>
    <s v="Laborando"/>
    <m/>
    <m/>
    <s v="Bolsa de detergente"/>
    <s v="CONTRATO TEMPORAL"/>
  </r>
  <r>
    <n v="206"/>
    <m/>
    <s v="PERÚ"/>
    <x v="2"/>
    <s v="LURIN"/>
    <s v="Intradevco"/>
    <x v="16"/>
    <x v="0"/>
    <s v="Empacado detergente"/>
    <x v="0"/>
    <s v="Acc. No Incapacitante"/>
    <d v="2024-09-16T00:00:00"/>
    <n v="38"/>
    <n v="16"/>
    <x v="8"/>
    <n v="2024"/>
    <d v="1899-12-30T11:25:00"/>
    <s v="D"/>
    <s v="Service"/>
    <s v="Grupo Consulting"/>
    <s v="MEZA"/>
    <s v="TORRES"/>
    <s v="JESUS"/>
    <s v="MASCULINO"/>
    <m/>
    <s v="OPERARIO DE PRODUCCIÓN"/>
    <m/>
    <s v="El colaborador se encontraba haciendo limpieza de piso en el primer nivel con la espátula, pero ésta se despega de la varilla de madera en donde estaba atada. Le solicitó cinta a la colaboradora Janeth Trigozo (itdc) y le menciona que hay una caja en la máquina intrapack (mezzanine) . El colaborador se dirige a la zona, pero al retorno, cuando bajaba las escalera, se resbala y su reacción inmediata fue sujetarse con ambas manos de las barandas, quedando con los brazos suspendidos, dicha posición le ocasionó un estiramiento en el hombro derecho._x000a_- Colaborador menciona que bajaba sujetado de una mano en la baranda."/>
    <s v="Sobreesfuerzo"/>
    <s v="Hombro derecho"/>
    <s v="Brazo/Codo/Hombro"/>
    <s v="Descenso de escaleras"/>
    <s v="Estiramiento muscular"/>
    <s v="Desgarro/Estiramiento Muscular"/>
    <n v="0"/>
    <n v="0"/>
    <n v="0"/>
    <s v="Laborando"/>
    <m/>
    <m/>
    <s v="Escalera"/>
    <s v="CONTRATO TEMPORAL"/>
  </r>
  <r>
    <n v="207"/>
    <m/>
    <s v="PERÚ"/>
    <x v="2"/>
    <s v="LURIN"/>
    <s v="Intradevco"/>
    <x v="16"/>
    <x v="0"/>
    <s v="Lavavajilla"/>
    <x v="0"/>
    <s v="Acc. No Incapacitante"/>
    <d v="2024-09-25T00:00:00"/>
    <n v="39"/>
    <n v="25"/>
    <x v="8"/>
    <n v="2024"/>
    <d v="1899-12-30T10:00:00"/>
    <s v="D"/>
    <s v="Service"/>
    <s v="Grupo Consulting"/>
    <s v="MURAYARI"/>
    <s v=" COQUINCHE"/>
    <s v="MARLENI"/>
    <s v="FEMENINO"/>
    <m/>
    <s v="OPERARIO DE PRODUCCIÓN"/>
    <m/>
    <s v="La colaboradora Marlene Murayari, del área de envasado de lavavajillas, se encontraba realizando la actividad de ofertado en la línea 2. Durante esta tarea, se agotó la cinta de ofertado y se realizó el cambio de rollo de inmediato. Sin embargo, no se ajustó el tornillo (1), lo que provocó que la cinta se deslizara con mayor facilidad al jalarla y quede fuera de su lugar (2)._x000a_Al notar que había una porción de cinta despegada, Marlene intentó acomodarla desde el inicio (girando el rollo) (3), sin darse cuenta de que al lado había una unión de la tubería, esto resultó en un golpe en su codo izquierdo (4). Cabe destacar que la silla estaba muy cerca del muro, lo que contribuyó al choque del codo contra la tubería."/>
    <s v="Golpeado por"/>
    <s v="Codo izquierdo"/>
    <s v="Brazo/Codo/Hombro"/>
    <s v="Ofertado"/>
    <s v="Contusion"/>
    <s v="Contusión/Trauma"/>
    <n v="0"/>
    <n v="0"/>
    <n v="0"/>
    <s v="Laborando"/>
    <m/>
    <m/>
    <s v="Soporte metalico"/>
    <s v="CONTRATO TEMPORAL"/>
  </r>
  <r>
    <n v="208"/>
    <m/>
    <s v="PERÚ"/>
    <x v="2"/>
    <s v="LURIN"/>
    <s v="Intradevco"/>
    <x v="29"/>
    <x v="0"/>
    <s v="Etiquetado"/>
    <x v="0"/>
    <s v="Acc. No Incapacitante"/>
    <d v="2024-09-25T00:00:00"/>
    <n v="39"/>
    <n v="25"/>
    <x v="8"/>
    <n v="2024"/>
    <d v="1899-12-30T18:39:00"/>
    <s v="D"/>
    <s v="Service"/>
    <s v="Grupo Consulting"/>
    <s v="MAMANI"/>
    <s v=" AGUILAR"/>
    <s v="PILAR MELANIA"/>
    <s v="FEMENINO"/>
    <m/>
    <s v="OPERARIO DE PRODUCCIÓN"/>
    <m/>
    <s v="La colaboradora estaba haciendo una anotación en un post-it mientras transitaba en una zona del área donde hay máquinas en desuso, ésta contaba con baja iluminación ya que no se realizan actividades cerca de ella, lo que ocasionó que se choque contra la estructura metálica de una de las máquinas en su pómulo del lado izquierdo."/>
    <s v="Golpeado por"/>
    <s v="Pomulo izquiedo"/>
    <s v="Rostro/Nariz/Boca"/>
    <s v="Transito po areas"/>
    <s v="Contusion"/>
    <s v="Contusión/Trauma"/>
    <n v="0"/>
    <n v="0"/>
    <n v="0"/>
    <s v="Laborando"/>
    <m/>
    <m/>
    <s v="Estructura metalica"/>
    <s v="CONTRATO TEMPORAL"/>
  </r>
  <r>
    <n v="209"/>
    <m/>
    <s v="PERÚ"/>
    <x v="2"/>
    <s v="LURIN"/>
    <s v="Intradevco"/>
    <x v="16"/>
    <x v="0"/>
    <s v="Empacado detergente"/>
    <x v="0"/>
    <s v="Acc. No Incapacitante"/>
    <d v="2024-09-26T00:00:00"/>
    <n v="39"/>
    <n v="26"/>
    <x v="8"/>
    <n v="2024"/>
    <d v="1899-12-30T15:15:00"/>
    <s v="D"/>
    <s v="Service"/>
    <s v="Grupo Consulting"/>
    <s v="YUMBATO"/>
    <s v=" PACAYA"/>
    <s v="ALEXIS EGLINTON"/>
    <s v="MASCULINO"/>
    <m/>
    <s v="OPERARIO DE PRODUCCIÓN"/>
    <m/>
    <s v="El colaborador se encontraba realizando la actividad de colocación de bolsones en máquina neumopack 1, al notar que del lado izquierdo solo faltaban 2 bolsas para hacer el cambio, colocó de manera apresurada el bolsón del lado derecho, lo que ocasionó que al momento de retirar su mano ésta choque con la contadora que gira automáticamente generándose  un golpe en parte dorsal de la mano izquierda."/>
    <s v="Golpeado por"/>
    <s v="Mano izquierda"/>
    <s v="Mano/Muñeca/Dedos"/>
    <s v="Colocacion de bolsones"/>
    <s v="Contusion"/>
    <s v="Contusión/Trauma"/>
    <n v="0"/>
    <n v="0"/>
    <n v="0"/>
    <s v="Laborando"/>
    <m/>
    <m/>
    <m/>
    <s v="CONTRATO TEMPORAL"/>
  </r>
  <r>
    <n v="210"/>
    <m/>
    <s v="PERÚ"/>
    <x v="2"/>
    <s v="LURIN"/>
    <s v="Intradevco"/>
    <x v="16"/>
    <x v="0"/>
    <s v="Lavavajilla"/>
    <x v="1"/>
    <s v="Acc. Incapacitante"/>
    <d v="2024-09-28T00:00:00"/>
    <n v="39"/>
    <n v="28"/>
    <x v="8"/>
    <n v="2024"/>
    <d v="1899-12-30T17:45:00"/>
    <s v="D"/>
    <s v="Service"/>
    <s v="Grupo Consulting"/>
    <s v="GARCIA"/>
    <s v="VIDAURE"/>
    <s v="JORGE LUIS"/>
    <s v="MASCULINO"/>
    <n v="35"/>
    <s v="OPERARIO DE PRODUCCIÓN"/>
    <m/>
    <s v="El colaborador se encontraba realizando la limpieza de la tolva de la línea 3 de Lavavajillas. Mientras realizaba la actividad, de manera inesperada cae agua con restos de crema LVV sobre su cabeza y parte del cuerpo del colaborador, la caída del líquido ocasionó que se le muevan los lentes antiparras que tenía colocados, viéndose afectados ambos ojos."/>
    <s v="Proyección de Material Particulado"/>
    <s v="Ojo derecho"/>
    <s v="Ojos"/>
    <s v="Limpieza de tolva"/>
    <s v="Cuerpo extraño en el saco conjuntival"/>
    <s v="Cuerpo Extraño en Ojos"/>
    <n v="14"/>
    <n v="0"/>
    <n v="14"/>
    <s v="DM"/>
    <n v="4"/>
    <s v="&lt; 3 a 6 meses"/>
    <s v="Agua con residuos de pasta"/>
    <s v="CONTRATO TEMPORAL"/>
  </r>
  <r>
    <n v="211"/>
    <m/>
    <s v="BOLIVIA"/>
    <x v="1"/>
    <m/>
    <s v="PPI"/>
    <x v="4"/>
    <x v="6"/>
    <s v="Extracción HLS"/>
    <x v="0"/>
    <s v="Acc. No Incapacitante"/>
    <d v="2024-09-25T00:00:00"/>
    <n v="39"/>
    <n v="25"/>
    <x v="8"/>
    <n v="2024"/>
    <d v="1899-12-30T14:00:00"/>
    <s v="M"/>
    <s v="PROPIO"/>
    <s v="Alicorp S.A.A."/>
    <s v="Ruiz"/>
    <m/>
    <s v="Jose"/>
    <s v="MASCULINO"/>
    <n v="57"/>
    <s v="Técnico de mantenimiento"/>
    <d v="1998-12-07T00:00:00"/>
    <s v="A las 14:00 se registra un accidente para el cual se dio atención de primeros auxilios. Personal de mantenimiento (Eléctrico de turno) se encontraba montando un sensor de temperatura analógico (de aguja) en el intercambiador de aceite mineral 440 de extracción HLS, durante el montaje, no realiza la purga del aceite sobrante en la línea y cuando retira el tapón temporal para colocar el sensor le salpica aceite mineral caliente &gt; 80 °C en la parte de la espalda al Técnico de Mantenimiento que realizaba una inspección de una bomba cerca del lugar. Comunica del hecho y se lo dirige a la posta médica para aplicación de pomada en la parte afectada. Posterior a la atención retorna a su escritorio y sale al completar su turno._x000a_"/>
    <s v="Contacto con Superficie Caliente"/>
    <s v="Espalda"/>
    <s v="Abdomen/Torso"/>
    <s v="Inspección de bombas"/>
    <s v="Quemadura de 1er grado"/>
    <s v="Quemadura por Temperatura"/>
    <n v="0"/>
    <n v="0"/>
    <n v="0"/>
    <s v="Trabajando"/>
    <n v="730"/>
    <s v="&gt; 10 años"/>
    <s v="Línea de aceite mineral (sensor de temperatura analógico)"/>
    <s v="CONTRATO INDEFINIDO"/>
  </r>
  <r>
    <n v="212"/>
    <s v="PCO24523"/>
    <s v="PERÚ"/>
    <x v="0"/>
    <s v="PREDIO CENTRAL"/>
    <s v="Copsa"/>
    <x v="3"/>
    <x v="0"/>
    <s v="REFINERIA"/>
    <x v="1"/>
    <s v="Acc. Incapacitante"/>
    <d v="2024-09-30T00:00:00"/>
    <n v="40"/>
    <n v="30"/>
    <x v="8"/>
    <n v="2024"/>
    <d v="1899-12-30T01:20:00"/>
    <s v="N"/>
    <s v="PROPIO"/>
    <s v="Alicorp S.A.A"/>
    <s v="MARENGO"/>
    <s v="PITTMAN"/>
    <s v="JOHN ARMANDO"/>
    <s v="MASCULINO"/>
    <n v="51"/>
    <s v="LIDER LINEA FRACCIONAMIENTO"/>
    <d v="2002-02-01T00:00:00"/>
    <s v="El líder de turno procede a realizar el soplado del filtro 1 de la planta de descerado, realizando la apertura y cierre de válvulas de ingreso de nitrógeno y liberación del aceite hacia el tanque pulmón; una vez que la presión del filtro llegó a 3bar procedió con la apertura de la válvula de retorno para aliviar la presión antes de abrir el filtro para su limpieza. Al terminar esta actividad se dirigió hacia la sala de control y en ese instante sucedió la liberación intempestiva de presión del filtro, cuya onda expansiva afecta los oidos del trabajador."/>
    <s v="Golpeado por"/>
    <s v="Oidos"/>
    <s v="Oído"/>
    <s v="Soplado y limpieza del filtro 1 de la planta de descerado"/>
    <s v="Inflamación interna de oídos"/>
    <s v="Contusión/Trauma"/>
    <n v="4"/>
    <n v="0"/>
    <n v="4"/>
    <s v="Descanso Médico"/>
    <n v="120"/>
    <s v="&gt; 10 años"/>
    <s v="Onda expansiva por liberación intempestiva de presión"/>
    <s v="CONTRATO INDEFINIDO"/>
  </r>
  <r>
    <n v="213"/>
    <m/>
    <s v="PERÚ"/>
    <x v="2"/>
    <s v="LURIN"/>
    <s v="Intradevco"/>
    <x v="7"/>
    <x v="0"/>
    <s v="Producción"/>
    <x v="0"/>
    <s v="Acc. No Incapacitante"/>
    <d v="2024-09-06T00:00:00"/>
    <n v="36"/>
    <n v="6"/>
    <x v="8"/>
    <n v="2024"/>
    <d v="1899-12-30T08:15:00"/>
    <s v="D"/>
    <s v="PROPIO"/>
    <s v="Intradevco"/>
    <s v="CHOQUEZ "/>
    <s v="SOTELO "/>
    <s v="MARCO ANTONIO"/>
    <s v="MASCULINO"/>
    <n v="34"/>
    <s v="TÉCNICO MECÁNICO"/>
    <d v="2020-01-12T00:00:00"/>
    <s v="El técnico Marcos Choquez sufrió una contusión leve en el rostro, específicamente entre la nariz y el pómulo izquierdo. El incidente ocurrió mientras aflojaba la conexión roscada de una manguera hidráulica en la máquina Tincoo galonera, utilizando una llave de boca. La lesión fue provocada por el impacto de la parte metálica de la manguera hidráulica y la boca de la llave de boca."/>
    <s v="Golpeado por"/>
    <s v="Rostro"/>
    <s v="Rostro/Nariz/Boca"/>
    <s v="Desmontaje de manguera"/>
    <s v="Contusión"/>
    <s v="Contusión/Trauma"/>
    <n v="0"/>
    <n v="0"/>
    <n v="0"/>
    <s v="Trabajando"/>
    <n v="48"/>
    <s v="&lt; 1 a 5 años"/>
    <s v="Llave"/>
    <s v="CONTRATO INDEFINIDO"/>
  </r>
  <r>
    <n v="214"/>
    <s v="PGL24524"/>
    <s v="PERÚ"/>
    <x v="0"/>
    <s v="PREDIO CENTRAL"/>
    <s v="Galletería"/>
    <x v="0"/>
    <x v="0"/>
    <s v="Instantáneos"/>
    <x v="0"/>
    <s v="Acc. No Incapacitante"/>
    <d v="2024-10-02T00:00:00"/>
    <n v="40"/>
    <n v="2"/>
    <x v="9"/>
    <n v="2024"/>
    <d v="1899-12-30T17:30:00"/>
    <s v="T"/>
    <s v="PROPIO"/>
    <s v="Alicorp S.A.A."/>
    <s v="NEYRA"/>
    <s v="CALDERON"/>
    <s v="JOSE"/>
    <s v="MASCULINO"/>
    <m/>
    <s v="Inspector de Calidad"/>
    <m/>
    <s v="El colaborador José Neyra sufrió un accidente mientras realizaba el cambio de bolsas en el depósito recolector. Durante la operación, no se percató de que el cartel acrílico de rotulación tenía una superficie filosa, lo que le provocó una herida en el antebrazo de la mano derecha.Se brindaron los primeros auxilios en el tópico y no se requiere traslado externo."/>
    <s v="Contacto con superficie filosa"/>
    <s v="Brazo"/>
    <m/>
    <s v="Retiro de bolsas"/>
    <s v="Herida en antebrazo derecho "/>
    <s v="Corte/Herida"/>
    <n v="0"/>
    <m/>
    <m/>
    <s v="Laborando"/>
    <m/>
    <m/>
    <s v="Señalización"/>
    <s v="CONTRATO INDEFINIDO"/>
  </r>
  <r>
    <n v="215"/>
    <m/>
    <s v="PERÚ"/>
    <x v="0"/>
    <s v="PREDIO CENTRAL"/>
    <s v="Otros"/>
    <x v="3"/>
    <x v="5"/>
    <s v="Proyecto OVEN"/>
    <x v="1"/>
    <s v="Acc. Incapacitante"/>
    <d v="2024-10-02T00:00:00"/>
    <n v="40"/>
    <n v="2"/>
    <x v="9"/>
    <n v="2024"/>
    <d v="1899-12-30T15:25:00"/>
    <s v="M"/>
    <s v="Contratista"/>
    <s v="SC Ingeniería y construcción"/>
    <s v="Mozombite"/>
    <s v="Villacorta"/>
    <s v="Ricky Adrian"/>
    <s v="MASCULINO"/>
    <m/>
    <s v="Ayudante"/>
    <m/>
    <s v="El 02 de octubre a las 15:25 horas aprox. La empresa SC se encontraba realizando el traslado manual de restos de acero de demolición desde exteriores de Extracción Mecánica hasta el punto de acopio temporal ubicado en Extracción por solventes. En ese instante el trabajador RICKY ADRIAN  MOZOMBITE VILLACORTA (Ayudante) lanzó una varilla de ø ½¨x 1.25m para ubicarla en la zona más alta del punto de acopio, ésta, por su geometría y medida, rebota e impacta en el rostro del trabajador generándole un corte a la altura de la nariz._x000a_"/>
    <s v="Golpeado por"/>
    <s v="Rostro"/>
    <s v="Rostro/Nariz/Boca"/>
    <s v="Traslado manual de restos de acero"/>
    <s v="Herida de nariz"/>
    <s v="Corte/Herida"/>
    <n v="3"/>
    <n v="0"/>
    <n v="3"/>
    <s v="Laborando"/>
    <m/>
    <m/>
    <s v="Varillas de acero"/>
    <s v="CONTRATO TEMPORAL"/>
  </r>
  <r>
    <n v="216"/>
    <m/>
    <s v="BOLIVIA"/>
    <x v="1"/>
    <m/>
    <s v="CBB"/>
    <x v="2"/>
    <x v="0"/>
    <s v="Playa de Tanques Stock (Aceite)"/>
    <x v="0"/>
    <s v="Acc. No Incapacitante"/>
    <d v="2024-09-02T00:00:00"/>
    <n v="36"/>
    <n v="2"/>
    <x v="8"/>
    <n v="2024"/>
    <d v="1899-12-30T10:00:00"/>
    <s v="M"/>
    <s v="PROPIO"/>
    <s v="Alicorp S.A.A."/>
    <s v="RIVERA"/>
    <s v="ZAMBRANA"/>
    <s v="TEODORO"/>
    <s v="MASCULINO"/>
    <n v="54"/>
    <s v="Auxiliar Granel"/>
    <d v="1998-01-15T00:00:00"/>
    <s v="En fecha 02 de septiembre a hrs 10:00 am aprox. el trabajador Teodoro Rivera Zambrana (Auxiliar de Granel), persona que se encontraba ajustando la unión danesa inoxidable entre la línea del tanque 634 y la línea de cisterna, para dicho trabajo estaba utilizando una llave de ajuste universal; cuando de repente la llave safa, impactando el dedo meñique de la mano derecha en la rosca de la línea (tubería) colindante. Posteriormente es evacuado a la posta médica donde se realiza los primeros auxilios."/>
    <s v="Golpeado por"/>
    <s v="Mano"/>
    <s v="Mano/Muñeca/Dedos"/>
    <s v="Ajuste de piezas (unión danesa)"/>
    <s v="Herida cortante superficial, menor a 1 cm en el dedo meñique de la mano der"/>
    <s v="Corte/Herida"/>
    <n v="0"/>
    <n v="0"/>
    <n v="0"/>
    <s v="Trabajando"/>
    <n v="320"/>
    <s v="&gt; 10 años"/>
    <s v="Líneas de transferencia de producto terminado (tuberías y accesorios)"/>
    <s v="CONTRATO INDEFINIDO"/>
  </r>
  <r>
    <n v="217"/>
    <m/>
    <s v="PERÚ"/>
    <x v="0"/>
    <s v="PREDIO CENTRAL"/>
    <s v="Fideería Lima"/>
    <x v="34"/>
    <x v="0"/>
    <s v="Secadero L22"/>
    <x v="1"/>
    <s v="Acc. Incapacitante"/>
    <d v="2024-10-04T00:00:00"/>
    <n v="40"/>
    <n v="4"/>
    <x v="9"/>
    <n v="2024"/>
    <d v="1899-12-30T05:00:00"/>
    <s v="N"/>
    <s v="Contratista"/>
    <s v="Clean Work"/>
    <s v="TANANTA"/>
    <s v="TUANAMA"/>
    <s v="CRISTIAN"/>
    <s v="MASCULINO"/>
    <s v="-"/>
    <s v="Plataformero"/>
    <s v="-"/>
    <s v="El accidente sucedió aproximadamente a las 05:00 a.m. momento en el que Cristian Tananta, Plataformero de la empresa Clean Work se encontraba realizando la actividad de limpieza de plataformas y descansos, y finalizada la limpieza se percata de un fideo manchado con grasa en la zona de las cadenas laterales y decide acercarse a retirarlo sin percatarse del capacho que transporta la caña y le pellizca el dedo (con guante)."/>
    <s v="Atrapado por Partes en Movimiento"/>
    <s v="Dedo medio de mano derecha"/>
    <s v="Mano/Muñeca/Dedos"/>
    <s v="Limpieza de plataforma y descansos"/>
    <s v="Herida de dedo de la mano derecha con daño en la uña"/>
    <s v="Corte/Herida"/>
    <n v="3"/>
    <n v="0"/>
    <n v="3"/>
    <s v="Laborando"/>
    <n v="12"/>
    <s v="&lt; 1 a 5 años"/>
    <s v="Cadenas en movimiento"/>
    <s v="CONTRATO TEMPORAL"/>
  </r>
  <r>
    <n v="218"/>
    <m/>
    <s v="PERÚ"/>
    <x v="0"/>
    <s v="SIDSUR"/>
    <s v="Sidsur"/>
    <x v="25"/>
    <x v="0"/>
    <s v="Linea 1"/>
    <x v="0"/>
    <s v="Acc. No Incapacitante"/>
    <d v="2024-10-05T00:00:00"/>
    <n v="40"/>
    <n v="5"/>
    <x v="9"/>
    <n v="2024"/>
    <d v="1899-12-30T06:00:00"/>
    <s v="D"/>
    <s v="SENATI"/>
    <s v="Alicorp S.A.A"/>
    <s v="ARAPA"/>
    <s v="APAZA"/>
    <s v="LUZ"/>
    <s v="FEMENINO"/>
    <m/>
    <s v="APRENDIZ DE SENATI"/>
    <d v="2024-03-11T00:00:00"/>
    <s v="Colaboradora se encontraba transitado dentro del área, al lado de la línea de producción de mascotas, al evidenciar el espacio reducido para pasar detrás de una persona quien se encontraba encajando. Ella decide pasar sobre una plataforma de meta; levanta el pie tropezándose en la plataforma, cayéndose ; por consecuencia se  golpea el muslo y el tobillo"/>
    <s v="Caída al mismo nivel"/>
    <s v="Pie"/>
    <s v="Pie/Tobillo"/>
    <s v="Transito en planta"/>
    <s v="Contusión en el pie izquierdo"/>
    <s v="Contusión/Trauma"/>
    <n v="0"/>
    <m/>
    <m/>
    <m/>
    <m/>
    <m/>
    <m/>
    <m/>
  </r>
  <r>
    <n v="219"/>
    <s v="PGL24544 "/>
    <s v="PERÚ"/>
    <x v="0"/>
    <s v="PREDIO CENTRAL"/>
    <s v="Galletería"/>
    <x v="0"/>
    <x v="0"/>
    <s v="Pasillos"/>
    <x v="1"/>
    <s v="Acc. Incapacitante"/>
    <d v="2024-10-12T00:00:00"/>
    <n v="41"/>
    <n v="12"/>
    <x v="9"/>
    <n v="2024"/>
    <d v="1899-12-30T07:00:00"/>
    <s v="D"/>
    <s v="PROPIO"/>
    <s v="Alicorp S.A.A"/>
    <s v="MILLONES"/>
    <s v="CASAS"/>
    <s v="JENY CECILIA"/>
    <s v="FEMENINO"/>
    <n v="43"/>
    <s v="OPERARIO DE PRODUCCION"/>
    <d v="2007-07-07T00:00:00"/>
    <s v="El sábado 12, a las 7:01 am, la colaboradora Jeny Millones estaba saliendo del vestuario de damas para comenzar su turno de trabajo. En ese instante, se resbaló y cayó al suelo, golpeándose las rodillas y el hombro. Posteriormente, ingresó a la planta, donde se notificó del accidente y se le brindaron primeros auxilios"/>
    <s v="Caída al mismo nivel"/>
    <s v="Hombro"/>
    <s v="Brazo/Codo/Hombro"/>
    <s v="Tránsito peatonal"/>
    <s v="Esguince y Torcedura que comprometen ligamento"/>
    <s v="Contusión/Trauma"/>
    <n v="22"/>
    <n v="0"/>
    <n v="22"/>
    <s v="Descanso Médico"/>
    <n v="192"/>
    <s v="&gt; 10 años"/>
    <s v="Piso "/>
    <s v="CONTRATO INDEFINIDO"/>
  </r>
  <r>
    <n v="220"/>
    <s v="PGL24574"/>
    <s v="PERÚ"/>
    <x v="0"/>
    <s v="PREDIO CENTRAL"/>
    <s v="Otros"/>
    <x v="0"/>
    <x v="8"/>
    <s v="Techo"/>
    <x v="1"/>
    <s v="Acc. Incapacitante"/>
    <d v="2024-10-17T00:00:00"/>
    <n v="42"/>
    <n v="17"/>
    <x v="9"/>
    <n v="2024"/>
    <d v="1899-12-30T11:00:00"/>
    <s v="D"/>
    <s v="PROPIO"/>
    <s v="Alicorp S.A.A"/>
    <s v="ROMERO"/>
    <s v="SAMANIEGO"/>
    <s v="JERSON"/>
    <s v="MASCULINO"/>
    <n v="31"/>
    <s v="INSPECTOR DE SEGURIDAD INDUSTRIAL"/>
    <m/>
    <s v="El 17 de octubre de 2024 a las 11:00 horas, el colaborador Jerson Romero se encontraba realizando el cambio de un extintor de PQS 20 lb ubicado en el techo de la planta Galletera, para su retiro debe descender por una escalera trasladando el extintor en una mano; encontrándose en el penúltimo peldaño, pierde el equilibrio y pisa en falso.  Es atendido en el tópico y derivado a la clínica San Gabriel para la atención por especialista."/>
    <s v="Caída al mismo nivel"/>
    <s v="Pie"/>
    <s v="Pie/Tobillo"/>
    <s v="Traslado de extintores"/>
    <s v="Contusión en el pie izquierdo"/>
    <s v="Contusión/Trauma"/>
    <n v="8"/>
    <n v="0"/>
    <n v="8"/>
    <s v="Descanso Médico"/>
    <n v="60"/>
    <s v="&lt; 5 a 10 años"/>
    <s v="Escalera"/>
    <s v="CONTRATO INDEFINIDO"/>
  </r>
  <r>
    <n v="221"/>
    <m/>
    <s v="PERÚ"/>
    <x v="4"/>
    <s v="Sicaya"/>
    <s v="Teal"/>
    <x v="21"/>
    <x v="0"/>
    <s v="Linea Panetones"/>
    <x v="1"/>
    <s v="Acc. Incapacitante"/>
    <d v="2024-10-16T00:00:00"/>
    <n v="42"/>
    <n v="16"/>
    <x v="9"/>
    <n v="2024"/>
    <d v="1899-12-30T14:10:00"/>
    <s v="D"/>
    <s v="PROPIO"/>
    <s v="Masterbread"/>
    <s v="AYAMBO"/>
    <s v="CAHUACHI"/>
    <s v="BRAYAN JOSE"/>
    <s v="MASCULINO"/>
    <n v="33"/>
    <s v="OPERARIO DE PRODUCCION"/>
    <d v="2024-09-09T00:00:00"/>
    <s v="En circunstancias que el Operario de Producción Brayan Ayambo procedía a retirar en reversa el coche que contiene bandejas con panetones listos para el horneado; durante la maniobra de traslado se ladea hacia los coches estacionados y la penúltima bandeja metálica choca con la estructura de esta última, deslizándose hacia el lado izquierdo golpeando con sus bordes la frente del Colaborador, generándole una herida contusa en dicha zona."/>
    <s v="Golpeado por"/>
    <s v="Frente"/>
    <s v="Rostro/Nariz/Boca"/>
    <s v="Traslado de coche de bandejas de panetones"/>
    <s v="Herida contusa en la frente – lado izquierdo"/>
    <s v="Corte/Herida"/>
    <n v="9"/>
    <n v="0"/>
    <n v="9"/>
    <s v="Laborando"/>
    <n v="1"/>
    <s v="&lt; 1 a 3 meses"/>
    <s v="Bandeja metalica"/>
    <s v="CONTRATO TEMPORAL"/>
  </r>
  <r>
    <n v="222"/>
    <s v="PGL24573"/>
    <s v="PERÚ"/>
    <x v="0"/>
    <s v="PREDIO CENTRAL"/>
    <s v="Galletería"/>
    <x v="0"/>
    <x v="0"/>
    <s v="Producción"/>
    <x v="0"/>
    <s v="Acc. No Incapacitante"/>
    <d v="2024-10-17T00:00:00"/>
    <n v="42"/>
    <n v="17"/>
    <x v="9"/>
    <n v="2024"/>
    <d v="1899-12-30T14:18:00"/>
    <s v="D"/>
    <s v="PROPIO"/>
    <s v="Alicorp S.A.A"/>
    <s v="ROJAS"/>
    <s v="BARRERA"/>
    <s v="SAUL"/>
    <s v="MASCULINO"/>
    <m/>
    <s v="OPERARIO DE PRODUCCION"/>
    <m/>
    <s v="El colaborador Saúl Rojas sufrió un accidente no incapacitante mientras realizaba tareas de limpieza. Durante esta actividad, que realizó con un paño, agua y detergente, le salpicó agua con detergente en el ojo izquierdo, ya que no estaba usando los lentes de seguridad correspondientes."/>
    <s v="Exposición a Sustancias Químicas"/>
    <s v="Ojo"/>
    <s v="Ojos"/>
    <s v="Limpieza de equipo"/>
    <s v="Irritación Ocular"/>
    <s v="Queratoconjuntivitis"/>
    <n v="0"/>
    <m/>
    <m/>
    <s v="Laboranod"/>
    <n v="144"/>
    <s v="&gt; 10 años"/>
    <s v="Detergente"/>
    <s v="CONTRATO INDEFINIDO"/>
  </r>
  <r>
    <n v="223"/>
    <m/>
    <s v="PERÚ"/>
    <x v="2"/>
    <s v="LURIN"/>
    <s v="Intradevco"/>
    <x v="16"/>
    <x v="0"/>
    <s v="Producción"/>
    <x v="0"/>
    <s v="Acc. No Incapacitante"/>
    <d v="2024-10-09T00:00:00"/>
    <n v="41"/>
    <n v="9"/>
    <x v="9"/>
    <n v="2024"/>
    <d v="1899-12-30T09:30:00"/>
    <s v="D"/>
    <s v="Service"/>
    <s v="Grupo Consulting"/>
    <s v="ROMERO"/>
    <s v=" CORDOVA"/>
    <s v="CARLOS ANDY"/>
    <s v="MASCULINO"/>
    <m/>
    <s v="OPERARIO DE PRODUCCION"/>
    <d v="2024-07-03T00:00:00"/>
    <s v="El colaborador se encontraba abasteciendo sacos (codificado) en la zona de ducto automático. Al momento de trasportar en dirección al ducto,se tropieza con un saco que estaba sobresalido. Al no querer caer se inclina sobre la ruma de paletas generándose un golpe. "/>
    <s v="Golpeado contra"/>
    <s v="Torax"/>
    <s v="Abdomen/Torso"/>
    <s v="Transito en planta"/>
    <s v="Contusion superficial en el torax"/>
    <s v="Contusión/Trauma"/>
    <n v="0"/>
    <n v="0"/>
    <n v="0"/>
    <s v="Laborando"/>
    <n v="3"/>
    <s v="&lt; 3 a 6 meses"/>
    <s v="Ruma de pallets"/>
    <s v="CONTRATO TEMPORAL"/>
  </r>
  <r>
    <n v="224"/>
    <m/>
    <s v="PERÚ"/>
    <x v="2"/>
    <s v="LURIN"/>
    <s v="Intradevco"/>
    <x v="16"/>
    <x v="0"/>
    <s v="Manufactura detergentes"/>
    <x v="0"/>
    <s v="Acc. No Incapacitante"/>
    <d v="2024-10-25T00:00:00"/>
    <n v="43"/>
    <n v="25"/>
    <x v="9"/>
    <n v="2024"/>
    <d v="1899-12-30T02:40:00"/>
    <s v="N"/>
    <s v="Service"/>
    <s v="Grupo Consulting"/>
    <s v="ESAMAT "/>
    <s v="BESEN "/>
    <s v="ANTERO PEDRO"/>
    <s v="MASCULINO"/>
    <m/>
    <s v="OPERARIO DE PRODUCCION"/>
    <m/>
    <s v="El colaborador menciona que el brazo N°05 de la torre se encontraba compactado con la rosca, lo que le impedía retirarlo con facilidad. Por ello, al jalar con fuerza el brazo N°05, se impacta en su pómulo derecho, lo que le generó hinchazón y raspón."/>
    <s v="Golpeado por"/>
    <s v="Pomulo derecho"/>
    <s v="Rostro/Nariz/Boca"/>
    <s v="Manipulacion de brazo"/>
    <s v="Contusion en pomulo"/>
    <s v="Contusión/Trauma"/>
    <n v="0"/>
    <n v="0"/>
    <n v="0"/>
    <s v="Laborando"/>
    <m/>
    <m/>
    <s v="Brazo de torre"/>
    <s v="CONTRATO TEMPORAL"/>
  </r>
  <r>
    <n v="225"/>
    <m/>
    <s v="PERÚ"/>
    <x v="2"/>
    <s v="LURIN"/>
    <s v="Intradevco"/>
    <x v="16"/>
    <x v="0"/>
    <s v="Manufactura detergentes"/>
    <x v="0"/>
    <s v="Acc. No Incapacitante"/>
    <d v="2024-10-28T00:00:00"/>
    <n v="44"/>
    <n v="28"/>
    <x v="9"/>
    <n v="2024"/>
    <d v="1899-12-30T16:00:00"/>
    <s v="D"/>
    <s v="Service"/>
    <s v="Grupo Consulting"/>
    <s v="CONTRERAS"/>
    <s v=" VELASQUEZ"/>
    <s v=" SEGUNDO ROBERT"/>
    <s v="MASCULINO"/>
    <m/>
    <s v="OPERARIO DE PRODUCCION"/>
    <m/>
    <s v="El colaborador se encontraba colocando la baranda en la zona de ducto y menciona que no se percató que el hoyo en donde ingresa estaba con agua (se había hecho baldeado de piso) estuvo realizando presión para colocarla ya que es difícil de hacerla encajar y al introducirla el líquido sale proyectado hacia el rostro siendo afectados ambos ojos."/>
    <s v="Proyección de Sustancias Químicas"/>
    <s v="Ojos"/>
    <s v="Ojos"/>
    <s v="Manipulacion de baranda"/>
    <s v="Irritacion en ojos"/>
    <s v="Cuerpo Extraño en Ojos"/>
    <n v="0"/>
    <n v="0"/>
    <n v="0"/>
    <s v="Laborando"/>
    <m/>
    <m/>
    <s v="Liquido empozado"/>
    <s v="CONTRATO TEMPORAL"/>
  </r>
  <r>
    <n v="226"/>
    <m/>
    <s v="PERÚ"/>
    <x v="2"/>
    <s v="LURIN"/>
    <s v="Intradevco"/>
    <x v="16"/>
    <x v="0"/>
    <s v="Manufactura detergentes"/>
    <x v="0"/>
    <s v="Acc. No Incapacitante"/>
    <d v="2024-10-31T00:00:00"/>
    <n v="44"/>
    <n v="31"/>
    <x v="9"/>
    <n v="2024"/>
    <d v="1899-12-30T10:50:00"/>
    <s v="D"/>
    <s v="Service"/>
    <s v="Grupo Consulting"/>
    <s v="VARILLAS"/>
    <s v=" GALLARDO"/>
    <s v=" ROMER AUGUSTO"/>
    <s v="MASCULINO"/>
    <m/>
    <s v="OPERARIO DE PRODUCCION"/>
    <m/>
    <s v="Colaborador se encontraba realizando el traslado de coches de la balanza #01 a la zona de envasado. _x000a_Manifiesta que colocó una mano en el soporte y la otra en la manija debido a que se estaba llenando la zona de más coches, para evitar la acumulación hizo la sujeción de manera apresurada sin realizarlo correctamente. _x000a_Al hacer fuerza el dedo pulgar derecho se dobla generando que haya aumento de volumen en parte de la muñeca, sin embargo; no hay limitación de movimiento."/>
    <s v="Golpeado por"/>
    <s v="Pulgar derecho"/>
    <s v="Mano/Muñeca/Dedos"/>
    <s v="Manipulacion de coches"/>
    <s v="Contusion en pulgar derecho"/>
    <s v="Contusión/Trauma"/>
    <n v="0"/>
    <n v="0"/>
    <n v="0"/>
    <s v="Laborando"/>
    <m/>
    <m/>
    <m/>
    <s v="CONTRATO TEMPORAL"/>
  </r>
  <r>
    <n v="227"/>
    <m/>
    <s v="BOLIVIA"/>
    <x v="1"/>
    <m/>
    <s v="PDF"/>
    <x v="1"/>
    <x v="6"/>
    <s v="Preparación Alloco"/>
    <x v="1"/>
    <s v="Acc. Incapacitante"/>
    <d v="2024-10-15T00:00:00"/>
    <n v="42"/>
    <n v="15"/>
    <x v="9"/>
    <n v="2024"/>
    <d v="1899-12-30T09:20:00"/>
    <s v="M"/>
    <s v="PROPIO"/>
    <s v="Alicorp S.A.A"/>
    <s v="TICONA"/>
    <s v="HURTADO"/>
    <s v="RENE FELIX"/>
    <s v="MASCULINO"/>
    <n v="62"/>
    <s v="Mecánico"/>
    <d v="1999-02-12T00:00:00"/>
    <s v="En fecha 15/10/ 2024 a horas 09:20 a.m., durante el desmontaje de la bandeja de plancha metálica del separador de cascara #1, los técnicos de mantenimiento  se encontraban retirando los seguros de los perfiles del marco de la batea, al retirar los pernos del lado sur de la plancha esta sede del lado derecho llegando a golpear sobre el tórax del técnico, (la plancha de 0,70 mts * 3 mts con un peso aproximado de  200 kg ) dicha plancha quedo anclada en uno de los soportes laterales y central no llegando a tener contacto el 100% de la plancha con el técnico."/>
    <s v="Golpeado por"/>
    <s v="Torax"/>
    <s v="Abdomen/Torso"/>
    <s v="Desmontaje de la bandeja de plancha metálica del separador de cascara #1"/>
    <s v="TME en tórax y abdomen por golpe"/>
    <s v="Contusión/Trauma"/>
    <n v="6"/>
    <n v="0"/>
    <n v="6"/>
    <s v="Descanso Médico"/>
    <n v="309"/>
    <s v="&gt; 10 años"/>
    <s v="Bandeja separador de cascara 1"/>
    <s v="CONTRATO INDEFINIDO"/>
  </r>
  <r>
    <n v="228"/>
    <m/>
    <s v="PERÚ"/>
    <x v="2"/>
    <s v="CHORRILLOS"/>
    <s v="Intradevco"/>
    <x v="6"/>
    <x v="0"/>
    <s v="Sanitarios MR2"/>
    <x v="0"/>
    <s v="Acc. No Incapacitante"/>
    <d v="2024-09-11T00:00:00"/>
    <n v="37"/>
    <n v="11"/>
    <x v="8"/>
    <n v="2024"/>
    <d v="1899-12-30T08:15:00"/>
    <s v="D"/>
    <s v="Service"/>
    <s v="Grupo Consulting"/>
    <s v="FASANDO"/>
    <s v="MANIHUARI"/>
    <s v="OMAR"/>
    <s v="MASCULINO"/>
    <n v="35"/>
    <s v="OPERARIO DE PRODUCCIÓN"/>
    <d v="2024-06-24T00:00:00"/>
    <s v="El colaborador se encontraba encajando en ese momento empezó a gotear de una tubería quitamancha ropa color, cayéndole en el rostro y hombro, generándole una leve irritación."/>
    <s v="Exposición a Sustancias Químicas"/>
    <s v="Rostro"/>
    <s v="Brazo/Codo/Hombro"/>
    <s v="Encajando"/>
    <s v="Irritación leve"/>
    <s v="Dermatitis/Irritación de la piel"/>
    <n v="0"/>
    <n v="0"/>
    <n v="0"/>
    <s v="Laborando"/>
    <m/>
    <m/>
    <m/>
    <m/>
  </r>
  <r>
    <n v="229"/>
    <m/>
    <s v="PERÚ"/>
    <x v="2"/>
    <s v="CHORRILLOS"/>
    <s v="Intradevco"/>
    <x v="6"/>
    <x v="0"/>
    <s v="Sanitarios MR2"/>
    <x v="0"/>
    <s v="Acc. No Incapacitante"/>
    <d v="2024-09-12T00:00:00"/>
    <n v="37"/>
    <n v="12"/>
    <x v="8"/>
    <n v="2024"/>
    <d v="1899-12-30T10:00:00"/>
    <s v="D"/>
    <s v="Service"/>
    <s v="Grupo Consulting"/>
    <s v="JULCAHUANCA"/>
    <s v="VASQUEZ"/>
    <s v=" CARLOS ENRRIQUE"/>
    <s v="MASCULINO"/>
    <n v="27"/>
    <s v="OPERARIO DE PRODUCCIÓN"/>
    <d v="2024-04-25T00:00:00"/>
    <s v="El trabajador se encontraba realizando la actividad de tapado de Quitamancha Ropa Color (550 mL) usando guantes hyflex y sobre eso guantes estaba usando guantes touchntuff, debido a una abertura que tenia el  guantes touchntuff ingresa el producto mientras el colaborador continua realizando la actividad, despues de una hora el colaborador presenta irritación en los dedos de ambas manos."/>
    <s v="Exposición a Sustancias Químicas"/>
    <s v="Dedos de la manos"/>
    <s v="Mano/Muñeca/Dedos"/>
    <s v="Tapado"/>
    <s v="Irritación leve"/>
    <s v="Dermatitis/Irritación de la piel"/>
    <n v="0"/>
    <n v="0"/>
    <n v="0"/>
    <s v="Laborando"/>
    <m/>
    <m/>
    <m/>
    <m/>
  </r>
  <r>
    <n v="230"/>
    <m/>
    <s v="PERÚ"/>
    <x v="2"/>
    <s v="CHORRILLOS"/>
    <s v="Intradevco"/>
    <x v="6"/>
    <x v="0"/>
    <s v="Chorrillos"/>
    <x v="0"/>
    <s v="Acc. No Incapacitante"/>
    <d v="2024-09-16T00:00:00"/>
    <n v="38"/>
    <n v="16"/>
    <x v="8"/>
    <n v="2024"/>
    <d v="1899-12-30T13:18:00"/>
    <s v="D"/>
    <s v="Service"/>
    <s v="Grupo Consulting"/>
    <s v="LOPEZ"/>
    <s v="CALLIRGOS"/>
    <s v="ALEX FRANCISCO"/>
    <s v="MASCULINO"/>
    <n v="30"/>
    <s v="OPERARIO DE PRODUCCIÓN"/>
    <d v="2024-09-05T00:00:00"/>
    <s v="El trabajador se encontra limpiando la maquina encintadora, en eso introduce la mano entre los rodillos quedado atrapada la mano derecha entre los espacios."/>
    <s v="Golpeado por"/>
    <s v="Mano derecha"/>
    <m/>
    <s v="Limpieza de encintadora"/>
    <s v="Contusión"/>
    <m/>
    <n v="0"/>
    <n v="0"/>
    <n v="0"/>
    <s v="Laborando"/>
    <n v="1"/>
    <s v="&lt; 1 mes"/>
    <m/>
    <m/>
  </r>
  <r>
    <n v="231"/>
    <m/>
    <s v="PERÚ"/>
    <x v="2"/>
    <s v="CHORRILLOS"/>
    <s v="Intradevco"/>
    <x v="6"/>
    <x v="0"/>
    <s v="Chorrillos"/>
    <x v="0"/>
    <s v="Acc. No Incapacitante"/>
    <d v="2024-09-17T00:00:00"/>
    <n v="38"/>
    <n v="17"/>
    <x v="8"/>
    <n v="2024"/>
    <d v="1899-12-30T10:20:00"/>
    <s v="D"/>
    <s v="Service"/>
    <s v="Grupo Consulting"/>
    <s v="MONTES"/>
    <s v="HEREDIA"/>
    <s v="BRYAN"/>
    <s v="MASCULINO"/>
    <n v="32"/>
    <s v="OPERARIO DE PRODUCCIÓN"/>
    <d v="2024-08-28T00:00:00"/>
    <s v="El trabajador el día 17/09/2024 a las 10:20 am se encontraba paletizando al momento de colocar una paleta sobre otra con ayuda de un compañero que al soltar el la palleta superior porque su dedo meñique queda atrapado en medio por tal motivo jala su mano sin sentir dolor debido a que se encontraba con guantes"/>
    <s v="Atrapado por Partes en Movimiento"/>
    <s v="Mano "/>
    <m/>
    <s v="Colocar pallets"/>
    <s v="Contusión en dedo meñique"/>
    <m/>
    <n v="0"/>
    <n v="0"/>
    <n v="0"/>
    <s v="Laborando"/>
    <m/>
    <m/>
    <m/>
    <m/>
  </r>
  <r>
    <n v="232"/>
    <s v="PGL24575"/>
    <s v="PERÚ"/>
    <x v="0"/>
    <s v="PREDIO CENTRAL"/>
    <s v="Galletería"/>
    <x v="0"/>
    <x v="0"/>
    <s v="Producción"/>
    <x v="0"/>
    <s v="Acc. No Incapacitante"/>
    <d v="2024-10-22T00:00:00"/>
    <n v="43"/>
    <n v="22"/>
    <x v="9"/>
    <n v="2024"/>
    <d v="1899-12-30T07:15:00"/>
    <s v="D"/>
    <s v="PROPIO"/>
    <s v="Alicorp S.A.A"/>
    <s v="ROSALES "/>
    <s v="CRISPIN"/>
    <s v="DINA NOEMI"/>
    <s v="FEMENINO"/>
    <n v="34"/>
    <s v="OPERARIO DE PRODUCCION"/>
    <m/>
    <s v="Siendo las 07:15 a.m la trabajadora ROSALES CRISPIN DINA NOEMI se encontraba realizando labores de acomodo de guías de alimentación de granel en línea 2 de envasado de galletas, para ello estaba parada sobre una tarima metálica, misma que tiene en todos los bordes cinta antideslizante; y cuando la trabajadora se dispone a bajar de dicha tarima pierde el equilibrio y cae golpeándose la rodilla derecha"/>
    <s v="Caída al mismo nivel"/>
    <s v="Rodilla"/>
    <m/>
    <s v="Acomodo de galletas"/>
    <s v="Golpe en la rodilla derecha"/>
    <s v="Contusión/Trauma"/>
    <n v="0"/>
    <n v="0"/>
    <n v="0"/>
    <s v="Laborando"/>
    <m/>
    <m/>
    <s v="Tarima métalica"/>
    <s v="CONTRATO INDEFINIDO"/>
  </r>
  <r>
    <n v="233"/>
    <m/>
    <s v="PERÚ"/>
    <x v="2"/>
    <s v="LURIN"/>
    <s v="Intradevco"/>
    <x v="29"/>
    <x v="0"/>
    <s v="Etiquetado"/>
    <x v="0"/>
    <s v="Acc. No Incapacitante"/>
    <d v="2024-10-23T00:00:00"/>
    <n v="43"/>
    <n v="23"/>
    <x v="9"/>
    <n v="2024"/>
    <d v="1899-12-30T11:25:00"/>
    <s v="D"/>
    <s v="Service"/>
    <s v="Grupo Consulting"/>
    <s v="EFFIO"/>
    <s v=" BRACAMONTE"/>
    <s v="INGRID BALBINA"/>
    <s v="FEMENINO"/>
    <m/>
    <s v="OPERARIO DE PRODUCCION"/>
    <m/>
    <s v="Colaboradora estaba realizando el abastecimiento de frascos en la línea Triner y utilizó una escalera de dos peldaños. Al hacer el abastecimiento, pisó al vacío, lo que provocó una caída desde un nivel diferente siendo afectado su tobillo derecho."/>
    <s v="Caída a distinto nivel"/>
    <s v="Tobillo derecho"/>
    <s v="Pie/Tobillo"/>
    <s v="Abastecimiento de frascos a línea"/>
    <s v="Contusion en tobillo"/>
    <s v="Contusión/Trauma"/>
    <n v="0"/>
    <n v="0"/>
    <n v="0"/>
    <s v="Laborando"/>
    <m/>
    <m/>
    <s v="Escalera"/>
    <s v="CONTRATO TEMPORAL"/>
  </r>
  <r>
    <n v="234"/>
    <m/>
    <s v="PERÚ"/>
    <x v="0"/>
    <s v="PREDIO CENTRAL"/>
    <s v="Copsa"/>
    <x v="3"/>
    <x v="6"/>
    <s v="MANTENIMIENTO"/>
    <x v="1"/>
    <s v="Acc. Incapacitante"/>
    <d v="2024-10-26T00:00:00"/>
    <n v="43"/>
    <n v="26"/>
    <x v="9"/>
    <n v="2024"/>
    <d v="1899-12-30T07:47:00"/>
    <s v="M"/>
    <s v="SENATI"/>
    <s v="SENATI"/>
    <s v="GONZALES "/>
    <s v="TUANAMA"/>
    <s v="FABIAN ALESSANDRO"/>
    <s v="MASCULINO"/>
    <n v="21"/>
    <s v="CAPE MANTTO"/>
    <m/>
    <s v="El colaborador se encontraba realizando corte de pernos en el tornillo de banco. Una parte del cuerpo del perno se quedó sujetada en tornillo de banco y la otra parte quedó sobre la mesa. El colaborador realiza unas coordinaciones con su compañero, y en ese momento un elemento de la mesa de trabajo rueda con dirección al suelo. El colaborador trata de evitar que el elemento caiga sin percatarse que no había retirado el perno con filo vivo de la mordaza del tornillo de banco. Su brazo sufre un corte por lo cual el trabajador se dirige al tópico. El médico lo evalúa y dispone su traslado a la clínica San Gabriel._x000a_"/>
    <s v="Contacto con superficie filosa"/>
    <s v="Antebrazo"/>
    <s v="Brazo/Codo/Hombro"/>
    <s v="Corte de perno"/>
    <s v="Herida de otras partes del antebrazo"/>
    <s v="Corte/Herida"/>
    <n v="9"/>
    <n v="0"/>
    <n v="9"/>
    <s v="Descanso Médico"/>
    <m/>
    <m/>
    <s v="Perno"/>
    <s v="PRACTICAS_ SENATI"/>
  </r>
  <r>
    <n v="235"/>
    <s v="DIS24634"/>
    <s v="PERÚ"/>
    <x v="0"/>
    <s v="Latam 400"/>
    <s v="Otros"/>
    <x v="35"/>
    <x v="3"/>
    <s v="Latam 400"/>
    <x v="1"/>
    <s v="Acc. Incapacitante"/>
    <d v="2024-10-29T00:00:00"/>
    <n v="44"/>
    <n v="29"/>
    <x v="9"/>
    <n v="2024"/>
    <d v="1899-12-30T15:15:00"/>
    <s v="M"/>
    <s v="Service"/>
    <s v="CEVA LOGISTICS"/>
    <s v="GARCÍA"/>
    <s v="BENDAÑO"/>
    <s v="CRISTIAN"/>
    <s v="MASCULINO"/>
    <n v="30"/>
    <s v="AUXILIAR DE ALMACÉN"/>
    <d v="2024-10-24T00:00:00"/>
    <s v="El 29 de octubre, alrededor de las 15:15 horas un auxiliar de almacén se encontraba en la zona de canales de despacho posicionado al costado de dos paletas vacías. En ese instante un order picker ingresa a dejar mercadería en el canal continuo, que se encontraba libre, sin embargo, al momento de ingresar al canal, impacta con el filo de una de una de las paletas vacías y , por consecuencia la segunda paleta vacía choca con la parte posterior de la pierna izquierda del colaborador afectado, quien fue trasladado al centro médico para la atención con el especialista."/>
    <s v="Golpeado por"/>
    <s v="Pierna Izquierda"/>
    <s v="Pierna"/>
    <s v="Colocar pallets"/>
    <s v="Contusión en pierna"/>
    <s v="Contusión/Trauma"/>
    <n v="3"/>
    <n v="0"/>
    <n v="3"/>
    <s v="Laborando"/>
    <m/>
    <m/>
    <s v="Pallets"/>
    <s v="CONTRATO TEMPORAL"/>
  </r>
  <r>
    <n v="236"/>
    <s v="DIS24633"/>
    <s v="PERÚ"/>
    <x v="0"/>
    <s v="CD PIURA"/>
    <s v="Otros"/>
    <x v="36"/>
    <x v="3"/>
    <s v="Cd Piura"/>
    <x v="0"/>
    <s v="Acc. No Incapacitante"/>
    <d v="2024-10-26T00:00:00"/>
    <n v="43"/>
    <n v="26"/>
    <x v="9"/>
    <n v="2024"/>
    <d v="1899-12-30T16:05:00"/>
    <s v="M"/>
    <s v="Transportista"/>
    <s v="Unidad de traslado"/>
    <s v="CABRERA"/>
    <s v="HERRERA"/>
    <s v="HERNAN"/>
    <s v="MASCULINO"/>
    <n v="38"/>
    <s v="CONDUCTO A3"/>
    <d v="2019-01-01T00:00:00"/>
    <s v="En circunstancias que el OMC de Alicorp José Ramos Sullon descargaba la unidad paletizada de traslados con placa BYY750, en simultaneo, el conductor Hernan Cabrera Herrera se encontraba abriendo las cortinas del lado opuesto al que operaba el OMC. Al momento que el operador ingresa las horquillas  del montacarga a la paleta situada en la plataforma del camión, esta choca con la paleta posterior, haciendo un pequeño empuje , donde aprisiona la mano derecha del conductor entre la paleta y la cortina metálica generando un golpe en la mano derecha"/>
    <s v="Golpeado por"/>
    <s v="Mano derecha"/>
    <s v="Mano/Muñeca/Dedos"/>
    <s v="Descarga unidad"/>
    <s v="Contusión en mano"/>
    <s v="Contusión/Trauma"/>
    <n v="0"/>
    <m/>
    <m/>
    <s v="Laborando"/>
    <n v="7"/>
    <m/>
    <s v="Cortina"/>
    <s v="CONTRATO TEMPORAL"/>
  </r>
  <r>
    <n v="237"/>
    <s v="PGL24632"/>
    <s v="PERÚ"/>
    <x v="0"/>
    <s v="PREDIO CENTRAL"/>
    <s v="Galletería"/>
    <x v="0"/>
    <x v="0"/>
    <s v="Producción"/>
    <x v="0"/>
    <s v="Acc. No Incapacitante"/>
    <d v="2024-11-06T00:00:00"/>
    <n v="45"/>
    <n v="6"/>
    <x v="10"/>
    <n v="2024"/>
    <d v="1899-12-30T20:00:00"/>
    <s v="D"/>
    <s v="PROPIO"/>
    <s v="ALICORP S.A.A"/>
    <s v=" Santamaría "/>
    <s v="Folch"/>
    <s v="Bryan Caleb"/>
    <s v="MASCULINO"/>
    <m/>
    <s v="OPERARIO DE PRODUCCIÓN"/>
    <d v="2024-06-05T00:00:00"/>
    <s v="Siendo las 20:00, el operador se encontraba reprocesando bolsones abiertos de Gelatina Fresa. Al sellar, procede a presionar el botón de sellado manual para juntar ambas mordazas e introduce el dedo índice por el lateral de la guarda, teniendo contacto con la resistencia de la mordaza. Al presentar ardor reporta al encargado de línea, lo cual proceden a llamar al ing de turno, llevándolo al tópico para atención médica. No requiere traslado"/>
    <s v="Contacto con Superficie Caliente"/>
    <s v="Dedo"/>
    <s v="Mano/Muñeca/Dedos"/>
    <s v="Sellado de empaque"/>
    <s v="Quemadura de 1er grado en dedo índice derecho"/>
    <s v="Quemadura por Temperatura"/>
    <n v="0"/>
    <n v="0"/>
    <n v="0"/>
    <s v="Laborando"/>
    <n v="5"/>
    <s v="&lt; 0.5 a 1 año"/>
    <s v="Selladora"/>
    <s v="CONTRATO INDEFINIDO"/>
  </r>
  <r>
    <n v="238"/>
    <m/>
    <s v="PERÚ"/>
    <x v="2"/>
    <s v="LURIN"/>
    <s v="Intradevco"/>
    <x v="29"/>
    <x v="0"/>
    <s v="Producción"/>
    <x v="1"/>
    <s v="Acc. Incapacitante"/>
    <d v="2024-11-04T00:00:00"/>
    <n v="45"/>
    <n v="4"/>
    <x v="10"/>
    <n v="2024"/>
    <d v="1899-12-30T14:30:00"/>
    <s v="D"/>
    <s v="Service"/>
    <s v="Grupo Consulting"/>
    <s v="Tuesta"/>
    <s v=" Ruiz"/>
    <s v="Karina"/>
    <s v="FEMENINO"/>
    <n v="43"/>
    <s v="OPERARIO DE PRODUCCIÓN"/>
    <m/>
    <s v="Siendo las 2:30 pm del lunes 04/11, la trabajadora Karina Tuesta (Consulting) se encontraba desempeñando sus labores en el área de etiquetado de la línea MCGS. Mientras realizaba su labor, observó que el contenedor de frascos se estaba llenando, lo que ocasionó que empiecen a caer los envases vacíos por el costado de la faja transportadora. En un intento por evitar que los frascos cayeran al suelo, la colaboradora atrapó un frasco y al momento de lanzarlo hacia el contenedor de frascos, se golpea el dedo pulgar izquierdo contra la pared del contenedor. La colaboradora accidentada observó una protuberancia entre la falange proximal y distal del dedo pulgar, por lo que solicita a su compañera Anita Canaquiri (Consulting) que le ayude, la colaboradora en mención manipula el dedo lesionado. _x000a_Se da aviso de lo ocurrido a la supervisora del área, la cual deriva a la trabajadora accidentada al tópico. Posteriormente fue evacuada a la clínica San Pablo para recibir atención especializada."/>
    <s v="Golpeado contra"/>
    <s v="Dedo pulgar izquierdo"/>
    <s v="Mano/Muñeca/Dedos"/>
    <s v="Sujecion de envases"/>
    <s v="Contusion en pulgar izquierdo"/>
    <s v="Contusión/Trauma"/>
    <n v="11"/>
    <n v="0"/>
    <n v="11"/>
    <s v="Descanso Médico"/>
    <n v="10"/>
    <s v="&lt; 0.5 a 1 año"/>
    <s v="Contenedor de envases"/>
    <s v="CONTRATO TEMPORAL"/>
  </r>
  <r>
    <n v="239"/>
    <m/>
    <s v="PERÚ"/>
    <x v="2"/>
    <s v="LURIN"/>
    <s v="Intradevco"/>
    <x v="29"/>
    <x v="0"/>
    <s v="FEM"/>
    <x v="0"/>
    <s v="Acc. No Incapacitante"/>
    <d v="2024-11-13T00:00:00"/>
    <n v="46"/>
    <n v="13"/>
    <x v="10"/>
    <n v="2024"/>
    <d v="1899-12-30T12:45:00"/>
    <s v="D"/>
    <s v="PROPIO"/>
    <s v="Intradevco"/>
    <s v="ECHENIQUE"/>
    <s v=" HUAPAYA"/>
    <s v=" GIANCARLO"/>
    <s v="MASCULINO"/>
    <m/>
    <s v="OPERARIO DE PRODUCCIÓN"/>
    <m/>
    <s v=" El colaborador se encontraba en el área de formulación FEM trasladando sacos hacia las pailas y en esa actividad sintió un tirón en el antebrazo izquierdo con leve dolor."/>
    <s v="Sobreesfuerzo"/>
    <s v="Antebrazo Izquierdo"/>
    <s v="Brazo/Codo/Hombro"/>
    <s v="Manipulacion de sacos"/>
    <s v="Estiramiento muscular"/>
    <s v="Desgarro/Estiramiento Muscular"/>
    <n v="0"/>
    <n v="0"/>
    <n v="0"/>
    <s v="Laborando"/>
    <m/>
    <m/>
    <s v="Sacos"/>
    <s v="CONTRATO INDEFINIDO"/>
  </r>
  <r>
    <n v="240"/>
    <s v="PCO24669"/>
    <s v="PERÚ"/>
    <x v="0"/>
    <s v="PREDIO CENTRAL"/>
    <s v="Copsa"/>
    <x v="3"/>
    <x v="0"/>
    <s v="REFINERIA"/>
    <x v="0"/>
    <s v="Acc. No Incapacitante"/>
    <d v="2024-11-15T00:00:00"/>
    <n v="46"/>
    <n v="15"/>
    <x v="10"/>
    <n v="2024"/>
    <d v="1899-12-30T14:45:00"/>
    <s v="D"/>
    <s v="Contratista"/>
    <s v="SSAYS SAC"/>
    <s v="PEQUEÑO"/>
    <s v=" ARAMBURU "/>
    <s v="TATIANA"/>
    <s v="FEMENINO"/>
    <n v="49"/>
    <s v="OPERARIO DE LIMPIEZA"/>
    <m/>
    <s v="Siendo la 02:45 pm la trabajadora de la empresa de limpieza Ssays se encontraba secando el primer piso de la planta desodorización sin advertir la presencia de un tubo de fierro de ½ pulgada, el cual se encontraba apoyado solamente sobre un intercambiador de calor. El tubo al ser impactado por el jalador de agua que utilizaba la colaboradora cae golpeándole el antebrazo izquierdo._x000a_"/>
    <s v="Golpeado por"/>
    <s v="Antebrazo Izquierdo"/>
    <s v="Brazo/Codo/Hombro"/>
    <s v="Limpieza"/>
    <s v="Contusión antebrazo izquierdo"/>
    <s v="Contusión/Trauma"/>
    <n v="0"/>
    <n v="0"/>
    <n v="0"/>
    <s v="Laborando"/>
    <m/>
    <m/>
    <s v="tubo de fierro de ½ pulgada"/>
    <m/>
  </r>
  <r>
    <n v="241"/>
    <m/>
    <m/>
    <x v="2"/>
    <s v="LURIN"/>
    <s v="Intradevco"/>
    <x v="5"/>
    <x v="2"/>
    <s v="Compactación de RRSS"/>
    <x v="1"/>
    <s v="Acc. Incapacitante"/>
    <d v="2024-11-15T00:00:00"/>
    <n v="46"/>
    <n v="15"/>
    <x v="10"/>
    <n v="2024"/>
    <d v="1899-12-30T09:00:00"/>
    <s v="D"/>
    <s v="Tercero - Limpieza"/>
    <s v="Alteliza"/>
    <s v="Mederos"/>
    <s v="Velez"/>
    <s v="Carlos Alonzo"/>
    <s v="FEMENINO"/>
    <n v="22"/>
    <s v="OPERARIO DE LIMPIEZA"/>
    <m/>
    <s v="Alrededor de las 09:40 am el personal se encontraba realizando labores de compactación de residuos y al momento de cerrar la compuerta N°1, el personal posiciona la mano izquierda al borde de la puerta para luego realizar el cierre manual; durante esta actividad se produjo la atricción del medio de la mano izquierda. "/>
    <s v="Atrapado por"/>
    <s v="Mano izquierda"/>
    <s v="Mano/Muñeca/Dedos"/>
    <s v="Compactación de RRSS"/>
    <s v="Traumatismo por aplastamiento"/>
    <s v="Contusión/Trauma"/>
    <n v="4"/>
    <n v="0"/>
    <n v="4"/>
    <s v="Laborando"/>
    <m/>
    <m/>
    <s v="Compactadora"/>
    <m/>
  </r>
  <r>
    <n v="242"/>
    <m/>
    <s v="PERÚ"/>
    <x v="0"/>
    <s v="MCA"/>
    <s v="Molinos Lima"/>
    <x v="22"/>
    <x v="6"/>
    <s v="Mantenimiento"/>
    <x v="0"/>
    <s v="Acc. No Incapacitante"/>
    <d v="2024-11-13T00:00:00"/>
    <n v="46"/>
    <n v="13"/>
    <x v="10"/>
    <n v="2024"/>
    <d v="1899-12-30T15:00:00"/>
    <s v="D"/>
    <s v="PROPIO"/>
    <s v="Alicorp S.A.A."/>
    <s v="QUIQUINLLA"/>
    <s v="NUÑEZ"/>
    <s v="JUAN LEONARDO"/>
    <s v="MASCULINO"/>
    <n v="56"/>
    <s v="MECANICO"/>
    <d v="2024-11-13T00:00:00"/>
    <s v="El 13.11.24 aproximadamente a las 3pm, el colaborador se encontraba realizando la actividad de desmontaje de un eje de transmisión de la balanza #4 de subproducto. Para dicha actividad estaba usando un martillo de bola y un disco metálico para martillar y retirar el eje, que estaba agarrotado. De forma súbita, el disco sale proyectado choca en el casco de seguridad y roza la nariz del trabajador, ocasionándole un ligero sangrado y corte superficial. El casco cayó al piso producto del impacto._x000a_Rápidamente se llama al inspector de seguridad para brindarle los primeros auxilios y luego a la ambulancia para evaluación médica. De la evaluación se diagnostica corte superficial y se coloca un adhesivo sanitario sobre la herida."/>
    <s v="Golpeado por"/>
    <s v="Nariz"/>
    <s v="Rostro/Nariz/Boca"/>
    <s v="Desmontaje de un eje de transmisión"/>
    <s v="Corte superficial"/>
    <s v="Corte/Herida"/>
    <n v="0"/>
    <n v="0"/>
    <n v="0"/>
    <s v="Laborando"/>
    <n v="240"/>
    <s v="&gt; 10 años"/>
    <s v="Disco metálico"/>
    <s v="Indefinido"/>
  </r>
  <r>
    <n v="243"/>
    <m/>
    <s v="PERÚ"/>
    <x v="0"/>
    <s v="CENTRAL"/>
    <s v="Fideería Lima"/>
    <x v="34"/>
    <x v="0"/>
    <s v="Gestión de Residuos"/>
    <x v="1"/>
    <s v="Acc. Incapacitante"/>
    <d v="2024-11-18T00:00:00"/>
    <n v="47"/>
    <n v="18"/>
    <x v="10"/>
    <n v="2024"/>
    <d v="1899-12-30T15:20:00"/>
    <s v="T"/>
    <s v="Transportista"/>
    <s v="Transvida"/>
    <s v="VALVERDE"/>
    <s v="VEGA"/>
    <s v="RICHARD"/>
    <s v="MASCULINO"/>
    <n v="33"/>
    <s v="Conductor"/>
    <m/>
    <s v="Alrededor de las 03:12 p.m., mientras el conductor de la empresa Transportes S&amp;R SRL, se encontraba finalizando la actividad de succión de líquidos acidulados en el área de Refinería (Ácidos grasos), al intentar desactivar la bomba hidráulica, se produjo una expulsión de hidrolina desde la bomba, impactando directamente en su rostro y cuerpo causándole un fuerte ardor en la vista. _x000a_Seguidamente al accidente, la ambulancia de Cardiomóvil lo traslado al tópico en donde se le brindó atención médica al conductor. Tras la evaluación, se decidió trasladarlo a la Clínica San Gabriel, otorgándose un descanso médico de 3 días."/>
    <s v="Proyección de Sustancias Químicas"/>
    <s v="Ojos"/>
    <s v="Rostro/Nariz/Boca"/>
    <s v="Desactivar la bomba hidraúlica"/>
    <s v="Queratoconjuntivitis "/>
    <s v="Queratoconjuntivitis"/>
    <n v="3"/>
    <n v="0"/>
    <n v="3"/>
    <s v="Descanso Médico"/>
    <m/>
    <s v="&lt; 5 a 10 años"/>
    <s v="Hidrolina"/>
    <m/>
  </r>
  <r>
    <n v="244"/>
    <m/>
    <s v="PERÚ"/>
    <x v="0"/>
    <s v="CENTRAL"/>
    <s v="Otros"/>
    <x v="37"/>
    <x v="3"/>
    <s v="Transportes"/>
    <x v="1"/>
    <s v="Acc. Incapacitante"/>
    <d v="2024-11-25T00:00:00"/>
    <n v="48"/>
    <n v="25"/>
    <x v="10"/>
    <n v="2024"/>
    <d v="1899-12-30T13:50:00"/>
    <s v="D"/>
    <s v="Transportista"/>
    <s v="Transcom S.A."/>
    <s v="FERNANDEZ"/>
    <s v="VARGAS"/>
    <s v="JASSAN"/>
    <s v="MASCULINO"/>
    <m/>
    <s v="Conductor"/>
    <m/>
    <s v="El evento ocurrió en el proceso de carga de la unidad de transporte TRANSCOM, a cargo del conductor Fernandez Vargas , quien al identificar que ya se había cargado la primera mitad de la unidad, procedió a cerrar la cortina metálica lateral pero se dio cuenta que no cerraba fácilmente y sigue intentando con mayor esfuerzo, haciendo que el 3er y 4to dedo su mano izquierda se atrapen por un instante en la estructura de las cortinas metálicas, generando lesiones en ambos dedos a pesar de estar usando sus guantes de seguridad._x000a_"/>
    <s v="Atrapado por Partes en Movimiento"/>
    <s v="3er  dedo de la mano izquierda"/>
    <s v="4to dedo de la mano izquierda"/>
    <s v="Carga "/>
    <s v="Traumatismo por aplastamiento"/>
    <s v="Contusión/Trauma"/>
    <n v="20"/>
    <n v="0"/>
    <n v="20"/>
    <s v="Descanso Médico"/>
    <m/>
    <m/>
    <s v="Cortina metálica"/>
    <m/>
  </r>
  <r>
    <n v="245"/>
    <m/>
    <s v="PERÚ"/>
    <x v="2"/>
    <s v="LURIN 2"/>
    <s v="Intradevco"/>
    <x v="38"/>
    <x v="3"/>
    <s v="SSGG"/>
    <x v="1"/>
    <s v="Acc. Incapacitante"/>
    <d v="2024-11-28T00:00:00"/>
    <n v="48"/>
    <n v="28"/>
    <x v="10"/>
    <n v="2024"/>
    <d v="1899-12-30T08:40:00"/>
    <s v="D"/>
    <s v="Tercero - Limpieza"/>
    <s v="ALTELIZA"/>
    <s v="CONTRERAS"/>
    <s v="HUACHACA"/>
    <s v="JESSICA"/>
    <s v="FEMENINO"/>
    <n v="42"/>
    <s v="Operaria de Limpieza"/>
    <d v="2024-10-25T00:00:00"/>
    <s v="Al promediar las 08:40 am del jueves 28.11 en Almacén 4 de Lurin 2, la colaboradora tercera de la empresa Alteliza se encontraba realizando sus labores de limpieza de racks.  En ese momento, pisa restos de Acido Sulfónico lineal (HLAS) presente en el piso, se resbala y logra cogerse de la estructura del Rack. Producto de esto, se dobla el tobillo derecho._x000a_La colaboradora en todo momento se encontraba utilizando sus EPPs (Casco, chaleco de alta visibilidad y botas de seguridad)._x000a_"/>
    <s v="Caída al mismo nivel"/>
    <s v="tobillo"/>
    <m/>
    <s v="limpieza"/>
    <s v="esguince y torcedura"/>
    <s v="Esguince/Torcedura"/>
    <n v="10"/>
    <n v="0"/>
    <n v="10"/>
    <s v="Descanso Médico"/>
    <s v="1.5"/>
    <s v="&lt; 1 a 3 meses"/>
    <s v="piso resbaloso"/>
    <m/>
  </r>
  <r>
    <n v="248"/>
    <s v="PCO24725 "/>
    <s v="PERÚ"/>
    <x v="0"/>
    <s v="PREDIO CENTRAL"/>
    <s v="Copsa"/>
    <x v="3"/>
    <x v="0"/>
    <s v="SALSAS 1"/>
    <x v="0"/>
    <s v="Acc. No Incapacitante"/>
    <d v="2024-11-12T00:00:00"/>
    <n v="46"/>
    <n v="12"/>
    <x v="10"/>
    <n v="2024"/>
    <d v="1899-12-30T12:10:00"/>
    <s v="D"/>
    <s v="Service"/>
    <s v="Nilson SAC"/>
    <s v="Villancida "/>
    <s v="Perez"/>
    <s v="Rosa Isabel "/>
    <s v="FEMENINO"/>
    <n v="31"/>
    <s v="Operario Apoyo producción"/>
    <m/>
    <s v="La colaboradora se encontraba retornando de los servicios sanitarios (SSHH) en dirección a la planta Salsas 1. Debido al alto tránsito en el sendero peatonal, decidió adelantarse por el lado izquierdo sin percatarse del anillo perimétrico que protege la tapa del buzón, lo que provocó que tropezara. Al caer, sufrió golpes en la rodilla izquierda y el codo derecho._x000a_Fue auxiliada por personas que transitaban por el área, quienes solicitaron la asistencia de la ambulancia. _x000a_"/>
    <s v="Caída al mismo nivel"/>
    <s v="Rodilla"/>
    <s v="Rodilla"/>
    <s v="Tránsito peatonal"/>
    <s v="Constusión en rodilla y codo"/>
    <s v="Contusión/Trauma"/>
    <n v="0"/>
    <n v="0"/>
    <n v="0"/>
    <s v="Laborando"/>
    <m/>
    <m/>
    <m/>
    <m/>
  </r>
  <r>
    <n v="249"/>
    <m/>
    <s v="PERÚ"/>
    <x v="0"/>
    <s v="PREDIO CENTRAL"/>
    <s v="Otros"/>
    <x v="39"/>
    <x v="4"/>
    <s v="Comedor Copsa"/>
    <x v="1"/>
    <s v="Acc. Incapacitante"/>
    <d v="2024-12-03T00:00:00"/>
    <n v="49"/>
    <n v="3"/>
    <x v="11"/>
    <n v="2024"/>
    <d v="1899-12-30T13:30:00"/>
    <s v="D"/>
    <s v="Tercero - Comedor"/>
    <s v="Charlotte SA"/>
    <s v="MEDRANO"/>
    <s v="CENTENO"/>
    <s v="VAISLOV"/>
    <s v="MASCULINO"/>
    <n v="45"/>
    <s v="AUXILIAR DE COCINA"/>
    <d v="2023-07-03T00:00:00"/>
    <s v=" El trabajador, al salir del almacén con los insumos, pisa la rampa ubicada en la puerta de ingreso. Debido a su pendiente pronunciada, resbala y cae, golpeándose el brazo izquierdo y el codo derecho. El trabajador no comunica el accidente y continúa sus actividades, aunque el dolor en las áreas afectadas empieza a intensificarse.El trabajador informa del accidente a su responsable tras sentir un incremento en el dolor. Se coordina el traslado del trabajador al área médica para su evaluación._x000a_"/>
    <s v="Caída al mismo nivel"/>
    <s v="Brazo derecho"/>
    <s v="Brazo/Codo/Hombro"/>
    <s v="Tralado"/>
    <s v="Contusión "/>
    <s v="Contusión "/>
    <n v="7"/>
    <n v="0"/>
    <n v="7"/>
    <s v="Laborando"/>
    <n v="240"/>
    <s v="&lt; 1 a 5 años"/>
    <m/>
    <m/>
  </r>
  <r>
    <n v="250"/>
    <n v="247"/>
    <s v="PERÚ"/>
    <x v="0"/>
    <s v="MCA"/>
    <s v="Otros"/>
    <x v="40"/>
    <x v="3"/>
    <s v="APT MCA"/>
    <x v="1"/>
    <s v="Acc. Incapacitante"/>
    <d v="2024-12-08T00:00:00"/>
    <n v="49"/>
    <n v="8"/>
    <x v="11"/>
    <n v="2024"/>
    <d v="1899-12-30T06:20:00"/>
    <s v="N"/>
    <s v="PROPIO"/>
    <s v="Alicorp S.A.A"/>
    <s v="TALAVERA"/>
    <s v="FLORES"/>
    <s v="LUIS GUILLERMO"/>
    <s v="MASCULINO"/>
    <n v="54"/>
    <s v="OMC"/>
    <d v="2000-01-01T00:00:00"/>
    <s v="Alrededor de las 6.20 am.  el colaborador se encontraba cerrando el portón que separa el Almacén “C” con producción._x000a_Al momento de cerrar el portón (para proceder con la fumigación del molino), la mano izquierda se encontraba en la manija quedando atrapado el dedo medio entre la manija y el marco de la puerta._x000a_El colaborador procedió a dirigirse al segundo piso (kitchenette) a colocarse Hielo y posteriormente retirase al hospital._x000a_Cabe precisar, que al retirarse el colaborador no informo a seguridad ni jefaturas. Se comunico a las 9.00 am fuera de su horario laboral, cuando fue atendido en el hospital."/>
    <s v="Atrapado por"/>
    <s v="Dedo medio izquierdo"/>
    <s v="Mano/Muñeca/Dedos"/>
    <s v="Cierre del portón"/>
    <s v="Aplastamiento del dedo medio izquierdo"/>
    <s v="Corte/Herida"/>
    <n v="17"/>
    <n v="0"/>
    <n v="17"/>
    <m/>
    <n v="288"/>
    <s v="&gt; 10 años"/>
    <s v="Manija del portón"/>
    <s v="Indefinido"/>
  </r>
  <r>
    <n v="251"/>
    <m/>
    <s v="PERÚ"/>
    <x v="0"/>
    <s v="PREDIO CENTRAL"/>
    <s v="Fideería Lima"/>
    <x v="34"/>
    <x v="0"/>
    <s v="Buhler 2"/>
    <x v="1"/>
    <s v="Acc. Incapacitante"/>
    <d v="2024-12-13T00:00:00"/>
    <n v="50"/>
    <n v="13"/>
    <x v="11"/>
    <n v="2024"/>
    <d v="1899-12-30T22:49:00"/>
    <s v="N"/>
    <s v="PROPIO"/>
    <s v="Alicorp S.A.A"/>
    <s v="RUGEL "/>
    <s v="ZELADA "/>
    <s v="CESAR IVAN "/>
    <s v="MASCULINO"/>
    <n v="49"/>
    <s v="Operador de Molinos- Silos "/>
    <m/>
    <s v="Al promediar las 22:49 del viernes 13.12 en la zona del Buhler 2 el operador de molinos- silos se encontraba recepcionando el producto  en unas bolsas de 15 Kg aprox, al momento de trasladar la bolsa y retornar a realizar nuevamente la misma actividad,  sintió un tirón en la espalda que hizo que se quedara sentado sin poder reincorporarse. _x000a_Se notificó el accidente, se brindó primeros auxilios por tópico y trasladó a la Clínica San Gabriel  para recibir atención médica._x000a_DX: Lumbago con ciática _x000a_DM: 2 días. _x000a_Antigüedad: 25 años_x000a_Antigüedad Puesto : 1 año_x000a_"/>
    <s v="Sobreesfuerzo"/>
    <s v="Lumbar "/>
    <s v="Columna"/>
    <s v="Manipulación Manual de Carga"/>
    <s v="LUMBAGO CON CIATICA"/>
    <s v="Desgarro/Estiramiento Muscular"/>
    <n v="2"/>
    <n v="0"/>
    <n v="2"/>
    <s v="Laborando"/>
    <n v="12"/>
    <s v="&gt; 10 años"/>
    <s v="Bolsa de Premix "/>
    <s v="Indefinido"/>
  </r>
  <r>
    <n v="252"/>
    <m/>
    <s v="PERÚ"/>
    <x v="0"/>
    <s v="PREDIO CENTRAL"/>
    <s v="Copsa"/>
    <x v="3"/>
    <x v="0"/>
    <s v="ACEITES"/>
    <x v="0"/>
    <s v="Acc. No Incapacitante"/>
    <d v="2024-12-22T00:00:00"/>
    <n v="51"/>
    <n v="22"/>
    <x v="11"/>
    <n v="2024"/>
    <d v="1899-12-30T10:30:00"/>
    <s v="D"/>
    <s v="PROPIO"/>
    <s v="Alicorp S.A.A."/>
    <s v="CHAVEZ "/>
    <s v="CAHUANA "/>
    <s v="RENE REINALDO "/>
    <s v="MASCULINO"/>
    <n v="53"/>
    <s v="Operario de producción"/>
    <m/>
    <m/>
    <s v="Golpeado por"/>
    <s v="Rostro"/>
    <s v="Rostro/Nariz/Boca"/>
    <s v="Verificación de cajas"/>
    <s v="Herida en el rostro"/>
    <s v="Corte/Herida"/>
    <n v="0"/>
    <n v="0"/>
    <n v="0"/>
    <s v="Laborando"/>
    <m/>
    <m/>
    <s v="Brazo Hidraulico"/>
    <s v="Indefinido"/>
  </r>
  <r>
    <n v="253"/>
    <m/>
    <s v="PERÚ"/>
    <x v="2"/>
    <s v="LURIN 2"/>
    <s v="Intradevco"/>
    <x v="5"/>
    <x v="0"/>
    <s v="Producción"/>
    <x v="1"/>
    <s v="Acc. Incapacitante"/>
    <d v="2024-12-23T00:00:00"/>
    <n v="52"/>
    <n v="23"/>
    <x v="11"/>
    <n v="2024"/>
    <d v="1899-12-30T12:30:00"/>
    <s v="D"/>
    <s v="Service"/>
    <s v="Grupo Consulting"/>
    <s v="ROJAS"/>
    <s v="GUERRA"/>
    <s v="CINDY"/>
    <s v="FEMENINO"/>
    <n v="22"/>
    <s v="Operario de Producción"/>
    <d v="2024-09-19T00:00:00"/>
    <s v="A inicios de diciembre se registró la avería de la codificadora de la línea envasadora de lejía IMSB 2; por lo que se creó una posición provisional para colocar manualmente las etiquetas en las cajas de producto terminado que salían de la línea. Este puesto de trabajo se ubicó frente a los polines libres que se ubican luego de la faja transportadora de salida del producto terminado. Las actividades de este puesto iniciaron sin contar con un análisis de riesgos._x000a__x000a_El lunes 23/12 aproximadamente a las 12 30 pm, la colaboradora que se encontraba colocando manualmente las etiquetas, sufre el atrapamiento de su mano derecha entre la faja transportadora y el primer polín libre, generándose el aplastamiento de su mano._x000a_"/>
    <s v="Atrapado por Partes en Movimiento"/>
    <s v="Mano derecha"/>
    <s v="Mano/Muñeca/Dedos"/>
    <s v="Etiquetado manual de cajas"/>
    <s v="Traumatismo por aplastamiento"/>
    <s v="Contusión/Trauma"/>
    <n v="5"/>
    <n v="0"/>
    <n v="5"/>
    <s v="Laborando"/>
    <n v="3"/>
    <s v="&lt; 1 a 3 meses"/>
    <s v="Faja y polines"/>
    <s v="Plazo fijo"/>
  </r>
  <r>
    <n v="254"/>
    <m/>
    <s v="PERÚ"/>
    <x v="0"/>
    <s v="PREDIO CENTRAL"/>
    <s v="Galletería"/>
    <x v="0"/>
    <x v="0"/>
    <s v="Producción"/>
    <x v="0"/>
    <s v="Acc. No Incapacitante"/>
    <d v="2024-12-23T00:00:00"/>
    <n v="52"/>
    <n v="23"/>
    <x v="11"/>
    <n v="2024"/>
    <d v="1899-12-30T12:10:00"/>
    <s v="D"/>
    <s v="PROPIO"/>
    <s v="Alicorp S.A.A"/>
    <s v="NARCISO"/>
    <s v=" VERGARAY"/>
    <s v=" ENRIQUE"/>
    <s v="MASCULINO"/>
    <n v="53"/>
    <s v="Operario de producción"/>
    <m/>
    <s v=" Siendo las 11:55 a.m., el operador de máquina VERGARAY ENRIQUE NARCISO CIRILO se encontraba realizando labores de limpieza fina en las canaletas de la máquina envasadora C10, y luego de culminar la misma se levanta golpeándose  la cabeza contra el pin que asegura la posición de polín de arrastre de lamina causándole un leve sangrado._x000a_ _x000a_El operador es derivado hacia tópico donde realizan limpieza de la zona afectada. Post evaluación, retorna a sus labores en planta._x000a_"/>
    <s v="Golpeado por"/>
    <s v="Cabeza"/>
    <s v="Cabeza"/>
    <s v="Limpieza de superficie de bandeja en nivel inferior desenergizada. "/>
    <s v="Contusión Leve "/>
    <s v="Contusión/Trauma"/>
    <n v="0"/>
    <n v="0"/>
    <n v="0"/>
    <s v="Laborando"/>
    <m/>
    <m/>
    <s v="Polín "/>
    <s v="Indefinido"/>
  </r>
  <r>
    <n v="256"/>
    <m/>
    <s v="PERÚ"/>
    <x v="0"/>
    <s v="SIDSUR"/>
    <s v="Sidsur"/>
    <x v="41"/>
    <x v="0"/>
    <s v="Producción"/>
    <x v="0"/>
    <s v="Acc. No Incapacitante"/>
    <s v="SIN FECHA"/>
    <n v="11"/>
    <n v="15"/>
    <x v="2"/>
    <n v="2024"/>
    <s v=" "/>
    <s v=" "/>
    <s v="PROPIO"/>
    <s v="Alicorp S.A.A"/>
    <s v="PAREDES"/>
    <s v="LUQUE"/>
    <s v="BRUCKNER"/>
    <s v="MASCULINO"/>
    <s v=" "/>
    <s v="Operario de producción"/>
    <s v=" "/>
    <s v="Según indica el trabajador, él se encontraba trasladando la artesa con contenido de ingrediente hacia la mezcladora, en dicha actividad siente un tirón en el brazo "/>
    <s v="Sobreesfuerzo"/>
    <s v="Brazo"/>
    <s v="Brazo/Codo/Hombro"/>
    <s v="Traslado de artesa"/>
    <s v=" "/>
    <s v=" "/>
    <s v=" "/>
    <s v=" "/>
    <n v="0"/>
    <s v=" "/>
    <s v=" "/>
    <s v=" "/>
    <s v=" "/>
    <s v=" "/>
  </r>
  <r>
    <n v="257"/>
    <m/>
    <s v="PERÚ"/>
    <x v="0"/>
    <s v="SIDSUR"/>
    <s v="Sidsur"/>
    <x v="41"/>
    <x v="0"/>
    <s v="Producción"/>
    <x v="0"/>
    <s v="Acc. No Incapacitante"/>
    <d v="2024-03-19T00:00:00"/>
    <n v="12"/>
    <n v="19"/>
    <x v="2"/>
    <n v="2024"/>
    <s v=" "/>
    <s v=" "/>
    <s v="PROPIO"/>
    <s v="Alicorp S.A.A"/>
    <s v="PARISUAÑA"/>
    <s v="QUISPE"/>
    <s v="BRIGIDA"/>
    <s v="FEMENINO"/>
    <s v=" "/>
    <s v="APRENDIZ DE SENATI"/>
    <s v=" "/>
    <s v="Trabajadora se encontraba transitando para relevar el puesto a su compañera; se resbala por presencia de galleta en el suelo y se cae"/>
    <s v="Caída al mismo nivel"/>
    <s v=" "/>
    <s v=" "/>
    <s v="Transito"/>
    <s v=" "/>
    <s v=" "/>
    <s v=" "/>
    <s v=" "/>
    <n v="0"/>
    <s v=" "/>
    <s v=" "/>
    <s v=" "/>
    <s v=" "/>
    <s v=" "/>
  </r>
  <r>
    <n v="258"/>
    <m/>
    <s v="PERÚ"/>
    <x v="0"/>
    <s v="SIDSUR"/>
    <s v="Sidsur"/>
    <x v="42"/>
    <x v="0"/>
    <s v="Producción"/>
    <x v="0"/>
    <s v="Acc. No Incapacitante"/>
    <d v="2024-03-27T00:00:00"/>
    <n v="13"/>
    <n v="27"/>
    <x v="2"/>
    <n v="2024"/>
    <s v=" "/>
    <s v=" "/>
    <s v="PROPIO"/>
    <s v="Alicorp S.A.A"/>
    <s v="QUISPE"/>
    <s v="CHOQUE"/>
    <s v="ELADIO"/>
    <s v="MASCULINO"/>
    <s v=" "/>
    <s v="Operario de producción"/>
    <s v=" "/>
    <s v="Colaborador sufre resbalon en el segundo peldaño de la escalera, mencionando dolor posterior  al resbalon "/>
    <s v="Caída a distinto nivel"/>
    <s v="Espalda "/>
    <s v=" "/>
    <s v=" "/>
    <s v=" "/>
    <s v=" "/>
    <s v=" "/>
    <s v=" "/>
    <n v="0"/>
    <s v=" "/>
    <s v=" "/>
    <s v=" "/>
    <s v=" "/>
    <s v=" "/>
  </r>
  <r>
    <n v="259"/>
    <m/>
    <s v="PERÚ"/>
    <x v="0"/>
    <s v="SIDSUR"/>
    <s v="Sidsur"/>
    <x v="43"/>
    <x v="0"/>
    <s v="Producción"/>
    <x v="0"/>
    <s v="Acc. No Incapacitante"/>
    <d v="2024-03-27T00:00:00"/>
    <n v="13"/>
    <n v="27"/>
    <x v="2"/>
    <n v="2024"/>
    <s v=" "/>
    <s v=" "/>
    <s v="PROPIO"/>
    <s v="Alicorp S.A.A"/>
    <s v="CRUZ"/>
    <s v="CRUZ"/>
    <s v="ELMER"/>
    <s v="MASCULINO"/>
    <s v=" "/>
    <s v="Inspector de calidad "/>
    <s v=" "/>
    <s v="Trabajador indica que al momento de abrir la puerta de almacen de quinua , empujandolo porque estaba dura e impulsandome con el cuerpo a la pared , al realizar esta accion la puerta cede y sufre un corte con el filo de la puerta"/>
    <s v="Atrapado por"/>
    <s v="Dedo"/>
    <s v=" "/>
    <s v=" "/>
    <s v=" "/>
    <s v=" "/>
    <s v=" "/>
    <s v=" "/>
    <n v="0"/>
    <s v=" "/>
    <s v=" "/>
    <s v=" "/>
    <s v=" "/>
    <s v=" "/>
  </r>
  <r>
    <n v="260"/>
    <m/>
    <s v="PERÚ"/>
    <x v="0"/>
    <s v="SIDSUR"/>
    <s v="Sidsur"/>
    <x v="41"/>
    <x v="0"/>
    <s v="Producción"/>
    <x v="0"/>
    <s v="Acc. No Incapacitante"/>
    <d v="2024-03-11T00:00:00"/>
    <n v="11"/>
    <n v="11"/>
    <x v="2"/>
    <n v="2024"/>
    <s v="1.30 am"/>
    <s v=" "/>
    <s v="PROPIO"/>
    <s v="Alicorp S.A.A"/>
    <s v="SANCHEZ "/>
    <s v="DIAZ "/>
    <s v="CARLOS"/>
    <s v="MASCULINO"/>
    <s v=" "/>
    <s v="Maquinista de empaquetadora"/>
    <s v=" "/>
    <s v="Trabajador menciona que al acercarse a la maquina Bosh 2 para realizar cambio de bolsa de paquetes defectuosos siente el ingreso de particula en el ojo izquierdo, esto al solplo de paquetes que realiza la maquina pero al acercarse a las aduanas no evidencia nada en el ojo; . El trabajador se retira del turno a las 5: am y a las 11:30 despues de descansar siente dolor en el ojo por lo que se acerca a un centro medico en donde le realizan limpieza y recetan gotas.  "/>
    <s v="Proyección de Material Particulado"/>
    <s v="Ojo izquierdo"/>
    <s v=" "/>
    <s v=" "/>
    <s v=" "/>
    <s v=" "/>
    <s v=" "/>
    <s v=" "/>
    <n v="0"/>
    <s v=" "/>
    <s v=" "/>
    <s v=" "/>
    <s v=" "/>
    <s v=" "/>
  </r>
  <r>
    <n v="261"/>
    <s v="-"/>
    <s v="PERÚ"/>
    <x v="2"/>
    <s v="CHORRILLOS"/>
    <s v="Intradevco"/>
    <x v="6"/>
    <x v="0"/>
    <s v="Sanitarios"/>
    <x v="0"/>
    <s v="Acc. No Incapacitante"/>
    <d v="2024-10-22T00:00:00"/>
    <n v="43"/>
    <n v="22"/>
    <x v="9"/>
    <n v="2024"/>
    <d v="1899-12-30T16:15:00"/>
    <s v="D"/>
    <s v="Service"/>
    <s v="Grupo Consulting"/>
    <s v="LOPEZ"/>
    <s v="CALLIRGOS"/>
    <s v="ALEX FRANCISCO"/>
    <s v="MASCULINO"/>
    <n v="30"/>
    <s v="OPERARIO DE PRODUCCIÓN"/>
    <d v="2024-09-05T00:00:00"/>
    <s v="El 22/10/2024 aproximadamente a las 16:15 P.M en el área de sanitarios en la maquina z8, el operador CESAR MONTALVAN decide resetear la máquina (envasadora) debido a que los pistones se habían desalineado. Al parar la línea, uno de los envases con producto (ANTIHONGO) queda a la altura del empujador; en ese momento, el colaborador CHRISTIAN ARRIAGA procede a retirar aquel frasco; instantáneamente, se activa el empujador presionando el frasco con producto el cual llega a salpicar al trabajador, ALEX LOPEZ (cara, ojo izquierdo), quien se encontraba realizando la colocación de tapas del producto en mención generándole ardor especialmente en los ojos. Posteriormente, acude al lavaojos, pero este se encontraba inoperativo, por lo que, se dirigió al baño para realizarse el lavado de ojos._x000a_Posteriormente, acudió al tópico donde fue atendido por el inspector Fernando con asesoría de la Dra. María, donde se realizó el lavado de ojos por 20 minutos y la aplicación de gotas._x000a_Al día 23/10/2024, el trabajador manifiesta estar sin dolor, escozor ni irritación ocular. "/>
    <s v="Exposición a Sustancias Químicas"/>
    <s v="Cara"/>
    <m/>
    <m/>
    <m/>
    <m/>
    <n v="0"/>
    <n v="0"/>
    <n v="0"/>
    <s v="Laborando"/>
    <n v="1"/>
    <s v="&lt; 1 mes"/>
    <m/>
    <s v="CONTRATO TEMPORAL"/>
  </r>
  <r>
    <n v="262"/>
    <s v="-"/>
    <s v="PERÚ"/>
    <x v="2"/>
    <s v="CHORRILLOS"/>
    <s v="Intradevco"/>
    <x v="6"/>
    <x v="0"/>
    <s v="Sanitarios"/>
    <x v="0"/>
    <s v="Acc. No Incapacitante"/>
    <d v="2024-08-29T00:00:00"/>
    <n v="35"/>
    <n v="29"/>
    <x v="5"/>
    <n v="2024"/>
    <d v="1899-12-30T14:05:00"/>
    <s v="D"/>
    <s v="Service"/>
    <s v="Grupo Consulting"/>
    <s v="SAAVEDRA"/>
    <s v="BERNALES"/>
    <s v="HEDINZON ALBERTO"/>
    <s v="MASCULINO"/>
    <n v="24"/>
    <s v="OPERARIO DE PRODUCCIÓN"/>
    <d v="2023-07-12T00:00:00"/>
    <s v="El día 29/08/2024 dos colaboradores de pesado y dispensación hicieron caer un balde de 26.5 litros, al impactar el balde con el suelo rebota e impacta en la pierna derecha del colaborador Saavedra."/>
    <s v="Golpeado por"/>
    <s v="Pierna derecha"/>
    <m/>
    <m/>
    <m/>
    <m/>
    <n v="0"/>
    <n v="0"/>
    <n v="0"/>
    <s v="Cesado"/>
    <n v="1"/>
    <s v="&lt; 1 mes"/>
    <m/>
    <s v="CONTRATO TEMPORAL"/>
  </r>
  <r>
    <n v="263"/>
    <s v="-"/>
    <s v="PERÚ"/>
    <x v="2"/>
    <s v="CHORRILLOS"/>
    <s v="Intradevco"/>
    <x v="6"/>
    <x v="0"/>
    <s v="Intralab"/>
    <x v="0"/>
    <s v="Acc. No Incapacitante"/>
    <d v="2024-09-17T00:00:00"/>
    <n v="38"/>
    <n v="17"/>
    <x v="8"/>
    <n v="2024"/>
    <d v="1899-12-30T10:20:00"/>
    <s v="D"/>
    <s v="Service"/>
    <s v="Grupo Consulting"/>
    <s v="MONTES"/>
    <s v="HEREDIA"/>
    <s v="BRYAN"/>
    <s v="MASCULINO"/>
    <n v="32"/>
    <s v="OPERARIO DE PRODUCCIÓN"/>
    <d v="2024-08-28T00:00:00"/>
    <s v="El trabajador MONTES HEREDIA BRYAN,el día 17/09/2024 a las 10:20 am se encontraba paletizando al momento de colocar una paleta sobre otra con ayuda de un compañero que al soltar el la palleta superior porque su dedo meñique queda atrapado en medio por tal motivo jala su mano sin sentir dolor debido a que se encontraba con guantes"/>
    <s v="Golpeado por"/>
    <s v="Mano"/>
    <m/>
    <m/>
    <m/>
    <m/>
    <n v="0"/>
    <n v="0"/>
    <n v="0"/>
    <s v="Cesado"/>
    <n v="1"/>
    <s v="&lt; 1 mes"/>
    <m/>
    <s v="CONTRATO TEMPORAL"/>
  </r>
  <r>
    <n v="264"/>
    <s v="-"/>
    <s v="PERÚ"/>
    <x v="2"/>
    <s v="CHORRILLOS"/>
    <s v="Intradevco"/>
    <x v="6"/>
    <x v="0"/>
    <s v="Intralab"/>
    <x v="0"/>
    <s v="Acc. No Incapacitante"/>
    <d v="2024-10-15T00:00:00"/>
    <n v="42"/>
    <n v="15"/>
    <x v="9"/>
    <n v="2024"/>
    <d v="1899-12-30T10:40:00"/>
    <s v="D"/>
    <s v="Service"/>
    <s v="Grupo Consulting"/>
    <s v="CAMPOS"/>
    <s v="PROAÑO"/>
    <s v="RODRIGO RODOLFO"/>
    <s v="MASCULINO"/>
    <n v="24"/>
    <s v="OPERARIO DE PRODUCCIÓN"/>
    <d v="2024-08-05T00:00:00"/>
    <s v="Al promediar las 10:40 a.m, los colaboradores Rodrigo y Tafur se encontraban realizando la nivelación de la máquina encintadora, en la que el compañero Rodrigo al utilizar la llave para nivelar la encintadora con la mesa desafloja un soporte de la encintadora asumiendo que los otros soportes están asegurados y de golpe baja la encintadora debido a que un soporte del otro extramo se encontraba desajustado.                                                       La encintadora no impacto con el piso tampoco golpeo al trabajador debido a que el trabajador Tafur se encontraba sosteniendo la encintadora."/>
    <s v="Sobreesfuerzo"/>
    <m/>
    <m/>
    <m/>
    <m/>
    <m/>
    <n v="0"/>
    <n v="0"/>
    <n v="0"/>
    <s v="Laborando"/>
    <n v="2"/>
    <s v="&lt; 1 a 3 meses"/>
    <m/>
    <s v="CONTRATO TEMPORAL"/>
  </r>
  <r>
    <n v="265"/>
    <s v="-"/>
    <s v="PERÚ"/>
    <x v="2"/>
    <s v="CHORRILLOS"/>
    <s v="Intradevco"/>
    <x v="6"/>
    <x v="0"/>
    <s v="Sanitarios"/>
    <x v="0"/>
    <s v="Acc. No Incapacitante"/>
    <d v="2024-11-07T00:00:00"/>
    <n v="45"/>
    <n v="7"/>
    <x v="10"/>
    <n v="2024"/>
    <d v="1899-12-30T10:40:00"/>
    <s v="D"/>
    <s v="PROPIO"/>
    <s v="INTRADEVCO"/>
    <s v="CUBA"/>
    <s v="ESPINOZA"/>
    <s v="CESAR AUGUSTO"/>
    <s v="MASCULINO"/>
    <n v="45"/>
    <s v="OPERARIO DE PRODUCCIÓN"/>
    <d v="2007-07-23T00:00:00"/>
    <s v="El colaborador se encontraba desconectando la manguera para realizar el cambio del motor averiado cuando, al realizar dicha acción, una pequeña cantidad de producto (KlinTex) le cayó en la cara, específicamente en la frente. El Sr. César Cuba se dirigió al lavaojos más cercano, se quitó los lentes de seguridad y comenzó a limpiarse. Sin embargo, el producto escurrió hacia su ojo, por lo que dejó de usar el lavaojos debido a que el agua no fluía correctamente. Posteriormente, se retiró hacia los servicios higiénicos para continuar con el lavado. Más tarde, acudió al tópico, donde fue atendido por la enfermera. Allí se le realizó un lavado ocular durante 20 minutos y se le aplicaron las gotas correspondientes."/>
    <s v="Exposición a Sustancias Químicas"/>
    <s v="Cara"/>
    <m/>
    <m/>
    <m/>
    <m/>
    <n v="0"/>
    <n v="0"/>
    <n v="0"/>
    <s v="Laborando"/>
    <n v="204"/>
    <s v="&gt; 10 años"/>
    <m/>
    <s v="CONTRATO INDEFINIDO"/>
  </r>
  <r>
    <n v="266"/>
    <s v="-"/>
    <s v="PERÚ"/>
    <x v="2"/>
    <s v="CHORRILLOS"/>
    <s v="Intradevco"/>
    <x v="6"/>
    <x v="0"/>
    <s v="Intralab"/>
    <x v="0"/>
    <s v="Acc. No Incapacitante"/>
    <d v="2024-11-21T00:00:00"/>
    <n v="47"/>
    <n v="21"/>
    <x v="10"/>
    <n v="2024"/>
    <d v="1899-12-30T10:07:00"/>
    <s v="D"/>
    <s v="Service"/>
    <s v="Grupo Consulting"/>
    <s v="CRUZ"/>
    <s v="QUISPE"/>
    <s v="ROBERTO"/>
    <s v="MASCULINO"/>
    <n v="25"/>
    <s v="OPERARIO DE PRODUCCIÓN"/>
    <d v="2024-11-14T00:00:00"/>
    <s v="El trabajador se encontraba trasladando un bidón de merma, en una carreta, al girar la carreta para acomodar el producto; el trabajador se golpea el pie con el pallet que se encontraba en el area con materiales en desuso."/>
    <s v="Golpeado por"/>
    <s v="Pie"/>
    <m/>
    <m/>
    <m/>
    <m/>
    <n v="0"/>
    <n v="0"/>
    <n v="0"/>
    <s v="Cesado"/>
    <n v="1"/>
    <s v="&lt; 1 mes"/>
    <m/>
    <s v="CONTRATO TEMPORAL"/>
  </r>
  <r>
    <n v="267"/>
    <s v="-"/>
    <s v="PERÚ"/>
    <x v="2"/>
    <s v="CHORRILLOS"/>
    <s v="Intradevco"/>
    <x v="6"/>
    <x v="0"/>
    <s v="Intralab"/>
    <x v="0"/>
    <s v="Acc. No Incapacitante"/>
    <d v="2024-11-26T00:00:00"/>
    <n v="48"/>
    <n v="26"/>
    <x v="10"/>
    <n v="2024"/>
    <d v="1899-12-30T10:28:00"/>
    <s v="D"/>
    <s v="Service"/>
    <s v="Grupo Consulting"/>
    <s v="MONTENEGRO"/>
    <s v="BAUTISTA"/>
    <s v="ROLANDO JAIL"/>
    <s v="MASCULINO"/>
    <n v="24"/>
    <s v="OPERARIO DE PRODUCCIÓN"/>
    <d v="2024-10-25T00:00:00"/>
    <s v="El trabajador se encontraba realizando el ofertado de bipack en la línea 8, es en donde al jalar la etiqueta por el borde, el trabajador sufre un corte superficial en el dedo índice de la mano izquierda."/>
    <s v="Contacto con superficie filosa"/>
    <s v="MANO IZQUIERDA"/>
    <m/>
    <m/>
    <m/>
    <m/>
    <n v="0"/>
    <n v="0"/>
    <n v="0"/>
    <s v="Cesado"/>
    <n v="1"/>
    <s v="&lt; 1 mes"/>
    <m/>
    <s v="CONTRATO TEMPORAL"/>
  </r>
  <r>
    <n v="268"/>
    <s v="-"/>
    <s v="PERÚ"/>
    <x v="2"/>
    <s v="CHORRILLOS"/>
    <s v="Intradevco"/>
    <x v="6"/>
    <x v="0"/>
    <s v="Intralab"/>
    <x v="0"/>
    <s v="Acc. No Incapacitante"/>
    <d v="2024-11-28T00:00:00"/>
    <n v="48"/>
    <n v="28"/>
    <x v="10"/>
    <n v="2024"/>
    <d v="1899-12-30T04:40:00"/>
    <s v="M"/>
    <s v="Service"/>
    <s v="Grupo Consulting"/>
    <s v="DE LA VEGA"/>
    <s v="NECOCHEA"/>
    <s v="PERCY ALBERTO"/>
    <s v="MASCULINO"/>
    <n v="37"/>
    <s v="OPERARIO DE PRODUCCIÓN"/>
    <d v="2024-11-13T00:00:00"/>
    <s v="El trabajador se encontraba en la línea 8, acomodando la pasta dental en las canoas, es en donde su dedo índice derecho se queda atrapado entre el espacio que existe entre canoa y canoa."/>
    <s v="Atrapado por Partes en Movimiento"/>
    <s v="Dedos de la manos"/>
    <m/>
    <m/>
    <m/>
    <m/>
    <n v="0"/>
    <n v="0"/>
    <n v="0"/>
    <s v="Laborando"/>
    <n v="1"/>
    <s v="&lt; 1 mes"/>
    <m/>
    <s v="CONTRATO TEMPORAL"/>
  </r>
  <r>
    <n v="269"/>
    <s v="-"/>
    <s v="PERÚ"/>
    <x v="2"/>
    <s v="CHORRILLOS"/>
    <s v="Intradevco"/>
    <x v="6"/>
    <x v="0"/>
    <s v="Intralab"/>
    <x v="0"/>
    <s v="Acc. No Incapacitante"/>
    <d v="2024-12-04T00:00:00"/>
    <n v="49"/>
    <n v="4"/>
    <x v="11"/>
    <n v="2024"/>
    <d v="1899-12-30T02:20:00"/>
    <s v="M"/>
    <s v="Service"/>
    <s v="Grupo Consulting"/>
    <s v="MONTENEGRO"/>
    <s v="BAUTISTA"/>
    <s v="ROLANDO JAIL"/>
    <s v="MASCULINO"/>
    <n v="24"/>
    <s v="OPERARIO DE PRODUCCIÓN"/>
    <d v="2024-10-25T00:00:00"/>
    <s v="El colaborador Rolando Montenegro se encontraba realizando la actividad de paletizado, al acomodar constantemente las cajas embaladas en el pallet de manera, se produjo un hinchazón ligero de la muñeca izquierda, se aplico diclofenaco en gel con descanso 30 min y el colaborador retorna a su área de trabajo. "/>
    <s v="Sobreesfuerzo"/>
    <s v="MANO IZQUIERDA"/>
    <m/>
    <m/>
    <m/>
    <m/>
    <n v="0"/>
    <n v="0"/>
    <n v="0"/>
    <s v="Cesado"/>
    <n v="2"/>
    <s v="&lt; 1 a 3 meses"/>
    <m/>
    <s v="CONTRATO TEMPORAL"/>
  </r>
  <r>
    <n v="270"/>
    <s v="-"/>
    <s v="PERÚ"/>
    <x v="2"/>
    <s v="CHORRILLOS"/>
    <s v="Intradevco"/>
    <x v="6"/>
    <x v="0"/>
    <s v="Intralab"/>
    <x v="0"/>
    <s v="Acc. No Incapacitante"/>
    <d v="2024-12-12T00:00:00"/>
    <n v="50"/>
    <n v="12"/>
    <x v="11"/>
    <n v="2024"/>
    <d v="1899-12-30T05:18:00"/>
    <s v="M"/>
    <s v="Service"/>
    <s v="Grupo Consulting"/>
    <s v="ALVAREZ"/>
    <s v="NAVARRO"/>
    <s v="GEORGE LENNON"/>
    <s v="MASCULINO"/>
    <n v="32"/>
    <s v="OPERARIO DE PRODUCCIÓN"/>
    <d v="2024-10-18T00:00:00"/>
    <s v="El colaborador George Álvarez se encontraba realizando montaje de tuberías de tuberias, no se percataron de todos los seguros estén bien puestos, el colaborador sube, se va hacia delante y se recuesta en la pared en lo que se golpea el antebrazo, se raspa el brazo y codo. "/>
    <s v="Golpeado por"/>
    <s v="Brazo"/>
    <m/>
    <m/>
    <m/>
    <m/>
    <n v="0"/>
    <n v="0"/>
    <n v="0"/>
    <s v="Laborando"/>
    <n v="2"/>
    <s v="&lt; 1 a 3 meses"/>
    <m/>
    <s v="CONTRATO TEMPORAL"/>
  </r>
  <r>
    <m/>
    <m/>
    <s v="PERÚ"/>
    <x v="2"/>
    <s v="LURIN"/>
    <s v="Intradevco"/>
    <x v="16"/>
    <x v="0"/>
    <s v="Empacado detergente"/>
    <x v="0"/>
    <s v="Acc. No Incapacitante"/>
    <d v="2024-12-11T00:00:00"/>
    <n v="50"/>
    <n v="11"/>
    <x v="11"/>
    <n v="2024"/>
    <d v="1899-12-30T01:30:00"/>
    <s v="N"/>
    <s v="Service"/>
    <s v="Grupo Consulting"/>
    <s v="AREVALO"/>
    <s v="VILLON"/>
    <s v="GEANFRANCO"/>
    <s v="MASCULINO"/>
    <m/>
    <s v="OPERARIO DE PRODUCCIÓN"/>
    <m/>
    <s v="El colaborador Arévalo Villon Geanfranco CA.  se encontraba en la VAI, colocando la paleta para que sus compañeros pudieran continuar apilando. Sin embargo, al alzar la paleta con prisa, esta se le resbaló y, debido a la caída, se le aplastó el dedo meñique de la mano izquierda. "/>
    <s v="Atrapado por"/>
    <s v="Meñique izquierdo"/>
    <s v="Mano/Muñeca/Dedos"/>
    <s v="Manipulacion de paletas"/>
    <s v="Contusion en meñique"/>
    <s v="Contusión/Trauma"/>
    <n v="0"/>
    <n v="0"/>
    <n v="0"/>
    <s v="Laborando"/>
    <m/>
    <m/>
    <m/>
    <s v="CONTRATO TEMPORAL"/>
  </r>
  <r>
    <m/>
    <m/>
    <s v="PERÚ"/>
    <x v="4"/>
    <s v="ÑAÑA"/>
    <s v="Global"/>
    <x v="19"/>
    <x v="0"/>
    <s v="Producción"/>
    <x v="1"/>
    <s v="Acc. Incapacitante"/>
    <d v="2024-11-26T00:00:00"/>
    <n v="48"/>
    <n v="26"/>
    <x v="10"/>
    <n v="2024"/>
    <d v="1899-12-30T08:00:00"/>
    <s v="D"/>
    <s v="PROPIO"/>
    <s v="Masterbread"/>
    <s v="CASIHUE"/>
    <s v="SOLIER"/>
    <s v="CASIMIRO"/>
    <s v="MASCULINO"/>
    <n v="62"/>
    <s v="OPERADOR LIDER DE EXTRUSION"/>
    <d v="2004-05-13T00:00:00"/>
    <s v="El colaborador Casimiro Casihue se disponía a iniciar el proceso de Frutt cuando detectó que una platina del coche de corte del extrusor 4 estaba doblada. Trató de enderezar la platina con un martillo, pero el martillo se deslizó accidentalmente golpeándose contra la barra metálica de la estructura, generándole un corte en el dedo. _x000a_"/>
    <s v="Golpeado por"/>
    <s v="2do dedo de la mano derecha"/>
    <s v="Mano/Muñeca/Dedos"/>
    <s v="Arranque de proceso Frutt"/>
    <s v="Herida de dedo de la mano sin daño de la uña"/>
    <s v="Corte/Herida"/>
    <n v="8"/>
    <n v="0"/>
    <n v="8"/>
    <s v="Descanso Médico"/>
    <n v="240"/>
    <s v="&gt; 10 años"/>
    <s v="Estructura metálica"/>
    <s v="Indefinido"/>
  </r>
  <r>
    <m/>
    <m/>
    <s v="PERÚ"/>
    <x v="2"/>
    <s v="LURIN"/>
    <s v="Intradevco"/>
    <x v="16"/>
    <x v="0"/>
    <s v="Lavavajilla"/>
    <x v="0"/>
    <s v="Acc. No Incapacitante"/>
    <d v="2024-11-26T00:00:00"/>
    <n v="48"/>
    <n v="26"/>
    <x v="10"/>
    <n v="2024"/>
    <d v="1899-12-30T08:25:00"/>
    <s v="D"/>
    <s v="Service"/>
    <s v="Grupo Consulting"/>
    <s v="LAURA"/>
    <s v="OLORTEGUI"/>
    <s v="LEYDA"/>
    <s v="FEMENINO"/>
    <m/>
    <s v="OPERARIO DE PRODUCCIÓN"/>
    <m/>
    <s v="La colaboradora Leyda Laura Olortegui CA. se encontraba en la línea 3, realizando la actividad de divisiones, al empujar la caja con el producto hacia la encintadora, notó que ésta estaba desalineada, con el objetivo de centrarla, colocó su mano izquierda sobre la caja y al momento de moverla sus dedos quedan atrapados entre la máquina y la caja, siendo afectado su dedo anular. Asimismo, menciona que rápidamente saca su mano."/>
    <s v="Atrapado por Partes en Movimiento"/>
    <s v="Anular izquierdo"/>
    <s v="Mano/Muñeca/Dedos"/>
    <s v="Manipulacion de cajas"/>
    <s v="Contusion anular izquierdo"/>
    <s v="Contusión/Trauma"/>
    <n v="0"/>
    <n v="0"/>
    <n v="0"/>
    <s v="Laborando"/>
    <m/>
    <m/>
    <m/>
    <s v="CONTRATO TEMPORAL"/>
  </r>
  <r>
    <m/>
    <m/>
    <s v="PERÚ"/>
    <x v="2"/>
    <s v="LURIN"/>
    <s v="Intradevco"/>
    <x v="16"/>
    <x v="0"/>
    <s v="Areas comunes"/>
    <x v="0"/>
    <s v="Acc. No Incapacitante"/>
    <d v="2024-11-23T00:00:00"/>
    <n v="47"/>
    <n v="23"/>
    <x v="10"/>
    <n v="2024"/>
    <d v="1899-12-30T01:00:00"/>
    <s v="D"/>
    <s v="Service"/>
    <s v="Grupo Consulting"/>
    <s v="SILVA"/>
    <s v=" CORONADO DE YOVERA"/>
    <s v="ROCIO DEL PILAR"/>
    <s v="FEMENINO"/>
    <m/>
    <s v="OPERARIO DE PRODUCCIÓN"/>
    <m/>
    <s v="La colaboradora se dirigía a cenar a las 9:30 p.m. cuando se dio cuenta de que ya había una fila formada en la vereda, y algunas personas estaban sentadas al borde, lo que reducía el espacio disponible. En ese momento, un grupo de colaboradores (CA) que venía caminando rápido hacia la cola la empujó, lo que provocó que ella cayera de rodillas. Sin embargo, se levantó rápidamente y continuó formándose en la cola, menciona que solo sentía un ardor en la rodilla izquierda. Debido a esto, no informó de inmediato y terminó su cena. Dió aviso recién después de una hora y media, ya que al momento de caminar, le duele su rodilla Izquierda. "/>
    <s v="Caída al mismo nivel"/>
    <s v="Rodilla izquierda"/>
    <s v="Rodilla"/>
    <s v="Transito por areas comunes"/>
    <s v="Contusion de rodilla"/>
    <s v="Contusión/Trauma"/>
    <n v="0"/>
    <n v="0"/>
    <n v="0"/>
    <s v="Laborando"/>
    <m/>
    <m/>
    <m/>
    <s v="CONTRATO TEMPORAL"/>
  </r>
  <r>
    <m/>
    <m/>
    <s v="PERÚ"/>
    <x v="2"/>
    <s v="LURIN"/>
    <s v="Intradevco"/>
    <x v="16"/>
    <x v="0"/>
    <s v="Lavavajilla"/>
    <x v="0"/>
    <s v="Acc. No Incapacitante"/>
    <d v="2024-11-22T00:00:00"/>
    <n v="47"/>
    <n v="22"/>
    <x v="10"/>
    <n v="2024"/>
    <d v="1899-12-30T10:55:00"/>
    <s v="D"/>
    <s v="Service"/>
    <s v="Grupo Consulting"/>
    <s v="JIMENEZ"/>
    <s v="PUELLES "/>
    <s v="PAOLA SILVIA"/>
    <s v="FEMENINO"/>
    <m/>
    <s v="OPERARIO DE PRODUCCIÓN"/>
    <m/>
    <s v="Colaboradora se encontraba realizando el dosificado en la línea 2._x000a_Al colocar los potes uno de ellos se mueve y al intentar posicionar  correctamente, la crema cae en la zona dorsal de mano derecha. _x000a_Considerar que en esta actividad hacen uso de guantes de nitrilo y temperatura varía entre 45° a 52°"/>
    <s v="Contacto con Superficie Caliente"/>
    <s v="Mano derecha"/>
    <s v="Mano/Muñeca/Dedos"/>
    <s v="Abastecimiento de producto"/>
    <s v="Quemadura superficial"/>
    <s v="Quemadura por Temperatura"/>
    <n v="0"/>
    <n v="0"/>
    <n v="0"/>
    <s v="Laborando"/>
    <m/>
    <m/>
    <s v="crema lavavajilla"/>
    <s v="CONTRATO TEMPORAL"/>
  </r>
  <r>
    <m/>
    <m/>
    <s v="PERÚ"/>
    <x v="2"/>
    <s v="LURIN"/>
    <s v="Intradevco"/>
    <x v="16"/>
    <x v="0"/>
    <s v="Lavavajilla"/>
    <x v="0"/>
    <s v="Acc. No Incapacitante"/>
    <d v="2024-12-18T00:00:00"/>
    <n v="51"/>
    <n v="18"/>
    <x v="11"/>
    <n v="2024"/>
    <d v="1899-12-30T03:01:00"/>
    <s v="N"/>
    <s v="Service"/>
    <s v="Grupo Consulting"/>
    <s v="FERNANDEZ"/>
    <s v="ESPINOZA "/>
    <s v="ALEXIS XAVIER"/>
    <s v="MASCULINO"/>
    <m/>
    <s v="OPERARIO DE PRODUCCIÓN"/>
    <m/>
    <s v="Colaborador se encontraba realizando la actividad de abastecimiento, al ingresar a la línea 2 para colocar divisiones sufre un golpe con la varilla sobresalida de la codificadora de cajas causando un pequeño raspón y enrojecimiento en la zona región lumbar lateral baja._x000a_Cabe mencionar que se ha tenido observaciones anteriormente debido al espacio reducido ya que está la máquina meypack "/>
    <s v="Golpeado contra"/>
    <s v="Lumbar "/>
    <s v="Abdomen/Torso"/>
    <s v="Abastecimiento de cajas"/>
    <s v="Contusion en region lumbar"/>
    <s v="Contusión/Trauma"/>
    <n v="0"/>
    <n v="0"/>
    <n v="0"/>
    <s v="Laborando"/>
    <m/>
    <m/>
    <m/>
    <s v="CONTRATO TEMPORAL"/>
  </r>
  <r>
    <m/>
    <m/>
    <s v="PERÚ"/>
    <x v="2"/>
    <s v="LURIN"/>
    <s v="Intradevco"/>
    <x v="16"/>
    <x v="0"/>
    <s v="Empacado detergente"/>
    <x v="0"/>
    <s v="Acc. No Incapacitante"/>
    <d v="2024-12-18T00:00:00"/>
    <n v="51"/>
    <n v="18"/>
    <x v="11"/>
    <n v="2024"/>
    <d v="1899-12-30T17:55:00"/>
    <s v="D"/>
    <s v="Service"/>
    <s v="Grupo Consulting"/>
    <s v="MELGAREJO"/>
    <s v="GUEVARA"/>
    <s v="ROBERTO CARLOS"/>
    <s v="MASCULINO"/>
    <m/>
    <s v="OPERARIO DE PRODUCCIÓN"/>
    <m/>
    <s v="El colaborador Melgarejo se encontraba abasteciendo el ducto #2 (ducto manual) y por detrás venía el colaborador Piña Flores, quien supuso erróneamente que su compañero estaba avanzando. Sin embargo, lo que Melgarejo hacía en ese momento era acomodar el coche para el empuje. Fue en ese instante cuando Piña, al avanzar, golpeó accidentalmente a Melgarejo en el talón izquierdo con la punta de la estructura metálica que cubre la rueda."/>
    <s v="Golpeado contra"/>
    <s v="Tobillo izquierdo"/>
    <s v="Pie/Tobillo"/>
    <s v="Manipulacion de coche"/>
    <s v="Contusion en talon izquierdo"/>
    <s v="Contusión/Trauma"/>
    <n v="0"/>
    <n v="0"/>
    <n v="0"/>
    <s v="Laborando"/>
    <m/>
    <m/>
    <m/>
    <s v="CONTRATO TEMPORAL"/>
  </r>
  <r>
    <m/>
    <m/>
    <s v="PERÚ"/>
    <x v="2"/>
    <s v="LURIN"/>
    <s v="Intradevco"/>
    <x v="16"/>
    <x v="0"/>
    <s v="Lavavajilla"/>
    <x v="0"/>
    <s v="Acc. No Incapacitante"/>
    <d v="2024-12-21T00:00:00"/>
    <n v="51"/>
    <n v="21"/>
    <x v="11"/>
    <n v="2024"/>
    <d v="1899-12-30T03:28:00"/>
    <s v="N"/>
    <s v="Service"/>
    <s v="Grupo Consulting"/>
    <s v="PECHO"/>
    <s v="ALVA"/>
    <s v="CARLOS JESUS"/>
    <s v="MASCULINO"/>
    <m/>
    <s v="OPERARIO DE PRODUCCIÓN"/>
    <m/>
    <s v="Colaborador se encontraba realizando la limpieza externa de la batidora #01 con una espátula debido a la parada de producción._x000a_Retiraba la crema pegada de los bordes, luego al levantarse de manera brusca y al retroceder impacta la cabeza con el borde del tablero de control( pizarra) generando golpe en la cabeza- región parietal izquierda y a su vez sangrado por herida superficial. Intensidad de dolor moderado_x000a_Refiere que se paró varias veces, sin embargo; en la última no se percató y se ocasiona el accidente"/>
    <s v="Golpeado contra"/>
    <s v="Cabeza"/>
    <s v="Cabeza"/>
    <s v="Limpieza del area"/>
    <s v="Contusion en cabeza"/>
    <s v="Contusión/Trauma"/>
    <n v="0"/>
    <n v="0"/>
    <n v="0"/>
    <s v="Laborando"/>
    <m/>
    <m/>
    <m/>
    <s v="CONTRATO TEMPORAL"/>
  </r>
  <r>
    <m/>
    <m/>
    <s v="PERÚ"/>
    <x v="2"/>
    <s v="LURIN"/>
    <s v="Intradevco"/>
    <x v="16"/>
    <x v="0"/>
    <s v="Empacado detergente"/>
    <x v="0"/>
    <s v="Acc. No Incapacitante"/>
    <d v="2024-11-23T00:00:00"/>
    <n v="47"/>
    <n v="23"/>
    <x v="10"/>
    <n v="2024"/>
    <d v="1899-12-30T05:45:00"/>
    <s v="N"/>
    <s v="Service"/>
    <s v="Grupo Consulting"/>
    <s v="MENDIETA"/>
    <s v="QUISPE"/>
    <s v="DANIEL CRISTIAN"/>
    <s v="MASCULINO"/>
    <m/>
    <s v="OPERARIO DE PRODUCCIÓN"/>
    <m/>
    <s v="El colaborador estaba colocando la paleta para que sus compañeros pudieran continuar apilando, cuando, al retirar la paleta vacía, esta quedó enganchada con otra que estaba detrás. Como resultado, al jalarla, la paleta giró hacia él, golpeándolo en el vientre bajo derecho (Pelvis). Cabe mencionar que si manipuló la paleta con apoyo. "/>
    <s v="Golpeado por"/>
    <s v="Pelvis derecha"/>
    <s v="Abdomen/Torso"/>
    <s v="Manipulacion de paletas"/>
    <s v="Contusion en pelvis"/>
    <s v="Contusión/Trauma"/>
    <n v="0"/>
    <n v="0"/>
    <n v="0"/>
    <s v="Laborando"/>
    <m/>
    <m/>
    <m/>
    <s v="CONTRATO TEMPORAL"/>
  </r>
  <r>
    <m/>
    <m/>
    <s v="PERÚ"/>
    <x v="2"/>
    <s v="LURIN"/>
    <s v="Intradevco"/>
    <x v="16"/>
    <x v="0"/>
    <s v="Lavavajilla"/>
    <x v="0"/>
    <s v="Acc. No Incapacitante"/>
    <d v="2024-12-04T00:00:00"/>
    <n v="49"/>
    <n v="4"/>
    <x v="11"/>
    <n v="2024"/>
    <d v="1899-12-30T14:50:00"/>
    <s v="D"/>
    <s v="Service"/>
    <s v="Grupo Consulting"/>
    <s v="TANGOA"/>
    <s v="IÑAPI"/>
    <s v="CEILITH"/>
    <s v="FEMENINO"/>
    <m/>
    <s v="OPERARIO DE PRODUCCIÓN"/>
    <m/>
    <s v="Colaboradora se encontraba realizando la actividad de esponjado en la línea 1- lado de pistones 1 y 2._x000a_Sus compañeras mientras realizaban sus actividades de ofertado y codificado se encontraban bromeando y jugando de manos, hasta que una de ellas (la que estaba ofertando) se mueve generando que la ofertadora pierda estabilidad puesto que no tiene una posición fija._x000a_Para evitar que caiga, lo detiene rápidamente e impacta el regulador de cinta contra el brazo derecho de la colaboradora en mención, a pesar del intento la ofertadora cae al piso."/>
    <s v="Golpeado por"/>
    <s v="Brazo derecho"/>
    <s v="Brazo/Codo/Hombro"/>
    <s v="Colocacion de esponjas"/>
    <s v="Contusion en brazo derecho"/>
    <s v="Contusión/Trauma"/>
    <n v="0"/>
    <n v="0"/>
    <n v="0"/>
    <s v="Laborando"/>
    <m/>
    <m/>
    <m/>
    <s v="CONTRATO TEMPORAL"/>
  </r>
  <r>
    <m/>
    <n v="246"/>
    <s v="PERÚ"/>
    <x v="2"/>
    <s v="LURIN"/>
    <s v="Intradevco"/>
    <x v="16"/>
    <x v="0"/>
    <s v="Lavavajilla"/>
    <x v="0"/>
    <s v="Acc. No Incapacitante"/>
    <d v="2024-12-05T00:00:00"/>
    <n v="49"/>
    <n v="5"/>
    <x v="11"/>
    <n v="2024"/>
    <d v="1899-12-30T01:20:00"/>
    <s v="N"/>
    <s v="Service"/>
    <s v="Grupo Consulting"/>
    <s v="PAICO"/>
    <s v="DIAZ DE VEGA"/>
    <s v="FLOR DIANIRA"/>
    <s v="FEMENINO"/>
    <m/>
    <s v="OPERARIO DE PRODUCCIÓN"/>
    <m/>
    <s v="La colaboradora se encontraba en la línea 1 y, al momento de realizar el cambio de actividad, procedió a hacer la limpieza. Al agacharse para recoger las esponjas, su compañera, que se encontraba a su lado, rozó con la ofertadora. Debido a la inestabilidad de esta, la ofertadora se cayó, golpeando a la colaboradora en la espalda del lado izquierdo."/>
    <s v="Golpeado por"/>
    <s v="Espalda"/>
    <s v="Abdomen/Torso"/>
    <s v="Limpieza del área"/>
    <s v="Contusion en espalda"/>
    <s v="Contusión/Trauma"/>
    <n v="0"/>
    <n v="0"/>
    <n v="0"/>
    <s v="Laborando"/>
    <m/>
    <m/>
    <m/>
    <s v="CONTRATO TEMPORAL"/>
  </r>
  <r>
    <m/>
    <m/>
    <m/>
    <x v="5"/>
    <m/>
    <m/>
    <x v="44"/>
    <x v="10"/>
    <m/>
    <x v="2"/>
    <s v=" "/>
    <m/>
    <d v="1900-02-20T00:00:00"/>
    <m/>
    <x v="0"/>
    <m/>
    <m/>
    <m/>
    <m/>
    <m/>
    <m/>
    <m/>
    <m/>
    <m/>
    <m/>
    <m/>
    <m/>
    <m/>
    <m/>
    <m/>
    <m/>
    <m/>
    <m/>
    <m/>
    <m/>
    <m/>
    <m/>
    <m/>
    <m/>
    <m/>
    <m/>
    <m/>
  </r>
  <r>
    <m/>
    <m/>
    <s v="PERÚ"/>
    <x v="0"/>
    <s v="SIDSUR"/>
    <s v="Sidsur"/>
    <x v="25"/>
    <x v="0"/>
    <s v="Molino Arequipa - embolsado de harina"/>
    <x v="0"/>
    <s v="Acc. No Incapacitante"/>
    <d v="2024-11-23T00:00:00"/>
    <n v="47"/>
    <n v="23"/>
    <x v="10"/>
    <n v="2024"/>
    <d v="1899-12-30T07:00:00"/>
    <s v="D"/>
    <s v="PROPIO"/>
    <s v="Alicorp S.A.A."/>
    <s v="AMANQUI"/>
    <s v="TORRES"/>
    <s v="EDGAR"/>
    <s v="MASCULINO"/>
    <m/>
    <m/>
    <d v="2013-04-22T00:00:00"/>
    <s v="El trabajador se encontraba embolsado harina,  cuando recibe la indicacion de colocar la bolsa mas abajo de lo normal debido a que la harina estaba con mucho volumen, al colocar la bolsa como le indicaron;  la mordaza solo sujetó la mitad por lo que era necesario retirar la bolsa, para ello el trabajador acciona el giro del carrusel y en paralelo intenta aperturar la mordaza para el retiro de la bolsa, en eso fue golpeado por la mordaza"/>
    <s v="Golpeado por"/>
    <s v="brazo"/>
    <s v="Mano/Muñeca/Dedos"/>
    <s v="Embosado de harina"/>
    <s v="herida en el antebrazo"/>
    <s v="Corte/Herida"/>
    <n v="0"/>
    <m/>
    <n v="0"/>
    <s v="Laborando"/>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3">
  <r>
    <n v="1"/>
    <s v="PGL23660"/>
    <s v="PERÚ"/>
    <s v="ALICORP_SAA"/>
    <s v="Distrito del Callao"/>
    <x v="0"/>
    <s v="GALLETERA &amp; INSTANTÁNEOS"/>
    <s v="Producción"/>
    <x v="0"/>
    <x v="0"/>
    <s v="Acc. No Incapacitante"/>
    <d v="2024-01-13T00:00:00"/>
    <n v="2"/>
    <n v="13"/>
    <x v="0"/>
    <n v="2024"/>
    <d v="1899-12-30T08:35:00"/>
    <s v="M"/>
    <x v="0"/>
    <x v="0"/>
    <s v="ASENCIO"/>
    <s v="CANALES"/>
    <s v="JOSE"/>
    <s v="MASCULINO"/>
    <n v="45"/>
    <s v="OPERADOR DE HORNO"/>
    <d v="2002-11-27T00:00:00"/>
    <s v="Siendo las 08:35 a.m, el operador de horno se encontraba realizando labores de limpieza de pisos en la zona de laminado Línea 1, y mientras retiraba los residuos en la parte baja de la estación de pre laminado, se golpea la cabeza contra una estructura causándole un leve sangrado._x000a_ _x000a_El operador es derivado hacia tópico donde realizan limpieza de la zona afectada. Post evaluación, el trabajador firma hoja de desistimiento de traslado"/>
    <s v="Golpeado contra"/>
    <s v="CABEZA"/>
    <s v="Cabeza"/>
    <s v="LIMPIEZA  DE PISOS"/>
    <s v="NA"/>
    <s v="Corte/Herida"/>
    <s v="&lt;"/>
    <n v="0"/>
    <n v="0"/>
    <s v="Trabajando"/>
    <n v="252"/>
    <s v="&gt; 10 años"/>
    <s v="ESTRUCTURA"/>
    <s v="CONTRATO INDEFINIDO"/>
    <s v="Acc. No Incapacitante"/>
    <n v="0"/>
    <m/>
  </r>
  <r>
    <n v="2"/>
    <s v="PGL23719"/>
    <s v="PERÚ"/>
    <s v="ALICORP_SAA"/>
    <s v="Distrito del Callao"/>
    <x v="0"/>
    <s v="GALLETERA &amp; INSTANTÁNEOS"/>
    <s v="Producción"/>
    <x v="1"/>
    <x v="0"/>
    <s v="Acc. No Incapacitante"/>
    <d v="2024-01-27T00:00:00"/>
    <n v="4"/>
    <n v="27"/>
    <x v="0"/>
    <n v="2024"/>
    <d v="1899-12-30T08:40:00"/>
    <s v="T"/>
    <x v="0"/>
    <x v="0"/>
    <s v="GARCIA"/>
    <s v="SARAVIA"/>
    <s v="MANUEL"/>
    <s v="MASCULINO"/>
    <n v="58"/>
    <s v="OPERADOR DE MAQUINA ENVASADORA"/>
    <d v="2014-12-19T00:00:00"/>
    <s v="Siendo las 08:40 p.m, el operador de máquina envasadora se encontraba realizando labores de limpieza del equipo de la envasadora de galletas A9 del área de bañados, y mientras retiraba los residuos en la zona, se golpea la cabeza contra la estructura de la porta bandejas que se encontraba cerca._x000a__x000a_El operador es derivado hacia tópico donde realizan limpieza de la zona afectada, colocan crema y proceden a colocar una tira adhesiva con gasa (curita) como protector. Post evaluación, se menciona que no requiere traslado y el colaborador regresa a continuar con sus actividades en planta"/>
    <s v="Golpeado contra"/>
    <s v="CABEZA"/>
    <s v="Cabeza"/>
    <s v="LIMPIEZA  DE LINEA"/>
    <s v="NA"/>
    <s v="Corte/Herida"/>
    <n v="0"/>
    <n v="0"/>
    <n v="0"/>
    <s v="Trabajando"/>
    <n v="336"/>
    <s v="&gt; 10 años"/>
    <s v="PORTA BANDEJAS"/>
    <s v="CONTRATO INDEFINIDO"/>
    <s v="Acc. No Incapacitante"/>
    <n v="0"/>
    <m/>
  </r>
  <r>
    <n v="3"/>
    <s v="PGL23662"/>
    <s v="PERÚ"/>
    <s v="ALICORP_SAA"/>
    <s v="Distrito del Callao"/>
    <x v="0"/>
    <s v="GALLETERA &amp; INSTANTÁNEOS"/>
    <s v="Producción"/>
    <x v="2"/>
    <x v="0"/>
    <s v="Acc. No Incapacitante"/>
    <d v="2024-01-10T00:00:00"/>
    <n v="2"/>
    <n v="10"/>
    <x v="0"/>
    <n v="2024"/>
    <d v="1899-12-30T16:30:00"/>
    <s v="T"/>
    <x v="1"/>
    <x v="1"/>
    <s v="NAVARRO"/>
    <s v="CHERO"/>
    <s v="ZAYURI ALEXANDRA"/>
    <s v="FEMENINO"/>
    <n v="19"/>
    <s v="APRENDIZ SENATI"/>
    <d v="2023-08-03T00:00:00"/>
    <s v="Siendo las 06:30 p.m., la aprendiz de Senati se encontraba realizando labores de alimentación de galleta en la zona de envasado de galleta de la Línea 1, para ello durante la alimentación hace el traslado de jabas de producto para el abastecimiento manual, el incidente ocurrió cuando estaba abasteciendo los paquetes a la faja, su mano derecha rozo con la guía de la faja provocándole una raspadura en la parte superior de la mano. Después de lo ocurrido al no comunicar, el encargado de línea al percatarse la derivó con el coordinador e ingeniero._x000a__x000a_La aprendiz es derivada hacia tópico, donde se realizó el lavado, aplicación de crema y colocación de curita en la zona afectada. Post evaluación, el médico concluye que no necesita traslado hacia la clínica y puede continuar con su actividad en planta"/>
    <s v="Golpeado por"/>
    <s v="MANO"/>
    <s v="Mano/Muñeca/Dedos"/>
    <s v="ALIMENTACIÓN DE PAQUETES PRIMARIOS"/>
    <s v="NA"/>
    <s v="Corte/Herida"/>
    <n v="0"/>
    <n v="0"/>
    <n v="0"/>
    <s v="Trabajando"/>
    <n v="5"/>
    <s v="&lt; 3 a 6 meses"/>
    <s v="GUIA DE FAJA"/>
    <s v="APRENDIZAJE SENATI"/>
    <s v="Acc. No Incapacitante"/>
    <n v="0"/>
    <m/>
  </r>
  <r>
    <n v="4"/>
    <s v="-"/>
    <s v="BOLIVIA"/>
    <s v="ALICORP_BOLIVIA"/>
    <m/>
    <x v="1"/>
    <s v="PLANTA DON FELIPE"/>
    <s v="Producción"/>
    <x v="3"/>
    <x v="1"/>
    <s v="Acc. Incapacitante"/>
    <d v="2024-01-08T00:00:00"/>
    <n v="2"/>
    <n v="8"/>
    <x v="0"/>
    <n v="2024"/>
    <d v="1899-12-30T11:35:00"/>
    <s v="M"/>
    <x v="2"/>
    <x v="2"/>
    <s v="MARISCAL"/>
    <s v="SIBANTY"/>
    <s v="JULIO ALBERTO"/>
    <s v="MASCULINO"/>
    <n v="35"/>
    <s v="COORDINADOR DE CALIDAD"/>
    <d v="2023-11-13T00:00:00"/>
    <s v="La empresa COAPECOM se encontraba realizando la inspección eléctrica del sistema de transporte sin-fin de la tolva de residuos, misma que se encuentra en proceso de montaje. Como parte de la inspección, se instruyó al Supervisor de COAPECOM, Sr. Julio Mariscal, que elevara el transporte sin-fin; al accionar la manivela del equipo, se produce la caída brusca del sistema, ocasionado un giro violento de la manivela que impactó la mano derecha del supervisor."/>
    <s v="Golpeado por"/>
    <s v="MANO"/>
    <s v="Mano/Muñeca/Dedos"/>
    <s v="INSPECCIÓN ELÉCTRICA"/>
    <s v="Fractura 5o metacarpiano derecho"/>
    <s v="Fractura"/>
    <n v="24"/>
    <n v="0"/>
    <n v="24"/>
    <s v="En recuperación post operatorio"/>
    <n v="120"/>
    <s v="&lt; 1 a 5 años"/>
    <s v="TRANSPORTE SIN FIN"/>
    <s v="CONTRATO INDEFINIDO"/>
    <s v="Acc. Incapacitante"/>
    <n v="0"/>
    <s v="SI"/>
  </r>
  <r>
    <n v="5"/>
    <s v="-"/>
    <s v="BOLIVIA"/>
    <s v="ALICORP_BOLIVIA"/>
    <m/>
    <x v="2"/>
    <s v="PLANTA COCHABAMBA"/>
    <s v="Producción"/>
    <x v="4"/>
    <x v="0"/>
    <s v="Acc. No Incapacitante"/>
    <d v="2024-01-18T00:00:00"/>
    <n v="3"/>
    <n v="18"/>
    <x v="0"/>
    <n v="2024"/>
    <d v="1899-12-30T03:15:00"/>
    <s v="N"/>
    <x v="0"/>
    <x v="0"/>
    <s v="SAENZ"/>
    <s v="ARRATIA"/>
    <s v="DANIEL"/>
    <s v="MASCULINO"/>
    <n v="43"/>
    <s v="RECEPCIONISTA DE MARGARINA"/>
    <d v="2014-03-01T00:00:00"/>
    <s v="A horas 3:15 am recepcionista de margarina Daniel Sáenz se tropieza con pallet de madera al estar trasladándose por la zona de cortina de ingreso de material de empaquetado, esto ocasiona que  el colaborador se  caiga y  se contusione levemente el antebrazo derecho, el operador presenta leve dolor en brazo derecho, por prevención inmediatamente se gestiona el traslado a caja nacional de salud para su revisión. "/>
    <s v="Caída al mismo nivel"/>
    <s v="ANTEBRAZO"/>
    <s v="Brazo/Codo/Hombro"/>
    <s v="ARME CAJAS"/>
    <s v="Policontusión"/>
    <s v="Contusión/Trauma"/>
    <n v="0"/>
    <s v="-"/>
    <n v="0"/>
    <s v="Trabajando"/>
    <n v="118"/>
    <s v="&lt; 5 a 10 años"/>
    <s v="PISO CON OBSTACULOS"/>
    <s v="CONTRATO INDEFINIDO"/>
    <s v="Acc. No Incapacitante"/>
    <n v="0"/>
    <m/>
  </r>
  <r>
    <n v="6"/>
    <s v="-"/>
    <s v="BOLIVIA"/>
    <s v="ALICORP_BOLIVIA"/>
    <m/>
    <x v="1"/>
    <s v="PLANTA DON FELIPE"/>
    <s v="Calidad"/>
    <x v="5"/>
    <x v="0"/>
    <s v="Acc. No Incapacitante"/>
    <d v="2024-01-03T00:00:00"/>
    <n v="1"/>
    <n v="3"/>
    <x v="0"/>
    <n v="2024"/>
    <d v="1899-12-30T00:35:00"/>
    <s v="N"/>
    <x v="0"/>
    <x v="0"/>
    <s v="SALDAÑA"/>
    <s v="PADILLA"/>
    <s v="ERICKA"/>
    <s v="FEMENINO"/>
    <n v="53"/>
    <s v="ANALISTA DE LABORATORIO"/>
    <d v="2003-04-01T00:00:00"/>
    <s v="Bajada violenta de carro de muestreo, el cual golpea la fosa poplítea de la pierna derecha ocasionando caída al mismo nivel."/>
    <s v="Caída al mismo nivel"/>
    <s v="PIERNA"/>
    <s v="Pierna"/>
    <s v="TRASLADO DE MUESTRAS"/>
    <s v="Bursitis rodilla derecha"/>
    <s v="Contusión/Trauma"/>
    <n v="0"/>
    <s v="-"/>
    <n v="0"/>
    <s v="Trabajando"/>
    <n v="248"/>
    <s v="&gt; 10 años"/>
    <s v="PISO CON DESNIVELES"/>
    <s v="CONTRATO INDEFINIDO"/>
    <s v="Acc. No Incapacitante"/>
    <n v="0"/>
    <m/>
  </r>
  <r>
    <n v="7"/>
    <s v="PCO23723"/>
    <s v="PERÚ"/>
    <s v="ALICORP_SAA"/>
    <s v="PREDIO CENTRAL"/>
    <x v="3"/>
    <s v="COPSA"/>
    <s v="Producción"/>
    <x v="6"/>
    <x v="1"/>
    <s v="Acc. Incapacitante"/>
    <d v="2024-01-02T00:00:00"/>
    <n v="1"/>
    <n v="2"/>
    <x v="0"/>
    <n v="2024"/>
    <d v="1899-12-30T08:35:00"/>
    <s v="M"/>
    <x v="0"/>
    <x v="3"/>
    <s v="ABANTO"/>
    <s v="CHAVEZ"/>
    <s v="JUAN SALVADOR"/>
    <s v="MASCULINO"/>
    <n v="60"/>
    <s v="AYUDANTE DE SANEAMIENTO"/>
    <d v="2006-10-05T00:00:00"/>
    <s v="El colaborador se dirige a la azotea de Salsas 3 (3er piso) para recoger la cartelería que se había guardado en dicha zona, para retornarlo a su lugar de origen, al haber concluido los trabajos de pintura en la cámara de refrigeración (1er piso); en dicho trayecto se tropieza con la parte sobresaliente de unos pernos pasantes de soporte de tuberías, cayendo sobre su rodilla izquierda._x000a_El colaborador manifiesta que se repone y continúa su trayecto llegando al 1er piso y siente un fuerte dolor en la zona afectada, procediendo a comunicar a su líder de turno."/>
    <s v="Caída al mismo nivel"/>
    <s v="PIERNA"/>
    <s v="Rodilla"/>
    <s v="Traslado de carteles desde almacén de materiales a cámara de refrigeración"/>
    <s v="Esguince de rodilla izquierda"/>
    <s v="Esguince/Torcedura"/>
    <n v="180"/>
    <n v="0"/>
    <n v="180"/>
    <s v="En recuperación post intervención quirúrgica"/>
    <n v="207"/>
    <s v="&gt; 10 años"/>
    <s v="PISO CON PERNO PASANTE SOBRESALIENTE"/>
    <s v="CONTRATO INDEFINIDO"/>
    <s v="Acc. Incapacitante"/>
    <n v="0"/>
    <s v="SI"/>
  </r>
  <r>
    <n v="8"/>
    <s v="PGL23738"/>
    <s v="PERÚ"/>
    <s v="ALICORP_SAA"/>
    <s v="Distrito del Callao"/>
    <x v="0"/>
    <s v="GALLETERA &amp; INSTANTÁNEOS"/>
    <s v="Producción"/>
    <x v="2"/>
    <x v="1"/>
    <s v="Acc. Incapacitante"/>
    <d v="2024-02-02T00:00:00"/>
    <n v="5"/>
    <n v="2"/>
    <x v="1"/>
    <n v="2024"/>
    <d v="1899-12-30T15:34:00"/>
    <s v="M"/>
    <x v="0"/>
    <x v="3"/>
    <s v="COTRINA "/>
    <s v="ALANYA"/>
    <s v="MARIBEL"/>
    <s v="FEMENINO"/>
    <n v="25"/>
    <s v="OPERARIO DE PRODUCCIÓN"/>
    <d v="2024-01-24T00:00:00"/>
    <s v="Siendo las 03:34 p.m, la señorita operaria de producción se encontraba realizando labores de alimentación de galleta en la envasadora C3 de la línea 1, debido al fin de turno procede a realizar la limpieza de su zona de trabajo, durante la actividad al querer retirar residuos de galleta del pistón de centrado de la faja de acomodo, procede a introducir la mano por debajo de la guarda de seguridad, sufriendo un atrapamiento debido a la activación del pistón"/>
    <s v="Atrapado por Partes en Movimiento"/>
    <s v="MANO"/>
    <s v="Mano/Muñeca/Dedos"/>
    <s v="LIMPIEZA DE LINEA"/>
    <s v="TRAUMATISMO POR ATRAPAMIENTO DEL DEDO PULGAR Y OTROS DEDOS"/>
    <s v="Contusión/Trauma"/>
    <n v="30"/>
    <n v="0"/>
    <n v="30"/>
    <s v="Descanso Médico"/>
    <n v="0"/>
    <s v="&lt; 1 mes"/>
    <s v="PISTON"/>
    <s v="CONTRATO INDEFINIDO"/>
    <s v="Acc. Incapacitante"/>
    <n v="0"/>
    <s v="SI"/>
  </r>
  <r>
    <n v="9"/>
    <s v="-"/>
    <s v="BOLIVIA"/>
    <s v="ALICORP_BOLIVIA"/>
    <m/>
    <x v="4"/>
    <s v="PLANTA PARQUE INDUSTRIAL"/>
    <s v="Producción"/>
    <x v="7"/>
    <x v="0"/>
    <s v="Acc. No Incapacitante"/>
    <d v="2024-01-17T00:00:00"/>
    <n v="3"/>
    <n v="17"/>
    <x v="0"/>
    <n v="2024"/>
    <d v="1899-12-30T16:30:00"/>
    <s v="T"/>
    <x v="2"/>
    <x v="4"/>
    <s v="ARIAS"/>
    <s v="SALCES"/>
    <s v="JESUS IGNACIO"/>
    <s v="MASCULINO"/>
    <n v="40"/>
    <s v="SUPERVISOR DE CUADRILLA"/>
    <d v="2024-01-07T00:00:00"/>
    <s v="El día 17/01/2023 a las 16:30 se reporta un corte superficial en la parte dorsal de la mano derecha de unos 3 cm aprox . El contratista se encontraba ajustando una tolva y cuando ejerce palanca con una barreta esta se sale de su posición y la mano se proyecta hacia la tolva golpeando un perno y ocasionándole el corte. Personal contratista fue atendido de primeros auxilios en posta médica. El corte en requirió sutura de 5 puntos y limpieza. Al otro día retornó a sus actividades restringido a realizar sus trabajos de supervisión de personal a nivel del piso."/>
    <s v="Contacto con superficie filosa"/>
    <s v="MANO"/>
    <s v="Mano/Muñeca/Dedos"/>
    <s v="AJUSTE DE TOLVA"/>
    <s v="Corte superficial mano derecha"/>
    <s v="Corte/Herida"/>
    <n v="0"/>
    <n v="0"/>
    <n v="0"/>
    <s v="Trabajando"/>
    <n v="120"/>
    <s v="&lt; 1 a 5 años"/>
    <s v="SUPERFICIE FILOSA"/>
    <s v="CONTRATO TEMPORAL"/>
    <s v="Acc. No Incapacitante"/>
    <n v="0"/>
    <m/>
  </r>
  <r>
    <n v="10"/>
    <s v="PGL23731"/>
    <s v="PERÚ"/>
    <s v="ALICORP_SAA"/>
    <s v="Distrito del Callao"/>
    <x v="0"/>
    <s v="GALLETERA &amp; INSTANTÁNEOS"/>
    <s v="Producción"/>
    <x v="8"/>
    <x v="1"/>
    <s v="Acc. Incapacitante"/>
    <d v="2024-02-06T00:00:00"/>
    <n v="6"/>
    <n v="6"/>
    <x v="1"/>
    <n v="2024"/>
    <d v="1899-12-30T06:40:00"/>
    <s v="M"/>
    <x v="0"/>
    <x v="3"/>
    <s v="ZAPATA"/>
    <s v="GASTELO"/>
    <s v="OSCAR PAUL"/>
    <s v="MASCULINO"/>
    <s v="-"/>
    <s v="OPERARIO DE PRODUCCIÓN"/>
    <s v="-"/>
    <s v="Siendo las 06:35, el operario de Producción Oscar Zapata Gastelo se encontraba realizando labores de alimentación de galletas en los magazines del equipo Torre Línea 3, durante la actividad su mano derecha entra en contacto con una astilla metálica en la superficie del magazine, causándole un corte en el quinto dedo de la mano derecha. "/>
    <s v="Contacto con superficie filosa"/>
    <s v="MANO"/>
    <s v="Mano/Muñeca/Dedos"/>
    <s v="ALIMENTACIÓN DE GALLETAS"/>
    <s v="Herida del dedo meñique"/>
    <s v="Corte/Herida"/>
    <n v="2"/>
    <n v="0"/>
    <n v="2"/>
    <s v="Descanso Médico"/>
    <n v="62"/>
    <s v="&lt; 5 a 10 años"/>
    <s v="SUPERFICIE FILOSA"/>
    <s v="CONTRATO INDEFINIDO"/>
    <s v="Acc. Incapacitante"/>
    <n v="0"/>
    <s v="SI"/>
  </r>
  <r>
    <n v="11"/>
    <s v="ILU23736"/>
    <s v="PERÚ"/>
    <s v="INTRADEVCO_INDUSTRIAL_SA"/>
    <s v="Distrito de Lurín"/>
    <x v="5"/>
    <s v="Lurin 2_Planta principal"/>
    <s v="Producción"/>
    <x v="9"/>
    <x v="1"/>
    <s v="Acc. Incapacitante"/>
    <d v="2024-01-03T00:00:00"/>
    <n v="1"/>
    <n v="3"/>
    <x v="0"/>
    <n v="2024"/>
    <d v="1899-12-30T08:00:00"/>
    <s v="M"/>
    <x v="3"/>
    <x v="5"/>
    <s v="MEJÍA"/>
    <s v="CRISOSTOMO"/>
    <s v="ADA KELY"/>
    <s v="FEMENINO"/>
    <n v="23"/>
    <s v="OPERARIO DE PRODUCCIÓN"/>
    <d v="2023-04-01T00:00:00"/>
    <s v="La colaboradora se encontraba empleando una cuchilla para retirar las partes del plástico contaminado de uno de los frascos (galonera 5L). Esta actividad consiste en emplear una cuchilla para cortar en forma circular alrededor de las manchas o materiales extraños detectados en el frasco._x000a__x000a_Durante la actividad de corte, la colaboradora ejerce presión sobre la superficie que presentaba rigidez y realiza un corte ejerciendo fuerza en dirección a su cuerpo; producto de esta acción, la botella es cortada y la cuchilla alcanza la parte expuesta del antebrazo de la persona, entre el guante anticorte y el polo que se encontraba arremangado._x000a__x000a_La colaboradora comunica lo ocurrido a su supervisora y es atendida en el tópico. Se traslada a la colaboradora a la clínica para suturar la herida._x000a__x000a_Se procede con la investigación del accidente."/>
    <s v="Contacto con superficie cortante"/>
    <s v="ANTEBRAZO"/>
    <s v="Brazo/Codo/Hombro"/>
    <s v="Retiro de contaminación en envase"/>
    <s v="Herida en el antebrazo izquierdo"/>
    <s v="Corte/Herida"/>
    <n v="9"/>
    <n v="0"/>
    <n v="9"/>
    <s v="Trabajando"/>
    <n v="8"/>
    <s v="&lt; 0.5 a 1 año"/>
    <s v="SUPERFICIE FILOSA"/>
    <s v="CONTRATO TEMPORAL"/>
    <s v="Acc. Incapacitante"/>
    <n v="0"/>
    <s v="SI"/>
  </r>
  <r>
    <n v="12"/>
    <s v="-"/>
    <s v="PERÚ"/>
    <s v="INTRADEVCO_INDUSTRIAL_SA"/>
    <s v="Distrito de Chorrillos"/>
    <x v="5"/>
    <s v="Chorrillos"/>
    <s v="Producción"/>
    <x v="10"/>
    <x v="0"/>
    <s v="Acc. No Incapacitante"/>
    <d v="2024-01-09T00:00:00"/>
    <n v="2"/>
    <n v="9"/>
    <x v="0"/>
    <n v="2024"/>
    <d v="1899-12-30T07:50:00"/>
    <s v="M"/>
    <x v="3"/>
    <x v="5"/>
    <s v="RENGIFO"/>
    <s v="AMASIFUEN"/>
    <s v="DAN MICHAEL"/>
    <s v="MASCULINO"/>
    <n v="34"/>
    <s v="OPERARIO DE PRODUCCIÓN"/>
    <d v="2024-01-02T00:00:00"/>
    <s v="Trabajador refiere salpicadura de éter en espalda,  brazo y hemicara derecha. Refiere uso de EPP completo. Acudió a tópico donde se evaluó y se le brindo atención médica con reevaluación en 2 horas. _x000a_En la reevaluación, colaborador refirió cefalea, ardor en ambos ojos y parestesia de hemicara derecha."/>
    <s v="Exposición a Sustancias Químicas"/>
    <s v="CABEZA"/>
    <s v="Rostro/Nariz/Boca"/>
    <s v="Trasvase de productos"/>
    <s v="Dematitis"/>
    <s v="Quemadura Química"/>
    <n v="0"/>
    <n v="0"/>
    <n v="0"/>
    <s v="Cesado"/>
    <n v="0"/>
    <s v="&lt; 1 mes"/>
    <s v="Sustancia química"/>
    <s v="CONTRATO TEMPORAL"/>
    <s v="Acc. No Incapacitante"/>
    <n v="0"/>
    <m/>
  </r>
  <r>
    <n v="13"/>
    <s v="-"/>
    <s v="PERÚ"/>
    <s v="INTRADEVCO_INDUSTRIAL_SA"/>
    <s v="Distrito de Lurín"/>
    <x v="5"/>
    <s v="Lurin 2_Principal"/>
    <s v="Producción"/>
    <x v="11"/>
    <x v="0"/>
    <s v="Acc. No Incapacitante"/>
    <d v="2024-01-19T00:00:00"/>
    <n v="3"/>
    <n v="19"/>
    <x v="0"/>
    <n v="2024"/>
    <d v="1899-12-30T06:00:00"/>
    <s v="M"/>
    <x v="3"/>
    <x v="5"/>
    <s v="VILLACORTA"/>
    <s v="ASIPALI"/>
    <s v="ALEX"/>
    <s v="MASCULINO"/>
    <n v="25"/>
    <s v="OPERARIO DE PRODUCCIÓN"/>
    <d v="2023-05-25T00:00:00"/>
    <s v="El colaborador accidentado se encontraba realizando actividades de colocación de pulsadores a las latas, en la mesa de trabajo al lado derecho de la máquina llenadora de gas._x000a__x000a_El colaborador se acerca hacia la izquierda para coger más latas, cuando siente la salpicadura de liquido en el ojo izquierdo. La salpicadura se dio en el llenado de gas, debido a que la válvula no fue encrimpada. "/>
    <s v="Exposición a Sustancias Químicas"/>
    <s v="OJOS"/>
    <s v="Ojos"/>
    <s v="Colocación de tapas a producto"/>
    <s v="Irritación visutal"/>
    <s v="Quemadura Química"/>
    <n v="0"/>
    <n v="0"/>
    <n v="0"/>
    <s v="Trabajando"/>
    <n v="8"/>
    <s v="&lt; 0.5 a 1 año"/>
    <s v="Sustancia química"/>
    <s v="CONTRATO TEMPORAL"/>
    <s v="Acc. No Incapacitante"/>
    <n v="0"/>
    <m/>
  </r>
  <r>
    <n v="14"/>
    <s v="-"/>
    <s v="PERÚ"/>
    <s v="INTRADEVCO_INDUSTRIAL_SA"/>
    <s v="Distrito de Lurín"/>
    <x v="5"/>
    <s v="Lurin 3_Sulfonación"/>
    <s v="Producción"/>
    <x v="12"/>
    <x v="0"/>
    <s v="Acc. No Incapacitante"/>
    <d v="2024-01-31T00:00:00"/>
    <n v="5"/>
    <n v="31"/>
    <x v="0"/>
    <n v="2024"/>
    <d v="1899-12-30T13:55:00"/>
    <s v="M"/>
    <x v="3"/>
    <x v="5"/>
    <s v="PALOMINO"/>
    <s v="YURIVILCA"/>
    <s v="YESSICA"/>
    <s v="FEMENINO"/>
    <n v="26"/>
    <s v="SUPERVISOR DE SEGURIDAD"/>
    <d v="2022-03-17T00:00:00"/>
    <s v="Colaboradoras Meilin Ticona Rodriguez (CAO) y Yessica Palomino Yurivilca (CAO) Se encontraban retornando de su hora de refrigerio con dirección a tubepack, cuando transitaban por el sendero peatonal de Sulfonacion 2 , perciben olor extraño, consigo ardor de vía nasal, ardor de garganta y tos. Inmediatamente dan aviso al supervisor de Planta Arturo Gonzales. Posteriormente se trasladan al tópico. "/>
    <s v="Exposición a Sustancias Químicas"/>
    <s v="VÍAS RESPIRATORIAS"/>
    <s v="Vías Respiratorias"/>
    <s v="Desplazamiento en sendero peatonal"/>
    <s v="Intoxicación"/>
    <s v="Intoxicación"/>
    <n v="0"/>
    <n v="0"/>
    <n v="0"/>
    <s v="Trabajando"/>
    <n v="22"/>
    <s v="&lt; 1 a 5 años"/>
    <s v="Sustancia química"/>
    <s v="CONTRATO TEMPORAL"/>
    <s v="Acc. No Incapacitante"/>
    <n v="0"/>
    <m/>
  </r>
  <r>
    <n v="15"/>
    <s v="-"/>
    <s v="PERÚ"/>
    <s v="INTRADEVCO_INDUSTRIAL_SA"/>
    <s v="Distrito de Lurín"/>
    <x v="5"/>
    <s v="Lurin 2_Principal"/>
    <s v="Producción"/>
    <x v="13"/>
    <x v="0"/>
    <s v="Acc. No Incapacitante"/>
    <d v="2024-02-03T00:00:00"/>
    <n v="5"/>
    <n v="3"/>
    <x v="1"/>
    <n v="2024"/>
    <d v="1899-12-30T12:15:00"/>
    <s v="M"/>
    <x v="3"/>
    <x v="5"/>
    <s v="MOZOMBITE"/>
    <s v="GARCIA"/>
    <s v="CLARA INES"/>
    <s v="FEMENINO"/>
    <n v="22"/>
    <s v="OPERARIO DE PRODUCCIÓN"/>
    <d v="2024-01-05T00:00:00"/>
    <s v="Colaboradora se encontraba bajando las escaleras luego de almorzar, menciona que estaba usando el pasamanos, pero encontrándose en los últimos peldaños se soltó, creyendo ya pisar el nivel del piso, pero un le faltaba el último peldaño, es ahí que cae y se golpea las rodillas. _x000a__x000a_Posteriormente da aviso a su supervisora y es trasladada al tópico "/>
    <s v="Caída a distinto nivel"/>
    <s v="RODILLAS"/>
    <s v="Rodilla"/>
    <s v="Desplazamiento en escalera"/>
    <s v="Contusión"/>
    <s v="Contusión/Trauma"/>
    <n v="0"/>
    <n v="0"/>
    <n v="0"/>
    <s v="Trabajando"/>
    <n v="0"/>
    <s v="&lt; 1 mes"/>
    <s v="Altura estructural"/>
    <s v="CONTRATO TEMPORAL"/>
    <s v="Acc. No Incapacitante"/>
    <n v="0"/>
    <m/>
  </r>
  <r>
    <n v="16"/>
    <s v="-"/>
    <s v="PERÚ"/>
    <s v="INTRADEVCO_INDUSTRIAL_SA"/>
    <s v="Distrito de Lurín"/>
    <x v="5"/>
    <s v="Lurin 2_Principal"/>
    <s v="Medio Ambiente"/>
    <x v="14"/>
    <x v="0"/>
    <s v="Acc. No Incapacitante"/>
    <d v="2024-02-10T00:00:00"/>
    <n v="6"/>
    <n v="10"/>
    <x v="1"/>
    <n v="2024"/>
    <d v="1899-12-30T10:35:00"/>
    <s v="M"/>
    <x v="4"/>
    <x v="6"/>
    <s v="DE LA TORRE"/>
    <s v="HUAMAN"/>
    <s v="DAVID MOISES"/>
    <s v="MASCULINO"/>
    <s v="-"/>
    <s v="OPERARIO"/>
    <s v="-"/>
    <s v="El colaborador David Moises De la Torre Huaman, culminó la actividad de prensado y procedió a cerrar las dos puertas de la compactadora en simultáneo, manteniendo el dedo pulgar de la mano izquierda entre ambas puertas, produciéndose una atricción y una herida superficial"/>
    <s v="Atrapado por Partes en Movimiento"/>
    <s v="DEDOS DE LA MANO"/>
    <s v="Mano/Muñeca/Dedos"/>
    <s v="Cierre de puerta de compactadora"/>
    <s v="Atricción"/>
    <s v="Contusión/Trauma"/>
    <n v="0"/>
    <n v="0"/>
    <n v="0"/>
    <s v="Trabajando"/>
    <m/>
    <m/>
    <s v="MÁQUINA/EQUIPO"/>
    <s v="CONTRATO TEMPORAL"/>
    <s v="Acc. No Incapacitante"/>
    <n v="0"/>
    <m/>
  </r>
  <r>
    <n v="17"/>
    <s v="-"/>
    <s v="PERÚ"/>
    <s v="INTRADEVCO_INDUSTRIAL_SA"/>
    <s v="Distrito de Lurín"/>
    <x v="5"/>
    <s v="Lurin 2_Principal"/>
    <s v="Producción"/>
    <x v="15"/>
    <x v="0"/>
    <s v="Acc. No Incapacitante"/>
    <d v="2024-02-13T00:00:00"/>
    <n v="7"/>
    <n v="13"/>
    <x v="1"/>
    <n v="2024"/>
    <d v="1899-12-30T09:15:00"/>
    <s v="N"/>
    <x v="4"/>
    <x v="6"/>
    <s v="GUTIERREZ"/>
    <s v="ROJAS"/>
    <s v="JULIA"/>
    <s v="FEMENINO"/>
    <s v="-"/>
    <s v="OPERARIA"/>
    <s v="-"/>
    <s v="La colaboradora Julia Gutierrez Rojas (alteliza) estaba realizando limpieza en garita LOTE4, ya que estaba utilizando un envase con el contenido de lejía y agua, al momento de realizar la actividad el envase se le desprende de la mano y cae al suelo por lo que se rompió la rosca del gatillo y se produjo la Salpicadura en el ojo derecho, indicar que la colaborador no estaba haciendo uso de sus lentes de seguridad en plena actividad."/>
    <s v="Proyección de Sustancias Químicas"/>
    <s v="OJOS"/>
    <s v="Ojos"/>
    <s v="Limpieza del área"/>
    <s v="Irritación visutal"/>
    <s v="Cuerpo Extraño en Ojos"/>
    <n v="0"/>
    <n v="0"/>
    <n v="0"/>
    <s v="Trabajando"/>
    <m/>
    <m/>
    <s v="Sustancia química"/>
    <s v="CONTRATO TEMPORAL"/>
    <s v="Acc. No Incapacitante"/>
    <n v="0"/>
    <m/>
  </r>
  <r>
    <n v="18"/>
    <s v="-"/>
    <s v="PERÚ"/>
    <s v="INTRADEVCO_INDUSTRIAL_SA"/>
    <s v="Distrito de Lurín"/>
    <x v="5"/>
    <s v="Lurin 2_Principal"/>
    <s v="Producción"/>
    <x v="16"/>
    <x v="0"/>
    <s v="Acc. No Incapacitante"/>
    <d v="2024-02-13T00:00:00"/>
    <n v="7"/>
    <n v="13"/>
    <x v="1"/>
    <n v="2024"/>
    <s v="-"/>
    <s v="-"/>
    <x v="2"/>
    <x v="5"/>
    <s v="PALACIOS"/>
    <s v="ABAD"/>
    <s v="JOSE LUIS"/>
    <s v="MASCULINO"/>
    <s v="-"/>
    <s v="OPERARIO DE PRODUCCIÓN"/>
    <s v="-"/>
    <s v="Colaborador se encontraba realizando actividades de traslado de cajas con PT,  se percata que los rodillos giratorios se encontraban mojados, motivo por la cual procede con la limpieza del rodillo mientras ésta se encontraba girando aun, continua con la limpieza hasta tener acercamiento a la faja transportadora en movimiento y sufre atrapamiento de dedos entre el rodillo y la faja. Posteriormente da aviso a la supervisora y es trasladado al tópico."/>
    <s v="Atrapado por Partes en Movimiento"/>
    <s v="MANO"/>
    <s v="Mano/Muñeca/Dedos"/>
    <s v="Limpieza de polines"/>
    <s v="Atricción"/>
    <s v="Contusión/Trauma"/>
    <n v="0"/>
    <n v="0"/>
    <n v="0"/>
    <s v="Trabajando"/>
    <m/>
    <m/>
    <s v="MÁQUINA/EQUIPO"/>
    <s v="CONTRATO TEMPORAL"/>
    <s v="Acc. No Incapacitante"/>
    <n v="0"/>
    <m/>
  </r>
  <r>
    <n v="19"/>
    <s v="-"/>
    <s v="PERÚ"/>
    <s v="INTRADEVCO_INDUSTRIAL_SA"/>
    <s v="Distrito de Lurín"/>
    <x v="5"/>
    <s v="Lurin 2_Principal"/>
    <s v="Producción"/>
    <x v="9"/>
    <x v="0"/>
    <s v="Acc. No Incapacitante"/>
    <d v="2024-03-30T00:00:00"/>
    <n v="13"/>
    <n v="30"/>
    <x v="2"/>
    <n v="2024"/>
    <d v="1899-12-30T22:00:00"/>
    <s v="N"/>
    <x v="3"/>
    <x v="5"/>
    <s v="PAREJAS"/>
    <s v="CORNEJO"/>
    <s v="ESTEFANI"/>
    <s v="FEMENINO"/>
    <n v="25"/>
    <s v="OPERARIO DE PRODUCCIÓN"/>
    <d v="2024-05-01T00:00:00"/>
    <s v="Colaboradora iba realizar el traslado de una paleta hacia zona demarcada de apilamiento en la máquina JH5 Procede a intentar bajar la paleta desde una ruma de 3, levanta la plataforma y por el peso se le resbala quedando el dedo atrapado entre la plataforma y el taco, causando herida en la uña. *Colaboradora no se percató del mal estado de la paleta ( el taco central, estaba separado de la plataforma) dejando un clavo expuesto *Colaboradora se encontraba sin guantes para manipulación de paletas ."/>
    <s v="Contacto con superficie cortante"/>
    <s v="MANO"/>
    <s v="Mano/Muñeca/Dedos"/>
    <s v="Manipulación de paletas"/>
    <s v="Herida en dedo"/>
    <s v="Corte/Herida"/>
    <n v="0"/>
    <n v="0"/>
    <n v="0"/>
    <s v="Trabajando"/>
    <n v="10"/>
    <s v="&lt; 0.5 a 1 año"/>
    <s v="PALETA"/>
    <s v="CONTRATO TEMPORAL"/>
    <s v="Acc. No Incapacitante"/>
    <n v="0"/>
    <m/>
  </r>
  <r>
    <n v="20"/>
    <s v="-"/>
    <s v="PERÚ"/>
    <s v="INTRADEVCO_INDUSTRIAL_SA"/>
    <s v="DETERGENTES"/>
    <x v="5"/>
    <s v="CD1-CD2"/>
    <s v="Distribución"/>
    <x v="17"/>
    <x v="0"/>
    <s v="Acc. No Incapacitante"/>
    <d v="2024-01-08T00:00:00"/>
    <n v="2"/>
    <n v="8"/>
    <x v="0"/>
    <n v="2024"/>
    <d v="1899-12-30T22:30:00"/>
    <s v="N"/>
    <x v="3"/>
    <x v="7"/>
    <s v="BERRIO"/>
    <s v=" HUAMANI"/>
    <s v=" DIANA"/>
    <s v="FEMENINO"/>
    <n v="29"/>
    <s v="OPERARIO DE DESPACHO"/>
    <d v="2024-01-01T00:00:00"/>
    <s v="Manipulando transpaleta y al estacionar para descargar recibe contusión en dedo pulgar   con paletas mal apiladas"/>
    <s v="Golpeado por"/>
    <s v="DEDO PULGAR IZQUIERDO"/>
    <s v="Mano/Muñeca/Dedos"/>
    <s v="Operación de transpaleta"/>
    <s v="Contusion"/>
    <s v="Contusión/Trauma"/>
    <n v="0"/>
    <n v="0"/>
    <n v="0"/>
    <s v="Trabajando"/>
    <n v="0.23"/>
    <s v="&lt; 1 mes"/>
    <s v="PALETA"/>
    <s v="CONTRATO TEMPORAL"/>
    <s v="Acc. No Incapacitante"/>
    <n v="0"/>
    <m/>
  </r>
  <r>
    <n v="21"/>
    <s v="-"/>
    <s v="PERÚ"/>
    <s v="ALICORP_SAA"/>
    <s v="MCA"/>
    <x v="6"/>
    <s v="Administración"/>
    <s v="Administración"/>
    <x v="18"/>
    <x v="1"/>
    <s v="Acc. Incapacitante"/>
    <d v="2024-01-17T00:00:00"/>
    <n v="3"/>
    <n v="17"/>
    <x v="0"/>
    <n v="2024"/>
    <d v="1899-12-30T08:40:00"/>
    <s v="M"/>
    <x v="2"/>
    <x v="8"/>
    <s v="ALVAREZ"/>
    <s v="CERVANTES"/>
    <s v="RODOLFO"/>
    <s v="MASCULINO"/>
    <n v="33"/>
    <s v="PEON"/>
    <s v="-"/>
    <s v="El 17 de enero a las 8:40 am, aproximadamente, el trabajador ALVAREZ CERVANTES ADOLFO, personal de la subcontrata de la empresa Binswanger, se encontraba descendiendo hacia dentro de la cisterna para hacer limpieza de esta._x000a_El trabajador intentó bajar al interior de la cisterna por el área de la escotilla, el área contaba con fierros sobresalidos cada uno con capuchones*_x000a_El trabajador colocó una escalera lineal* y la cual se deslizó, provocando la expulsión de uno de los capuchones de protección con el cual el trabajador sufrió la incrustación del fierro de unos centímetros, en la altura del abdomen (zona lateral derecha)."/>
    <s v="Caída a distinto nivel"/>
    <s v="Abdómen"/>
    <s v="Abdomen/Torso"/>
    <s v="-"/>
    <m/>
    <s v="Contusión/Trauma"/>
    <n v="16"/>
    <n v="0"/>
    <n v="16"/>
    <m/>
    <n v="60"/>
    <s v="&lt; 1 a 5 años"/>
    <m/>
    <m/>
    <s v="Acc. Incapacitante"/>
    <n v="0"/>
    <s v="SI"/>
  </r>
  <r>
    <n v="22"/>
    <s v="-"/>
    <s v="ECUADOR"/>
    <s v="VITAPRO"/>
    <s v="BICIS 2"/>
    <x v="7"/>
    <s v="INBALNOR"/>
    <s v="Proyectos"/>
    <x v="19"/>
    <x v="1"/>
    <s v="Acc. Incapacitante"/>
    <d v="2024-01-17T00:00:00"/>
    <n v="3"/>
    <n v="17"/>
    <x v="0"/>
    <n v="2024"/>
    <d v="1899-12-30T14:30:00"/>
    <s v="M"/>
    <x v="2"/>
    <x v="9"/>
    <s v="FLORES"/>
    <s v="GARCÍA"/>
    <s v="DIEGO ARMANDO"/>
    <s v="MASCULINO"/>
    <n v="30"/>
    <s v="SOLDADOR"/>
    <s v="-"/>
    <s v="El 17 de enero a las 2:30 pm, el trabajador DIEGO ARMANDO FLORES GARCIA, de la empresa EVA ENGINEERING se encontraba realizando soldadura de las estructuras de una plataforma metálica en construcción ubicada a 3 metros de altura aproximadamente. _x000a__x000a_El trabajador al cambiarse de posición desenganchó su eslinga para poder trasladarse sobre la plataforma en construcción, indicó que se desvaneció en ese momento y cayó desde la plataforma hasta el nivel piso. El impacto de la caída golpea su rostro contra un equipo instalado _x000a_"/>
    <s v="Caída a distinto nivel"/>
    <s v="Labio inferior"/>
    <s v="Rostro/Nariz/Boca"/>
    <s v="-"/>
    <s v="Herida labio inferior 2cm"/>
    <s v="Corte/Herida"/>
    <n v="3"/>
    <n v="0"/>
    <n v="3"/>
    <m/>
    <m/>
    <s v="&lt; 5 a 10 años"/>
    <m/>
    <m/>
    <s v="Acc. Incapacitante"/>
    <n v="0"/>
    <s v="SI"/>
  </r>
  <r>
    <n v="23"/>
    <s v="-"/>
    <s v="CHILE"/>
    <s v="VITAPRO"/>
    <s v="Chile"/>
    <x v="7"/>
    <s v="SALMOFOOD"/>
    <s v="Mantenimiento"/>
    <x v="20"/>
    <x v="1"/>
    <s v="Acc. Incapacitante"/>
    <d v="2024-01-04T00:00:00"/>
    <n v="1"/>
    <n v="4"/>
    <x v="0"/>
    <n v="2024"/>
    <d v="1899-12-30T15:00:00"/>
    <s v="M"/>
    <x v="0"/>
    <x v="10"/>
    <s v="-"/>
    <s v="-"/>
    <s v="-"/>
    <s v="MASCULINO"/>
    <n v="28"/>
    <s v="TECNICO MECÁNICO"/>
    <s v="-"/>
    <s v="Durante el turno de la tarde, dos trabajadores de mantención mecánica reciben llamado al radiotransmisor por falla en elevador L3 y L4, al llegar a revisar, notan que el cernidor se encontraba trabado con producto húmedo, por lo cual comienzan a golpear las paredes del equipo con un combo de goma, un trabajador golpea el lado izquierdo y el segundo trabajador golpea el lado derecho (el cual tenía el acceso y espacio de trabajo mas reducido) en el momento que trabajador procede a golpear la pared del cernidor con el mazo de goma, pasa a golpear su mano contra el cernidor con toda la fuerza del golpe mientras sostenía el combo."/>
    <s v="Golpeado contra"/>
    <s v="Dedo anular mano derecha"/>
    <s v="Mano/Muñeca/Dedos"/>
    <s v="-"/>
    <s v="Lesión en dedo"/>
    <s v="Contusión/Trauma"/>
    <n v="9"/>
    <n v="0"/>
    <n v="9"/>
    <m/>
    <n v="20"/>
    <s v="&lt; 1 a 5 años"/>
    <s v="COMBA DE GOMA"/>
    <m/>
    <s v="Acc. Incapacitante"/>
    <n v="0"/>
    <s v="SI"/>
  </r>
  <r>
    <n v="24"/>
    <s v="-"/>
    <s v="PERÚ"/>
    <s v="ALICORP_SAA"/>
    <s v="Distrito del Callao"/>
    <x v="8"/>
    <s v="DETERGENTES CALLAO"/>
    <s v="Producción"/>
    <x v="21"/>
    <x v="1"/>
    <s v="Acc. Incapacitante"/>
    <d v="2024-01-05T00:00:00"/>
    <n v="1"/>
    <n v="5"/>
    <x v="0"/>
    <n v="2024"/>
    <d v="1899-12-30T02:30:00"/>
    <s v="N"/>
    <x v="0"/>
    <x v="3"/>
    <s v="TENAZOA"/>
    <s v="AREVALO"/>
    <s v="KEVIN"/>
    <s v="MASCULINO"/>
    <n v="38"/>
    <s v="OPERADOR DE ENFARDADO"/>
    <d v="2014-01-20T00:00:00"/>
    <s v="El Sr. Kevin Tenazoa al bajar por las gradas de los SSHH frente a planta sufre un resbalón, haciendo que su rodilla derecha sufra una contusión, originándole dolor que le impidió ponerse de pie. Fue atendido por la ambulancia y posteriormente derivado a la clínica San Gabriel."/>
    <s v="Caída al mismo nivel"/>
    <s v="PIERNA"/>
    <s v="Rodilla"/>
    <s v="Bajando escaleras de SSHH"/>
    <s v="Esguince y torcedura en rodilla derecha"/>
    <s v="Esguince/Torcedura"/>
    <n v="180"/>
    <n v="0"/>
    <n v="180"/>
    <s v="Trabajando"/>
    <n v="119"/>
    <s v="&lt; 5 a 10 años"/>
    <s v="ESCALERAS"/>
    <s v="CONTRATO INDEFINIDO"/>
    <s v="Acc. Incapacitante"/>
    <n v="0"/>
    <s v="SI"/>
  </r>
  <r>
    <n v="25"/>
    <s v="-"/>
    <s v="PERÚ"/>
    <s v="ALICORP_SAA"/>
    <s v="Distrito del Callao"/>
    <x v="6"/>
    <s v="COMEDORES"/>
    <s v="Relaciones Laborales"/>
    <x v="22"/>
    <x v="0"/>
    <s v="Acc. No Incapacitante"/>
    <d v="2024-02-18T00:00:00"/>
    <n v="7"/>
    <n v="18"/>
    <x v="1"/>
    <n v="2024"/>
    <d v="1899-12-30T17:05:00"/>
    <s v="T"/>
    <x v="5"/>
    <x v="11"/>
    <s v="DIAZ"/>
    <s v="PAREDES"/>
    <s v="JORGE"/>
    <s v="MASCULINO"/>
    <s v="-"/>
    <s v="COCINERO"/>
    <s v="-"/>
    <s v="-"/>
    <s v="Contacto con superficie filosa"/>
    <s v="MANO"/>
    <s v="Mano/Muñeca/Dedos"/>
    <s v="Cocina"/>
    <s v="NA"/>
    <s v="Corte/Herida"/>
    <n v="0"/>
    <n v="0"/>
    <n v="0"/>
    <s v="Trabajando"/>
    <m/>
    <m/>
    <s v="CUCHILLO"/>
    <s v="CONTRATO INDEFINIDO"/>
    <s v="Acc. No Incapacitante"/>
    <n v="0"/>
    <m/>
  </r>
  <r>
    <n v="26"/>
    <s v="-"/>
    <s v="PERÚ"/>
    <s v="ALICORP_SAA"/>
    <s v="Distrito de Miraflores"/>
    <x v="6"/>
    <s v="EDIFICIO MIRAFLORES"/>
    <s v="Administración"/>
    <x v="23"/>
    <x v="1"/>
    <s v="Acc. Incapacitante"/>
    <d v="2024-02-19T00:00:00"/>
    <n v="8"/>
    <n v="19"/>
    <x v="1"/>
    <n v="2024"/>
    <d v="1899-12-30T11:30:00"/>
    <s v="M"/>
    <x v="6"/>
    <x v="12"/>
    <s v="ESPINOZA"/>
    <s v="HUAMAN"/>
    <s v="GERSON ELI"/>
    <s v="MASCULINO"/>
    <n v="30"/>
    <s v="OFFICE BOYS"/>
    <s v="-"/>
    <s v="Siendo las 11:30 am del día 19 de febrero, el office Boys del Facility Cushman al querer unir un panel con otro, sus dedos mayor, anular y meñique de la mano izquierda quedaron aplastados entre ambos paneles generándole dolor en el momento pero sin prestarle mayor importancia ya que el dolor fue disminuyendo. Debido a ello no reportó lo sucedido._x000a_Al día siguiente, a las 9:30 am el office Boys se dirige al tópico de Alicorp del Edificio Miraflores ya que amanecieron sus dedos inflamados. Se le indica derivarlo a la Clínica Ricardo Palma para su atención, por lo que es acompañado por su trabajador social especialista en SST (Seguridad y salud en el trabajo)_x000a_"/>
    <s v="Atrapado por Partes en Movimiento"/>
    <s v="MANO"/>
    <s v="Mano/Muñeca/Dedos"/>
    <s v="Movimiento de puertas"/>
    <s v="FRACTURA FALANGE DISTAL DE MANO"/>
    <s v="Fractura"/>
    <n v="7"/>
    <n v="0"/>
    <n v="7"/>
    <s v="Trabajando"/>
    <n v="2"/>
    <s v="&lt; 1 a 3 meses"/>
    <s v="PUERTA"/>
    <s v="PLAZO DETERMINADO"/>
    <s v="Acc. Incapacitante"/>
    <n v="0"/>
    <s v="SI"/>
  </r>
  <r>
    <n v="27"/>
    <s v="-"/>
    <s v="ECUADOR"/>
    <s v="VITAPRO"/>
    <s v="BICIS 2"/>
    <x v="7"/>
    <s v="INBALNOR"/>
    <s v="Proyectos"/>
    <x v="19"/>
    <x v="1"/>
    <s v="Acc. Incapacitante"/>
    <d v="2024-02-27T00:00:00"/>
    <n v="9"/>
    <n v="27"/>
    <x v="1"/>
    <n v="2024"/>
    <d v="1899-12-30T09:30:00"/>
    <s v="M"/>
    <x v="2"/>
    <x v="13"/>
    <s v="-"/>
    <s v="-"/>
    <s v="-"/>
    <s v="MASCULINO"/>
    <n v="55"/>
    <s v="AYUDANTE"/>
    <s v="-"/>
    <s v="Al momento de levantar las planchas, colocándolas de forma vertical, uno de los trabajadores al bajar la plancha a nivel de piso (75cm sobre el piso), se desliza y cae golpeando la parte superior al pie derecho del trabajador. El impacto se da dónde termina la puntera metálica de su bota de seguridad."/>
    <s v="Golpeado por"/>
    <s v="Dedo gordo del pie derecho"/>
    <s v="Mano/Muñeca/Dedos"/>
    <s v="-"/>
    <s v="Fisura "/>
    <s v="Fractura"/>
    <n v="30"/>
    <n v="0"/>
    <n v="30"/>
    <m/>
    <m/>
    <s v="&lt; 1 a 3 meses"/>
    <m/>
    <m/>
    <s v="Acc. Incapacitante"/>
    <n v="0"/>
    <s v="SI"/>
  </r>
  <r>
    <n v="28"/>
    <s v="-"/>
    <s v="BOLIVIA"/>
    <s v="ALICORP_BOLIVIA"/>
    <m/>
    <x v="2"/>
    <s v="PLANTA COCHABAMBA"/>
    <s v="Distribución"/>
    <x v="24"/>
    <x v="0"/>
    <s v="Acc. No Incapacitante"/>
    <d v="2024-02-09T00:00:00"/>
    <n v="6"/>
    <n v="9"/>
    <x v="1"/>
    <n v="2024"/>
    <d v="1899-12-30T06:30:00"/>
    <s v="M"/>
    <x v="0"/>
    <x v="0"/>
    <s v="CLAROS"/>
    <s v="FERNANDEZ"/>
    <s v="LEONIDAS JHOSET"/>
    <s v="MASCULINO"/>
    <n v="32"/>
    <s v="MONTACARGUISTA"/>
    <d v="2014-09-01T00:00:00"/>
    <s v="A horas 06:30 am, el trabajador inicia su jornada de trabajo en el equipo: Tractor Massey Ferguson 290, por lo que al momento de subir por la escalera de acceso (altura escalera: 60 cm), su mano izq. resbala del agarrador, ocasionando que su mano derecha ejerza mayor fuerza de sujeción para evitar la caída, sufriendo una torcedura en la muñeca de la mano derecha."/>
    <s v="Caída al mismo nivel"/>
    <s v="MANO"/>
    <s v="Mano/Muñeca/Dedos"/>
    <s v="SUBIR AL TRACTOR"/>
    <s v="Torcedura de muñeca derecha"/>
    <s v="Esguince/Torcedura"/>
    <n v="0"/>
    <n v="0"/>
    <n v="0"/>
    <s v="Trabajando"/>
    <n v="114"/>
    <s v="&lt; 5 a 10 años"/>
    <s v="ESCALERA DE ACCESO"/>
    <s v="CONTRATO INDEFINIDO"/>
    <s v="Acc. No Incapacitante"/>
    <n v="0"/>
    <m/>
  </r>
  <r>
    <n v="29"/>
    <s v="-"/>
    <s v="BOLIVIA"/>
    <s v="ALICORP_BOLIVIA"/>
    <m/>
    <x v="1"/>
    <s v="PLANTA DON FELIPE"/>
    <s v="Distribución"/>
    <x v="25"/>
    <x v="0"/>
    <s v="Acc. No Incapacitante"/>
    <d v="2024-02-27T00:00:00"/>
    <n v="9"/>
    <n v="27"/>
    <x v="1"/>
    <n v="2024"/>
    <d v="1899-12-30T13:20:00"/>
    <s v="M"/>
    <x v="0"/>
    <x v="0"/>
    <s v=" - "/>
    <s v="BENAVIDES"/>
    <s v="EULOGIO"/>
    <s v="MASCULINO"/>
    <n v="48"/>
    <s v="CARGADOR /APILADOR"/>
    <d v="2024-01-03T00:00:00"/>
    <s v="Durante el apilado de bolsas de harina en camión de despacho, se encontraba aguardando de la cinta transportadora la recepción de la bolsas, en ese instante siente un mareo, y procede a sentarse sobre las bolsas apiladas, sus colegas tras evidenciar que el Sr. Benavides se sientan le consultan si se encuentra bien, en ese instante pierde el conocimiento y se desmaya. Inmediatamente paran el apilado de bolsas, y solicitan apoyo de la brigada de primeros auxilios."/>
    <s v="Sobreesfuerzo"/>
    <s v="-"/>
    <s v="Mano/Muñeca/Dedos"/>
    <s v="APILADO DE BOLSAS"/>
    <s v="Golpe de calor"/>
    <m/>
    <m/>
    <m/>
    <m/>
    <s v="Trabajando"/>
    <n v="40"/>
    <s v="&lt; 1 a 5 años"/>
    <m/>
    <s v="CONTRATO POR ZAFRA"/>
    <s v="Acc. No Incapacitante"/>
    <n v="0"/>
    <m/>
  </r>
  <r>
    <n v="30"/>
    <s v="ILU23830"/>
    <s v="PERÚ"/>
    <s v="INTRADEVCO_INDUSTRIAL_SA"/>
    <s v="Distrito de Lurín"/>
    <x v="5"/>
    <s v="Lurin 4_Detergente"/>
    <s v="Producción"/>
    <x v="26"/>
    <x v="1"/>
    <s v="Acc. Incapacitante"/>
    <d v="2024-02-28T00:00:00"/>
    <n v="9"/>
    <n v="28"/>
    <x v="1"/>
    <n v="2024"/>
    <d v="1899-12-30T19:01:00"/>
    <s v="M"/>
    <x v="3"/>
    <x v="5"/>
    <s v="GUZMAN"/>
    <s v="GOMEZ"/>
    <s v=" EDER JUNIOR"/>
    <s v="MASCULINO"/>
    <n v="34"/>
    <s v="OPERARIO DE PRODUCCIÓN"/>
    <d v="2023-08-09T00:00:00"/>
    <s v="Siendo las 7:02pm. El colaborador Eder Guzman se encontraba ingresando al área de plástico zona de molienda junto a su compañero del área para el inicio de jornada laboral nocturna. Al evidenciar que la iluminaria se encontraba apagada, deja el pase a su compañero para el ingreso y procede a encender la luz apoyando la mano izquierda en la bisagra de la puerta, la puerta procede a cerrar ocasionando un aplastamiento en el dedo anular izquierdo. _x000a_Da aviso del evento y es trasladado al tópico para recibir atención médica. _x000a_"/>
    <s v="Golpeado por"/>
    <s v="DEDO ANULAR IZQUIERDO"/>
    <s v="Mano/Muñeca/Dedos"/>
    <s v="Ingreso a las instalaciones"/>
    <s v="Fractura de falange"/>
    <s v="Fractura"/>
    <n v="31"/>
    <n v="0"/>
    <n v="31"/>
    <s v="Trabajando"/>
    <n v="7"/>
    <s v="&lt; 0.5 a 1 año"/>
    <s v="PUERTA"/>
    <s v="CONTRATO TEMPORAL"/>
    <s v="Acc. Incapacitante"/>
    <n v="0"/>
    <s v="SI"/>
  </r>
  <r>
    <n v="31"/>
    <s v="-"/>
    <s v="PERÚ"/>
    <s v="INTRADEVCO_INDUSTRIAL_SA"/>
    <s v="Distrito de Lurín"/>
    <x v="5"/>
    <s v="Lurin 4_Detergente"/>
    <s v="Producción"/>
    <x v="27"/>
    <x v="0"/>
    <s v="Acc. No Incapacitante"/>
    <d v="2024-01-08T00:00:00"/>
    <n v="2"/>
    <n v="8"/>
    <x v="0"/>
    <n v="2024"/>
    <d v="1899-12-30T13:45:00"/>
    <s v="M"/>
    <x v="3"/>
    <x v="5"/>
    <s v="TENORIO"/>
    <s v=" ACUÑA"/>
    <s v="JOEL"/>
    <s v="MASCULINO"/>
    <n v="24"/>
    <s v="OPERARIO DE PRODUCCIÓN"/>
    <d v="2023-12-19T00:00:00"/>
    <s v="El colaborador se encontraba en el área de coches - proceso, el colaborador menciona que había jalado un coche vacío con fuerza y en el mismo momento se percata que había delante de él otro coche pero con producto fue entonces que le ganó y se impactó su talón de aquiles en la lado izquierdo."/>
    <s v="Golpeado por"/>
    <s v="PIE"/>
    <s v="Pie/Tobillo"/>
    <s v="Transporte de coches de detergentes"/>
    <s v="Contusion"/>
    <s v="Contusión/Trauma"/>
    <n v="0"/>
    <n v="0"/>
    <n v="0"/>
    <s v="Trabajando"/>
    <n v="0.6"/>
    <s v="&lt; 1 mes"/>
    <s v="COCHE"/>
    <s v="CONTRATO TEMPORAL"/>
    <s v="Acc. No Incapacitante"/>
    <n v="0"/>
    <m/>
  </r>
  <r>
    <n v="32"/>
    <s v="-"/>
    <s v="PERÚ"/>
    <s v="INTRADEVCO_INDUSTRIAL_SA"/>
    <s v="Distrito de Lurín"/>
    <x v="5"/>
    <s v="Lurin 4_Detergente"/>
    <s v="Producción"/>
    <x v="28"/>
    <x v="0"/>
    <s v="Acc. No Incapacitante"/>
    <d v="2024-01-22T00:00:00"/>
    <n v="4"/>
    <n v="22"/>
    <x v="0"/>
    <n v="2024"/>
    <d v="1899-12-30T17:50:00"/>
    <s v="N"/>
    <x v="3"/>
    <x v="5"/>
    <s v="GARRIDO"/>
    <s v=" LUYA"/>
    <s v=" VICTOR HUGO"/>
    <s v="MASCULINO"/>
    <n v="35"/>
    <s v="OPERARIO DE PRODUCCIÓN"/>
    <d v="2024-01-16T00:00:00"/>
    <s v="Manifiesta colaborador recibir contusión en pie izquierdo con baranda metal de coche en movimiento manejado por compañero "/>
    <s v="Golpeado por"/>
    <s v="PIE IZQUIERDO"/>
    <s v="Pie/Tobillo"/>
    <s v="Transporte de coches de detergentes"/>
    <s v="Contusion"/>
    <s v="Contusión/Trauma"/>
    <n v="0"/>
    <n v="0"/>
    <n v="0"/>
    <s v="Cesado"/>
    <n v="0.2"/>
    <s v="&lt; 1 mes"/>
    <s v="COCHE"/>
    <s v="CONTRATO TEMPORAL"/>
    <s v="Acc. No Incapacitante"/>
    <n v="0"/>
    <m/>
  </r>
  <r>
    <n v="33"/>
    <s v="-"/>
    <s v="PERÚ"/>
    <s v="INTRADEVCO_INDUSTRIAL_SA"/>
    <s v="Distrito de Lurín"/>
    <x v="5"/>
    <s v="Lurin 4_Detergente"/>
    <s v="Producción"/>
    <x v="27"/>
    <x v="0"/>
    <s v="Acc. No Incapacitante"/>
    <d v="2024-01-26T00:00:00"/>
    <n v="4"/>
    <n v="26"/>
    <x v="0"/>
    <n v="2024"/>
    <d v="1899-12-30T15:56:00"/>
    <s v="M"/>
    <x v="3"/>
    <x v="5"/>
    <s v="TORRES"/>
    <s v=" PEREZ"/>
    <s v=" YEFERSON BRYAN "/>
    <s v="MASCULINO"/>
    <n v="25"/>
    <s v="OPERARIO DE PRODUCCIÓN"/>
    <d v="2023-07-04T00:00:00"/>
    <s v="Colaborador se encontraba retirando muestra de detergente de la balanza N°1 para entregar a calidad mientras la compuerta estaba abierta y se llenaba el coche. El compañero Edgar Santillán ITDC jala el coche hacia atrás a pesar de que no se llenaba por completo generando así que el brazo derecho quede atrapado y presionado con el coche"/>
    <s v="Golpeado por"/>
    <s v="ANTEBRAZO"/>
    <s v="Brazo/Codo/Hombro"/>
    <s v="Muestreo de producto"/>
    <s v="Contusion"/>
    <s v="Contusión/Trauma"/>
    <n v="0"/>
    <n v="0"/>
    <n v="0"/>
    <s v="Trabajando"/>
    <n v="6"/>
    <s v="&lt; 0.5 a 1 año"/>
    <s v="COCHE"/>
    <s v="CONTRATO TEMPORAL"/>
    <s v="Acc. No Incapacitante"/>
    <n v="0"/>
    <m/>
  </r>
  <r>
    <n v="34"/>
    <s v="-"/>
    <s v="PERÚ"/>
    <s v="INTRADEVCO_INDUSTRIAL_SA"/>
    <s v="Distrito de Lurín"/>
    <x v="5"/>
    <s v="Lurin 4_Detergente"/>
    <s v="Producción"/>
    <x v="28"/>
    <x v="0"/>
    <s v="Acc. No Incapacitante"/>
    <d v="2024-01-31T00:00:00"/>
    <n v="5"/>
    <n v="31"/>
    <x v="0"/>
    <n v="2024"/>
    <d v="1899-12-30T06:53:00"/>
    <s v="M"/>
    <x v="0"/>
    <x v="14"/>
    <s v="GASPAR"/>
    <s v=" CHIROQUE"/>
    <s v="JUAN CARLOS"/>
    <s v="MASCULINO"/>
    <n v="35"/>
    <s v="OPERARIO DE PRODUCCIÓN"/>
    <d v="2021-02-03T00:00:00"/>
    <s v="Manifiesta colaborador , compresión de dedo con  maquina empacadora en movimiento"/>
    <s v="Atrapado por Partes en Movimiento"/>
    <s v="DEDO INDICE DERECHO"/>
    <s v="Mano/Muñeca/Dedos"/>
    <s v="Regulacion de equipo"/>
    <s v="Contusion"/>
    <s v="Contusión/Trauma"/>
    <n v="0"/>
    <n v="0"/>
    <n v="0"/>
    <s v="Trabajando"/>
    <n v="36"/>
    <s v="&lt; 1 a 5 años"/>
    <s v="ENVASADORA"/>
    <s v="CONTRATO INDEFINIDO"/>
    <s v="Acc. No Incapacitante"/>
    <n v="0"/>
    <m/>
  </r>
  <r>
    <n v="35"/>
    <s v="-"/>
    <s v="PERÚ"/>
    <s v="INTRADEVCO_INDUSTRIAL_SA"/>
    <s v="Distrito de Lurín"/>
    <x v="5"/>
    <s v="Lurin 4_Detergente"/>
    <s v="Producción"/>
    <x v="28"/>
    <x v="0"/>
    <s v="Acc. No Incapacitante"/>
    <d v="2024-02-01T00:00:00"/>
    <n v="5"/>
    <n v="1"/>
    <x v="1"/>
    <n v="2024"/>
    <d v="1899-12-30T05:27:00"/>
    <s v="M"/>
    <x v="3"/>
    <x v="5"/>
    <s v="QUIROZ"/>
    <s v="PEREZ"/>
    <s v=" ROBERTO CARLOS"/>
    <s v="MASCULINO"/>
    <n v="23"/>
    <s v="OPERARIO DE PRODUCCIÓN"/>
    <d v="2023-09-08T00:00:00"/>
    <s v="Colaborador se encontraba realizando cambio de coche de la línea 1 - máquina 1, al momento de retroceder y girar no se percata que había otro coche lleno detrás y se golpea los dedos medio y anular de la mano izquierda."/>
    <s v="Golpeado contra"/>
    <s v="DEDOS MEDIO Y ANULAR IZQUIERDO"/>
    <s v="Mano/Muñeca/Dedos"/>
    <s v="Manipulacion de coches"/>
    <s v="Contusion"/>
    <s v="Contusión/Trauma"/>
    <n v="0"/>
    <n v="0"/>
    <n v="0"/>
    <s v="Trabajando"/>
    <n v="5"/>
    <s v="&lt; 3 a 6 meses"/>
    <m/>
    <s v="CONTRATO TEMPORAL"/>
    <s v="Acc. No Incapacitante"/>
    <n v="0"/>
    <m/>
  </r>
  <r>
    <n v="36"/>
    <s v="-"/>
    <s v="PERÚ"/>
    <s v="INTRADEVCO_INDUSTRIAL_SA"/>
    <s v="Distrito de Lurín"/>
    <x v="5"/>
    <s v="Lurin 4_Detergente"/>
    <s v="Producción"/>
    <x v="28"/>
    <x v="0"/>
    <s v="Acc. No Incapacitante"/>
    <d v="2024-02-03T00:00:00"/>
    <n v="5"/>
    <n v="3"/>
    <x v="1"/>
    <n v="2024"/>
    <d v="1899-12-30T04:20:00"/>
    <s v="M"/>
    <x v="3"/>
    <x v="5"/>
    <s v="ASPAJO"/>
    <s v="VIDEIRA"/>
    <s v="ALFONSO GABRIEL"/>
    <s v="MASCULINO"/>
    <n v="39"/>
    <s v="OPERARIO DE PRODUCCIÓN"/>
    <d v="2024-01-09T00:00:00"/>
    <s v="El colaborador se encontraba agachado recogiendo detergente derramado de la máquina neumopack, al momento de levantarse se golpea contra la guarda la parte trasera del cuello."/>
    <s v="Golpeado contra"/>
    <s v="CUELLO"/>
    <s v="Cabeza"/>
    <s v="Manipulacion de bolsas de detergente"/>
    <s v="Contusion"/>
    <s v="Contusión/Trauma"/>
    <n v="0"/>
    <n v="0"/>
    <n v="0"/>
    <s v="Trabajando"/>
    <n v="1"/>
    <s v="&lt; 1 a 3 meses"/>
    <s v="GUARDA"/>
    <s v="CONTRATO TEMPORAL"/>
    <s v="Acc. No Incapacitante"/>
    <n v="0"/>
    <m/>
  </r>
  <r>
    <n v="37"/>
    <s v="-"/>
    <s v="PERÚ"/>
    <s v="INTRADEVCO_INDUSTRIAL_SA"/>
    <s v="Distrito de Lurín"/>
    <x v="5"/>
    <s v="Lurin 4_Detergente"/>
    <s v="Producción"/>
    <x v="28"/>
    <x v="0"/>
    <s v="Acc. No Incapacitante"/>
    <d v="2024-02-09T00:00:00"/>
    <n v="6"/>
    <n v="9"/>
    <x v="1"/>
    <n v="2024"/>
    <d v="1899-12-30T15:03:00"/>
    <s v="M"/>
    <x v="3"/>
    <x v="5"/>
    <s v="ROBALINO"/>
    <s v="RUIZ"/>
    <s v="EDWIN"/>
    <s v="MASCULINO"/>
    <n v="30"/>
    <s v="OPERARIO DE PRODUCCIÓN"/>
    <d v="2024-01-03T00:00:00"/>
    <s v="El colaborador se encontraba empujando el coche hacia el ducto, al momento de acomodar el coche agarro de los costados, fue entonces que se golpeó contra la baranda del ducto, su mano izquierda en el dedo meñique."/>
    <s v="Golpeado contra"/>
    <s v="DEDO MEÑIQUE IZQUIERDO"/>
    <s v="Mano/Muñeca/Dedos"/>
    <s v="Manipulacion de coches"/>
    <s v="Contusion"/>
    <s v="Contusión/Trauma"/>
    <n v="0"/>
    <n v="0"/>
    <n v="0"/>
    <s v="Trabajando"/>
    <n v="1"/>
    <s v="&lt; 1 a 3 meses"/>
    <s v="BARANDA"/>
    <s v="CONTRATO TEMPORAL"/>
    <s v="Acc. No Incapacitante"/>
    <n v="0"/>
    <m/>
  </r>
  <r>
    <n v="38"/>
    <s v="-"/>
    <s v="PERÚ"/>
    <s v="INTRADEVCO_INDUSTRIAL_SA"/>
    <s v="Distrito de Lurín"/>
    <x v="5"/>
    <s v="Lurin 4_Detergente"/>
    <s v="Producción"/>
    <x v="29"/>
    <x v="0"/>
    <s v="Acc. No Incapacitante"/>
    <d v="2024-02-14T00:00:00"/>
    <n v="7"/>
    <n v="14"/>
    <x v="1"/>
    <n v="2024"/>
    <d v="1899-12-30T12:25:00"/>
    <s v="M"/>
    <x v="3"/>
    <x v="5"/>
    <s v="YOVERA"/>
    <s v="SIESQUEN"/>
    <s v="DEILY JHONATAN"/>
    <s v="MASCULINO"/>
    <n v="29"/>
    <s v="OPERARIO DE PRODUCCIÓN"/>
    <d v="2024-01-16T00:00:00"/>
    <s v="Colaborador refiere haber estado realizando corte de un envase de plástico, al ejercer fuerza pierde el control y se provoca un corte superficial."/>
    <s v="Contacto con superficie filosa"/>
    <s v="-"/>
    <s v="Mano/Muñeca/Dedos"/>
    <s v="Corte de envase"/>
    <s v="Corte"/>
    <s v="Corte/Herida"/>
    <n v="0"/>
    <n v="0"/>
    <n v="0"/>
    <s v="Trabajando"/>
    <n v="1"/>
    <s v="&lt; 1 a 3 meses"/>
    <s v="CUCHILLA"/>
    <s v="CONTRATO TEMPORAL"/>
    <s v="Acc. No Incapacitante"/>
    <n v="0"/>
    <m/>
  </r>
  <r>
    <n v="39"/>
    <s v="-"/>
    <s v="PERÚ"/>
    <s v="INTRADEVCO_INDUSTRIAL_SA"/>
    <s v="Distrito de Lurín"/>
    <x v="5"/>
    <s v="Lurin 4_Detergente"/>
    <s v="Producción"/>
    <x v="29"/>
    <x v="0"/>
    <s v="Acc. No Incapacitante"/>
    <d v="2024-02-20T00:00:00"/>
    <n v="8"/>
    <n v="20"/>
    <x v="1"/>
    <n v="2024"/>
    <d v="1899-12-30T12:45:00"/>
    <s v="M"/>
    <x v="3"/>
    <x v="5"/>
    <s v="MIRAVAL"/>
    <s v="RAVINEZ"/>
    <s v="MELINDA ROSALIA"/>
    <s v="FEMENINO"/>
    <n v="23"/>
    <s v="OPERARIO DE PRODUCCIÓN"/>
    <d v="2024-02-19T00:00:00"/>
    <s v="Colaboradora se encontraba sentada pegando etiqueta a las tapas de envases de pulidores. Colaborador que se encarga de abastecer las líneas, pasa por su lado con 3 paquetes apilados (25 cajas cada uno), en ese momento choca contra máquina en desuso (envasadora línea 4) y se cae parte del primer paquete sobre el hombro de la colaboradora. Cabe resaltar que primer paquete de las cajas estaba sin precinto de seguridad."/>
    <s v="Golpeado contra"/>
    <s v="HOMBRO"/>
    <s v="Brazo/Codo/Hombro"/>
    <s v="Etiquetado de pulidores"/>
    <s v="Contusion"/>
    <s v="Contusión/Trauma"/>
    <n v="0"/>
    <n v="0"/>
    <n v="0"/>
    <s v="Trabajando"/>
    <n v="0"/>
    <s v="&lt; 1 mes"/>
    <s v="CAJAS DE CARTON"/>
    <s v="CONTRATO TEMPORAL"/>
    <s v="Acc. No Incapacitante"/>
    <n v="0"/>
    <m/>
  </r>
  <r>
    <n v="40"/>
    <s v="-"/>
    <s v="PERÚ"/>
    <s v="INTRADEVCO_INDUSTRIAL_SA"/>
    <s v="Distrito de Lurín"/>
    <x v="5"/>
    <s v="Lurin 4_Detergente"/>
    <s v="Producción"/>
    <x v="30"/>
    <x v="0"/>
    <s v="Acc. No Incapacitante"/>
    <d v="2024-02-22T00:00:00"/>
    <n v="8"/>
    <n v="22"/>
    <x v="1"/>
    <n v="2024"/>
    <d v="1899-12-30T22:20:00"/>
    <s v="M"/>
    <x v="3"/>
    <x v="5"/>
    <s v="CHIMPAY"/>
    <s v="ORTIZ"/>
    <s v="ADRIAN ANDERSON"/>
    <s v="MASCULINO"/>
    <n v="25"/>
    <s v="OPERARIO DE PRODUCCIÓN"/>
    <d v="2024-01-01T00:00:00"/>
    <s v="El colaborador se encontraba apilando en la línea 2, al momento de alzar el Bolsón su mano derecha colocó en los bordes del polin, fue entonces que su dedo índice de la mano derecha se llega a lastimar."/>
    <s v="Atrapado por Partes en Movimiento"/>
    <s v="MANO DERECHA"/>
    <s v="Mano/Muñeca/Dedos"/>
    <s v="Manipulacion de bolsones de detergente"/>
    <s v="Contusion"/>
    <s v="Contusión/Trauma"/>
    <n v="0"/>
    <n v="0"/>
    <n v="0"/>
    <s v="Trabajando"/>
    <m/>
    <m/>
    <s v="POLIN"/>
    <s v="CONTRATO TEMPORAL"/>
    <s v="Acc. No Incapacitante"/>
    <n v="0"/>
    <m/>
  </r>
  <r>
    <n v="41"/>
    <s v="-"/>
    <s v="PERÚ"/>
    <s v="ALICORP_SAA"/>
    <s v="Distrito del Callao"/>
    <x v="6"/>
    <s v="AREAS COMUNES"/>
    <s v="Administración"/>
    <x v="31"/>
    <x v="0"/>
    <s v="Acc. No Incapacitante"/>
    <d v="2024-02-24T00:00:00"/>
    <n v="8"/>
    <n v="24"/>
    <x v="1"/>
    <n v="2024"/>
    <d v="1899-12-30T10:00:00"/>
    <s v="M"/>
    <x v="4"/>
    <x v="6"/>
    <s v="VIRHUEZ"/>
    <s v="BENITEZ"/>
    <s v="JUAN CARLOS"/>
    <s v="MASCULINO"/>
    <n v="44"/>
    <s v="COLABORADOR DE SERVICIOS"/>
    <s v="-"/>
    <s v="El 24 de febrero de 2024, alrededor de las 9:50a.m., el colaborador Juan Carlos Virhuez Benites, quien está asignado a ALICORP PREDIO CENTRAL en la dirección Av. Argentina N°4793 -Carmen de La Legua Reynoso, se vio involucrado en un accidente mientras se preparaba para realizar la limpieza de la Sala de Control de Jabonería en el primer piso. Durante esta tarea, al comenzar a limpiar las ventanas, optó por manipular el gatillo pulverizador, cambiándolo del modo Off al modo Spray. En este momento, unas gotas del producto químico Limpiavidrios entraron en contacto con su ojo derecho. Es relevante señalar que el colaborador no llevaba puestos lentes de seguridad en ese momento. Tras el accidente, el colaborador se dirigió a lavarse los ojos y se encontró con personal de Alicorp en el lugar, quienes decidieron trasladarlo al Tópico ante esta situación. Allí, recibió un lavado de ojos y la aplicación de unas gotas por parte del médico presente, quien determinó que podía continuar con sus actividades después del tratamiento."/>
    <s v="Exposición a Sustancias Químicas"/>
    <s v="OJOS"/>
    <s v="Ojos"/>
    <s v="Limpieza de ventanas"/>
    <s v="HIPEREMIA DE CONJUNTIVA"/>
    <s v="Queratoconjuntivitis"/>
    <n v="0"/>
    <n v="0"/>
    <n v="0"/>
    <s v="Trabajando"/>
    <n v="88"/>
    <s v="&lt; 5 a 10 años"/>
    <s v="LIMPIAVIDRIOS"/>
    <s v="PLAZO DETERMINADO"/>
    <s v="Acc. No Incapacitante"/>
    <n v="0"/>
    <m/>
  </r>
  <r>
    <n v="42"/>
    <s v="-"/>
    <s v="PERÚ"/>
    <s v="ALICORP_SAA"/>
    <s v="Distrito del Callao"/>
    <x v="6"/>
    <s v="AREAS COMUNES"/>
    <s v="Administración"/>
    <x v="32"/>
    <x v="0"/>
    <s v="Acc. No Incapacitante"/>
    <d v="2024-02-27T00:00:00"/>
    <n v="9"/>
    <n v="27"/>
    <x v="1"/>
    <n v="2024"/>
    <d v="1899-12-30T16:40:00"/>
    <s v="M"/>
    <x v="4"/>
    <x v="6"/>
    <s v="LECCA"/>
    <s v="DOMINGUEZ"/>
    <s v="ALBERT KENYI"/>
    <s v="MASCULINO"/>
    <n v="24"/>
    <s v="COLABORADOR DE SERVICIOS"/>
    <s v="-"/>
    <s v="El 27 de febrero de 2024, alrededor de las 4:40p.m., el colaborador Albert Kenyi Lecca Dominguez, quien está asignado a ALICORP PREDIO CENTRAL en la dirección Av. Argentina N°4793-Carmen de La Legua Reynoso, se vio involucrado en un evento mientras se preparaba para salir de las instalaciones en la Garita de Ingreso de CDC. Al intentar abrir la puerta eléctrica, accionó el botón con su dedo índice derecho, lo que resultó en una herida en la yema del dedo al engancharse en el botón. Al percatarse de la herida y notar la presencia de sangre, decidió regresar para lavarse. El personal de Liderman, al presenciar la situación, contactó a Tópico para proporcionar los primeros auxilios."/>
    <s v="Atrapado por"/>
    <s v="DEDO"/>
    <s v="Mano/Muñeca/Dedos"/>
    <s v="Abrir puerta"/>
    <s v="HERIDA EN EL DEDO MANO DERECHA"/>
    <s v="Corte/Herida"/>
    <n v="0"/>
    <n v="0"/>
    <n v="0"/>
    <s v="Trabajando"/>
    <n v="33"/>
    <s v="&lt; 1 a 5 años"/>
    <s v="PUERTA"/>
    <s v="PLAZO DETERMINADO"/>
    <s v="Acc. No Incapacitante"/>
    <n v="0"/>
    <m/>
  </r>
  <r>
    <n v="43"/>
    <s v="-"/>
    <s v="PERÚ"/>
    <s v="MASTERBREAD"/>
    <s v="Distrito de Cajamarquilla"/>
    <x v="9"/>
    <s v="GLOBAL CAJAMARQUILLA"/>
    <s v="Relaciones Laborales"/>
    <x v="33"/>
    <x v="1"/>
    <s v="Acc. Incapacitante"/>
    <d v="2024-02-02T00:00:00"/>
    <n v="5"/>
    <n v="2"/>
    <x v="1"/>
    <n v="2024"/>
    <d v="1899-12-30T08:27:00"/>
    <s v="M"/>
    <x v="4"/>
    <x v="6"/>
    <s v="SORIANO"/>
    <s v="MEZA"/>
    <s v="RUTH LUCY"/>
    <s v="FEMENINO"/>
    <n v="42"/>
    <s v="COLABORADOR DE SERVICIOS"/>
    <s v="-"/>
    <s v="El día 02/02/24 a las 08:27am la trabajadora Soriano Meza, Ruth Lucy (operaria de limpieza) de la empresa Alteliza, se encontraba realizando la limpieza de pisos de la zona de paletizado de la planta de avena, retrocede sin darse cuenta de la paleta de madera y tropieza cayendo de espaldas sobre esta, inmediatamente es atendida por el operador líder de planta y trasladada al tópico, se comunica al supervisor y a la operadora líder de turno de la empresa Alteliza, luego de brindarle las primeras atenciones la trabajadora es trasladada a la Clínica Montefiori, para activar el Seguro Complementario de Trabajo de Riesgo (SCTR)."/>
    <s v="Caída al mismo nivel"/>
    <s v="MANO IZQUIERDA Y CADERA"/>
    <s v="Brazo/Codo/Hombro"/>
    <s v="Limpieza de piso"/>
    <s v="TRAUMATISMOS SUPERFICIALES MÚLTIPLES NO ESPECIFICADOS (MANO IZQUIERDA Y CINTURA)."/>
    <s v="Contusión/Trauma"/>
    <n v="8"/>
    <n v="0"/>
    <n v="8"/>
    <s v="Cesado"/>
    <n v="31"/>
    <s v="&lt; 1 a 5 años"/>
    <s v="Parihuela de madera"/>
    <s v="CONTRATO TEMPORAL"/>
    <s v="Acc. Incapacitante"/>
    <n v="0"/>
    <s v="SI"/>
  </r>
  <r>
    <n v="44"/>
    <s v="-"/>
    <s v="PERÚ"/>
    <s v="MASTERBREAD"/>
    <s v="Distrito de Cajamarquilla"/>
    <x v="6"/>
    <s v="GLOBAL CAJAMARQUILLA"/>
    <s v="Relaciones Laborales"/>
    <x v="13"/>
    <x v="0"/>
    <s v="Acc. No Incapacitante"/>
    <d v="2024-02-21T00:00:00"/>
    <n v="8"/>
    <n v="21"/>
    <x v="1"/>
    <n v="2024"/>
    <d v="1899-12-30T09:30:00"/>
    <s v="M"/>
    <x v="4"/>
    <x v="6"/>
    <s v="GABRIEL"/>
    <s v="BALLESTEROS"/>
    <s v="OFELIA ISABEL"/>
    <s v="FEMENINO"/>
    <n v="35"/>
    <s v="COLABORADOR DE SERVICIOS"/>
    <s v="-"/>
    <s v="colaboradora al realizar limpieza de paredes de planta maíz sufre una irritación de la piel al levantar las manos y discurrir la dilución de detergente industrial diluido Skill Cleaner 3009 (Para limpieza de Máquinas) en la zona del antebrazo la cual no llegaba a cubrirse con el guante de seguridad._x000a_"/>
    <s v="Exposición a Sustancias Químicas"/>
    <s v="ANTEBRAZO"/>
    <s v="Brazo/Codo/Hombro"/>
    <s v="Limpieza de paredes"/>
    <s v="Dermatitis"/>
    <s v="Dermatitis/Irritación de la piel"/>
    <n v="0"/>
    <n v="0"/>
    <n v="0"/>
    <s v="Trabajando"/>
    <n v="27"/>
    <s v="&lt; 1 mes"/>
    <s v="Sustancia química"/>
    <s v="CONTRATO TEMPORAL"/>
    <s v="Acc. No Incapacitante"/>
    <n v="0"/>
    <m/>
  </r>
  <r>
    <n v="45"/>
    <s v="DET23858"/>
    <s v="PERÚ"/>
    <s v="ALICORP_SAA"/>
    <s v="Distrito del Callao"/>
    <x v="8"/>
    <s v="DETERGENTES CALLAO"/>
    <s v="Producción"/>
    <x v="34"/>
    <x v="1"/>
    <s v="Acc. Incapacitante"/>
    <d v="2024-03-16T00:00:00"/>
    <n v="11"/>
    <n v="16"/>
    <x v="2"/>
    <n v="2024"/>
    <d v="1899-12-30T01:40:00"/>
    <s v="N"/>
    <x v="0"/>
    <x v="3"/>
    <s v="RAMOS"/>
    <s v="CHIRINOS"/>
    <s v="SEBASTIAN MAXIMO JAVIER"/>
    <s v="MASCULINO"/>
    <n v="22"/>
    <s v="AYUDANTE DE PLANTA"/>
    <d v="2024-03-07T00:00:00"/>
    <s v="Durante el proceso de agregado de Slop el trabajador observa que el granel estaba compactado en el big bag, ante ello el colaborador decide golpear la parte inferior del big bag con una comba para ablandar el producto. Al momento de golpear con la comba, se golpea el dedo pulgar de su mano derecha con la que sujetaba el mango de la comba contra el big bag compactado, luego de ello alerta a su compañero que se había golpeado y se acercan a la sala de control para informar del evento y es derivado al Tópico, es evaluado y derivado a la Clínica San Gabriel, donde se descartó alguna fractura o fisura."/>
    <s v="Golpeado contra"/>
    <s v="DEDO PULGAR"/>
    <s v="Mano/Muñeca/Dedos"/>
    <s v="Agregado de SLOP"/>
    <s v="Contusión en dedo pulgar mano derecha"/>
    <s v="Contusión/Trauma"/>
    <n v="7"/>
    <n v="0"/>
    <n v="7"/>
    <s v="Trabajando"/>
    <s v="0.25"/>
    <s v="&lt; 1 mes"/>
    <s v="Mango de comba"/>
    <s v="CONTRATO A PLAZO FIJO"/>
    <s v="Acc. Incapacitante"/>
    <n v="0"/>
    <s v="SI"/>
  </r>
  <r>
    <n v="46"/>
    <s v="-"/>
    <s v="PERÚ"/>
    <s v="INTRADEVCO_INDUSTRIAL_SA"/>
    <s v="Distrito de Lurín"/>
    <x v="5"/>
    <s v="Lurin 4_Detergente"/>
    <s v="Producción"/>
    <x v="28"/>
    <x v="0"/>
    <s v="Acc. No Incapacitante"/>
    <d v="2024-02-23T00:00:00"/>
    <n v="8"/>
    <n v="23"/>
    <x v="1"/>
    <n v="2024"/>
    <d v="1899-12-30T10:24:00"/>
    <s v="M"/>
    <x v="3"/>
    <x v="5"/>
    <s v="ASPAJO"/>
    <s v="VIDEIRA"/>
    <s v="ALFONSO GABRIEL"/>
    <s v="MASCULINO"/>
    <n v="39"/>
    <s v="OPERARIO DE PRODUCCIÓN"/>
    <d v="2024-01-09T00:00:00"/>
    <s v="Colaborador se encontraba realizando la actividad de doblar sacos y luego pasarle a su compañero para que se encargue de coser._x000a_Al momento que pasa el saco tiene que colocarlo cerca de la máquina cosedora para que no se mueva y es ahí que debido a la condición (falta de guarda) la parte expuesta sobresale como pulsador generando el golpe en la parte del dorso de la mano derecha"/>
    <s v="Atrapado por Partes en Movimiento"/>
    <s v="MANO DERECHA"/>
    <s v="Mano/Muñeca/Dedos"/>
    <s v="Cocido de sacos"/>
    <s v="Contusion"/>
    <s v="Contusión/Trauma"/>
    <n v="0"/>
    <n v="0"/>
    <n v="0"/>
    <s v="Trabajando"/>
    <n v="1"/>
    <s v="&lt; 1 mes"/>
    <s v="COCEDORA"/>
    <s v="CONTRATO TEMPORAL"/>
    <s v="Acc. No Incapacitante"/>
    <n v="0"/>
    <m/>
  </r>
  <r>
    <n v="47"/>
    <s v="-"/>
    <s v="PERÚ"/>
    <s v="INTRADEVCO_INDUSTRIAL_SA"/>
    <s v="Distrito de Lurín"/>
    <x v="5"/>
    <s v="Lurin 4_Detergente"/>
    <s v="Producción"/>
    <x v="28"/>
    <x v="0"/>
    <s v="Acc. No Incapacitante"/>
    <d v="2024-03-07T00:00:00"/>
    <n v="10"/>
    <n v="7"/>
    <x v="2"/>
    <n v="2024"/>
    <d v="1899-12-30T03:58:00"/>
    <s v="N"/>
    <x v="3"/>
    <x v="5"/>
    <s v="SOLIS"/>
    <s v="HUAPAYA"/>
    <s v="OSCAR"/>
    <s v="MASCULINO"/>
    <n v="27"/>
    <s v="OPERARIO DE PRODUCCIÓN"/>
    <d v="2024-01-11T00:00:00"/>
    <s v="Colaborador trasladaba paleta junto a su compañero para apilamiento de bolsones en la línea 1. Al retroceder para posicionarla no se percata de la columna y choca su mano derecha con la misma , quedando afectado el dedo índice"/>
    <s v="Golpeado contra"/>
    <s v="MANO DERECHA"/>
    <s v="Mano/Muñeca/Dedos"/>
    <s v="Manipulacion de paleta"/>
    <s v="contusion"/>
    <s v="Contusión/Trauma"/>
    <n v="0"/>
    <n v="0"/>
    <n v="0"/>
    <s v="Trabajando"/>
    <n v="2"/>
    <s v="&lt; 1 a 3 meses"/>
    <s v="Columna metalica"/>
    <s v="CONTRATO TEMPORAL"/>
    <s v="Acc. No Incapacitante"/>
    <n v="0"/>
    <m/>
  </r>
  <r>
    <n v="48"/>
    <s v="-"/>
    <s v="PERÚ"/>
    <s v="INTRADEVCO_INDUSTRIAL_SA"/>
    <s v="Distrito de Lurín"/>
    <x v="5"/>
    <s v="Lurin 4_Detergente"/>
    <s v="Producción"/>
    <x v="28"/>
    <x v="0"/>
    <s v="Acc. No Incapacitante"/>
    <d v="2024-03-07T00:00:00"/>
    <n v="10"/>
    <n v="7"/>
    <x v="2"/>
    <n v="2024"/>
    <d v="1899-12-30T07:30:00"/>
    <s v="M"/>
    <x v="3"/>
    <x v="5"/>
    <s v="JOCOPE"/>
    <s v="YAHUANA"/>
    <s v="EYBI"/>
    <s v="MASCULINO"/>
    <n v="26"/>
    <s v="OPERARIO DE PRODUCCIÓN"/>
    <d v="2024-02-19T00:00:00"/>
    <s v="El Colaborador Eybi Jocope Yahuana CA., menciona que a las 3 a.m. se rozó con la parte de adelante de la máquina cocedora, al momento no sintió nada, pasando las horas a las 6:40 am aproximadamente menciona que le empezó arder la cara fue entonces que se dirigió a los servicios y se percata que su rostro una parte estaba rojo."/>
    <s v="Exposición a Sustancias Químicas"/>
    <s v="ROSTRO"/>
    <s v="Rostro/Nariz/Boca"/>
    <s v="Cocido de sacos"/>
    <s v="irritacion"/>
    <s v="Dermatitis/Irritación de la piel"/>
    <n v="0"/>
    <n v="0"/>
    <n v="0"/>
    <s v="Trabajando"/>
    <n v="1"/>
    <s v="&lt; 1 mes"/>
    <s v="Particulas de detergente"/>
    <s v="CONTRATO TEMPORAL"/>
    <s v="Acc. No Incapacitante"/>
    <n v="0"/>
    <m/>
  </r>
  <r>
    <n v="49"/>
    <s v="-"/>
    <s v="PERÚ"/>
    <s v="INTRADEVCO_INDUSTRIAL_SA"/>
    <s v="Distrito de Lurín"/>
    <x v="5"/>
    <s v="Lurin 4_Detergente"/>
    <s v="Producción"/>
    <x v="28"/>
    <x v="0"/>
    <s v="Acc. No Incapacitante"/>
    <d v="2024-03-11T00:00:00"/>
    <n v="11"/>
    <n v="11"/>
    <x v="2"/>
    <n v="2024"/>
    <d v="1899-12-30T20:15:00"/>
    <s v="N"/>
    <x v="3"/>
    <x v="5"/>
    <s v="MENDIETA"/>
    <s v="QUISPE"/>
    <s v="DANIEL CRISTIAN"/>
    <s v="MASCULINO"/>
    <n v="22"/>
    <s v="OPERARIO DE PRODUCCIÓN"/>
    <d v="2023-05-16T00:00:00"/>
    <s v="Colaborador iba a realizar cambio de hilo, pero no se percata que no había presionado correctamente el botón de apagado. Al momento del cambio, la cosedora se enciende por el sensor y es ahí donde el colaborador se golpea contra parte interna (sujetador de hilo)."/>
    <s v="Golpeado por"/>
    <s v="PULGAR DERECHO"/>
    <s v="Mano/Muñeca/Dedos"/>
    <s v="Cambio de hilo"/>
    <s v="contusion"/>
    <s v="Contusión/Trauma"/>
    <n v="0"/>
    <n v="0"/>
    <n v="0"/>
    <s v="Trabajando"/>
    <n v="10"/>
    <s v="&lt; 0.5 a 1 año"/>
    <s v="Cocedora"/>
    <s v="CONTRATO TEMPORAL"/>
    <s v="Acc. No Incapacitante"/>
    <n v="0"/>
    <m/>
  </r>
  <r>
    <n v="50"/>
    <s v="-"/>
    <s v="PERÚ"/>
    <s v="INTRADEVCO_INDUSTRIAL_SA"/>
    <s v="Distrito de Lurín"/>
    <x v="5"/>
    <s v="Lurin 4_Detergente"/>
    <s v="Producción"/>
    <x v="28"/>
    <x v="0"/>
    <s v="Acc. No Incapacitante"/>
    <d v="2024-03-13T00:00:00"/>
    <n v="11"/>
    <n v="13"/>
    <x v="2"/>
    <n v="2024"/>
    <d v="1899-12-30T04:23:00"/>
    <s v="N"/>
    <x v="3"/>
    <x v="5"/>
    <s v="YARLAQUE"/>
    <s v="BENITES"/>
    <s v="RONALD FABIAN"/>
    <s v="MASCULINO"/>
    <n v="29"/>
    <s v="OPERARIO DE PRODUCCIÓN"/>
    <d v="2023-09-20T00:00:00"/>
    <s v="Colaborador menciona haber estado realizando la labor de doblado de saco en el ducto automático para pasarlo por la cosedora, ya que el doblez lo realiza hacia si mismo, esto provocó que la polución del detergente le cayera en los ojos._x000a_- Hizo uso del lavaojos acompañado del supervisor de 10 a 15 minutos aproximadamente _x000a_- Colaborador tenía puesto sus lentes antiparras."/>
    <s v="Proyección de Material Particulado"/>
    <s v="OJOS"/>
    <s v="Ojos"/>
    <s v="doblado de sacos"/>
    <s v="Irritación"/>
    <s v="Cuerpo Extraño en Ojos"/>
    <n v="0"/>
    <n v="0"/>
    <n v="0"/>
    <s v="Trabajando"/>
    <n v="5"/>
    <s v="&lt; 3 a 6 meses"/>
    <s v="Particulas de detergente"/>
    <s v="CONTRATO TEMPORAL"/>
    <s v="Acc. No Incapacitante"/>
    <n v="0"/>
    <m/>
  </r>
  <r>
    <n v="51"/>
    <s v="ILU23896"/>
    <s v="PERÚ"/>
    <s v="INTRADEVCO_INDUSTRIAL_SA"/>
    <s v="Distrito de Lurín"/>
    <x v="5"/>
    <s v="Lurin 4_Detergente"/>
    <s v="Producción"/>
    <x v="28"/>
    <x v="1"/>
    <s v="Acc. Incapacitante"/>
    <d v="2024-03-15T00:00:00"/>
    <n v="11"/>
    <n v="15"/>
    <x v="2"/>
    <n v="2024"/>
    <d v="1899-12-30T09:50:00"/>
    <s v="M"/>
    <x v="3"/>
    <x v="5"/>
    <s v="ASPAJO"/>
    <s v="VIDEIRA"/>
    <s v="ALFONSO GABRIEL"/>
    <s v="MASCULINO"/>
    <n v="32"/>
    <s v="OPERARIO DE PRODUCCIÓN"/>
    <d v="2024-01-09T00:00:00"/>
    <s v="El colaborador Aspajo Videira Alfonso Gabriel CA. Estaba abasteciendo al ducto N°1 de la máquina intrapack 01, con el coche N° 94, al momento de empujar el coche se encontraba CORTADO(segun sr. Ríos ITDC, menciona  que cortado se refiere a cambio de producto). "/>
    <s v="Caída al mismo nivel"/>
    <s v="RODILLA IZQUIERDA"/>
    <s v="Rodilla"/>
    <s v="manipulacion de coches"/>
    <s v="Traumatismo de estructuras multiples de la rodilla"/>
    <s v="Contusión/Trauma"/>
    <n v="19"/>
    <n v="0"/>
    <n v="19"/>
    <s v="Trabajando"/>
    <n v="2"/>
    <s v="&lt; 1 a 3 meses"/>
    <s v="Piso"/>
    <s v="CONTRATO TEMPORAL"/>
    <s v="Acc. Incapacitante"/>
    <n v="0"/>
    <s v="SI"/>
  </r>
  <r>
    <n v="52"/>
    <s v="PGL23885"/>
    <s v="PERÚ"/>
    <s v="ALICORP_SAA"/>
    <s v="Distrito del Callao"/>
    <x v="0"/>
    <s v="GALLETERA &amp; INSTANTÁNEOS"/>
    <s v="Producción"/>
    <x v="35"/>
    <x v="1"/>
    <s v="Acc. Incapacitante"/>
    <d v="2024-03-27T00:00:00"/>
    <n v="13"/>
    <n v="27"/>
    <x v="2"/>
    <n v="2024"/>
    <d v="1899-12-30T17:30:00"/>
    <s v="T"/>
    <x v="0"/>
    <x v="3"/>
    <s v="GIRALDO"/>
    <s v="ASCENCIO"/>
    <s v="JORGE "/>
    <s v="MASCULINO"/>
    <n v="39"/>
    <s v="OPERARIO DE PRODUCCIÓN"/>
    <d v="2007-03-01T00:00:00"/>
    <s v="Siendo las 16:35 , el trabajador realizaba limpieza de las tuberías de la batidora N°4. Al momento de salir, realiza un mal movimiento, golpea hacia arriba y su cabeza choca con canaleta. En compañía del ingeniero de turno es derivado al tópico . Es trasladado a la clínica donde se le brinda los primeros auxilios."/>
    <s v="Golpeado contra"/>
    <s v="CABEZA"/>
    <s v="Cabeza"/>
    <s v="LIMPIEZA DE TUBERIAS"/>
    <s v="Herida de la cabeza "/>
    <s v="Corte/Herida"/>
    <n v="8"/>
    <n v="0"/>
    <n v="8"/>
    <s v="Descanso Médico"/>
    <n v="204"/>
    <s v="&gt; 10 años"/>
    <s v="CANALETA DE CABLEADO"/>
    <s v="CONTRATO INDEFINIDO"/>
    <s v="Acc. Incapacitante"/>
    <n v="0"/>
    <s v="SI"/>
  </r>
  <r>
    <n v="53"/>
    <s v="-"/>
    <s v="PERÚ"/>
    <s v="INTRADEVCO_INDUSTRIAL_SA"/>
    <s v="Distrito de Lurín"/>
    <x v="5"/>
    <s v="Lurin 4_Detergente"/>
    <s v="Producción"/>
    <x v="28"/>
    <x v="0"/>
    <s v="Acc. No Incapacitante"/>
    <d v="2024-03-13T00:00:00"/>
    <n v="11"/>
    <n v="13"/>
    <x v="2"/>
    <n v="2024"/>
    <d v="1899-12-30T16:15:00"/>
    <s v="M"/>
    <x v="3"/>
    <x v="5"/>
    <s v="ALAVA"/>
    <s v="RIOS"/>
    <s v="LUIS OSWALDO"/>
    <s v="MASCULINO"/>
    <n v="33"/>
    <s v="OPERARIO DE PRODUCCIÓN"/>
    <d v="2022-10-05T00:00:00"/>
    <s v="Colaborador se encontraba verificando la mordaza de la enfardadora N°9 (cabe mencionar que las puertas-guardas estaban abiertas) ya que durante el turno menciona ha tenido fallas generando merma. En el transcurso de la actividad aún no estaban enviando producto de plataforma y al ver la luz roja de alerta se confió y no pulsó el botón de emergencia. Al momento que activan la máquina en plataforma y caen bolsitas, la mordaza se cierra haciendo presión en dedo medio de mano derecha lo cual no tuvo contacto con la cuchilla. Por reacción propia intenta retirar la mano y al jalar su guante se queda enganchado en el soporte de la guarda quedando descubierta la parte dorsal y provoca heridas debido al impacto"/>
    <s v="Atrapado por Partes en Movimiento"/>
    <s v="MANO DERECHA"/>
    <s v="Mano/Muñeca/Dedos"/>
    <s v="verificacion de mordaza"/>
    <s v="Contusion"/>
    <s v="Contusión/Trauma"/>
    <n v="0"/>
    <n v="0"/>
    <n v="0"/>
    <s v="Trabajando"/>
    <n v="17"/>
    <s v="&lt; 1 a 5 años"/>
    <s v="Mordaza"/>
    <s v="CONTRATO TEMPORAL"/>
    <s v="Acc. No Incapacitante"/>
    <n v="0"/>
    <m/>
  </r>
  <r>
    <n v="54"/>
    <s v="-"/>
    <s v="PERÚ"/>
    <s v="INTRADEVCO_INDUSTRIAL_SA"/>
    <s v="Distrito de Lurín"/>
    <x v="5"/>
    <s v="Lurin 4_Detergente"/>
    <s v="Producción"/>
    <x v="29"/>
    <x v="0"/>
    <s v="Acc. No Incapacitante"/>
    <d v="2024-03-19T00:00:00"/>
    <n v="12"/>
    <n v="19"/>
    <x v="2"/>
    <n v="2024"/>
    <d v="1899-12-30T21:40:00"/>
    <s v="N"/>
    <x v="3"/>
    <x v="5"/>
    <s v="LAYANGO"/>
    <s v="ORTEGA"/>
    <s v=" JON DEYVIS"/>
    <s v="MASCULINO"/>
    <n v="42"/>
    <s v="OPERARIO DE PRODUCCIÓN"/>
    <d v="2024-01-09T00:00:00"/>
    <s v="Colaborador se encontraba haciendo la actividad de limpieza y traspaso de envase. Al momento de levantarlo para pasarlo a la compañera, el frasco se cae y causa polución, esto se debe a que el envase estaba mal tapado. Cabe resaltar que el colaborador tenía mal colocados sus lentes. Se le condujo al lavaojos por 10 minutos aproximadamente."/>
    <s v="Proyección de Material Particulado"/>
    <s v="OJOS"/>
    <s v="Ojos"/>
    <s v="Manipulacion de envases"/>
    <s v="Cuerpo extraño en los ojos"/>
    <s v="Cuerpo Extraño en Ojos"/>
    <n v="0"/>
    <n v="0"/>
    <n v="0"/>
    <s v="Trabajando"/>
    <n v="2"/>
    <s v="&lt; 1 a 3 meses"/>
    <s v="Producto en polvo"/>
    <s v="CONTRATO TEMPORAL"/>
    <s v="Acc. No Incapacitante"/>
    <n v="0"/>
    <m/>
  </r>
  <r>
    <n v="55"/>
    <s v="ICH23864"/>
    <s v="PERÚ"/>
    <s v="INTRADEVCO_INDUSTRIAL_SA"/>
    <s v="Distrito de Chorrillos"/>
    <x v="5"/>
    <s v="Chorrillos"/>
    <s v="Seguridad"/>
    <x v="36"/>
    <x v="1"/>
    <s v="Acc. Incapacitante"/>
    <d v="2024-03-21T00:00:00"/>
    <n v="12"/>
    <n v="21"/>
    <x v="2"/>
    <n v="2024"/>
    <d v="1899-12-30T08:45:00"/>
    <s v="D"/>
    <x v="3"/>
    <x v="15"/>
    <s v="NUÑEZ"/>
    <s v="BLAS"/>
    <s v="YAKELIN"/>
    <s v="FEMENINO"/>
    <n v="35"/>
    <s v="ENFERMERA OCUPACIONAL"/>
    <d v="2020-01-08T00:00:00"/>
    <s v="Aproximadamente a las 8:50 am, durante el tránsito de la Enfermera ocupacional por el pasillo de ex– detergentes en dirección hacia el tópico, coincide con el traslado de potes impresos en una transpaleta eléctrica operada por el operario de almacén Mayco Ramos en dirección al almacén parabólico. Al momento en que el equipo se encontraba aproximándose a la ubicación de la enfermera, con la parte frontal de la carga, empuja un palet vacío ubicado delante, aprisionando ambos pies contra la estructura detrás de ella."/>
    <s v="Golpeado por"/>
    <s v="Pie izquierdo y pie derecho"/>
    <s v="Pie/Tobillo"/>
    <s v="Traslado a tópico (inicio de labores)"/>
    <s v="Fractura interna en tibia izquierda y fractura en tobillo derecho. "/>
    <s v="Fractura"/>
    <n v="180"/>
    <n v="0"/>
    <n v="180"/>
    <s v="Descanso Médico"/>
    <n v="48"/>
    <s v="&lt; 1 a 5 años"/>
    <s v="Transpaleta"/>
    <s v="Indefinido"/>
    <s v="Acc. Incapacitante"/>
    <n v="0"/>
    <s v="SI"/>
  </r>
  <r>
    <n v="56"/>
    <s v="-"/>
    <s v="BOLIVIA"/>
    <s v="ALICORP_BOLIVIA"/>
    <m/>
    <x v="2"/>
    <s v="PLANTA COCHABAMBA"/>
    <s v="Producción"/>
    <x v="37"/>
    <x v="0"/>
    <s v="Acc. No Incapacitante"/>
    <d v="2024-03-26T00:00:00"/>
    <n v="13"/>
    <n v="26"/>
    <x v="2"/>
    <n v="2024"/>
    <d v="1899-12-30T07:30:00"/>
    <s v="M"/>
    <x v="0"/>
    <x v="0"/>
    <s v="CANAZA"/>
    <s v="CAPALLA"/>
    <s v="ALFREDO"/>
    <s v="MASCULINO"/>
    <n v="56"/>
    <s v="OPERADOR NISSEI"/>
    <d v="1999-02-01T00:00:00"/>
    <s v="A horas 07:30 am, el trabajador iniciando su jornada de trabajo, busca una herramienta para regulación del equipo NISSEI PF, motivo por el cual la tapa metálica de la caja de herramientas que se encuentra abierta, cae sobre su mano derecho sufriendo un impacto sobre la palma, ocasionando un leve corte."/>
    <s v="Golpeado por"/>
    <s v="MANO"/>
    <s v="Mano/Muñeca/Dedos"/>
    <s v="BUSQUEDA DE HERRAMIENTAS"/>
    <s v="Trauma contuso cortante"/>
    <s v="Corte/Herida"/>
    <n v="0"/>
    <n v="0"/>
    <n v="0"/>
    <s v="Trabajando"/>
    <n v="306"/>
    <s v="&lt; 5 a 10 años"/>
    <s v="CAJA DE HERRAMIENTAS"/>
    <s v="CONTRATO INDEFINIDO"/>
    <s v="Acc. No Incapacitante"/>
    <n v="0"/>
    <m/>
  </r>
  <r>
    <n v="57"/>
    <s v="-"/>
    <s v="BOLIVIA"/>
    <s v="ALICORP_BOLIVIA"/>
    <m/>
    <x v="2"/>
    <s v="PLANTA COCHABAMBA"/>
    <s v="Distribución"/>
    <x v="24"/>
    <x v="0"/>
    <s v="Acc. No Incapacitante"/>
    <d v="2024-03-30T00:00:00"/>
    <n v="13"/>
    <n v="30"/>
    <x v="2"/>
    <n v="2024"/>
    <d v="1899-12-30T11:45:00"/>
    <s v="M"/>
    <x v="2"/>
    <x v="16"/>
    <s v="PAREDES"/>
    <s v="CHOQUE"/>
    <s v="OLIVERT"/>
    <s v="MASCULINO"/>
    <n v="25"/>
    <s v="ESTIBADOR"/>
    <d v="2023-02-15T00:00:00"/>
    <s v="A hrs. 11:45 am el Sr. Oliver Paredes Choque, estibador de la empresa FORZA se encontraba realizando trabajo de estibaje para el carguío de bidones de aceite de 20 litros (granel) sobre la plataforma de la chata. Al finalizar el paletizado, durante la manipulación inadecuada de los bidones (2 en 2) sufre una lesión en el pulgar de la mano derecha. "/>
    <s v="Golpeado por"/>
    <s v="MANO"/>
    <s v="Mano/Muñeca/Dedos"/>
    <s v="APILAMIENTO DE BIDONES 20 LITROS"/>
    <s v="Torcedura de pulgar mano derecha"/>
    <s v="Esguince/Torcedura"/>
    <n v="0"/>
    <n v="0"/>
    <n v="0"/>
    <s v="Trabajando"/>
    <n v="13"/>
    <s v="&lt; 5 a 10 años"/>
    <s v="BIDON DE 20 LITROS"/>
    <s v="CONTRATO A PLAZO FIJO"/>
    <s v="Acc. No Incapacitante"/>
    <n v="0"/>
    <m/>
  </r>
  <r>
    <n v="58"/>
    <s v="PCO23898"/>
    <s v="PERÚ"/>
    <s v="ALICORP_SAA"/>
    <s v="PREDIO CENTRAL"/>
    <x v="3"/>
    <s v="COPSA"/>
    <s v="Producción"/>
    <x v="38"/>
    <x v="0"/>
    <s v="Acc. No Incapacitante"/>
    <d v="2024-04-06T00:00:00"/>
    <n v="14"/>
    <n v="6"/>
    <x v="3"/>
    <n v="2024"/>
    <d v="1899-12-30T07:30:00"/>
    <s v="M"/>
    <x v="1"/>
    <x v="1"/>
    <s v="NAVARRO"/>
    <s v="CHERO"/>
    <s v="ZAYURI ALEXANDRA"/>
    <s v="FEMENINO"/>
    <n v="19"/>
    <s v="APRENDIZ SENATI"/>
    <d v="2023-08-03T00:00:00"/>
    <s v="La Aprendiz Senati procede a diluir el detergente desengrasante neutro Neodegreaser en un balde con agua. Es en esa actividad que unas gotas de la sustancia caen en su ojo izquierdo provocándole una irritación, procediendo a enjuagarse con abundante agua. Procede a comunicar al líder del área y se traslada al tópico para su evaluación; posteriormente, es derivada a la Clínica San Gabriel, donde es atendida por especialista y se le brinda descanso por el resto del día."/>
    <s v="Exposición a Sustancias Químicas"/>
    <s v="OJO IZQUIERDO"/>
    <s v="Ojos"/>
    <s v="Limpieza"/>
    <s v="Queratoconjuntivitis química ojo izquierdo"/>
    <s v="Queratoconjuntivitis"/>
    <n v="0"/>
    <n v="0"/>
    <n v="0"/>
    <s v="Trabajando"/>
    <n v="2"/>
    <s v="&lt; 1 a 3 meses"/>
    <s v="Detergente desengrasante neutro Neodegreaser"/>
    <s v="APRENDIZAJE SENATI"/>
    <s v="Acc. No Incapacitante"/>
    <n v="0"/>
    <m/>
  </r>
  <r>
    <n v="59"/>
    <s v="ICH23917"/>
    <s v="PERÚ"/>
    <s v="INTRADEVCO_INDUSTRIAL_SA"/>
    <s v="Distrito de Chorrillos"/>
    <x v="5"/>
    <s v="Chorrillos"/>
    <s v="Producción"/>
    <x v="39"/>
    <x v="1"/>
    <s v="Acc. Incapacitante"/>
    <d v="2024-04-09T00:00:00"/>
    <n v="15"/>
    <n v="9"/>
    <x v="3"/>
    <n v="2024"/>
    <d v="1899-12-30T08:30:00"/>
    <s v="D"/>
    <x v="3"/>
    <x v="5"/>
    <s v="RAMIREZ"/>
    <s v="SALGUEDO"/>
    <s v="JEREMY JESUS AARON "/>
    <s v="MASCULINO"/>
    <n v="27"/>
    <s v="OPERARIO DE PRODUCCIÓN"/>
    <d v="2024-03-01T00:00:00"/>
    <s v="Aproximadamente a las 8:30, el colaborador Ramírez se encontraba realizando la verificación de producto terminado, ubicado al lado del pallet en revisión para el traslado de cajas (desde el pallet a la mesa de trabajo). En ese momento el colaborador Paucar se dispone a retirar el pallet en revisión, para ello introduce la stocką manual con fuerza, sobresaliendo estos algunos centímetros fuera del área del pallet y golpeando el empeine del pie izquierdo del colaborador Ramírez."/>
    <s v="Golpeado por"/>
    <s v="PIE IZQUIERDO"/>
    <s v="Pie/Tobillo"/>
    <s v="Inspección de productos terminados"/>
    <s v="ESGUINCE Y TORCEDURA "/>
    <s v="Esguince/Torcedura"/>
    <n v="4"/>
    <n v="0"/>
    <n v="4"/>
    <s v="Cesó"/>
    <n v="1"/>
    <s v="&lt; 1 a 3 meses"/>
    <s v="STOCKA MANUAL"/>
    <s v="CONTRATO TEMPORAL"/>
    <s v="Acc. Incapacitante"/>
    <n v="0"/>
    <s v="SI"/>
  </r>
  <r>
    <n v="60"/>
    <s v="DET23928"/>
    <s v="PERÚ"/>
    <s v="ALICORP_SAA"/>
    <s v="Distrito del Callao"/>
    <x v="8"/>
    <s v="DETERGENTES CALLAO"/>
    <s v="Producción"/>
    <x v="35"/>
    <x v="0"/>
    <s v="Acc. No Incapacitante"/>
    <d v="2024-04-12T00:00:00"/>
    <n v="15"/>
    <n v="12"/>
    <x v="3"/>
    <n v="2024"/>
    <d v="1899-12-30T13:00:00"/>
    <s v="D"/>
    <x v="0"/>
    <x v="0"/>
    <s v="INGA"/>
    <s v="CERRALTA"/>
    <s v="EMERSON HAROLD"/>
    <s v="MASCULINO"/>
    <n v="24"/>
    <s v="AYUDANTE DE PLANTA"/>
    <d v="2024-04-09T00:00:00"/>
    <s v="El trabajador procedió a preparar Slop, al momento de izar  el big bag mediante el tecle eléctrico no se dio cuenta que la parte inferior del big bag no estaba amarrado,  por lo cual  el polvo cayó al tq ocasionando que el polvo cayera a los costados y salpicara a su ojo derecho, acto seguido se lavó con abundante agua  sin comunicar a nadie de lo ocurrido. Al día siguiente informó al coordinador sobre el incidente ya que aun tenia un pequeño ardor en la vista, razón por la cual se le acompañó al tópico, donde le realizaron un lavado ocular e indicaron su retorno a planta, no era necesario el traslado a un centro médico. "/>
    <s v="Exposición a Sustancias Químicas"/>
    <s v="OJO DERECHO"/>
    <s v="Ojos"/>
    <s v="Preparación de SLOP"/>
    <s v="HIPEREMIA DE CONJUNTIVA OJO DERECHO"/>
    <s v="Cuerpo Extraño en Ojos"/>
    <n v="0"/>
    <n v="0"/>
    <n v="0"/>
    <s v="Trabajando"/>
    <s v="0.1"/>
    <s v="&lt; 1 mes"/>
    <s v="Detergente en polvo"/>
    <s v="CONTRATO A PLAZO FIJO"/>
    <s v="Acc. No Incapacitante"/>
    <n v="0"/>
    <m/>
  </r>
  <r>
    <n v="61"/>
    <s v="-"/>
    <s v="PERÚ"/>
    <s v="INTRADEVCO_INDUSTRIAL_SA"/>
    <s v="Distrito de Lurín"/>
    <x v="5"/>
    <s v="Lurin 4_Detergente"/>
    <s v="Producción"/>
    <x v="28"/>
    <x v="0"/>
    <s v="Acc. No Incapacitante"/>
    <d v="2024-03-19T00:00:00"/>
    <n v="12"/>
    <n v="19"/>
    <x v="2"/>
    <n v="2024"/>
    <d v="1899-12-30T23:47:00"/>
    <s v="N"/>
    <x v="3"/>
    <x v="5"/>
    <s v="FASABI"/>
    <s v="FASABI"/>
    <s v="TULER "/>
    <s v="MASCULINO"/>
    <n v="45"/>
    <s v="OPERARIO DE PRODUCCIÓN"/>
    <d v="2024-01-11T00:00:00"/>
    <s v="Manifiesta contusion de 3er  dedo  en mano derecha , con paleta el dia 18-03-2024"/>
    <s v="Golpeado por"/>
    <s v="MANO DERECHA"/>
    <s v="Mano/Muñeca/Dedos"/>
    <s v="Manipulacion de paleta"/>
    <s v="Contusion"/>
    <s v="Contusión/Trauma"/>
    <n v="0"/>
    <n v="0"/>
    <n v="0"/>
    <s v="Trabajando"/>
    <n v="2"/>
    <s v="&lt; 1 a 3 meses"/>
    <s v="Paleta"/>
    <s v="CONTRATO TEMPORAL"/>
    <s v="Acc. No Incapacitante"/>
    <n v="0"/>
    <m/>
  </r>
  <r>
    <n v="62"/>
    <s v="-"/>
    <s v="PERÚ"/>
    <s v="INTRADEVCO_INDUSTRIAL_SA"/>
    <s v="Distrito de Chorrillos"/>
    <x v="5"/>
    <s v="Chorrillos"/>
    <s v="Producción"/>
    <x v="26"/>
    <x v="0"/>
    <s v="Acc. No Incapacitante"/>
    <d v="2024-04-01T00:00:00"/>
    <n v="14"/>
    <n v="1"/>
    <x v="3"/>
    <n v="2024"/>
    <d v="1899-12-30T15:00:00"/>
    <s v="D"/>
    <x v="3"/>
    <x v="5"/>
    <s v="VERDURA"/>
    <s v="RAMOS"/>
    <s v="CESAR"/>
    <s v="MASCULINO"/>
    <n v="41"/>
    <s v="OPERARIO DE PRODUCCIÓN"/>
    <d v="2024-02-20T00:00:00"/>
    <s v="Durante la actividad de colocado de bobinas, el trabajador Verdura Ramos Cesar se golpeó el lado dorsal y dedo pulgar de la mano izquierda, al intentar colocar el rollo de plastico ( bobina) color amarillo en el molino N°2."/>
    <s v="Golpeado por"/>
    <s v="MANO IZQUIERDA"/>
    <s v="Mano/Muñeca/Dedos"/>
    <s v="Colocación de bobinas"/>
    <s v="Contusion"/>
    <s v="Contusión/Trauma"/>
    <n v="0"/>
    <n v="0"/>
    <n v="0"/>
    <s v="Trabajando"/>
    <n v="1"/>
    <s v="&lt; 1 a 3 meses"/>
    <s v="Molino n°2"/>
    <s v="CONTRATO TEMPORAL"/>
    <s v="Acc. No Incapacitante"/>
    <n v="0"/>
    <m/>
  </r>
  <r>
    <n v="63"/>
    <s v="-"/>
    <s v="PERÚ"/>
    <s v="MASTERBREAD"/>
    <s v="ÑAÑA"/>
    <x v="9"/>
    <s v="GLOBAL ÑANA"/>
    <s v="Relaciones Laborales"/>
    <x v="40"/>
    <x v="0"/>
    <s v="Acc. No Incapacitante"/>
    <d v="2024-04-02T00:00:00"/>
    <n v="14"/>
    <n v="2"/>
    <x v="3"/>
    <n v="2024"/>
    <d v="1899-12-30T14:10:00"/>
    <s v="D"/>
    <x v="4"/>
    <x v="6"/>
    <s v="VELÁSQUEZ"/>
    <s v="CONDE"/>
    <s v="JUDITH"/>
    <s v="FEMENINO"/>
    <n v="35"/>
    <s v="COLABORADOR DE SERVICIOS"/>
    <d v="2023-03-20T00:00:00"/>
    <s v="La operaria de limpieza Judith Velásquez Conde, se encontraba realizando sus labores de limpieza de pisos en la zona de indirectos 2; entre el horno secador y la sala de tableros, cuando de manera imprevista cayó agua por la parte superior de la tubería del circuito de recirculación del condensado de vapor, cayendo sobre su casco y sobre parte de sus hombros. "/>
    <s v="Contacto con Superficie Caliente"/>
    <s v="HOMBROS"/>
    <s v="Brazo/Codo/Hombro"/>
    <s v="Limpieza de pisos"/>
    <s v="Quemadura de primer grado"/>
    <s v="Quemadura por Temperatura"/>
    <n v="0"/>
    <n v="0"/>
    <n v="0"/>
    <s v="Trabajando"/>
    <n v="1"/>
    <s v="&lt; 0.5 a 1 año"/>
    <s v="EQUIPO DE RECIRCULACION DE CONDENSADO DE VAPOR"/>
    <s v="CONTRATO TEMPORAL"/>
    <s v="Acc. No Incapacitante"/>
    <n v="0"/>
    <m/>
  </r>
  <r>
    <n v="64"/>
    <s v="-"/>
    <s v="PERÚ"/>
    <s v="INTRADEVCO_INDUSTRIAL_SA"/>
    <s v="Distrito de Lurín"/>
    <x v="5"/>
    <s v="Lurin 4_Detergente"/>
    <s v="Producción"/>
    <x v="28"/>
    <x v="0"/>
    <s v="Acc. No Incapacitante"/>
    <d v="2024-04-03T00:00:00"/>
    <n v="14"/>
    <n v="3"/>
    <x v="3"/>
    <n v="2024"/>
    <d v="1899-12-30T17:21:00"/>
    <s v="D"/>
    <x v="3"/>
    <x v="5"/>
    <s v="RICOPA"/>
    <s v=" AHUANARI"/>
    <s v="VICTOR"/>
    <s v="MASCULINO"/>
    <n v="36"/>
    <s v="OPERARIO DE PRODUCCIÓN"/>
    <d v="2023-11-13T00:00:00"/>
    <s v="Colaborador se encontraba haciendo la actividad de limpieza y traspaso de envase. Al momento de levantarlo para pasarlo a la compañera, el frasco se cae y causa polución, esto se debe a que el envase estaba mal tapado. Cabe resaltar que el colaborador tenía mal colocados sus lentes. Se le condujo al lavaojos por 10 minutos aproximadamente."/>
    <s v="Golpeado por"/>
    <s v="TOBILLO IZQUIERDO"/>
    <s v="Pie/Tobillo"/>
    <s v="Manipulacion de coches"/>
    <s v="Contusion"/>
    <s v="Contusión/Trauma"/>
    <n v="0"/>
    <n v="0"/>
    <n v="0"/>
    <s v="Trabajando"/>
    <n v="5"/>
    <s v="&lt; 3 a 6 meses"/>
    <s v="Coche"/>
    <s v="CONTRATO TEMPORAL"/>
    <s v="Acc. No Incapacitante"/>
    <n v="0"/>
    <m/>
  </r>
  <r>
    <n v="65"/>
    <s v="-"/>
    <s v="PERÚ"/>
    <s v="INTRADEVCO_INDUSTRIAL_SA"/>
    <s v="Distrito de Lurín"/>
    <x v="5"/>
    <s v="Lurin 4_Detergente"/>
    <s v="Producción"/>
    <x v="28"/>
    <x v="0"/>
    <s v="Acc. No Incapacitante"/>
    <d v="2024-04-09T00:00:00"/>
    <n v="15"/>
    <n v="9"/>
    <x v="3"/>
    <n v="2024"/>
    <d v="1899-12-30T23:15:00"/>
    <s v="N"/>
    <x v="3"/>
    <x v="5"/>
    <s v="TUISIMA"/>
    <s v="CORDOVA"/>
    <s v="MIGUEL"/>
    <s v="MASCULINO"/>
    <n v="24"/>
    <s v="OPERARIO DE PRODUCCIÓN"/>
    <d v="2023-11-15T00:00:00"/>
    <s v="Colaborador se encontraba realizando la actividad de embolsado en la máquina VAI. Al acumularse las bolsas de presentación 5Kg en la faja dado que su compañero recién ingresaba a la línea, retira uno de ellos y al colocar en el bolsón su mano derecha impacta con la mesa metálica siendo afectado el dedo medio"/>
    <s v="Golpeado contra"/>
    <s v="DEDO MEDIO DERECHO"/>
    <s v="Mano/Muñeca/Dedos"/>
    <s v="Embolsado de producto"/>
    <s v="Contusion"/>
    <s v="Contusión/Trauma"/>
    <n v="0"/>
    <n v="0"/>
    <n v="0"/>
    <s v="Trabajando"/>
    <n v="5"/>
    <s v="&lt; 3 a 6 meses"/>
    <s v="Mesa metalica"/>
    <s v="CONTRATO TEMPORAL"/>
    <s v="Acc. No Incapacitante"/>
    <n v="0"/>
    <m/>
  </r>
  <r>
    <n v="66"/>
    <s v="-"/>
    <s v="PERÚ"/>
    <s v="INTRADEVCO_INDUSTRIAL_SA"/>
    <s v="Distrito de Lurín"/>
    <x v="5"/>
    <s v="Lurin 4_Detergente"/>
    <s v="Producción"/>
    <x v="28"/>
    <x v="0"/>
    <s v="Acc. No Incapacitante"/>
    <d v="2024-04-14T00:00:00"/>
    <n v="15"/>
    <n v="14"/>
    <x v="3"/>
    <n v="2024"/>
    <d v="1899-12-30T14:15:00"/>
    <s v="D"/>
    <x v="3"/>
    <x v="5"/>
    <s v="ARIRAMA"/>
    <s v=" DEL CASTILLO"/>
    <s v="YBONE"/>
    <s v="FEMENINO"/>
    <n v="37"/>
    <s v="OPERARIO DE PRODUCCIÓN"/>
    <d v="2023-01-31T00:00:00"/>
    <s v="La colaboradora refiere al momento de cortar el film utilizo la cuchilla retráctil y no tenía puesto sus guantes G-60, fue entonces que se hizo un corte superficial en el dedo medio de la mano izquierda."/>
    <s v="Contacto con superficie filosa"/>
    <s v="MANO IZQUIERDA"/>
    <s v="Mano/Muñeca/Dedos"/>
    <s v="Corte de stretch film"/>
    <s v="Corte"/>
    <s v="Corte/Herida"/>
    <n v="0"/>
    <n v="0"/>
    <n v="0"/>
    <s v="Trabajando"/>
    <n v="2"/>
    <s v="&lt; 1 a 3 meses"/>
    <s v="cuchilla"/>
    <s v="CONTRATO TEMPORAL"/>
    <s v="Acc. No Incapacitante"/>
    <n v="0"/>
    <m/>
  </r>
  <r>
    <n v="67"/>
    <s v="ALI23926"/>
    <s v="PERÚ"/>
    <s v="ALICORP_SAA"/>
    <s v="Distrito de Miraflores"/>
    <x v="6"/>
    <s v="MIRAFLORES"/>
    <s v="Relaciones Laborales"/>
    <x v="41"/>
    <x v="1"/>
    <s v="Acc. Incapacitante"/>
    <d v="2024-04-09T00:00:00"/>
    <n v="15"/>
    <n v="9"/>
    <x v="3"/>
    <n v="2024"/>
    <d v="1899-12-30T13:00:00"/>
    <s v="D"/>
    <x v="5"/>
    <x v="17"/>
    <s v="LEON"/>
    <s v="RAYMUNDO"/>
    <s v="YOHANA"/>
    <s v="FEMENINO"/>
    <n v="40"/>
    <s v="AYUDANTE DE COCINA"/>
    <s v="-"/>
    <s v="Siendo aproximadamente las 13:00 p.m. la colaboradora del concesionario empieza a verter agua caliente en una de las bandejas gastronómicas, que se encontraban vacías, en el piso y apiladas unas sobre otras, porque iban a empezar a lavarlos. (el lavadero se encuentra a un metro de distancia); y es cuando la bandeja superior cae sobre su pie izquierdo, ocasionándole una quemadura de segundo grado, luego en compañía del jefe de operaciones de su empresa, es trasladado a la Clínica Ricardo Palma en donde se activó su SCTR. Por indicación médica la trabajadora se encuentra internada"/>
    <s v="Contacto con Superficie Caliente"/>
    <s v="PIE IZQUIERDO"/>
    <s v="Pie/Tobillo"/>
    <s v="Limpieza de bandejas"/>
    <s v="QUEMADURA DE SEGUNDO GRADO"/>
    <s v="Quemadura por Temperatura"/>
    <n v="20"/>
    <n v="0"/>
    <n v="20"/>
    <s v="Descanso Médico"/>
    <n v="115"/>
    <s v="&lt; 0.5 a 1 año"/>
    <s v="Agua Caliente"/>
    <m/>
    <s v="Acc. Incapacitante"/>
    <n v="0"/>
    <s v="SI"/>
  </r>
  <r>
    <n v="68"/>
    <s v="-"/>
    <s v="PERÚ"/>
    <s v="MASTERBREAD"/>
    <s v="ÑAÑA"/>
    <x v="9"/>
    <s v="GLOBAL ÑANA"/>
    <s v="Producción"/>
    <x v="42"/>
    <x v="0"/>
    <s v="Acc. No Incapacitante"/>
    <d v="2024-04-16T00:00:00"/>
    <n v="16"/>
    <n v="16"/>
    <x v="3"/>
    <n v="2024"/>
    <d v="1899-12-30T06:30:00"/>
    <s v="D"/>
    <x v="0"/>
    <x v="18"/>
    <s v="ADAMA"/>
    <s v="MARCOS "/>
    <s v="JOSE LUIS"/>
    <s v="MASCULINO"/>
    <n v="33"/>
    <s v="OPERADOR DE ENVASADO"/>
    <d v="2016-10-01T00:00:00"/>
    <s v="El operador de envasado José Adama avisa que al levantar una bolsa con producto zuck y agregar al vibrador salida del secador de indirectos sintió un tirón causándole dolor y no podía agacharse. se procedió a llamar al servicio de ambulancia Seguricel, diagnosticándole una contractura muscular aplicándole un relajante muscular."/>
    <s v="Sobreesfuerzo"/>
    <s v="ESPALDA"/>
    <s v="Abdomen/Torso"/>
    <s v="Alimentación de producto para reproceso"/>
    <s v="Contractura muscular"/>
    <s v="Desgarro/Estiramiento Muscular"/>
    <n v="0"/>
    <n v="0"/>
    <n v="0"/>
    <s v="Trabajando"/>
    <n v="96"/>
    <s v="&lt; 5 a 10 años"/>
    <s v="Manimupación manual de cargas"/>
    <s v="Indefinido"/>
    <s v="Acc. No Incapacitante"/>
    <n v="0"/>
    <m/>
  </r>
  <r>
    <n v="69"/>
    <s v="PCO23979"/>
    <s v="PERÚ"/>
    <s v="ALICORP_SAA"/>
    <s v="PREDIO CENTRAL"/>
    <x v="3"/>
    <s v="COPSA"/>
    <s v="Producción"/>
    <x v="38"/>
    <x v="0"/>
    <s v="Acc. No Incapacitante"/>
    <d v="2024-04-17T00:00:00"/>
    <n v="16"/>
    <n v="17"/>
    <x v="3"/>
    <n v="2024"/>
    <d v="1899-12-30T07:30:00"/>
    <s v="D"/>
    <x v="0"/>
    <x v="0"/>
    <s v="PALOMINO"/>
    <s v="TARAZONA"/>
    <s v="LILA IRIS"/>
    <s v="FEMENINO"/>
    <n v="51"/>
    <s v="OPERADOR MANUFACTURA SALSAS"/>
    <d v="2003-11-24T00:00:00"/>
    <s v="La operadora de manufactura se encontraba trasvasando producto del tanque Mixer 2 al tanque Mixer 1, en ese momento se percata que el sensor de nivel continuaba detectando producto en el Mixer 2, por lo cual decide aperturar la tapa del tanque para validar si aún contenía producto. Cuando apertura la tapa, no la aseguró correctamente en el gancho y esta cae por su propio peso rozando el costado izquierdo de su pecho con el asa."/>
    <s v="Golpeado por"/>
    <s v="Pecho"/>
    <s v="Abdomen/Torso"/>
    <s v="Trasvase de producto del tanque Mixer 2 al tanque Mixer 1"/>
    <s v="Contusión en costado izquierdo del pecho"/>
    <s v="Contusión/Trauma"/>
    <n v="0"/>
    <n v="0"/>
    <n v="0"/>
    <s v="Trabajando"/>
    <n v="31"/>
    <s v="&lt; 1 a 5 años"/>
    <s v="Asa de tapa del tanque Mixer 2"/>
    <s v="CONTRATO INDEFINIDO"/>
    <s v="Acc. No Incapacitante"/>
    <n v="0"/>
    <m/>
  </r>
  <r>
    <n v="70"/>
    <s v="-"/>
    <s v="PERÚ"/>
    <s v="MASTERBREAD"/>
    <s v="Sicaya"/>
    <x v="10"/>
    <s v="Teal Sicaya"/>
    <s v="Producción"/>
    <x v="43"/>
    <x v="0"/>
    <s v="Acc. No Incapacitante"/>
    <d v="2024-04-20T00:00:00"/>
    <n v="16"/>
    <n v="20"/>
    <x v="3"/>
    <n v="2024"/>
    <d v="1899-12-30T21:30:00"/>
    <s v="N"/>
    <x v="4"/>
    <x v="19"/>
    <s v="TORRES"/>
    <s v="PINCHE"/>
    <s v="RUBEN"/>
    <s v="MASCULINO"/>
    <n v="23"/>
    <s v="OPERARIO DE LIMPIEZA"/>
    <d v="2024-04-22T00:00:00"/>
    <s v="En circunstancias que el colaborador de limpieza se encontraba realizando la operación de llenado de agua caliente al coche, aperturó la válvula de agua caliente, mientras sostenía la manguera sin el guante de seguridad correspondiente. Durante esta operación el colaborador siente un aumento de temperatura en la manguera y la suelta; provocándole quemaduras de primer grado en el antebrazo. Inmediatamente se brinda los primeros auxilios colocando la zona afectada en un caño de agua fría por más de 15 minutos."/>
    <s v="Contacto con agua caliente"/>
    <s v="Antebrazo izquierdo"/>
    <s v="Brazo/Codo/Hombro"/>
    <s v="Alimentación de agua caliente al coche del trapeador"/>
    <s v="Quemadura de 1er grado"/>
    <s v="Quemadura por Temperatura"/>
    <n v="0"/>
    <n v="0"/>
    <n v="0"/>
    <s v="Trabajando"/>
    <n v="24"/>
    <s v="&lt; 1 mes"/>
    <s v="Agua Caliente"/>
    <s v="CONTRATO TEMPORAL"/>
    <s v="Acc. No Incapacitante"/>
    <n v="0"/>
    <m/>
  </r>
  <r>
    <n v="71"/>
    <s v="-"/>
    <s v="PERÚ"/>
    <s v="ALICORP_SAA"/>
    <s v="Distrito del Callao"/>
    <x v="0"/>
    <s v="GALLETERA &amp; INSTANTÁNEOS"/>
    <s v="Producción"/>
    <x v="44"/>
    <x v="0"/>
    <s v="Acc. No Incapacitante"/>
    <d v="2024-04-25T00:00:00"/>
    <n v="17"/>
    <n v="25"/>
    <x v="3"/>
    <n v="2024"/>
    <d v="1899-12-30T22:37:00"/>
    <s v="T"/>
    <x v="0"/>
    <x v="0"/>
    <s v="TANTA "/>
    <s v="HUAJAN"/>
    <s v="RAUL"/>
    <s v="MASCULINO"/>
    <n v="57"/>
    <s v="OPERADOR MASERO"/>
    <d v="1995-10-02T00:00:00"/>
    <s v="Siendo las 20:37 , el trabajador procede a dirigirse al laboratorio de Inspección de calidad , en el trayecto, el piso se encontraba húmedo ,resbala y cae sentado._x000a_Se pone de pie y visualiza que el letrero de piso mojado, no se encontraba cerca a la zona de caída . Es derivado al tópico y se le suministra medicación . No requiere atención en clínica._x000a_"/>
    <s v="Caída a diferente nivel"/>
    <s v="Pierna"/>
    <s v="Pierna"/>
    <s v="Tránsito peatonal"/>
    <s v="Golpe"/>
    <s v="Contusión/Trauma"/>
    <n v="0"/>
    <n v="0"/>
    <n v="0"/>
    <s v="Trabajando"/>
    <n v="348"/>
    <s v="&gt; 10 años"/>
    <s v="Piso mojado"/>
    <s v="Indefinido"/>
    <s v="Acc. No Incapacitante"/>
    <n v="0"/>
    <m/>
  </r>
  <r>
    <n v="72"/>
    <s v="-"/>
    <s v="PERÚ"/>
    <s v="ALICORP_SAA"/>
    <s v="MCA"/>
    <x v="11"/>
    <s v="MCA"/>
    <s v="Mantenimiento"/>
    <x v="45"/>
    <x v="0"/>
    <s v="Acc. No Incapacitante"/>
    <d v="2024-04-30T00:00:00"/>
    <n v="18"/>
    <n v="30"/>
    <x v="3"/>
    <n v="2024"/>
    <d v="1899-12-30T10:15:00"/>
    <s v="D"/>
    <x v="0"/>
    <x v="0"/>
    <s v="TEJADA"/>
    <s v="GRANDEZ "/>
    <s v="FREDY ALDAIR "/>
    <s v="MASCULINO"/>
    <n v="24"/>
    <s v="MECANICO"/>
    <d v="2024-04-30T00:00:00"/>
    <s v="Siendo las 10:30AM, el trabajador procede a dirigirse hacia la planta para ejecutar trabajos programados. Durante el trayecto una partícula ingresa al ojo derecho del colaborador, proveniente de la descarga de trigo de la zona de recepción, donde se encontraban 02 camiones en proceso de descarga._x000a_El colaborador continúa sus actividades, sin embargo, alrededor de las 12:30PM, hace de manifiesto su malestar por lo cual se solicita el cardio móvil para una evaluación médica. El colaborador es sometido a un lavado ocular y logra eliminar el cuerpo extraño. Posterior a la intervención, el colaborador retoma sus labores._x000a_"/>
    <s v="Proyección de Material Particulado"/>
    <s v="Ojos"/>
    <s v="Ojos"/>
    <s v="Tránsito peatonal"/>
    <s v="CUERPO EXTRAÑO EN EL PARPADO"/>
    <s v="Cuerpo Extraño en Ojos"/>
    <n v="0"/>
    <n v="0"/>
    <n v="0"/>
    <s v="Trabajando"/>
    <n v="7"/>
    <s v="&lt; 0.5 a 1 año"/>
    <s v="Cuerpo Extraño"/>
    <s v="Indefinido"/>
    <s v="Acc. No Incapacitante"/>
    <n v="0"/>
    <m/>
  </r>
  <r>
    <n v="73"/>
    <s v="DIS24483"/>
    <s v="PERÚ"/>
    <s v="ALICORP_SAA"/>
    <s v="CD HUACHIPA"/>
    <x v="6"/>
    <s v="DISTRIBUCIÓN"/>
    <s v="Distribución"/>
    <x v="17"/>
    <x v="0"/>
    <s v="Acc. No Incapacitante"/>
    <d v="2024-03-15T00:00:00"/>
    <n v="11"/>
    <n v="15"/>
    <x v="2"/>
    <n v="2024"/>
    <d v="1899-12-30T23:30:00"/>
    <s v="N"/>
    <x v="0"/>
    <x v="0"/>
    <s v="CUEVA"/>
    <s v="MONCADA"/>
    <s v="JOSÉ"/>
    <s v="MASCULINO"/>
    <s v="-"/>
    <s v="-"/>
    <s v="-"/>
    <s v="El colaborador se encotnraba descargando un pallet de lejía cloro sapolio, cuando realizaba la maniobra se produce la caída del material, cuando impactan con el suelo, se rompen y el OMC sufre salpicadura en del producto, inmediatamente se descontamina en el lavojos, y luego de una evaluación médica se determina una ligera irritación por lo que no es trasladado a la clínica."/>
    <s v="Exposición a Sustancias Químicas"/>
    <s v="Ojo izquierdo"/>
    <s v="Ojos"/>
    <s v="Descarga de pallets"/>
    <s v="Irritación de ojo"/>
    <s v="Cuerpo Extraño en Ojos"/>
    <n v="0"/>
    <m/>
    <m/>
    <s v="Trabajando "/>
    <n v="15"/>
    <s v="&lt; 1 a 5 años"/>
    <s v="Gotas de lejia"/>
    <s v="Indeterminado"/>
    <s v="Acc. No Incapacitante"/>
    <n v="0"/>
    <s v="NO"/>
  </r>
  <r>
    <n v="74"/>
    <s v="-"/>
    <s v="BOLIVIA"/>
    <s v="ALICORP_BOLIVIA"/>
    <m/>
    <x v="4"/>
    <s v="PLANTA PARQUE INDUSTRIAL"/>
    <s v="Producción"/>
    <x v="46"/>
    <x v="1"/>
    <s v="Acc. Incapacitante"/>
    <d v="2024-04-05T00:00:00"/>
    <n v="14"/>
    <n v="5"/>
    <x v="3"/>
    <n v="2024"/>
    <d v="1899-12-30T16:15:00"/>
    <s v="T"/>
    <x v="0"/>
    <x v="3"/>
    <s v="CHAMBI"/>
    <s v="VILLANUEVA"/>
    <s v="DIONICIO MAXIMO"/>
    <s v="MASCULINO"/>
    <n v="53"/>
    <s v="OPERADOR DE PREPARACIÓN CROWN"/>
    <d v="1998-02-26T00:00:00"/>
    <s v="El día 05 de abril a las 16:15 aproximadamente, el operador de la Preparación de Granos se encontraba realizando la purga de condensando de vapor del sector, posterior a esta operación se dirige hacia  los laminadores para control del proceso, en este trayecto durante su recorrido da un paso largo hacia una escalera de paso a desnivel logrando sólo pisar con la punta de su pie izquierdo en el primer peldaño y cuando da el paso con la pierna derecha no logra apoyarla ocasionándole  un estiramiento muscular que le produce un desgarro en la parte baja de la pierna izquierda. Tras el suceso, el operador informa al Supervisor de Planta del hecho y es enviado a la posta médica de planta y atendido por el médico de turno. Luego el Operador asiste al centro médico laboral (Caja Nacional de Salud) para realizar una ecografía y posterior revisión por el traumatólogo de la región muscular afectada diagnosticando como un desgarro parcial del musculo gemelo izquierdo"/>
    <s v="Sobreesfuerzo"/>
    <s v="MUSLO GEMELO INTERNO IZQUIERDO"/>
    <s v="Pierna"/>
    <s v="DESPLAZAMIENTO HACIA LAMINADORES "/>
    <s v="Desgarro Parcial del musculo Gemelo interno izquierdo_x000a_"/>
    <s v="Desgarro/Estiramiento Muscular"/>
    <n v="15"/>
    <n v="0"/>
    <n v="15"/>
    <s v="Trabajando"/>
    <n v="312"/>
    <s v="&gt; 10 años"/>
    <s v="COMPORTAMIENTO INSEGURO"/>
    <s v="CONTRATO A PLAZO FIJO"/>
    <s v="Acc. Incapacitante"/>
    <n v="0"/>
    <s v="SI"/>
  </r>
  <r>
    <n v="75"/>
    <s v="-"/>
    <s v="BOLIVIA"/>
    <s v="ALICORP_BOLIVIA"/>
    <m/>
    <x v="1"/>
    <s v="PLANTA DON FELIPE"/>
    <s v="Producción"/>
    <x v="47"/>
    <x v="0"/>
    <s v="Acc. No Incapacitante"/>
    <d v="2024-04-13T00:00:00"/>
    <n v="15"/>
    <n v="13"/>
    <x v="3"/>
    <n v="2024"/>
    <d v="1899-12-30T09:30:00"/>
    <s v="M"/>
    <x v="2"/>
    <x v="20"/>
    <s v="GONZALES"/>
    <s v="DUMAY"/>
    <s v="CLAUS"/>
    <s v="MASCULINO"/>
    <n v="26"/>
    <s v="TÉCNICO MECÁNICO"/>
    <d v="2023-02-14T00:00:00"/>
    <s v="A promediar las 09:30 el técnico mecánico contratista de tornemec estaba realizando el traslado del carro hidráulico para transportar la mesa rectificadora desde el laminador #3 al laminador #4. Cuando procedía al movimiento del carro hidráulico jalándolo, este resbala por lo que se encontraba en una superficie con  harina húmeda y en un desnivel ocasionando un frenado el carro, cayendo al mismo nivel y golpeando la tibia de la pierna derecha contra el ojal inferior del carro hidráulico , inmediatamente sus colegas le colaboran a reponerse de la caída, y es trasladado a la posta medica donde realiza la atención de primeros auxilios por el coordinador de SST, se realiza las curaciones presentaba una pequeña herida"/>
    <s v="Golpeado contra"/>
    <s v="TIBIA PIERNA DERECHA"/>
    <s v="Pierna"/>
    <s v="TRASLADO DE CARRO HIDRÁULICO TRANSPORTAR MESA RECTIFICADORA"/>
    <s v="Golpe en tibia derecha"/>
    <s v="Contusión/Trauma"/>
    <n v="0"/>
    <n v="0"/>
    <n v="0"/>
    <s v="Trabajando"/>
    <n v="12"/>
    <s v="&lt; 0.5 a 1 año"/>
    <s v="CARRO HIDRÁULICO"/>
    <s v="CONTRATO TEMPORAL"/>
    <s v="Acc. No Incapacitante"/>
    <n v="0"/>
    <m/>
  </r>
  <r>
    <n v="76"/>
    <s v="-"/>
    <s v="BOLIVIA"/>
    <s v="ALICORP_BOLIVIA"/>
    <m/>
    <x v="1"/>
    <s v="PLANTA DON FELIPE"/>
    <s v="Producción"/>
    <x v="48"/>
    <x v="0"/>
    <s v="Acc. No Incapacitante"/>
    <d v="2024-04-24T00:00:00"/>
    <n v="17"/>
    <n v="24"/>
    <x v="3"/>
    <n v="2024"/>
    <d v="1899-12-30T12:30:00"/>
    <s v="M"/>
    <x v="2"/>
    <x v="21"/>
    <s v="CARDOZO"/>
    <s v="PEREZ"/>
    <s v="ROGER"/>
    <s v="MASCULINO"/>
    <n v="40"/>
    <s v="TÉCNICO MECÁNICO"/>
    <d v="2022-07-27T00:00:00"/>
    <s v="A promediar las 12:00 se presenta una tarea no planeada en elevador 03 de Alloco, después de realizar una inspección del equipo por parte de mantenimiento se informa a la jefatura de mantenimiento para realizar la intervención del equipo quien da la autorización para la ejecución del trabajo. Posterior a ello se asigna una cuadrilla del contratista SMFI para atender el trabajo, la tarea arranca sin ART, los contratistas (ejecutores de la tarea) no aplicaron el LOTO, este fue aplicado por el supervisor de SST contratista SMFI. A horas 12:25 la empresa SMFI concluye la reposición de cangilones de plástico, al finalizar la ejecución de la tarea se solicita desbloquear el elevador para verificar con una prueba en vacío que no presentara rozamiento de cangilones. Durante la operación de prueba del elevador, el electricista junto al operador proceden a liberar el LOTO y arrancan el equipo, simultáneamente el contratista evidencia una contratuerca aflojada en el cangilón (equipo detenido) y decide asegurarla utilizando una pistola de impacto con extensión y dado, en ese momento arranca el equipo generando que un cangilón impacte en la mano izquierda del contratista mientras sujetaba la pistola de impacto, en ese momento procede a retirar su mano de la zona de riesgo antes de sufrir un atrapamiento entre el cangilón y la ventana del elevador._x000a_"/>
    <s v="Golpeado por"/>
    <s v="Mano izquierda"/>
    <s v="Mano/Muñeca/Dedos"/>
    <s v="CAMBIO DE CANGILONES EN ELEVADOR 03"/>
    <s v="Lesión contusa mano izquierda"/>
    <s v="Contusión/Trauma"/>
    <n v="0"/>
    <n v="0"/>
    <n v="0"/>
    <s v="Trabajando"/>
    <n v="12"/>
    <s v="&lt; 0.5 a 1 año"/>
    <s v="CANGILONES"/>
    <s v="CONTRATO TEMPORAL"/>
    <s v="Acc. No Incapacitante"/>
    <n v="0"/>
    <m/>
  </r>
  <r>
    <n v="77"/>
    <s v="-"/>
    <s v="BOLIVIA"/>
    <s v="ALICORP_BOLIVIA"/>
    <m/>
    <x v="6"/>
    <s v="CENTROS DE ACOPIO"/>
    <s v="Producción"/>
    <x v="49"/>
    <x v="0"/>
    <s v="Acc. No Incapacitante"/>
    <d v="2024-04-26T00:00:00"/>
    <n v="17"/>
    <n v="26"/>
    <x v="3"/>
    <n v="2024"/>
    <d v="1899-12-30T05:30:00"/>
    <s v="M"/>
    <x v="2"/>
    <x v="22"/>
    <s v="BRAVO"/>
    <s v="GIL"/>
    <s v="REMY"/>
    <s v="MASCULINO"/>
    <n v="28"/>
    <s v="AYUDANTE DE PLANTA"/>
    <d v="2024-04-23T00:00:00"/>
    <s v="Al promediar las 05:30 AM, el personal tercero de provisiona se encontraba cerrando las puertas de la secadora para arrancar con el secado, y al momento de caminar sobre la plataforma sufre una caída al mismo nivel, ocasionándole una herida en el mentón._x000a_ Se le dio primeros auxilios, primeramente, se limpió con agua la herida, para luego limpiarla con algodón y agua oxigenada, posteriormente se lo derivo al centro municipal de salud integral Pailón, en el cual se le realizo una sutura de la herida (2 puntos), así mismo se le suministro la vacuna antitetánica."/>
    <s v="Golpeado contra"/>
    <s v="MENTON"/>
    <s v="Rostro/Nariz/Boca"/>
    <s v="CERRAMIENTO DE COMPUERTAS DE SECADOR"/>
    <s v="HERIDA EN REGIÓN MAXILAR INFERIOR"/>
    <s v="Corte/Herida"/>
    <n v="0"/>
    <n v="0"/>
    <n v="0"/>
    <s v="Trabajando"/>
    <n v="18"/>
    <s v="&lt; 1 a 5 años"/>
    <s v="DESNIVEL EN PLATAFORMA"/>
    <s v="CONTRATO TEMPORAL"/>
    <s v="Acc. No Incapacitante"/>
    <n v="0"/>
    <m/>
  </r>
  <r>
    <n v="78"/>
    <s v="-"/>
    <s v="PERÚ"/>
    <s v="INTRADEVCO_INDUSTRIAL_SA"/>
    <s v="Distrito de Lurín"/>
    <x v="5"/>
    <s v="Lurin 4_Detergente"/>
    <s v="Producción"/>
    <x v="29"/>
    <x v="0"/>
    <s v="Acc. No Incapacitante"/>
    <d v="2024-04-17T00:00:00"/>
    <n v="16"/>
    <n v="17"/>
    <x v="3"/>
    <n v="2024"/>
    <d v="1899-12-30T18:43:00"/>
    <s v="D"/>
    <x v="3"/>
    <x v="5"/>
    <s v="SALVATIERRA"/>
    <s v="JURADO"/>
    <s v="BRILLITH ALEXANDRA"/>
    <s v="FEMENINO"/>
    <n v="38"/>
    <s v="OPERARIO DE PRODUCCIÓN"/>
    <d v="2023-11-21T00:00:00"/>
    <s v="Colaboradora realizaba limpieza del área y al terminar de lavar los trapos que utilizan en las líneas no tenía conocimiento dónde desechar el agua por lo que pregunta a sus compañeras y le indican que lo haga en los cilindros, sin embargo estaban llenos. La trabajadora Verónica Chumpitaz ITDC le menciona que lo deseche en segundo nivel de batidos. _x000a_En el transcurso de subir las escaleras con el balde, tropieza y cae en el peldaño golpeándose la rodilla izquierda"/>
    <s v="Caida al mismo nivel"/>
    <s v="BRAZO"/>
    <s v="Brazo/Codo/Hombro"/>
    <s v="Subir escaleras"/>
    <s v="Contusion"/>
    <s v="Contusión/Trauma"/>
    <n v="0"/>
    <n v="0"/>
    <n v="0"/>
    <s v="Trabajando"/>
    <n v="5"/>
    <s v="&lt; 3 a 6 meses"/>
    <s v="Escalera"/>
    <s v="CONTRATO TEMPORAL"/>
    <s v="Acc. No Incapacitante"/>
    <n v="0"/>
    <m/>
  </r>
  <r>
    <n v="79"/>
    <s v="-"/>
    <s v="PERÚ"/>
    <s v="INTRADEVCO_INDUSTRIAL_SA"/>
    <s v="Distrito de Lurín"/>
    <x v="5"/>
    <s v="Lurin 4_Detergente"/>
    <s v="Producción"/>
    <x v="28"/>
    <x v="0"/>
    <s v="Acc. No Incapacitante"/>
    <d v="2024-04-22T00:00:00"/>
    <n v="17"/>
    <n v="22"/>
    <x v="3"/>
    <n v="2024"/>
    <d v="1899-12-30T17:00:00"/>
    <s v="D"/>
    <x v="3"/>
    <x v="5"/>
    <s v="PACAYA"/>
    <s v=" IJUMA"/>
    <s v="CHARLIE EFRAIN"/>
    <s v="MASCULINO"/>
    <n v="25"/>
    <s v="OPERARIO DE PRODUCCIÓN"/>
    <d v="2023-06-14T00:00:00"/>
    <s v="El colaborador Pacaya CA_x000a_se encontraba cortando el film, tenía puesto su pie derecho entre la uña de la máquina de transpaleta, al momento de que su otro compañero transpaletista se dirigía con una paleta para almancen, se chocó contra la paleta de Pacaya CA generandole un golpe en su pie derecho."/>
    <s v="Golpeado por"/>
    <s v="PIE DERECHO"/>
    <s v="Pie/Tobillo"/>
    <s v="Corte de stretch film"/>
    <s v="Contusion"/>
    <s v="Contusion"/>
    <n v="0"/>
    <n v="0"/>
    <n v="0"/>
    <s v="Trabajando"/>
    <n v="10"/>
    <s v="&lt; 0.5 a 1 año"/>
    <s v="Paleta"/>
    <s v="CONTRATO TEMPORAL"/>
    <s v="Acc. No Incapacitante"/>
    <n v="0"/>
    <m/>
  </r>
  <r>
    <n v="80"/>
    <s v="-"/>
    <s v="PERÚ"/>
    <s v="INTRADEVCO_INDUSTRIAL_SA"/>
    <s v="Distrito de Lurín"/>
    <x v="5"/>
    <s v="Lurin 4_Detergente"/>
    <s v="Producción"/>
    <x v="29"/>
    <x v="0"/>
    <s v="Acc. No Incapacitante"/>
    <d v="2024-04-22T00:00:00"/>
    <n v="17"/>
    <n v="22"/>
    <x v="3"/>
    <n v="2024"/>
    <d v="1899-12-30T19:08:00"/>
    <s v="N"/>
    <x v="3"/>
    <x v="5"/>
    <s v="TANTA"/>
    <s v=" CHAVEZ"/>
    <s v=" MARIA LUISA"/>
    <s v="FEMENINO"/>
    <n v="47"/>
    <s v="OPERARIO DE PRODUCCIÓN"/>
    <d v="2023-04-18T00:00:00"/>
    <s v="Siendo 22 de abril a las 07:08 la Colaboradora se encontraba firmando el libro de charla de 5 minutos y al momento de coger una mascarilla, se le cae al suelo y al recogerla se golpea contra una estructura metálica de máquina en desuso que se encuentra al lado de escritorio(en ese momento no dio aviso), cerca de las 9pm tomó una pastilla (ibuprofeno) que le brindó una compañera, sin embargo dolor persistió hasta la hora de salida, que se acercó la colaboradora a hacernos conocimiento de lo sucedido, dolor con intensidad 7/10 (23.04 a las 7am aproximadamente, en ese momento no recibió atención médica porque le brindaron)_x000a_*DATO ADICIONAL* : Colaboradora refiere haber dado aviso a su supervisora 2 veces en el turno (9pm y 4am aproximadamente) sin embargo ella no se comunicó conmigo para informar sobre el caso."/>
    <s v="Golpeado contra"/>
    <s v="CABEZA"/>
    <s v="Cabeza"/>
    <s v="Llenado de registros"/>
    <s v="Contusion"/>
    <s v="Contusion"/>
    <n v="0"/>
    <n v="0"/>
    <n v="0"/>
    <s v="Trabajando"/>
    <n v="0"/>
    <s v="&lt; 1 mes"/>
    <s v="Equipo en desuso"/>
    <s v="CONTRATO TEMPORAL"/>
    <s v="Acc. No Incapacitante"/>
    <n v="0"/>
    <m/>
  </r>
  <r>
    <n v="81"/>
    <s v="-"/>
    <s v="PERÚ"/>
    <s v="INTRADEVCO_INDUSTRIAL_SA"/>
    <s v="Distrito de Lurín"/>
    <x v="5"/>
    <s v="Lurin 4_Detergente"/>
    <s v="Producción"/>
    <x v="29"/>
    <x v="0"/>
    <s v="Acc. No Incapacitante"/>
    <d v="2024-04-25T00:00:00"/>
    <n v="17"/>
    <n v="25"/>
    <x v="3"/>
    <n v="2024"/>
    <d v="1899-12-30T20:00:00"/>
    <s v="N"/>
    <x v="3"/>
    <x v="5"/>
    <s v="PEREZ"/>
    <s v=" MARICHIN"/>
    <s v="JUSTO HERNAN"/>
    <s v="MASCULINO"/>
    <n v="44"/>
    <s v="OPERARIO DE PRODUCCIÓN"/>
    <d v="2022-10-25T00:00:00"/>
    <s v="Colaborador se encontra jalando solo la tiza con la estoca (64 sacos), ya que sus compañeros estaban ocupados menciona (tener en cuenta que esta actividad se realiza entre dos personas), y debido a la fuerza que ejerce al jalar el pallet con producto se le resbala el pie y se golpea contra la llanta. No da aviso en el momento ya que no sentía molestias. Comunicó lo sucedido el día de hoy 27.04"/>
    <s v="Golpeado por"/>
    <s v="PIE"/>
    <s v="Pie/Tobillo"/>
    <s v="Manipulacion de stocka"/>
    <s v="Contusion"/>
    <s v="Contusion"/>
    <n v="0"/>
    <n v="0"/>
    <n v="0"/>
    <s v="Trabajando"/>
    <n v="18"/>
    <s v="&lt; 1 a 5 años"/>
    <s v="Estoca"/>
    <s v="CONTRATO TEMPORAL"/>
    <s v="Acc. No Incapacitante"/>
    <n v="0"/>
    <m/>
  </r>
  <r>
    <n v="82"/>
    <s v="ILU23990"/>
    <s v="PERÚ"/>
    <s v="INTRADEVCO_INDUSTRIAL_SA"/>
    <s v="Distrito de Lurín"/>
    <x v="5"/>
    <s v="Lurin 4_Detergente"/>
    <s v="Producción"/>
    <x v="29"/>
    <x v="1"/>
    <s v="Acc. Incapacitante"/>
    <d v="2024-04-25T00:00:00"/>
    <n v="17"/>
    <n v="25"/>
    <x v="3"/>
    <n v="2024"/>
    <d v="1899-12-30T22:24:00"/>
    <s v="N"/>
    <x v="3"/>
    <x v="5"/>
    <s v="CAMACHO"/>
    <s v="ORTIZ"/>
    <s v="LUIS MANUEL"/>
    <s v="MASCULINO"/>
    <n v="26"/>
    <s v="OPERARIO DE PRODUCCIÓN"/>
    <d v="2024-04-10T00:00:00"/>
    <s v="El colaborador de encontraba saliendo del comedor luego de su cena, y al ver que sus demás compañeros estaban llegando para el ingreso, se baja de la vereda para abrir pase, pero no se percata que en la pista hay un desnivel, lo que ocasiona la torcedura del pie (tobillo izquierdo) y posterior caída. Se levanta con ayuda de sus compañeros y se dirige a los SSHH, pero se queda a mitad de camino ya que el dolor le impide seguir subiendo las escaleras. Es ahí donde la coordinadora que transitaba por el lugar se percata y me da aviso de lo sucedido."/>
    <s v="Caída al mismo nivel"/>
    <s v="TOBILLO IZQUIERDO"/>
    <s v="Pie/Tobillo"/>
    <s v="Transito por area"/>
    <s v="Contusion"/>
    <s v="Contusión/Trauma"/>
    <n v="11"/>
    <n v="0"/>
    <n v="11"/>
    <s v="Trabajando"/>
    <n v="1"/>
    <s v="&lt; 1 a 3 meses"/>
    <s v="PISO DE ASFALTO"/>
    <s v="CONTRATO TEMPORAL"/>
    <s v="Acc. Incapacitante"/>
    <n v="0"/>
    <s v="SI"/>
  </r>
  <r>
    <n v="83"/>
    <s v="-"/>
    <s v="PERÚ"/>
    <s v="INTRADEVCO_INDUSTRIAL_SA"/>
    <s v="Distrito de Lurín"/>
    <x v="5"/>
    <s v="Lurin 4_Detergente"/>
    <s v="Producción"/>
    <x v="50"/>
    <x v="0"/>
    <s v="Acc. No Incapacitante"/>
    <d v="2024-04-27T00:00:00"/>
    <n v="17"/>
    <n v="27"/>
    <x v="3"/>
    <n v="2024"/>
    <d v="1899-12-30T22:26:00"/>
    <s v="N"/>
    <x v="3"/>
    <x v="5"/>
    <s v="VALENCIA"/>
    <s v="ROMAN"/>
    <s v="PABLO"/>
    <s v="MASCULINO"/>
    <n v="43"/>
    <s v="OPERARIO DE PRODUCCIÓN"/>
    <d v="2024-04-12T00:00:00"/>
    <s v="El colaborador Pablo Velencia Román se encontraba bajando las escaleras cuando de pronto ve que sus compañeros suben corriendo y él por tratar de esquivarlos baja apresuradamente un escalón pisando en falso, ocacionando que se doble el tobillo._x000a_Cabe mencionar que dicha zona se encuentra sin iluminación."/>
    <s v="Caida al mismo nivel"/>
    <s v="TOBILLO"/>
    <s v="Pie/Tobillo"/>
    <s v="Ascenso por escaleras"/>
    <s v="Contusion"/>
    <s v="Contusión/Trauma"/>
    <n v="0"/>
    <n v="0"/>
    <n v="0"/>
    <s v="Trabajando"/>
    <n v="1"/>
    <s v="&lt; 1 a 3 meses"/>
    <s v="ESCALERA"/>
    <s v="CONTRATO TEMPORAL"/>
    <s v="Acc. No Incapacitante"/>
    <n v="0"/>
    <m/>
  </r>
  <r>
    <n v="84"/>
    <s v="-"/>
    <s v="PERÚ"/>
    <s v="INTRADEVCO_INDUSTRIAL_SA"/>
    <s v="Distrito de Chorrillos"/>
    <x v="5"/>
    <s v="Chorrillos"/>
    <s v="Producción"/>
    <x v="51"/>
    <x v="0"/>
    <s v="Acc. No Incapacitante"/>
    <d v="2024-04-29T00:00:00"/>
    <n v="18"/>
    <n v="29"/>
    <x v="3"/>
    <n v="2024"/>
    <d v="1899-12-30T12:30:00"/>
    <s v="D"/>
    <x v="3"/>
    <x v="5"/>
    <s v="AHUANARI"/>
    <s v="PAYMA"/>
    <s v="WILMER"/>
    <s v="MASCULINO"/>
    <n v="33"/>
    <s v="OPERARIO DE PRODUCCIÓN"/>
    <d v="2024-02-07T00:00:00"/>
    <s v="El trabajador AHUANARI presenta ampollas en las manos debido a que realiza el tapado y enroscado en la MR2, ya que la tapadora neumática en ocasiones no cierra por completo, la tapa se inclina hacia un lado ( el trabajador ejerce presión y enrosca) o en su defecto el diámetro sobrepasa la capacidad para realizar el tapado (debido a esto se hace manual)."/>
    <s v="Contacto con "/>
    <s v="MANO DERECHA E IZQUIERDA"/>
    <s v="Mano/Muñeca/Dedos"/>
    <s v="Tapado y enroscado de frascos"/>
    <s v="Ampolla"/>
    <s v="Quemadura por Fricción"/>
    <n v="0"/>
    <n v="0"/>
    <n v="0"/>
    <s v="Trabajando"/>
    <n v="2"/>
    <s v="&lt; 1 a 3 meses"/>
    <s v="TAPADORA NEUMÁTICA"/>
    <s v="CONTRATO TEMPORAL"/>
    <s v="Acc. No Incapacitante"/>
    <n v="0"/>
    <m/>
  </r>
  <r>
    <n v="85"/>
    <s v="-"/>
    <s v="PERÚ"/>
    <s v="INTRADEVCO_INDUSTRIAL_SA"/>
    <s v="Distrito de Lurín"/>
    <x v="5"/>
    <s v="Lurin 4_Detergente"/>
    <s v="Producción"/>
    <x v="28"/>
    <x v="0"/>
    <s v="Acc. No Incapacitante"/>
    <d v="2024-05-02T00:00:00"/>
    <n v="18"/>
    <n v="2"/>
    <x v="4"/>
    <n v="2024"/>
    <d v="1899-12-30T03:09:00"/>
    <s v="N"/>
    <x v="3"/>
    <x v="5"/>
    <s v="AVALOS"/>
    <s v="FASANANDO"/>
    <s v="RAFAEL"/>
    <s v="MASCULINO"/>
    <n v="35"/>
    <s v="OPERARIO DE PRODUCCIÓN"/>
    <d v="2024-04-17T00:00:00"/>
    <s v="Colaborador Ávalos Fasanando Rafael se encontraba haciendo la actividad de colocado de bolsas, cuando se percata que una de ellas está mal puesta y al momento de acomodarla saca la mano derecha apresuradamente y se golpea contra plancha que cambia de posición automáticamente cuando los bolsones están llenos."/>
    <s v="Golpeado contra"/>
    <s v="MANO DERECHA"/>
    <s v="Mano/Muñeca/Dedos"/>
    <s v="Colocacion de bolsas"/>
    <s v="Contusion"/>
    <s v="Contusión/Trauma"/>
    <n v="0"/>
    <n v="0"/>
    <n v="0"/>
    <s v="Trabajando"/>
    <n v="1"/>
    <s v="&lt; 1 a 3 meses"/>
    <s v="PLANCHA METALICA"/>
    <s v="CONTRATO TEMPORAL"/>
    <s v="Acc. No Incapacitante"/>
    <n v="0"/>
    <m/>
  </r>
  <r>
    <n v="86"/>
    <s v="-"/>
    <s v="PERÚ"/>
    <s v="INTRADEVCO_INDUSTRIAL_SA"/>
    <s v="Distrito de Lurín"/>
    <x v="5"/>
    <s v="Lurin 4_Detergente"/>
    <s v="Producción"/>
    <x v="29"/>
    <x v="0"/>
    <s v="Acc. No Incapacitante"/>
    <d v="2024-05-02T00:00:00"/>
    <n v="18"/>
    <n v="2"/>
    <x v="4"/>
    <n v="2024"/>
    <d v="1899-12-30T12:58:00"/>
    <s v="D"/>
    <x v="3"/>
    <x v="5"/>
    <s v="CONDORI"/>
    <s v=" LOPEZ"/>
    <s v=" GUADALUPE ROXANA"/>
    <s v="FEMENINO"/>
    <n v="41"/>
    <s v="OPERARIO DE PRODUCCIÓN"/>
    <d v="2023-03-30T00:00:00"/>
    <s v="Colaboradora estuvo realizando encajado de potes, al terminar su rotación de actividad le indica a su compañero que saldría del área para acudir a los sshh y voltea sin percatarse de la mesa de trabajo golpeándose la rodilla izquierda"/>
    <s v="Golpeado contra"/>
    <s v="RODILLA IZQUIERDA"/>
    <s v="Rodilla"/>
    <s v="Encajado de potes"/>
    <s v="Contusion"/>
    <s v="Contusión/Trauma"/>
    <n v="0"/>
    <n v="0"/>
    <n v="0"/>
    <s v="Trabajando"/>
    <n v="13"/>
    <s v="&lt; 1 a 5 años"/>
    <s v="MESA"/>
    <s v="CONTRATO TEMPORAL"/>
    <s v="Acc. No Incapacitante"/>
    <n v="0"/>
    <m/>
  </r>
  <r>
    <n v="87"/>
    <s v="-"/>
    <s v="PERÚ"/>
    <s v="ALICORP_SAA"/>
    <s v="SIDSUR"/>
    <x v="12"/>
    <s v="SIDSUR"/>
    <s v="Producción"/>
    <x v="52"/>
    <x v="1"/>
    <s v="Acc. Incapacitante"/>
    <d v="2024-04-04T00:00:00"/>
    <n v="14"/>
    <n v="4"/>
    <x v="3"/>
    <n v="2024"/>
    <d v="1899-12-30T08:00:00"/>
    <s v="D"/>
    <x v="0"/>
    <x v="3"/>
    <s v="CASTILLO"/>
    <s v="MAMANI"/>
    <s v="MAURO"/>
    <s v="MASCULINO"/>
    <n v="62"/>
    <s v="AYUDANTE DE MOLINO"/>
    <s v="-"/>
    <s v="El colaborador se encontraba en el 4° piso del Molino Victoria verificando que fluya el producto del pasaje C6 de forma continua, en ese momento el colaborador apoya su mano derecha sobre la tapa del motor, sintiendo un jalón de su dedo índice el cual retiro inmediatamente, cabe mencionar que la guarda del motor presentaba una abertura debido a la rotura de una de las ranuras de protección._x000a_Posteriormente, fue socorrido por el Coordinador de Turno quien toca la alarma de emergencias y lo acompaña al tópico, siendo atendido por el Inspector de Seguridad. Se procedió a llamar a la ambulancia, la cual lo derivo a la Clínica San Juan de Dios."/>
    <s v="Atrapado por Partes en Movimiento"/>
    <s v="Dedo anular mano derecha"/>
    <s v="Mano/Muñeca/Dedos"/>
    <s v="Verificando paso de producto"/>
    <s v="Fractura"/>
    <s v="Fractura"/>
    <n v="120"/>
    <n v="0"/>
    <n v="120"/>
    <s v="Trabajando"/>
    <n v="252"/>
    <s v="&gt; 10 años"/>
    <s v="Motor"/>
    <s v="Indefinido"/>
    <s v="Acc. Incapacitante"/>
    <n v="0"/>
    <s v="SI"/>
  </r>
  <r>
    <n v="88"/>
    <s v="PCO24300"/>
    <s v="PERÚ"/>
    <s v="ALICORP_SAA"/>
    <s v="PREDIO CENTRAL"/>
    <x v="3"/>
    <s v="COPSA"/>
    <s v="Mantenimiento"/>
    <x v="45"/>
    <x v="1"/>
    <s v="Acc. Incapacitante"/>
    <d v="2024-08-16T00:00:00"/>
    <n v="33"/>
    <n v="16"/>
    <x v="5"/>
    <n v="2024"/>
    <d v="1899-12-30T17:20:00"/>
    <s v="T"/>
    <x v="0"/>
    <x v="3"/>
    <s v="HERRERA"/>
    <s v="FABIAN"/>
    <s v="ROGGER JHON"/>
    <s v="MASCULINO"/>
    <n v="52"/>
    <s v="ELECTRICISTA"/>
    <d v="2007-03-01T00:00:00"/>
    <s v="El colaborador se encontraba abriendo la puerta metálica enrollable de la sala de generación para iniciar la operación de los grupos electrógenos en hora punta. Para abrir la puerta, realiza un primer movimiento para levantarla del piso a la altura del pecho y cambia de agarre para empujar la puerta hacia arriba. En dicho cambio de agarre siente un tirón y dolor en el hombro derecho, sin terminar la apertura."/>
    <s v="Sobreesfuerzo"/>
    <s v="Hombro"/>
    <s v="Brazo/Codo/Hombro"/>
    <s v="Apertura de puerta metálica enrollable"/>
    <s v="Tendinosis del músculo supraespinoso en hombro derecho"/>
    <s v="Desgarro/Estiramiento Muscular"/>
    <n v="137"/>
    <n v="0"/>
    <n v="137"/>
    <s v="DM"/>
    <n v="209"/>
    <s v="&gt; 10 años"/>
    <s v="Puerta metálica enrollable"/>
    <s v="CONTRATO INDEFINIDO"/>
    <s v="Acc. Incapacitante"/>
    <n v="0"/>
    <s v="SI"/>
  </r>
  <r>
    <n v="89"/>
    <s v="ICH23994"/>
    <s v="PERÚ"/>
    <s v="INTRADEVCO_INDUSTRIAL_SA"/>
    <s v="Distrito de Chorrillos"/>
    <x v="5"/>
    <s v="Chorrillos"/>
    <s v="Producción"/>
    <x v="53"/>
    <x v="1"/>
    <s v="Acc. Incapacitante"/>
    <d v="2024-05-04T00:00:00"/>
    <n v="18"/>
    <n v="4"/>
    <x v="4"/>
    <n v="2024"/>
    <d v="1899-12-30T11:45:00"/>
    <s v="D"/>
    <x v="0"/>
    <x v="14"/>
    <s v="GARCIA"/>
    <s v="CARBONEL"/>
    <s v="PETER"/>
    <s v="MASCULINO"/>
    <n v="51"/>
    <s v="OPERARIO DE PRODUCCIÓN"/>
    <s v="-"/>
    <s v="Aproximadamente a las 11:45am, durante la operación de envasado de pasta dental en línea 6, durante un atasco de cajas unitarias producido en apilador de packs, el colaborador introduce la mano derecha al interior de la maquina para liberar el atasco, de pronto retira la mano rápidamente; encontrándose ya con el dedo lesionado. La situación fue informada a producción y seguridad industrial, a continuación es trasladado al tópico donde recibe atención, activación del SCRT, y posterior traslado a la Clínica San Pablo de Surco._x000a_"/>
    <s v="Atrapado por Partes en Movimiento"/>
    <s v="MANO"/>
    <s v="Mano/Muñeca/Dedos"/>
    <s v="Desatoro de línea"/>
    <s v="HERIDA DE DEDOS DE LA MANO, SIN DAÑO DE UÑAS"/>
    <s v="Corte/Herida"/>
    <n v="21"/>
    <n v="0"/>
    <n v="21"/>
    <s v="Cesó"/>
    <n v="330"/>
    <s v="&gt; 10 años"/>
    <s v="Máquina encajadora"/>
    <s v="CONTRATO INDEFINIDO"/>
    <s v="Acc. Incapacitante"/>
    <n v="0"/>
    <s v="SI"/>
  </r>
  <r>
    <n v="90"/>
    <s v="MFA24121"/>
    <s v="PERÚ"/>
    <s v="ALICORP_SAA"/>
    <s v="CENTRAL"/>
    <x v="11"/>
    <s v="MFA"/>
    <s v="Producción"/>
    <x v="40"/>
    <x v="1"/>
    <s v="Acc. Incapacitante"/>
    <d v="2024-05-22T00:00:00"/>
    <n v="21"/>
    <n v="22"/>
    <x v="4"/>
    <n v="2024"/>
    <d v="1899-12-30T17:10:00"/>
    <s v="T"/>
    <x v="0"/>
    <x v="3"/>
    <s v="CALDERON"/>
    <s v="HUANAMBAL"/>
    <s v="TEOFILO MARCELINO"/>
    <s v="MASCULINO"/>
    <n v="60"/>
    <s v="OPERADOR 2 DE MOLINO"/>
    <d v="2000-08-01T00:00:00"/>
    <s v="El colaborador se encontraba en el cuarto piso del molino B realizando su inspección de turno a los plansifter donde se percata que uno de los pasajes se empezó a llenar y botar harina por la manga, él se acerca para verificar y siente que ingresa una partícula en la vista izquierda causándole molestia"/>
    <s v="Contacto con"/>
    <s v="OJO IZQUIERDO"/>
    <s v="Ojos"/>
    <s v="Verificacion "/>
    <s v="Cuerpo Extraño en Ojos"/>
    <s v="Cuerpo Extraño en Ojos"/>
    <n v="1"/>
    <n v="0"/>
    <n v="1"/>
    <s v="Descanso Médico"/>
    <n v="163"/>
    <s v="&gt; 10 años"/>
    <s v="Polvo de Harina"/>
    <s v="Indefinido"/>
    <s v="Acc. Incapacitante"/>
    <n v="0"/>
    <s v="SI"/>
  </r>
  <r>
    <n v="91"/>
    <s v="ILU24268"/>
    <s v="PERÚ"/>
    <s v="INTRADEVCO_INDUSTRIAL_SA"/>
    <s v="Distrito de Lurín"/>
    <x v="5"/>
    <s v="Lurin 2_Planta principal"/>
    <s v="Producción"/>
    <x v="54"/>
    <x v="1"/>
    <s v="Acc. Incapacitante"/>
    <d v="2024-04-15T00:00:00"/>
    <n v="16"/>
    <n v="15"/>
    <x v="3"/>
    <n v="2024"/>
    <d v="1899-12-30T07:00:00"/>
    <s v="D"/>
    <x v="3"/>
    <x v="5"/>
    <s v="ROSALES"/>
    <s v="BLAS"/>
    <s v="FRANK"/>
    <s v="MASCULINO"/>
    <n v="28"/>
    <s v="OPERARIO DE PRODUCCIÓN"/>
    <d v="2024-01-15T00:00:00"/>
    <s v="El colaborador se encontraba colocándose el uniforme para el ingreso a su turno. Al colocarse el polo, extiende su mano izquierda, que tuvo contacto con bordes irregulares de uno de los casilleros del vestuario generando una herida en el dedo medio de la mano izquierda."/>
    <s v="Contacto con superficie filosa"/>
    <s v="MANO"/>
    <s v="Mano/Muñeca/Dedos"/>
    <s v="Cambio de ropa (colocación de uniforme)"/>
    <s v="Herida en dedo"/>
    <s v="Corte/Herida"/>
    <n v="11"/>
    <n v="0"/>
    <n v="11"/>
    <s v="Trabajando"/>
    <n v="3"/>
    <s v="&lt; 3 a 6 meses"/>
    <s v="CASILLERO"/>
    <s v="CONTRATO TEMPORAL"/>
    <s v="Acc. Incapacitante"/>
    <n v="0"/>
    <s v="SI"/>
  </r>
  <r>
    <n v="92"/>
    <s v="-"/>
    <s v="PERÚ"/>
    <s v="INTRADEVCO_INDUSTRIAL_SA"/>
    <s v="Distrito de Lurín"/>
    <x v="5"/>
    <s v="Lurin 2_Principal"/>
    <s v="Producción"/>
    <x v="9"/>
    <x v="0"/>
    <s v="Acc. No Incapacitante"/>
    <d v="2024-04-18T00:00:00"/>
    <n v="16"/>
    <n v="18"/>
    <x v="3"/>
    <n v="2024"/>
    <d v="1899-12-30T16:00:00"/>
    <s v="D"/>
    <x v="3"/>
    <x v="5"/>
    <s v="OSORIO"/>
    <s v="SOLIMANO"/>
    <s v="CARLOS DANIEL"/>
    <s v="MASCULINO"/>
    <s v="-"/>
    <s v="OPERARIO DE PRODUCCIÓN"/>
    <s v="-"/>
    <s v="Colaborador realizaba actividades en la mezcladora 1, procede con la apertura del desfogue para realizar el llenado de bolsas; se completó el llenado de bolsa con material por lo que el colaborador procedia a cerrar el desfogue, actividad que consiste en empujar la tapa de metal; debido a que el material sigue cayendo y la tapa se atora el colaborador ejerce fuerza al empujar; es ahi que sintió un estirón y posteriormente dolor."/>
    <s v="Sobreesfuerzo"/>
    <s v="MANO"/>
    <s v="Mano/Muñeca/Dedos"/>
    <s v="Cierre de compuerta"/>
    <s v="TENDINITIS POR USO EXCESIVO Y PRESION"/>
    <s v="Esguince/Torcedura"/>
    <n v="0"/>
    <m/>
    <m/>
    <s v="Trabajando"/>
    <m/>
    <m/>
    <m/>
    <m/>
    <s v="Acc. No Incapacitante"/>
    <n v="0"/>
    <m/>
  </r>
  <r>
    <n v="93"/>
    <s v="-"/>
    <s v="PERÚ"/>
    <s v="INTRADEVCO_INDUSTRIAL_SA"/>
    <s v="Distrito de Lurín"/>
    <x v="5"/>
    <s v="Lurin 2_Principal"/>
    <s v="Producción"/>
    <x v="11"/>
    <x v="0"/>
    <s v="Acc. No Incapacitante"/>
    <d v="2024-04-27T00:00:00"/>
    <n v="17"/>
    <n v="27"/>
    <x v="3"/>
    <n v="2024"/>
    <d v="1899-12-30T12:00:00"/>
    <s v="D"/>
    <x v="3"/>
    <x v="5"/>
    <s v="INGA"/>
    <s v="CHIROQUE "/>
    <s v="JHOVANA"/>
    <s v="FEMENINO"/>
    <s v="-"/>
    <s v="OPERARIO DE PRODUCCIÓN"/>
    <s v="-"/>
    <s v="El frasco pasó sin haberse encrimpado y al inyectar gas se produjo de la dispersión del líquido, menciona la colaboradora que si tenía puesto el antiparra"/>
    <s v="Exposición a Sustancias Químicas"/>
    <s v="OJOS"/>
    <s v="Ojos"/>
    <s v="Encrimpado de envases"/>
    <s v="Irritación por Sustancias Químicas OJOS"/>
    <s v="Quemadura Química"/>
    <n v="0"/>
    <n v="0"/>
    <n v="0"/>
    <s v="Trabajando"/>
    <m/>
    <m/>
    <s v="PRODUCTO (GRANEL DE AEROSOL)"/>
    <s v="CONTRATO TEMPORAL"/>
    <s v="Acc. No Incapacitante"/>
    <n v="0"/>
    <m/>
  </r>
  <r>
    <n v="94"/>
    <s v="PGL24022 "/>
    <s v="PERÚ"/>
    <s v="ALICORP_SAA"/>
    <s v="Distrito del Callao"/>
    <x v="0"/>
    <s v="GALLETERA &amp; INSTANTÁNEOS"/>
    <s v="Producción"/>
    <x v="55"/>
    <x v="0"/>
    <s v="Acc. No Incapacitante"/>
    <d v="2024-05-18T00:00:00"/>
    <n v="20"/>
    <n v="18"/>
    <x v="4"/>
    <n v="2024"/>
    <d v="1899-12-30T19:00:00"/>
    <s v="T"/>
    <x v="0"/>
    <x v="0"/>
    <s v="CASTAÑEDA "/>
    <s v="INOCENTE"/>
    <s v="RONAL JUNIOR "/>
    <s v="MASCULINO"/>
    <n v="28"/>
    <s v="OPERARIO DE PRODUCCIÓN"/>
    <d v="2023-11-13T00:00:00"/>
    <s v="Siendo las 19:00 el colaborador refiere que al momento de bandejar las galletas sufre contacto con la faja de alimentación presentando corte en el dedo medio de la mano derecha"/>
    <s v="contacto con superficie en movimiento"/>
    <s v="DEDO"/>
    <s v="Mano/Muñeca/Dedos"/>
    <s v="Bandejeo de galletas"/>
    <s v="Corte"/>
    <s v="Laceración"/>
    <n v="0"/>
    <n v="0"/>
    <n v="0"/>
    <s v="Trabajando"/>
    <n v="3"/>
    <s v="&lt; 0.5 a 1 año"/>
    <s v="Faja"/>
    <s v="CONTRATO INDEFINIDO"/>
    <s v="Acc. No Incapacitante"/>
    <n v="0"/>
    <m/>
  </r>
  <r>
    <n v="95"/>
    <s v="-"/>
    <s v="PERÚ"/>
    <s v="ALICORP_SAA"/>
    <s v="SIDSUR"/>
    <x v="12"/>
    <s v="SIDSUR"/>
    <s v="Producción"/>
    <x v="56"/>
    <x v="1"/>
    <s v="Acc. Incapacitante"/>
    <d v="2024-05-07T00:00:00"/>
    <n v="19"/>
    <n v="7"/>
    <x v="4"/>
    <n v="2024"/>
    <d v="1899-12-30T15:40:00"/>
    <s v="T"/>
    <x v="0"/>
    <x v="3"/>
    <s v="BRICEÑO "/>
    <s v="ARANIBAR"/>
    <s v="JUAN CARLOS"/>
    <s v="MASCULINO"/>
    <n v="47"/>
    <s v="OPERARIO DE PRODUCCIÓN"/>
    <s v="-"/>
    <s v="Colaborador se encontraba en sus actividades rutinarias, cuando se retira de su zona de trabajo para dirigirse a los servicios higienicos, sufre un resbalón  del pie derecho hacia adelante, momento en el que se cae, pone su mano izquierda en el suelo, lo que causa dolor en la misma. Procede a reportarlo y posteriormente es trasladado a la clinica "/>
    <s v="Caída al mismo nivel"/>
    <s v="Mano izquierda"/>
    <s v="Mano/Muñeca/Dedos"/>
    <s v="Transito "/>
    <m/>
    <s v="Esguince/Torcedura"/>
    <n v="13"/>
    <n v="0"/>
    <n v="13"/>
    <s v="Trabajando"/>
    <n v="11"/>
    <s v="&lt; 0.5 a 1 año"/>
    <s v="Piso "/>
    <s v="CONTRATO INDEFINIDO "/>
    <s v="Acc. Incapacitante"/>
    <n v="0"/>
    <s v="SI"/>
  </r>
  <r>
    <n v="96"/>
    <s v="-"/>
    <s v="PERÚ"/>
    <s v="ALICORP_SAA"/>
    <s v="SIDSUR"/>
    <x v="12"/>
    <s v="SIDSUR"/>
    <s v="Producción"/>
    <x v="57"/>
    <x v="1"/>
    <s v="Acc. Incapacitante"/>
    <d v="2024-05-21T00:00:00"/>
    <n v="21"/>
    <n v="21"/>
    <x v="4"/>
    <n v="2024"/>
    <d v="1899-12-30T11:30:00"/>
    <s v="D"/>
    <x v="0"/>
    <x v="3"/>
    <s v="CORIMANYA"/>
    <s v="LACUTA"/>
    <s v="FRANCISCO "/>
    <s v="MASCULINO"/>
    <n v="49"/>
    <s v="OPERARIO DE PRODUCCIÓN"/>
    <s v="-"/>
    <s v="El colaborador se encontraba en el 2do. Piso del área de Galletería Línea 1, turno mañana;  y al dirigirse a cruzar del lado frontal hacia el lado posterior de la envasadora Victoria 7 para brindar soporte a su compañero a quien se le acumulaba las galletas y se caian debido a que la maquina envasadora dejó de funcionami, hace uso de la escalera puente qué cuenta con baranda, una vez cruzado el puente  al momento de bajar las escaleras hacia lado posterior de la Victoria 7 , sufre un resbalón en el segundo peldaño,  por ello pierde el equilibrio y cae sentado en el peldaño, sufriendo un  golpe en la cadera.   "/>
    <s v="Caída a distinto nivel "/>
    <s v="Cadera "/>
    <s v="Cadera "/>
    <s v="Descenso por escaleras"/>
    <m/>
    <s v="Contusión/Trauma"/>
    <n v="3"/>
    <n v="0"/>
    <n v="3"/>
    <s v="Trabajando "/>
    <n v="263"/>
    <s v="&gt; 10 años"/>
    <s v="Escalera"/>
    <s v="CONTRATO INDEFINIDO "/>
    <s v="Acc. Incapacitante"/>
    <n v="0"/>
    <s v="SI"/>
  </r>
  <r>
    <n v="97"/>
    <s v="-"/>
    <s v="BOLIVIA"/>
    <s v="ALICORP_BOLIVIA"/>
    <m/>
    <x v="4"/>
    <s v="PLANTA PARQUE INDUSTRIAL"/>
    <s v="Producción"/>
    <x v="7"/>
    <x v="0"/>
    <s v="Acc. No Incapacitante"/>
    <d v="2024-05-13T00:00:00"/>
    <n v="20"/>
    <n v="13"/>
    <x v="4"/>
    <n v="2024"/>
    <d v="1899-12-30T20:30:00"/>
    <s v="T"/>
    <x v="2"/>
    <x v="23"/>
    <s v="GUZMAN"/>
    <s v="TORRICO"/>
    <s v="DENNIS"/>
    <s v="MASCULINO"/>
    <n v="27"/>
    <s v="Ayudante laboral"/>
    <d v="2017-02-25T00:00:00"/>
    <s v="El día 13 de mayo a las 20:30, aproximadamente, el contratista de la empresa SEPE se encontraba realizando las actividades para descarga de camión tipo tolva bitren con grano de soya en volcadora ubicada en la Fosa de descarga N°2 del área de Recepción de granos._x000a_Una vez concluida la descarga de la tolva del camión, el conductor del camión se percata que quedaba una pequeña cantidad de grano dentro de la tolva debido a que el segundo registro no abre totalmente, por lo que le indica al contratista pueda acceder para retirar el sobrante. El contratista realiza las indicaciones del conductor ingresando por el registro de la descarga de la tolva e ingresando al interior, luego se posiciona en los bordes del registro e intenta vaciar el grano restante, se resbala y golpea su rodilla derecha en la parte metálica de la descarga._x000a_Posterior al golpe, el contratista continúa sus actividades de descarga de camiones y más tarde se percata de que tiene una molestia en su rodilla, por lo que procede a revisarse y encuentra que tenía un leve corte superficial y comunica al operador del sector._x000a_La comunicación llega al Supervisor, quien llama a los servicios de paramédicos de Emercom, quienes asisten a la persona realizándole una limpieza y realizándole una sutura de 3 puntos._x000a_Luego de la atención el contratista concluye su turno y se retira de las instalaciones."/>
    <s v="Golpeado contra"/>
    <s v="Rodilla"/>
    <s v="Rodilla"/>
    <s v="DESCARGA DE CAMIONES CON GRANO"/>
    <s v="Herida cortanten superficial en rodilla"/>
    <s v="Corte/Herida"/>
    <n v="0"/>
    <n v="0"/>
    <n v="0"/>
    <s v="Trabajando"/>
    <n v="84"/>
    <s v="&lt; 1 a 5 años"/>
    <s v="Tapa de registro"/>
    <s v="CONTRATO A PLAZO FIJO"/>
    <s v="Acc. No Incapacitante"/>
    <n v="0"/>
    <m/>
  </r>
  <r>
    <n v="98"/>
    <m/>
    <s v="PERÚ"/>
    <s v="ALICORP_SAA"/>
    <s v="PREDIO CENTRAL"/>
    <x v="6"/>
    <s v="DISTRIBUCIÓN"/>
    <s v="Distribución"/>
    <x v="58"/>
    <x v="0"/>
    <s v="Acc. No Incapacitante"/>
    <d v="2024-05-29T00:00:00"/>
    <n v="22"/>
    <n v="29"/>
    <x v="4"/>
    <n v="2024"/>
    <d v="1899-12-30T08:37:00"/>
    <s v="D"/>
    <x v="0"/>
    <x v="0"/>
    <s v="BERAUN"/>
    <s v="VILLODAS"/>
    <s v="BRYAN"/>
    <s v="MASCULINO"/>
    <n v="25"/>
    <s v="OPERADOR DE MONTACARGAS"/>
    <d v="2023-04-13T00:00:00"/>
    <s v="COLABORADOR REFIERE, QUE AL ENCONTRARSE LABORANDO, SE LE INTRODUCE UNA PEQUEÑA PARTICULA EN EL OJO IZQUIERDO, QUE LE OCASIONA MOLESTIA, S E LE REALIZA LAVADO OCULAR Y NO REQUIERE TRASLADO"/>
    <s v="Proyección de Material Particulado"/>
    <s v="OJO IZQUIERDO"/>
    <s v="Ojos"/>
    <s v="Descarga de sacos de harina"/>
    <s v="Cuerpo extraño en ojo"/>
    <s v="Cuerpo Extraño en Ojos"/>
    <n v="0"/>
    <m/>
    <m/>
    <s v="Trabajando "/>
    <n v="15"/>
    <s v="&lt; 1 a 5 años"/>
    <s v="Sacos de harina"/>
    <s v="CONTRATO TEMPORAL"/>
    <s v="Acc. No Incapacitante"/>
    <n v="0"/>
    <s v="NO"/>
  </r>
  <r>
    <n v="99"/>
    <s v="-"/>
    <s v="BOLIVIA"/>
    <s v="ALICORP_BOLIVIA"/>
    <m/>
    <x v="1"/>
    <s v="PLANTA DON FELIPE"/>
    <s v="Mantenimiento"/>
    <x v="45"/>
    <x v="0"/>
    <s v="Acc. No Incapacitante"/>
    <d v="2024-05-18T00:00:00"/>
    <n v="20"/>
    <n v="18"/>
    <x v="4"/>
    <n v="2024"/>
    <d v="1899-12-30T04:15:00"/>
    <s v="M"/>
    <x v="0"/>
    <x v="0"/>
    <s v="CRUZ"/>
    <s v="CABEZAS"/>
    <s v="DEMETRIO"/>
    <s v="MASCULINO"/>
    <n v="35"/>
    <s v="Instrumentista"/>
    <d v="2012-08-11T00:00:00"/>
    <s v="Aproximadamente a las 04:15 horas, convoca el operador de secaderos al técnico electricista para que revise una falla eléctrica, inmediatamente se desplaza el técnico desde la preparación a secaderos ; al momento de transitar por el pasillo de acondicionador rotativo a post limpieza, esquina lado noroeste de la barda de solvente Tecnal pisa la plancha corrugada de protección de canal desagüe con el pie derecho resbalando, perdió la estabilidad y asentando con su rodilla izquierda la plancha, generándole una laceración en la rodilla izquierda._x000a_De inmediato comunica del resbalamiento, y se procede darle los primeros auxilios identificando solo una laceración generada por el impacto contra objeto agudo, después continua con su jornada laboral sin dificultad._x000a_Acción inmediata, limpieza del área e hidro lavado  y colocado de cinta antideslizantes de 50 mm.(safety walk)."/>
    <s v="Golpeado contra"/>
    <s v="Rodilla"/>
    <s v="Rodilla"/>
    <s v="Actividad rutinaria en puesto de trabajo"/>
    <s v="CUERPO EXTRAÑO EN EL CUERPO CILIAR(OJO)"/>
    <s v="Cuerpo Extraño en Ojos"/>
    <n v="0"/>
    <n v="0"/>
    <n v="0"/>
    <s v="Trabajando"/>
    <n v="61"/>
    <s v="&lt; 5 a 10 años"/>
    <s v="Partícula"/>
    <s v="CONTRATO A PLAZO FIJO"/>
    <s v="Acc. No Incapacitante"/>
    <n v="0"/>
    <s v="NO"/>
  </r>
  <r>
    <n v="100"/>
    <s v="-"/>
    <s v="PERÚ"/>
    <s v="INTRADEVCO_INDUSTRIAL_SA"/>
    <s v="Distrito de Lurín"/>
    <x v="5"/>
    <s v="Lurin 4_Detergente"/>
    <s v="Producción"/>
    <x v="28"/>
    <x v="0"/>
    <s v="Acc. No Incapacitante"/>
    <d v="2024-05-07T00:00:00"/>
    <n v="19"/>
    <n v="7"/>
    <x v="4"/>
    <n v="2024"/>
    <d v="1899-12-30T09:10:00"/>
    <s v="D"/>
    <x v="3"/>
    <x v="5"/>
    <s v="SANDOVAL"/>
    <s v=" RENGIFO"/>
    <s v="JORGE  LUIS"/>
    <s v="MASCULINO"/>
    <n v="24"/>
    <s v="OPERARIO DE PRODUCCIÓN"/>
    <d v="2024-03-05T00:00:00"/>
    <s v="El colaborador  Jorge Luis Sandoval Renfigo CA. se encontraba apilando en la Vai, al momento de retirarse Gira y se golpea su codo derecho contra la Ruma de las paletas "/>
    <s v="Golpeado contra"/>
    <s v="CODO DERECHO"/>
    <s v="Brazo/Codo/Hombro"/>
    <s v="Apilado de bolsas"/>
    <s v="Contusion"/>
    <s v="Contusión/Trauma"/>
    <n v="0"/>
    <n v="0"/>
    <n v="0"/>
    <s v="Trabajando"/>
    <n v="2"/>
    <s v="&lt; 1 a 3 meses"/>
    <s v="PALETA"/>
    <s v="CONTRATO TEMPORAL"/>
    <s v="Acc. No Incapacitante"/>
    <n v="0"/>
    <m/>
  </r>
  <r>
    <n v="101"/>
    <s v="-"/>
    <s v="PERÚ"/>
    <s v="INTRADEVCO_INDUSTRIAL_SA"/>
    <s v="Distrito de Lurín"/>
    <x v="5"/>
    <s v="Lurin 4_Detergente"/>
    <s v="Producción"/>
    <x v="28"/>
    <x v="0"/>
    <s v="Acc. No Incapacitante"/>
    <d v="2024-05-08T00:00:00"/>
    <n v="19"/>
    <n v="8"/>
    <x v="4"/>
    <n v="2024"/>
    <d v="1899-12-30T02:50:00"/>
    <s v="N"/>
    <x v="3"/>
    <x v="5"/>
    <s v="Tercero"/>
    <s v="Tercero"/>
    <s v="Tercero"/>
    <s v="MASCULINO"/>
    <n v="24"/>
    <s v="OPERARIO DE PRODUCCIÓN"/>
    <d v="2024-01-01T00:00:00"/>
    <s v="Colaborador se encontraba realizando la actividad de sellado en la línea de la máquina neumopack #01 y su compañero estaba golpeando el ducto en plataforma para que baje el producto, por lo que se proyecta detergente y genera que le ingrese a sus ojos causándole irritación "/>
    <s v="Proyección de Material Particulado"/>
    <s v="OJOS"/>
    <s v="Ojos"/>
    <s v="sellado de bolsas"/>
    <s v="Cuerpo Extraño en Ojos"/>
    <s v="Cuerpo Extraño en Ojos"/>
    <n v="0"/>
    <n v="0"/>
    <n v="0"/>
    <s v="Trabajando"/>
    <m/>
    <m/>
    <s v="Particulas de detergente"/>
    <s v="CONTRATO TEMPORAL"/>
    <s v="Acc. No Incapacitante"/>
    <n v="0"/>
    <m/>
  </r>
  <r>
    <n v="102"/>
    <s v="-"/>
    <s v="PERÚ"/>
    <s v="INTRADEVCO_INDUSTRIAL_SA"/>
    <s v="Distrito de Lurín"/>
    <x v="5"/>
    <s v="Lurin 4_Detergente"/>
    <s v="Producción"/>
    <x v="27"/>
    <x v="0"/>
    <s v="Acc. No Incapacitante"/>
    <d v="2024-05-14T00:00:00"/>
    <n v="20"/>
    <n v="14"/>
    <x v="4"/>
    <n v="2024"/>
    <d v="1899-12-30T03:00:00"/>
    <s v="N"/>
    <x v="3"/>
    <x v="5"/>
    <s v="ROJAS"/>
    <s v=" HUANUIRI"/>
    <s v=" MARDEN"/>
    <s v="MASCULINO"/>
    <n v="49"/>
    <s v="OPERARIO DE PRODUCCIÓN"/>
    <d v="2024-03-12T00:00:00"/>
    <s v="El colaborador Marpen Rojas Guanoyre CA. menciona al momento de empujar el coche, se abrió la compuerta y le cayo detergente en todo el cuerpo, generandole picazón en la vista, cabe mencionar que estában los dos coches llenos, y la compuerta se abre cada 30 segundos automáticamente, justo cuando el empuja se abre la compuerta, fue una mala coordinación. _x000a_Asimismo el colaborador no tenía conocimiento que la compuerta se abre automáticamente. "/>
    <s v="Proyección de Material Particulado"/>
    <s v="OJOS"/>
    <s v="Ojos"/>
    <s v="manipulacion de coches"/>
    <s v="Cuerpo Extraño en Ojos"/>
    <s v="Cuerpo Extraño en Ojos"/>
    <n v="0"/>
    <n v="0"/>
    <n v="0"/>
    <s v="Trabajando"/>
    <n v="2"/>
    <s v="&lt; 1 a 3 meses"/>
    <s v="Particulas de detergente"/>
    <s v="CONTRATO TEMPORAL"/>
    <s v="Acc. No Incapacitante"/>
    <n v="0"/>
    <m/>
  </r>
  <r>
    <n v="103"/>
    <s v="-"/>
    <s v="PERÚ"/>
    <s v="INTRADEVCO_INDUSTRIAL_SA"/>
    <s v="Distrito de Lurín"/>
    <x v="5"/>
    <s v="Lurin 4_Detergente"/>
    <s v="Producción"/>
    <x v="28"/>
    <x v="0"/>
    <s v="Acc. No Incapacitante"/>
    <d v="2024-05-14T00:00:00"/>
    <n v="20"/>
    <n v="14"/>
    <x v="4"/>
    <n v="2024"/>
    <d v="1899-12-30T17:30:00"/>
    <s v="D"/>
    <x v="3"/>
    <x v="5"/>
    <s v="MENDOZA"/>
    <s v=" QUIÑONES"/>
    <s v=" PEDRO ALEXANDER"/>
    <s v="MASCULINO"/>
    <n v="27"/>
    <s v="OPERARIO DE PRODUCCIÓN"/>
    <d v="2024-01-02T00:00:00"/>
    <s v="Colaborador se encontraba haciendo la actividad de doblado de sacos para pasarlo a cosedora, al momento de su compañero quitar el aire, la base hace polución y le ingresa partículas al ojo izquierdo. Se dirige al lavaojos por 15 minutos, pero al cabo de ésta sigue con sensación de ardor."/>
    <s v="Proyección de Material Particulado"/>
    <s v="OJO IZQUIERDO"/>
    <s v="Ojos"/>
    <s v="doblado de sacos"/>
    <s v="Cuerpo Extraño en Ojos"/>
    <s v="Cuerpo Extraño en Ojos"/>
    <n v="0"/>
    <n v="0"/>
    <n v="0"/>
    <s v="Trabajando"/>
    <n v="4"/>
    <s v="&lt; 3 a 6 meses"/>
    <s v="Particulas de detergente"/>
    <s v="CONTRATO TEMPORAL"/>
    <s v="Acc. No Incapacitante"/>
    <n v="0"/>
    <m/>
  </r>
  <r>
    <n v="104"/>
    <s v="-"/>
    <s v="PERÚ"/>
    <s v="INTRADEVCO_INDUSTRIAL_SA"/>
    <s v="Distrito de Lurín"/>
    <x v="5"/>
    <s v="Lurin 4_Detergente"/>
    <s v="Producción"/>
    <x v="28"/>
    <x v="0"/>
    <s v="Acc. No Incapacitante"/>
    <d v="2024-05-21T00:00:00"/>
    <n v="21"/>
    <n v="21"/>
    <x v="4"/>
    <n v="2024"/>
    <d v="1899-12-30T17:00:00"/>
    <s v="D"/>
    <x v="3"/>
    <x v="5"/>
    <s v="PAIMA"/>
    <s v="AMASIFUEN "/>
    <s v="GUILMEL"/>
    <s v="MASCULINO"/>
    <n v="32"/>
    <s v="OPERARIO DE PRODUCCIÓN"/>
    <d v="2024-04-12T00:00:00"/>
    <s v="Colaborador Paima Amasifuen Guimer se encontraban realizando la actividad de sellado en sellapack de la máquina VAI, al momento de querer retirar la bolsa, se golpea contra la mordaza el dedo pulgar izquierdo, (tenía puesto sus guantes g-60), ésto suede por querer avanzar rápidamente ya que las bolsas se le estaban acumulando en la mesa._x000a_Cabe resaltar que no dio aviso en su momento porque no sentía molestias, al cabo de hora comunica lo sucedido. Siendo su dolor una intensidad 5/10._x000a_Como dato adicional, colaborador tiene una deformidad en dedos de las manos, menciona que tiene las tiene así desde pequeño."/>
    <s v="Golpeado contra"/>
    <s v="PULGAR IZQUIERDO"/>
    <s v="Mano/Muñeca/Dedos"/>
    <s v="sellado de bolsas"/>
    <s v="Contusion"/>
    <s v="Contusión/Trauma"/>
    <n v="0"/>
    <n v="0"/>
    <n v="0"/>
    <s v="Trabajando"/>
    <n v="1"/>
    <s v="&lt; 1 a 3 meses"/>
    <s v="selladora"/>
    <s v="CONTRATO TEMPORAL"/>
    <s v="Acc. No Incapacitante"/>
    <n v="0"/>
    <m/>
  </r>
  <r>
    <n v="105"/>
    <s v="-"/>
    <s v="PERÚ"/>
    <s v="INTRADEVCO_INDUSTRIAL_SA"/>
    <s v="Distrito de Lurín"/>
    <x v="5"/>
    <s v="Lurin 4_Detergente"/>
    <s v="Producción"/>
    <x v="29"/>
    <x v="0"/>
    <s v="Acc. No Incapacitante"/>
    <d v="2024-05-27T00:00:00"/>
    <n v="22"/>
    <n v="27"/>
    <x v="4"/>
    <n v="2024"/>
    <d v="1899-12-30T06:15:00"/>
    <s v="N"/>
    <x v="3"/>
    <x v="5"/>
    <s v="CAMACHO"/>
    <s v=" ORTIZ"/>
    <s v=" LUIS MANUEL"/>
    <s v="MASCULINO"/>
    <n v="26"/>
    <s v="OPERARIO DE PRODUCCIÓN"/>
    <d v="2024-04-10T00:00:00"/>
    <s v="Colaborador Camacho Ortiz Luis se encontraba colocando film a la paleta de sacos de tiza para que sea retirado del área. Estaba cerca de la batidora N°4 y su pie derecho se queda enredado entre la batidora  y paleta generando caída. Se golpea mano derecha sintiendo dolor en dedos meñique y anular con intensidad 6/10"/>
    <s v="Caída al mismo nivel"/>
    <s v="DEDO MEÑIQUE Y ANULAR DERECHO"/>
    <s v="Mano/Muñeca/Dedos"/>
    <s v="enfilado de paleta"/>
    <s v="Contusion"/>
    <s v="Contusión/Trauma"/>
    <n v="0"/>
    <n v="0"/>
    <n v="0"/>
    <s v="Trabajando"/>
    <n v="1"/>
    <s v="&lt; 1 a 3 meses"/>
    <s v="paleta"/>
    <s v="CONTRATO TEMPORAL"/>
    <s v="Acc. No Incapacitante"/>
    <n v="0"/>
    <m/>
  </r>
  <r>
    <n v="106"/>
    <s v="-"/>
    <s v="PERÚ"/>
    <s v="INTRADEVCO_INDUSTRIAL_SA"/>
    <s v="Distrito de Lurín"/>
    <x v="5"/>
    <s v="Lurin 4_Detergente"/>
    <s v="Producción"/>
    <x v="29"/>
    <x v="0"/>
    <s v="Acc. No Incapacitante"/>
    <d v="2024-05-30T00:00:00"/>
    <n v="22"/>
    <n v="30"/>
    <x v="4"/>
    <n v="2024"/>
    <d v="1899-12-30T03:14:00"/>
    <s v="N"/>
    <x v="3"/>
    <x v="5"/>
    <s v="AMAZIFUEN"/>
    <s v="PEREZ"/>
    <s v="MARIA NATIVIDAD"/>
    <s v="FEMENINO"/>
    <n v="27"/>
    <s v="OPERARIO DE PRODUCCIÓN"/>
    <d v="2023-05-31T00:00:00"/>
    <s v="Colaboradora se encontraba realizando la actividad de esponjado y su compañero abastecedor al pasar con 2 paquetes de cajas para colocar en la línea (25 unidades cada una) se posiciona cerca de ella ya que no tenía espacio y choca con el abastecedor de la otra línea quien también se encontraba realizando la misma actividad, por lo que ante ello inclina los paquetes y uno de ellos cae en su cabeza generando impacto con las esquinas de las cajas, siendo su dolor 2/10 y a su vez produce mareos"/>
    <s v="Golpeado por"/>
    <s v="CABEZA"/>
    <s v="Cabeza"/>
    <s v="colocacion de esponjas"/>
    <s v="Contusion"/>
    <s v="Contusión/Trauma"/>
    <n v="0"/>
    <n v="0"/>
    <n v="0"/>
    <s v="Trabajando"/>
    <n v="0"/>
    <s v="&lt; 1 mes"/>
    <s v="CAJAS DE CARTON"/>
    <s v="CONTRATO TEMPORAL"/>
    <s v="Acc. No Incapacitante"/>
    <n v="0"/>
    <m/>
  </r>
  <r>
    <n v="107"/>
    <s v="-"/>
    <s v="PERÚ"/>
    <s v="INTRADEVCO_INDUSTRIAL_SA"/>
    <s v="Distrito de Lurín"/>
    <x v="5"/>
    <s v="Lurin 4_Detergente"/>
    <s v="Producción"/>
    <x v="30"/>
    <x v="0"/>
    <s v="Acc. No Incapacitante"/>
    <d v="2024-05-30T00:00:00"/>
    <n v="22"/>
    <n v="30"/>
    <x v="4"/>
    <n v="2024"/>
    <d v="1899-12-30T18:50:00"/>
    <s v="D"/>
    <x v="3"/>
    <x v="5"/>
    <s v="RUITON"/>
    <s v=" TUTUMI"/>
    <s v=" FLOR DE MARIA"/>
    <s v="FEMENINO"/>
    <n v="54"/>
    <s v="OPERARIO DE PRODUCCIÓN"/>
    <d v="2022-05-12T00:00:00"/>
    <s v="Colaboradora registró su asistencia ya que ingresaba a turno nocturno y al retirarse del tareo para dirigirse a los vestuarios pasa por detrás de la acumulación de personas que hacían cola, generando que pise el filo de la rampa lo que ocasiona que pierda el equilibrio y se resbale. Su caída genera golpes de ambas rodillas con intensidad de dolor 2/10, se evidencia enrojecimiento sin aumento de volumen "/>
    <s v="Caída al mismo nivel"/>
    <s v="RODILLAS"/>
    <s v="Rodilla"/>
    <s v="Ingreso a las instalaciones"/>
    <s v="Contusion"/>
    <s v="Contusión/Trauma"/>
    <n v="0"/>
    <n v="0"/>
    <n v="0"/>
    <s v="Trabajando"/>
    <n v="1"/>
    <s v="&lt; 1 a 5 años"/>
    <s v="piso"/>
    <s v="CONTRATO TEMPORAL"/>
    <s v="Acc. No Incapacitante"/>
    <n v="0"/>
    <m/>
  </r>
  <r>
    <n v="108"/>
    <s v="-"/>
    <s v="PERÚ"/>
    <s v="INTRADEVCO_INDUSTRIAL_SA"/>
    <s v="Distrito de Lurín"/>
    <x v="5"/>
    <s v="Lurin 4_Detergente"/>
    <s v="Producción"/>
    <x v="29"/>
    <x v="0"/>
    <s v="Acc. No Incapacitante"/>
    <d v="2024-06-03T00:00:00"/>
    <n v="23"/>
    <n v="3"/>
    <x v="6"/>
    <n v="2024"/>
    <d v="1899-12-30T18:24:00"/>
    <s v="D"/>
    <x v="3"/>
    <x v="5"/>
    <s v="RIVERA"/>
    <s v=" JULCA"/>
    <s v=" MARIA"/>
    <s v="FEMENINO"/>
    <n v="33"/>
    <s v="OPERARIO DE PRODUCCIÓN"/>
    <d v="2024-01-03T00:00:00"/>
    <s v="Colaboradora se encontraba realizando la actividad de esponjado y de pronto el asiento de la silla se hunde generando su caída hacia atrás dado que no tenía de dónde sujetarse. Refiere dolor en codo derecho, glúteos y costillas, enrojecimiento sin volumen, intensidad de dolor 5/10 ._x000a_Cabe mencionar que una de las patas de la silla está doblada "/>
    <s v="Caída al mismo nivel"/>
    <s v="CODO DERECHO"/>
    <s v="Brazo/Codo/Hombro"/>
    <s v="colocacion de esponjas"/>
    <s v="Contusion"/>
    <s v="Contusión/Trauma"/>
    <n v="0"/>
    <n v="0"/>
    <n v="0"/>
    <s v="Trabajando"/>
    <n v="5"/>
    <s v="&lt; 3 a 6 meses"/>
    <s v="silla"/>
    <s v="CONTRATO TEMPORAL"/>
    <s v="Acc. No Incapacitante"/>
    <n v="0"/>
    <m/>
  </r>
  <r>
    <n v="109"/>
    <s v="-"/>
    <s v="PERÚ"/>
    <s v="MASTERBREAD"/>
    <s v="Sicaya"/>
    <x v="10"/>
    <s v="Teal Sicaya"/>
    <s v="Producción"/>
    <x v="59"/>
    <x v="0"/>
    <s v="Acc. No Incapacitante"/>
    <d v="2024-06-05T00:00:00"/>
    <n v="23"/>
    <n v="5"/>
    <x v="6"/>
    <n v="2024"/>
    <d v="1899-12-30T10:00:00"/>
    <s v="D"/>
    <x v="3"/>
    <x v="24"/>
    <s v="RUIZ"/>
    <s v="SANTAMARIA"/>
    <s v="CESAR AUGUSTO"/>
    <s v="MASCULINO"/>
    <n v="29"/>
    <s v="OPERARIO DE ESTIBA PT"/>
    <d v="2024-05-02T00:00:00"/>
    <s v="En circunstancias el colaborador Cesar Ruiz Santamaria,  se encontraba  acomodando la paleta que estaba en el piso, levantando por un extremo,  se desprende la madera ocasionando la caída libre de la paleta sobre los pies del colaborador, golpeando el empeine del pie izquierdo teniendo una contusión leve."/>
    <s v="Golpeado por"/>
    <s v="PIE IZQUIERDO"/>
    <s v="Pie/Tobillo"/>
    <s v="Paletizado de sacos de harina"/>
    <s v="Contusión"/>
    <s v="Contusión/Trauma"/>
    <n v="0"/>
    <n v="0"/>
    <n v="0"/>
    <s v="Trabajando"/>
    <n v="24"/>
    <s v="&lt; 1 a 5 años"/>
    <s v="Parihuela de madera"/>
    <s v="CONTRATO TEMPORAL"/>
    <s v="Acc. No Incapacitante"/>
    <n v="0"/>
    <m/>
  </r>
  <r>
    <n v="110"/>
    <s v="-"/>
    <s v="PERÚ"/>
    <s v="ALICORP_SAA"/>
    <s v="MCA"/>
    <x v="11"/>
    <s v="MCA"/>
    <s v="Producción"/>
    <x v="40"/>
    <x v="1"/>
    <s v="Acc. Incapacitante"/>
    <d v="2024-06-19T00:00:00"/>
    <n v="25"/>
    <n v="19"/>
    <x v="6"/>
    <n v="2024"/>
    <d v="1899-12-30T09:45:00"/>
    <s v="D"/>
    <x v="0"/>
    <x v="3"/>
    <s v="REYES"/>
    <s v="AGRAMONTE"/>
    <s v="ANDHY LUIS"/>
    <s v="MASCULINO"/>
    <n v="46"/>
    <s v="OPERADOR DE PLANTA"/>
    <s v="-"/>
    <s v="El trabajador se encontraba realizando la tarea de limpieza de los Twin en el área de Embolsado ubicado en el 7mo piso, antes de culminar con la limpieza del área el colaborador el personal se bajó al 2do piso del Embolsado para traer materiales de limpieza (escobas) sin encontrar material, posterior sube usando las escaleras del edificio de Embolsado. Al subir por las escaleras desde el 6to piso al 7mo piso el trabajador pisa en falso, el trabajador comunicó el suceso al inspector de Calidad, quien llama a los monitores de Producción Aldo Moreano Ronal Moreano e inspector de seguridad de turno Jorge Hoffman quién activó el protocolo de emergencia. El trabajador recibió los primeros auxilios por parte del inspector de seguridad, mientras llegaba la ambulancia Cardio móvil; luego de la evaluación del personal de Cardiomóvil se decide trasladarlo a la Clínica San Gabriel junto al monitor de producción._x000a_"/>
    <s v="Caída a distinto nivel"/>
    <s v="RODILLA DERECHA"/>
    <s v="Rodilla"/>
    <s v="Subiendo Escaleras"/>
    <s v="Contusión"/>
    <s v="Contusión/Trauma"/>
    <n v="28"/>
    <n v="0"/>
    <n v="28"/>
    <s v="Trabajando"/>
    <n v="60"/>
    <s v="&lt; 5 a 10 años"/>
    <s v="Escalera"/>
    <s v="CONTRATO INDEFINIDO"/>
    <s v="Acc. Incapacitante"/>
    <n v="0"/>
    <s v="SI"/>
  </r>
  <r>
    <n v="111"/>
    <s v="-"/>
    <s v="PERÚ"/>
    <s v="INTRADEVCO_INDUSTRIAL_SA"/>
    <s v="Distrito de Lurín"/>
    <x v="5"/>
    <s v="Lurin 4_Detergente"/>
    <s v="Producción"/>
    <x v="28"/>
    <x v="0"/>
    <s v="Acc. No Incapacitante"/>
    <d v="2024-06-06T00:00:00"/>
    <n v="23"/>
    <n v="6"/>
    <x v="6"/>
    <n v="2024"/>
    <d v="1899-12-30T04:00:00"/>
    <s v="N"/>
    <x v="3"/>
    <x v="5"/>
    <s v="YARLAQUE"/>
    <s v=" BENITES"/>
    <s v=" RONALD FABIAN"/>
    <s v="MASCULINO"/>
    <n v="29"/>
    <s v="OPERARIO DE PRODUCCIÓN"/>
    <d v="2023-09-20T00:00:00"/>
    <s v="Colaborador se encontraba realizando cambio de bobina en máquina enfardadora número 14, al momento de colocar la varilla del lado izquierdo se produce un aplastamiento y debido a ello una herida con abertura en el dedo índice (parte dorsal, 2da falange) de la mano del mismo lado, cabe mencionar que este cambio lo realizó sin tener puesto sus guantes de seguridad y de manera apresurada ya que desde mezzanine lo estaban apurando en realizar el cambio (recién llegaba de los sshh)_x000a_Éste hecho sucedió a las 4am aproximadamente, colaborador no dio aviso, sino hasta las 6am que el coordinador del área se percató del corte que tenía en el dedo. _x000a_- Ésta actividad la realizan sin apoyo._x000a_- Tiene aproximadamente 2 meses aprendiendo el manejo de máquina con un compañero, y desde esta semana se encuentra en línea 2, el supervisor le estuvo dando soporte en varias ocasiones durante su turno."/>
    <s v="Atrapado por"/>
    <s v="DEDO INDICE IZQUIERDO"/>
    <s v="Mano/Muñeca/Dedos"/>
    <s v="Cambio de bobina"/>
    <s v="Contusión"/>
    <s v="Contusión/Trauma"/>
    <n v="0"/>
    <n v="0"/>
    <n v="0"/>
    <s v="Trabajando"/>
    <n v="8"/>
    <s v="&lt; 0.5 a 1 año"/>
    <s v="Bobina"/>
    <m/>
    <s v="Acc. No Incapacitante"/>
    <n v="0"/>
    <m/>
  </r>
  <r>
    <n v="112"/>
    <s v="-"/>
    <s v="PERÚ"/>
    <s v="INTRADEVCO_INDUSTRIAL_SA"/>
    <s v="Distrito de Lurín"/>
    <x v="5"/>
    <s v="Lurin 4_Detergente"/>
    <s v="Producción"/>
    <x v="29"/>
    <x v="0"/>
    <s v="Acc. No Incapacitante"/>
    <d v="2024-06-17T00:00:00"/>
    <n v="25"/>
    <n v="17"/>
    <x v="6"/>
    <n v="2024"/>
    <d v="1899-12-30T10:45:00"/>
    <s v="D"/>
    <x v="3"/>
    <x v="5"/>
    <s v="PECHO"/>
    <s v="ALVA"/>
    <s v="JESUS"/>
    <s v="MASCULINO"/>
    <n v="41"/>
    <s v="OPERARIO DE PRODUCCIÓN"/>
    <d v="2024-03-12T00:00:00"/>
    <s v="_x000a_El colaborador JESUS PECHO ALVA se encontraba sosteniendo la escalera de tijera a su compañero, quien iba a realizar la colocación de manguera en tubería por donde se transporta el aire comprimido, sólo se cuenta con una llave que es la general, y ésta no se cierra para hacer la actividad, ya que al realizarlo lo que se ocasiona es el paro de todas las líneas._x000a_Lo que hacen es el doblez de manguera en dos puntos para cortar el aire, el compañero suelta la manguera para hacer la conexión, y es ahí donde se ocasiona el escape de aire con crema que se encontraba en el último tramo, dirigiéndose éste directamente al rostro del colaborador que se encontraba sujetando la escalera, la fuerza con la que se dio, hizo que sus lentes de seguridad salieran proyectados."/>
    <s v="Proyección de Sustancias Químicas"/>
    <s v="Ojos"/>
    <s v="Ojos"/>
    <s v="Sostenimiento de escalera"/>
    <s v="Cuerpo extraño en cuerpo ciliar."/>
    <s v="Cuerpo Extraño en Ojos"/>
    <n v="0"/>
    <n v="0"/>
    <n v="0"/>
    <s v="Trabajando"/>
    <n v="3"/>
    <s v="&lt; 1 a 3 meses"/>
    <s v="crema lavavajilla"/>
    <s v="CONTRATO TEMPORAL"/>
    <s v="Acc. No Incapacitante"/>
    <n v="0"/>
    <m/>
  </r>
  <r>
    <n v="113"/>
    <s v="-"/>
    <s v="PERÚ"/>
    <s v="INTRADEVCO_INDUSTRIAL_SA"/>
    <s v="Distrito de Lurín"/>
    <x v="5"/>
    <s v="Lurin 4_Detergente"/>
    <s v="Producción"/>
    <x v="28"/>
    <x v="0"/>
    <s v="Acc. No Incapacitante"/>
    <d v="2024-06-19T00:00:00"/>
    <n v="25"/>
    <n v="19"/>
    <x v="6"/>
    <n v="2024"/>
    <d v="1899-12-30T09:45:00"/>
    <s v="D"/>
    <x v="3"/>
    <x v="5"/>
    <s v="VILCA"/>
    <s v="QUISPE"/>
    <s v="CARLOS"/>
    <s v="MASCULINO"/>
    <n v="40"/>
    <s v="OPERARIO DE PRODUCCIÓN"/>
    <d v="2024-06-17T00:00:00"/>
    <s v="_x000a_Colaborador Vilca Quispe Carlos se encontraba realizando la actividad de colocación y retiro de bolsones en la máquina neumopack 01, al querer realizar el retiro de un bolsón, es golpeado por la contadora de metal, éste gira automáticamente cuando el bolsón está lleno (en ese momento se estaba realizando el formato 1600kg - 6 deterguentes por bolsón, el giro que da es relativamente lento) ésto sucede porque el colaborador tarda en hacer el retiro del bolsón y contadora le gana produciéndose así el golpe/atrapamiento en parte dorsal de la mano izquierda (debido a la reacción que tuvo, el querer sacar la mano, es que se da el atrapamiento)"/>
    <s v="Atrapado por Partes en Movimiento"/>
    <s v="Mano izquierda"/>
    <s v="Mano/Muñeca/Dedos"/>
    <s v="Colocacion de bolsones"/>
    <s v="_x000a_Contusión de otras partes de la muñeca y la mano."/>
    <s v="Contusión/Trauma"/>
    <n v="0"/>
    <n v="0"/>
    <n v="0"/>
    <s v="Trabajando"/>
    <n v="0.06"/>
    <s v="&lt; 1 mes"/>
    <s v="Contador de bolsones"/>
    <s v="CONTRATO TEMPORAL"/>
    <s v="Acc. No Incapacitante"/>
    <n v="0"/>
    <m/>
  </r>
  <r>
    <n v="114"/>
    <s v="-"/>
    <s v="PERÚ"/>
    <s v="INTRADEVCO_INDUSTRIAL_SA"/>
    <s v="Distrito de Lurín"/>
    <x v="5"/>
    <s v="Lurin 4_Detergente"/>
    <s v="Producción"/>
    <x v="28"/>
    <x v="0"/>
    <s v="Acc. No Incapacitante"/>
    <d v="2024-06-19T00:00:00"/>
    <n v="25"/>
    <n v="19"/>
    <x v="6"/>
    <n v="2024"/>
    <d v="1899-12-30T10:29:00"/>
    <s v="D"/>
    <x v="3"/>
    <x v="5"/>
    <s v="ZAMBRANO"/>
    <s v="TACUCHI"/>
    <s v="WILMER"/>
    <s v="MASCULINO"/>
    <n v="30"/>
    <s v="OPERARIO DE PRODUCCIÓN"/>
    <d v="2024-06-19T00:00:00"/>
    <s v="_x000a_El colaborador Zambrano Tacuchi Wilmer se encontraba realizando la actividad de abastecimiento se sacos en ducto automático._x000a_Éste se percata que el abastecedor de producto se retiró para ver que sacos estaban saliendo mal cocidos y es ahí donde toma la decisión colocar un saco, presiona la palanca con mano derecha y su mano izquierda queda cerca al sellador, produciéndose un aplastamiento en dedo pulgar._x000a_- Cabe resaltar que al colaborador no le dieron la indicación de realizar esa actividad, por ello no contaba con inducción."/>
    <s v="Atrapado por Partes en Movimiento"/>
    <s v="Pulgar izquierdo"/>
    <s v="Mano/Muñeca/Dedos"/>
    <s v="Colocacion de sacos"/>
    <s v="_x000a_Contusión en dedo."/>
    <s v="Contusión/Trauma"/>
    <n v="0"/>
    <n v="0"/>
    <n v="0"/>
    <s v="Trabajando"/>
    <m/>
    <m/>
    <s v="Envasadora de sacos"/>
    <s v="CONTRATO TEMPORAL"/>
    <s v="Acc. No Incapacitante"/>
    <n v="0"/>
    <m/>
  </r>
  <r>
    <n v="115"/>
    <s v="-"/>
    <s v="PERÚ"/>
    <s v="INTRADEVCO_INDUSTRIAL_SA"/>
    <s v="Distrito de Lurín"/>
    <x v="5"/>
    <s v="Lurin 4_Detergente"/>
    <s v="Producción"/>
    <x v="28"/>
    <x v="1"/>
    <s v="Acc. Incapacitante"/>
    <d v="2024-06-20T00:00:00"/>
    <n v="25"/>
    <n v="20"/>
    <x v="6"/>
    <n v="2024"/>
    <d v="1899-12-30T08:40:00"/>
    <s v="D"/>
    <x v="3"/>
    <x v="5"/>
    <s v="MEZA"/>
    <s v="ROSALES"/>
    <s v="EZEQUIEL"/>
    <s v="MASCULINO"/>
    <n v="24"/>
    <s v="OPERARIO DE PRODUCCIÓN"/>
    <d v="2024-01-23T00:00:00"/>
    <s v="Colaborador se encontraba realizando la actividades de apilado, sellado y colocación de bolsas en la sagbil 39, la máquina había parado por merma y al dar nuevamente el arranque el colaborador observa que la lámina se quedó atascada tomando la iniciativa de introducir su mano por debajo de la guarda y acomodarlo estando ésta en funcionamiento, es ahí donde su dedo índice de la mano izquierda es cortado por la mordaza de la máquina, acto seguido su compañero se percata de lo sucedido y apaga el equipo._x000a_- Colaborador se encontraba sin sus guantes de seguridad._x000a_- No se le dio la indicación de realizar trabajos en máquina, ya que no cuenta con inducción."/>
    <s v="Atrapado por Partes en Movimiento"/>
    <s v="Indice izquierdo"/>
    <s v="Mano/Muñeca/Dedos"/>
    <s v="Desatoro de lamina"/>
    <s v="Herida de dedo con daño en la uña"/>
    <s v="Contusión/Trauma"/>
    <n v="68"/>
    <n v="0"/>
    <n v="68"/>
    <s v="Descanso Médico"/>
    <n v="5"/>
    <s v="&lt; 3 a 6 meses"/>
    <s v="Envasadora de detergente"/>
    <s v="CONTRATO TEMPORAL"/>
    <s v="Acc. Incapacitante"/>
    <n v="0"/>
    <s v="SI"/>
  </r>
  <r>
    <n v="116"/>
    <s v="-"/>
    <s v="PERÚ"/>
    <s v="ALICORP_SAA"/>
    <s v="CENTRAL"/>
    <x v="0"/>
    <s v="GALLETERA &amp; INSTANTÁNEOS"/>
    <s v="Producción"/>
    <x v="60"/>
    <x v="0"/>
    <s v="Acc. No Incapacitante"/>
    <d v="2024-06-20T00:00:00"/>
    <n v="25"/>
    <n v="20"/>
    <x v="6"/>
    <n v="2024"/>
    <d v="1899-12-30T20:40:00"/>
    <s v="T"/>
    <x v="3"/>
    <x v="25"/>
    <s v="ILLESCAS"/>
    <s v="TARRAGA"/>
    <s v="SUSANA"/>
    <s v="FEMENINO"/>
    <n v="29"/>
    <s v="OPERARIO DE PRODUCCIÓN"/>
    <d v="1997-09-22T00:00:00"/>
    <s v="Al promediar las 9:10 pm la trabajadora Susana Illescas, operaria de la Línea 4, se encontraba en el comedor correspondiente al área de Galletera. Al terminar de _x000a_cenar guarda su táper en la conservadora del comedor, se dispone a regresar a planta y es cuando camina hacia la puerta de salida, pasa cerca a los microondas _x000a_y que observa la señalética de Pisos Resbalosos, pero decide caminar al costado del mismo. _x000a_A consecuencia de ello se resbala y cae al piso, todo el peso de su cuerpo cae en su codo derecho, personal que se encontraba en el mismo lugar la ayudan a _x000a_levantarse. La trabajadora se dirige a informar al supervisor de turno, el supervisor enterado de lo ocurrido va a darle el alcance y la dirige al tópico para ser _x000a_evaluada. Al llegar al tópico, el personal de salud del cliente limpia el raspón que se ocasionó, coloca crema en el codo y por último le brinda una pastilla para el _x000a_dolor. La trabajadora regresa a planta a continuar con sus labores"/>
    <s v="Caída al mismo nivel"/>
    <s v="Brazo derecho"/>
    <s v="Brazo/Codo/Hombro"/>
    <s v="Transito peatonal"/>
    <s v="Contusión Leve"/>
    <s v="Contusión/Trauma"/>
    <n v="0"/>
    <n v="0"/>
    <n v="0"/>
    <s v="Trabajando"/>
    <m/>
    <s v="&lt; 1 a 5 años"/>
    <s v="Piso Humedo"/>
    <s v="CONTRATO TEMPORAL"/>
    <s v="Acc. No Incapacitante"/>
    <n v="0"/>
    <m/>
  </r>
  <r>
    <n v="117"/>
    <s v="ICH24163"/>
    <s v="PERÚ"/>
    <s v="INTRADEVCO_INDUSTRIAL_SA"/>
    <s v="Distrito de Chorrillos"/>
    <x v="5"/>
    <s v="Chorrillos"/>
    <s v="Relaciones Laborales"/>
    <x v="61"/>
    <x v="1"/>
    <s v="Acc. Incapacitante"/>
    <d v="2024-06-20T00:00:00"/>
    <n v="25"/>
    <n v="20"/>
    <x v="6"/>
    <n v="2024"/>
    <d v="1899-12-30T21:30:00"/>
    <s v="N"/>
    <x v="5"/>
    <x v="26"/>
    <s v="SANCHEZ"/>
    <s v="ANDAMAYO"/>
    <s v="LIVIA"/>
    <s v="FEMENINO"/>
    <n v="49"/>
    <s v="COCINERA"/>
    <s v="-"/>
    <s v="Siendo las 20:30 horas aproximadamente, la colaboradora de la empresa encargada de comedores R&amp;O, Sra Livia Sanchez, se encontraba sellando un trozo de cerdo congelado, en un perol con aceite caliente, en este instante, el agua que tiene el cerdo congelado reacciona con el aceite, salpicando sobre la muñeca y el rostro de la trabajadora. De inmediato la colaboradora se dirige al lavadero y se aplica agua fría sobre la zona afectada._x000a_Al ser comunicado al inspector de SST en turno, este se acerca y atiende al accidentado, haciendo limpieza de la zona afectada y aplicando sulfadiazina de plata._x000a_"/>
    <s v="Proyección de Material Particulado"/>
    <s v="Cara y brazo"/>
    <s v="Rostro/Nariz/Boca"/>
    <s v="Preparación de alimentos"/>
    <s v="Quemadura de segundo grado en rostro y manos"/>
    <s v="Quemadura por Temperatura"/>
    <n v="17"/>
    <n v="0"/>
    <n v="17"/>
    <s v="Trabajando"/>
    <n v="17"/>
    <m/>
    <s v="Cocina"/>
    <m/>
    <s v="Acc. Incapacitante"/>
    <n v="0"/>
    <s v="SI"/>
  </r>
  <r>
    <n v="118"/>
    <s v="-"/>
    <s v="PERÚ"/>
    <s v="ALICORP_SAA"/>
    <s v="CENTRAL"/>
    <x v="0"/>
    <s v="GALLETERA &amp; INSTANTÁNEOS"/>
    <s v="Producción"/>
    <x v="2"/>
    <x v="0"/>
    <s v="Acc. No Incapacitante"/>
    <d v="2024-06-21T00:00:00"/>
    <n v="25"/>
    <n v="21"/>
    <x v="6"/>
    <n v="2024"/>
    <d v="1899-12-30T08:30:00"/>
    <s v="D"/>
    <x v="0"/>
    <x v="0"/>
    <s v="ROSALES"/>
    <s v="CRISPIN"/>
    <s v="DINA NOEMI"/>
    <s v="FEMENINO"/>
    <n v="34"/>
    <s v="OPERARIO DE PRODUCCIÓN"/>
    <s v="-"/>
    <s v="Siendo las 08:30:00  am, la operario de producción se encontraba realizando labores de traslado de paquetes primarios de las envasadoras primarias a la faja de alimentación de la pack C6, durante la actividad, no se percató que la guía metálica la cual sirve como pendiente de los paquetes, tenía una zona con bordes desgastados (puntiagudo); por la cual durante la actividad se produjo una punzada con dicha estructura provocándole una herida en el costado del dedo anular _x000a__x000a_El operador comenta a promotora de seguridad y al encargado, y es derivado hacia tópico donde realizan limpieza de la zona afectada, colocan crema y proceden a colocar una tira adhesiva (curita) como protector. Post evaluación, se menciona que no requiere traslado y el colaborador regresa a continuar con sus actividades en planta. _x000a_"/>
    <s v="Contacto con superficie filosa"/>
    <s v="Dedo Anula Mano izquierda"/>
    <s v="Mano/Muñeca/Dedos"/>
    <s v="Alimentando pack de galletas"/>
    <s v="Herida en dedo"/>
    <s v="Corte/Herida"/>
    <n v="0"/>
    <n v="0"/>
    <n v="0"/>
    <s v="Trabajando"/>
    <n v="72"/>
    <s v="&lt; 5 a 10 años"/>
    <s v="Superficie filosa"/>
    <s v="CONTRATO INDEFINIDO"/>
    <s v="Acc. No Incapacitante"/>
    <n v="0"/>
    <m/>
  </r>
  <r>
    <n v="119"/>
    <s v="-"/>
    <s v="PERÚ"/>
    <s v="ALICORP_SAA"/>
    <s v="Distrito de Miraflores"/>
    <x v="6"/>
    <s v="EDIFICIO MIRAFLORES"/>
    <s v="Administración"/>
    <x v="62"/>
    <x v="1"/>
    <s v="Acc. Incapacitante"/>
    <d v="2024-06-20T00:00:00"/>
    <n v="25"/>
    <n v="20"/>
    <x v="6"/>
    <n v="2024"/>
    <d v="1899-12-30T16:00:00"/>
    <s v="T"/>
    <x v="0"/>
    <x v="3"/>
    <s v="DE LAS CASAS"/>
    <s v="UMBERT"/>
    <s v="MARIA FERNANDA"/>
    <s v="FEMENINO"/>
    <n v="32"/>
    <s v="Gerente de Visibility &amp; FDE "/>
    <d v="2024-05-27T00:00:00"/>
    <s v="Luego de una reunión comercial que sucedió en el piso 9, Maria Fernanda procedió a retirarse por las escaleras para llegar al piso 6. Mientras bajaba las escaleras (las que están en el descanso entre piso 8 y 9) conversaba con un grupo de personas y no se percato que faltaba una escalera para terminar de bajar. Al momento que piso el pie derecho se le doblo generando la lesión. En ese momento se notificó a enfermería quienes auxiliaron a Maria Fernanda y fue trasladada a clínica para recibir atención médica. El evento continuará su proceso regular de investigación. "/>
    <s v="Caída a distinto nivel"/>
    <s v="Pie derecho"/>
    <s v="Pie/Tobillo"/>
    <s v="Bajaba escalera"/>
    <s v="Esguince"/>
    <s v="Esguince/Torcedura"/>
    <n v="5"/>
    <n v="0"/>
    <n v="5"/>
    <s v="Realizando trabajo remoto"/>
    <n v="1"/>
    <s v="&lt; 1 mes"/>
    <s v="Escalera"/>
    <s v="CONTRATO INDEFINIDO"/>
    <s v="Acc. Incapacitante"/>
    <n v="0"/>
    <s v="SI"/>
  </r>
  <r>
    <n v="120"/>
    <s v="-"/>
    <s v="BOLIVIA"/>
    <s v="ALICORP_BOLIVIA"/>
    <m/>
    <x v="6"/>
    <s v="CENTROS DE DISTRIBUCIÓN"/>
    <s v="Distribución"/>
    <x v="24"/>
    <x v="1"/>
    <s v="Acc. Incapacitante"/>
    <d v="2024-06-26T00:00:00"/>
    <n v="26"/>
    <n v="26"/>
    <x v="6"/>
    <n v="2024"/>
    <d v="1899-12-30T08:50:00"/>
    <s v="M"/>
    <x v="2"/>
    <x v="27"/>
    <s v="KUNO"/>
    <s v="LAURA"/>
    <s v="YOSMAR"/>
    <s v="MASCULINO"/>
    <n v="21"/>
    <s v="Ayudante general Piking"/>
    <d v="2024-02-16T00:00:00"/>
    <s v="En fecha miércoles 26 de junio a horas 08:50 am durante el descarguío de producto terminado(camión), el estibador tercero de la empresa BM Group, intenta aperturar la penúltima compuerta del camión entre dos personas, quitando los seguros de esta sin percatarse de la presión contenida por el movimiento de la carga durante el transporte, inmediatamente la compuerta se abre cayéndose consigo 35 cajas de margarina(350 kg), el personal no logra contener el peso adicional de la compuerta más el producto, por lo cual, uno de los estibadores se hace a un lado y el afectado recibe un golpe con la compuerta e impacta la rodilla con el suelo donde sufre un corte en la misma, es derivado a su centro de salud donde le realizan 3 puntos en la rodilla, recomendando 2 dias de baja al trabajador."/>
    <s v="Golpeado por"/>
    <s v="Rodilla izquierda"/>
    <s v="Rodilla"/>
    <s v="APERTURA DE COMPUERTA LATERAL DE CAMIÓN PARA DESCARGA DE PRODUCTO"/>
    <s v="Contusión de otras partes y las no especificadas de la pierna"/>
    <s v="Corte/Herida"/>
    <n v="2"/>
    <n v="0"/>
    <n v="2"/>
    <s v="Trabajando"/>
    <n v="5"/>
    <s v="&lt; 0.5 a 1 año"/>
    <s v="COMPUERTA METÁLICA DE CAMIÓN"/>
    <s v="CONTRATO A PLAZO FIJO"/>
    <s v="Acc. Incapacitante"/>
    <n v="0"/>
    <s v="SI"/>
  </r>
  <r>
    <n v="121"/>
    <s v="ICH24167"/>
    <s v="PERÚ"/>
    <s v="INTRADEVCO_INDUSTRIAL_SA"/>
    <s v="Distrito de Chorrillos"/>
    <x v="5"/>
    <s v="Chorrillos"/>
    <s v="Producción"/>
    <x v="53"/>
    <x v="1"/>
    <s v="Acc. Incapacitante"/>
    <d v="2024-07-02T00:00:00"/>
    <n v="27"/>
    <n v="2"/>
    <x v="7"/>
    <n v="2024"/>
    <d v="1899-12-30T22:10:00"/>
    <s v="D"/>
    <x v="0"/>
    <x v="14"/>
    <s v="RAYA"/>
    <s v="TACURI"/>
    <s v="DAVID HUMBERTO"/>
    <s v="MASCULINO"/>
    <n v="51"/>
    <s v="MAQUINISTA"/>
    <s v="-"/>
    <s v="Aproximadamente a las 22:10, durante la operación de envasado de pasta dental en línea 7, el trabajador se encontraba acomodando los cepillos en la encartonadora y se percató que los tubos de pasta dental y los cepillos estaban mal colocados y por evitar un atoro de la línea, intentó moverlos, sufriendo un corte producto del contacto con el empujador."/>
    <s v="Atrapado por Partes en Movimiento"/>
    <s v="Dedo mano derecha"/>
    <s v="Mano/Muñeca/Dedos"/>
    <s v="Desatoro de encartonadora"/>
    <s v="Contusión de dedo"/>
    <s v="Corte/Herida"/>
    <n v="23"/>
    <n v="0"/>
    <n v="23"/>
    <s v="Trabajando"/>
    <n v="3"/>
    <s v="&lt; 3 a 6 meses"/>
    <s v="Encartonadora"/>
    <s v="CONTRATO INDEFINIDO"/>
    <s v="Acc. Incapacitante"/>
    <n v="0"/>
    <s v="SI"/>
  </r>
  <r>
    <n v="122"/>
    <s v="DIS24477"/>
    <s v="PERÚ"/>
    <s v="ALICORP_SAA"/>
    <s v="Distrito del Callao"/>
    <x v="6"/>
    <s v="EEII Copsa"/>
    <s v="Distribución"/>
    <x v="63"/>
    <x v="1"/>
    <s v="Acc. Incapacitante"/>
    <d v="2024-06-19T00:00:00"/>
    <n v="25"/>
    <n v="19"/>
    <x v="6"/>
    <n v="2024"/>
    <d v="1899-12-30T19:45:00"/>
    <s v="N"/>
    <x v="7"/>
    <x v="28"/>
    <s v="AGUILAR"/>
    <s v="SIFUENTES"/>
    <s v="JOSÉ DAVID"/>
    <s v="MASCULINO"/>
    <n v="29"/>
    <s v="ESTIBA"/>
    <d v="2024-04-19T00:00:00"/>
    <s v="Durante la descarga de la unidad AVD-785 de la empresa TRUPAL, el Sr. Aguilar inicia el proceso de descarga de insumos a las 07:50 pm desde el interior de la unidad. Para este fin, usa una ruma de pallets apilados como soporte de la descarga de cajas.  Luego de unos minutos, su compañero de descarga retira la ruma de pallets, el Sr. Aguilar pisa vacío y cae desde la plataforma del furgón de espaldas. Se notificó el accidente, brindó primeros auxilios y trasladó a la Clínica San Gabriel para recibir atención médica._x000a_"/>
    <s v="Caída a distinto nivel"/>
    <s v="Espalda inferior"/>
    <s v="Columna"/>
    <s v="Descarga de cajas"/>
    <s v="Fractura de la vertebra L2"/>
    <s v="Fractura"/>
    <n v="150"/>
    <n v="0"/>
    <n v="150"/>
    <s v="Descanso Médico"/>
    <n v="3"/>
    <s v="&lt; 1 a 3 meses"/>
    <s v="Ruma de pallets"/>
    <s v="CONTRATO TEMPORAL"/>
    <s v="Acc. Incapacitante"/>
    <n v="0"/>
    <s v="SI"/>
  </r>
  <r>
    <n v="123"/>
    <s v="-"/>
    <s v="PERÚ"/>
    <s v="INTRADEVCO_INDUSTRIAL_SA"/>
    <s v="LURIN"/>
    <x v="5"/>
    <s v="Lurin 2_Principal"/>
    <s v="Producción"/>
    <x v="40"/>
    <x v="0"/>
    <s v="Acc. No Incapacitante"/>
    <d v="2024-07-04T00:00:00"/>
    <n v="27"/>
    <n v="4"/>
    <x v="7"/>
    <n v="2024"/>
    <d v="1899-12-30T10:40:00"/>
    <s v="D"/>
    <x v="3"/>
    <x v="5"/>
    <s v="TOCTO"/>
    <s v="ARCOS"/>
    <s v="EDISON RENZO"/>
    <s v="MASCULINO"/>
    <n v="32"/>
    <s v="OPERARIO DE PRODUCCIÓN"/>
    <d v="2024-05-31T00:00:00"/>
    <s v="Aproximadamente 10:40 am del presente el trabajador Edinson Renzo Tocto Arcos de 32 años de edad perteneciente al área de Lejía, se encontraba realizando su actividades rutinarias (apilado de cajas con producto terminado). En su palet número 13, al momento de colocar la cajas en la primera cama del palets, siente un dolor a modo estirón en la parte de la zona lumbar cerca a la columna. Debido a esto se retira de la zona y se va sentar para intentar calmar el dolor pero al seguir evidenciando la misma intensidad decida acudir a tópico pero al levantarse se complica._x000a_Se le da aviso a la supervisora del área y lo asisten para llegar a tópico."/>
    <s v="Sobreesfuerzo"/>
    <s v="-"/>
    <s v="Mano/Muñeca/Dedos"/>
    <s v="-"/>
    <m/>
    <m/>
    <m/>
    <m/>
    <m/>
    <m/>
    <m/>
    <m/>
    <m/>
    <m/>
    <s v="Acc. No Incapacitante"/>
    <n v="0"/>
    <m/>
  </r>
  <r>
    <n v="124"/>
    <s v="ILU24176"/>
    <s v="PERÚ"/>
    <s v="INTRADEVCO_INDUSTRIAL_SA"/>
    <s v="Distrito de Lurín"/>
    <x v="5"/>
    <s v="Lurin 2_Planta principal"/>
    <s v="Producción"/>
    <x v="64"/>
    <x v="1"/>
    <s v="Acc. Incapacitante"/>
    <d v="2024-07-05T00:00:00"/>
    <n v="27"/>
    <n v="5"/>
    <x v="7"/>
    <n v="2024"/>
    <d v="1899-12-30T21:05:00"/>
    <s v="D"/>
    <x v="3"/>
    <x v="5"/>
    <s v="Lancha"/>
    <s v="Pizango"/>
    <s v="Jorge Luis "/>
    <s v="MASCULINO"/>
    <n v="30"/>
    <s v="OPERARIO DE PRODUCCIÓN"/>
    <d v="2024-02-21T00:00:00"/>
    <s v="El colaborador Jorge Lancha se encontraba realizando la actividad de abastecimiento manual de frascos en la línea Mengibar 2 de Limpiatodo. Esta actividad consiste en trasladar manualmente bandejas de frascos vacíos desde la paleta hasta el abastecedor automático de frascos, empleando una escalera de dos pasos. Al apoyar el pie derecho en la superficie superior, esta se rompe, por lo que el colaborador pierde la estabilidad y cae al suelo. "/>
    <s v="Caída a distinto nivel"/>
    <s v="PIE DERECHO"/>
    <s v="Pie/Tobillo"/>
    <s v="Abastecimiento de frascos a línea"/>
    <s v="ESGUINCE Y TORCEDURA "/>
    <s v="Esguince/Torcedura"/>
    <n v="10"/>
    <n v="0"/>
    <n v="10"/>
    <s v="Trabajando"/>
    <n v="4"/>
    <s v="&lt; 3 a 6 meses"/>
    <s v="Escalera subestándar"/>
    <s v="CONTRATO TEMPORAL"/>
    <s v="Acc. Incapacitante"/>
    <n v="0"/>
    <s v="SI"/>
  </r>
  <r>
    <n v="125"/>
    <s v="DIS24478"/>
    <s v="PERÚ"/>
    <s v="ALICORP_SAA"/>
    <s v="CD LAMBAYEQUE"/>
    <x v="6"/>
    <s v="DISTRIBUCIÓN"/>
    <s v="Distribución"/>
    <x v="65"/>
    <x v="1"/>
    <s v="Acc. Incapacitante"/>
    <d v="2024-07-12T00:00:00"/>
    <n v="28"/>
    <n v="12"/>
    <x v="7"/>
    <n v="2024"/>
    <d v="1899-12-30T08:00:00"/>
    <s v="D"/>
    <x v="8"/>
    <x v="29"/>
    <s v="ESPINOZA"/>
    <s v="MAURICIO"/>
    <s v="MANUEL YONATAN"/>
    <s v="MASCULINO"/>
    <n v="33"/>
    <s v="TRANSPORTISTA"/>
    <d v="2024-07-12T00:00:00"/>
    <s v="Desde el 24/06, la puerta # 4 estaba bloqueada con paletas vacías debido a una rampa defectuosa que había sido reportada por el equipo Alicorp hacia Ransa. Como medida provisional se colocaron sogas para el ajuste en la rampa y permitir el cierre de la puerta. Entre el 24/06 y el día del accidente, el bloqueo de paletas fue retirado dando la apariencia de que el canal estaba habilitado. El día del accidente, el conductor de Transportes Romaran se acerca con su vehículo a la puerta # 4 y al comenzar la carga la soga se rompió, se libera la rampa que impactó en el brazo derecho del conductor. El DM se extiende hasta el 19/08."/>
    <s v="Golpeado por"/>
    <s v="Brazo"/>
    <s v="Brazo/Codo/Hombro"/>
    <s v="Descarga "/>
    <s v="Contusión"/>
    <s v="Contusión/Trauma"/>
    <n v="2"/>
    <n v="0"/>
    <n v="2"/>
    <s v="Trabajando "/>
    <n v="12"/>
    <s v="&lt; 0.5 a 1 año"/>
    <s v="Rampa"/>
    <s v="CONTRATO TEMPORAL"/>
    <s v="Acc. Incapacitante"/>
    <n v="0"/>
    <s v="SI"/>
  </r>
  <r>
    <n v="126"/>
    <s v="-"/>
    <s v="PERÚ"/>
    <s v="ALICORP_SAA"/>
    <s v="CENTRAL"/>
    <x v="0"/>
    <s v="GALLETERA &amp; INSTANTÁNEOS"/>
    <s v="Producción"/>
    <x v="66"/>
    <x v="0"/>
    <s v="Acc. No Incapacitante"/>
    <d v="2024-07-17T00:00:00"/>
    <n v="29"/>
    <n v="17"/>
    <x v="7"/>
    <n v="2024"/>
    <d v="1899-12-30T20:45:00"/>
    <s v="T"/>
    <x v="0"/>
    <x v="30"/>
    <s v="ANDRADE"/>
    <s v="GENEBROSO"/>
    <s v="MADELEYNE"/>
    <s v="FEMENINO"/>
    <s v="-"/>
    <s v="operario de producción"/>
    <s v="-"/>
    <s v="Siendo las 20:45, la operadora se encontraba en la zona de lavado de bandejas junto con otro compañero, realizando labores de limpieza de utensilios. Al recoger residuos  y botarlos al tacho regresa para recoger la mariposa que había lavado, resbala y cae de espalda, cabe resaltar que es un área húmeda con piso mojado. Se le lleva al tópico para atención médica. No requiere traslado a la clínica"/>
    <s v="Caída al mismo nivel"/>
    <s v="Espalda"/>
    <s v="Columna"/>
    <s v="Lavado de utensilios"/>
    <s v="Golpe"/>
    <s v="Contusión/Trauma"/>
    <n v="0"/>
    <m/>
    <n v="0"/>
    <s v="Laborando"/>
    <m/>
    <m/>
    <s v="Piso mojado"/>
    <s v="CONTRATO INDEFINIDO"/>
    <s v="Acc. No Incapacitante"/>
    <n v="0"/>
    <m/>
  </r>
  <r>
    <n v="127"/>
    <s v="-"/>
    <s v="PERÚ"/>
    <s v="ALICORP_SAA"/>
    <s v="Distrito de Miraflores"/>
    <x v="6"/>
    <s v="EDIFICIO MIRAFLORES"/>
    <s v="Administración"/>
    <x v="67"/>
    <x v="1"/>
    <s v="Acc. Incapacitante"/>
    <d v="2024-07-18T00:00:00"/>
    <n v="29"/>
    <n v="18"/>
    <x v="7"/>
    <n v="2024"/>
    <d v="1899-12-30T17:07:00"/>
    <s v="T"/>
    <x v="0"/>
    <x v="3"/>
    <s v="CARRASCO"/>
    <s v="ARAMBULO"/>
    <s v="KELLY STEPHANIE"/>
    <s v="FEMENINO"/>
    <n v="31"/>
    <s v="ANALISTA SR DE EFICIENCIA"/>
    <d v="2020-06-22T00:00:00"/>
    <s v="Al finalizar su día laboral, la colaboradora procedió a retirarse del espacio de NRM en el piso 5. Mientras se despedía de sus compañeros, retrocedió para salir y perdió el balance al toparse con un carrito móvil (donde se colocan las mochilas y otros artículos), cayendo de espaldas hacia el lado izquierdo protegiendo su panza, ya que está embarazada. En ese momento sus compañeros notificaron a enfermería, quienes bajaron a auxiliar a Kelly. La colaboradora se retiró con sus propios medios a la clínica para recibir atención médica._x000a_"/>
    <s v="Caída al mismo nivel"/>
    <s v="ESPALDA, CADERA"/>
    <s v="Mano/Muñeca/Dedos"/>
    <s v="Se retiraba de oficina con sus cosas"/>
    <s v="Traumatismos superficiales múltiples– Nivel 1 - Leve"/>
    <s v="Contusión/Trauma"/>
    <n v="2"/>
    <n v="0"/>
    <n v="2"/>
    <s v="Trabajando en remoto"/>
    <n v="48"/>
    <s v="&lt; 1 a 5 años"/>
    <s v="Carrito porta mochila"/>
    <s v="CONTRATO INDEFINIDO"/>
    <s v="Acc. Incapacitante"/>
    <n v="0"/>
    <s v="SI"/>
  </r>
  <r>
    <n v="128"/>
    <s v="ICH24198"/>
    <s v="PERÚ"/>
    <s v="INTRADEVCO_INDUSTRIAL_SA"/>
    <s v="Distrito de Chorrillos"/>
    <x v="5"/>
    <s v="Chorrillos"/>
    <s v="Producción"/>
    <x v="51"/>
    <x v="1"/>
    <s v="Acc. Incapacitante"/>
    <d v="2024-07-20T00:00:00"/>
    <n v="29"/>
    <n v="20"/>
    <x v="7"/>
    <n v="2024"/>
    <d v="1899-12-30T01:30:00"/>
    <s v="N"/>
    <x v="0"/>
    <x v="14"/>
    <s v="ROMERO"/>
    <s v="MACALUPU"/>
    <s v="CRISTIAN"/>
    <s v="MASCULINO"/>
    <n v="45"/>
    <s v="MAQUINISTA"/>
    <s v="-"/>
    <s v="El maquinista detectó que el pistón N°6 se encontraba aplastando el frasco, esto a causa del cambio de formato de 550 ml a 225 ml; procedió a realizar la regulación sin detener la máquina. Después de introducir sus manos al interior de la máquina, realizaba el ajuste con la mano derecha, y la izquierda estaba apoyada en una plancha metálica posterior a los llenadores._x000a_El trabajador manifiesta que empezó a regular cuando el juego de pistones estaba adelante y no se percató que su dedo anular izquierdo (afectado) se encontraba en la trayectoria de los llenadores, cuando el juego de pistones retrocede no logra retirar el dedo a tiempo y sufre el aprisionamiento._x000a_Una vez que el juego de pistones se mueve para llenar la fila delantera, puede retirar su mano, en ese momento es donde avisa a sus compañeros y acude con dirección al tópico."/>
    <s v="Atrapado por Partes en Movimiento"/>
    <s v="-"/>
    <s v="Mano/Muñeca/Dedos"/>
    <s v="-"/>
    <s v="Corte en dedo"/>
    <s v="Corte/Herida"/>
    <n v="19"/>
    <n v="0"/>
    <n v="19"/>
    <s v="Trabajando"/>
    <m/>
    <s v="&gt; 10 años"/>
    <s v="Maquina envasadora"/>
    <s v="CONTRATO INDEFINIDO"/>
    <s v="Acc. Incapacitante"/>
    <n v="0"/>
    <s v="SI"/>
  </r>
  <r>
    <n v="129"/>
    <s v="PCO24267"/>
    <s v="PERÚ"/>
    <s v="ALICORP_SAA"/>
    <s v="PREDIO CENTRAL"/>
    <x v="3"/>
    <s v="COPSA"/>
    <s v="Producción"/>
    <x v="68"/>
    <x v="0"/>
    <s v="Acc. No Incapacitante"/>
    <d v="2024-07-30T00:00:00"/>
    <n v="31"/>
    <n v="30"/>
    <x v="7"/>
    <n v="2024"/>
    <d v="1899-12-30T17:50:00"/>
    <s v="T"/>
    <x v="2"/>
    <x v="31"/>
    <s v="DIAZ"/>
    <s v="QUISPE"/>
    <s v="DANIEL"/>
    <s v="MASCULINO"/>
    <n v="32"/>
    <s v="AYUDANTE DE PRODUCCION"/>
    <s v="-"/>
    <s v="El colaborador se encontraba en el área de soplado. De repente empezó a sentir olor a pintura fresca que provenía de una actividad de pintado de piso en el área de almacenes. Comenzó a sentir dolor de cabeza y un ligero sangrado por la fosa nasal derecha. Se dirige al tópico, donde se le realiza examen físico con resultados normales y se le administra ketorolaco vía oral. Colaborador se siente bien y no requiere traslado."/>
    <s v="Exposición a Sustancias Químicas"/>
    <s v="Cabeza"/>
    <s v="Cabeza"/>
    <s v="Operaciones en área de soplado de bidones"/>
    <s v="Epistaxis (hemorragia nasal)"/>
    <s v="Intoxicación"/>
    <n v="0"/>
    <n v="0"/>
    <n v="0"/>
    <s v="Trabajando"/>
    <m/>
    <m/>
    <s v="Pintura"/>
    <s v="CONTRATO INDEFINIDO"/>
    <s v="Acc. No Incapacitante"/>
    <n v="0"/>
    <m/>
  </r>
  <r>
    <n v="130"/>
    <s v="-"/>
    <s v="BOLIVIA"/>
    <s v="ALICORP_BOLIVIA"/>
    <m/>
    <x v="2"/>
    <s v="PLANTA COCHABAMBA"/>
    <s v="Distribución"/>
    <x v="69"/>
    <x v="1"/>
    <s v="Acc. Incapacitante"/>
    <d v="2024-07-29T00:00:00"/>
    <n v="31"/>
    <n v="29"/>
    <x v="7"/>
    <n v="2024"/>
    <d v="1899-12-30T07:45:00"/>
    <s v="M"/>
    <x v="0"/>
    <x v="3"/>
    <s v="CASTELLON"/>
    <s v="CONTRERAS"/>
    <s v="ARIEL"/>
    <s v="MASCULINO"/>
    <n v="48"/>
    <s v="MONTACARGUISTA"/>
    <d v="1999-02-01T00:00:00"/>
    <s v="En fecha 29 de julio a hrs. 07:45 am aprox. el operador de montacargas informa que se disponía a limpiar su Montacarga, buscando un trapo dentro un basurero próximo a su posición introduciendo la mano derecha (sin guantes), momento en el que sufre un corte en el dedo meñique por herramienta corto punzante que se encontraba en el interior, tras lo que comunica a un compañero de trabajo y posteriormente es evacuado en camioneta de la brigada al hospital de salud mas cercano."/>
    <s v="Contacto con superficie filosa"/>
    <s v="Mano"/>
    <s v="Mano/Muñeca/Dedos"/>
    <s v="Busqueda de materiales"/>
    <s v="Corte dedo meñique mano derecha"/>
    <s v="Corte/Herida"/>
    <n v="30"/>
    <n v="0"/>
    <n v="30"/>
    <s v="Descanso Médico"/>
    <n v="305"/>
    <s v="&gt; 10 años"/>
    <s v="Herramienta corto punzante"/>
    <s v="CONTRATO INDEFINIDO"/>
    <s v="Acc. Incapacitante"/>
    <n v="0"/>
    <s v="SI"/>
  </r>
  <r>
    <n v="131"/>
    <s v="-"/>
    <s v="PERÚ"/>
    <s v="INTRADEVCO_INDUSTRIAL_SA"/>
    <s v="LURIN"/>
    <x v="5"/>
    <s v="Lurin 4_Detergente"/>
    <s v="Producción"/>
    <x v="28"/>
    <x v="0"/>
    <s v="Acc. No Incapacitante"/>
    <d v="2024-06-28T08:10:00"/>
    <n v="26"/>
    <n v="28"/>
    <x v="6"/>
    <n v="2024"/>
    <d v="1899-12-30T08:10:00"/>
    <s v="D"/>
    <x v="3"/>
    <x v="5"/>
    <s v="TRINIDAD"/>
    <s v="OROSCO"/>
    <s v="LEVI"/>
    <s v="MASCULINO"/>
    <s v="-"/>
    <s v="OPERARIO DE PRODUCCIÓN"/>
    <s v="-"/>
    <s v="El colaborador Trinidad Orosco Levi se encontraba abasteciendo producto en línea 2, al momento de colocar el coche y jalar la soga para acomodar la lona en ducto de máquina 23 (estaba mal posicionado, con los pies separados y a la misma altura), ésta se rompe ocasionando que su cuerpo se vaya hacia atrás debido a la fuerza que ejerce al desatar soga y se golpee contra  la estructura metálica de otro coche el brazo y omóplato del lado derecho concentrándose el dolor en la zona del codo."/>
    <s v="Golpeado contra"/>
    <s v="Codo derecho"/>
    <s v="Brazo/Codo/Hombro"/>
    <s v="manipulacion de coches"/>
    <s v="Contusion en brazo"/>
    <s v="Contusión/Trauma"/>
    <n v="0"/>
    <n v="0"/>
    <n v="0"/>
    <s v="Trabajando"/>
    <m/>
    <m/>
    <s v="Coche de detergente"/>
    <s v="CONTRATO TEMPORAL"/>
    <s v="Acc. No Incapacitante"/>
    <n v="0"/>
    <m/>
  </r>
  <r>
    <n v="132"/>
    <s v="-"/>
    <s v="PERÚ"/>
    <s v="INTRADEVCO_INDUSTRIAL_SA"/>
    <s v="LURIN"/>
    <x v="5"/>
    <s v="Lurin 4_Detergente"/>
    <s v="Producción"/>
    <x v="28"/>
    <x v="0"/>
    <s v="Acc. No Incapacitante"/>
    <d v="2024-06-29T01:45:00"/>
    <n v="26"/>
    <n v="29"/>
    <x v="6"/>
    <n v="2024"/>
    <d v="1899-12-30T01:45:00"/>
    <s v="N"/>
    <x v="0"/>
    <x v="14"/>
    <s v="MATOS"/>
    <s v="CAMPOS"/>
    <s v="RANDY PAUL"/>
    <s v="MASCULINO"/>
    <s v="-"/>
    <s v="OPERARIO DE PRODUCCIÓN"/>
    <s v="-"/>
    <s v="El colaborador se encontraba reiniciando la  máquina neumopack N°1, al momento de presionar el botón del contador de la plancha, se encontraba agachado cerca de la plancha y fue entonces que la plancha al reiniciarse le golpea la nariz generandole sangrado, mareo e hinchazón en la nariz_x000a__x000a_- el colaborador menciona que no calculó la distancia y se encontraba agachado para sacar la bolsa, cabe mencionar que así no la manera adecuada de la actividad. "/>
    <s v="Golpeado por"/>
    <s v="Nariz"/>
    <s v="Rostro/Nariz/Boca"/>
    <s v="Regulacion de equipo"/>
    <s v="Contusion en nariz"/>
    <s v="Contusión/Trauma"/>
    <n v="0"/>
    <n v="0"/>
    <n v="0"/>
    <s v="Trabajando"/>
    <m/>
    <m/>
    <s v="Contador de bolsones"/>
    <s v="CONTRATO TEMPORAL"/>
    <s v="Acc. No Incapacitante"/>
    <n v="0"/>
    <m/>
  </r>
  <r>
    <n v="133"/>
    <s v="-"/>
    <s v="PERÚ"/>
    <s v="INTRADEVCO_INDUSTRIAL_SA"/>
    <s v="LURIN"/>
    <x v="5"/>
    <s v="Lurin 4_Detergente"/>
    <s v="Producción"/>
    <x v="28"/>
    <x v="0"/>
    <s v="Acc. No Incapacitante"/>
    <d v="2024-07-04T05:40:00"/>
    <n v="27"/>
    <n v="4"/>
    <x v="7"/>
    <n v="2024"/>
    <d v="1899-12-30T05:40:00"/>
    <s v="N"/>
    <x v="3"/>
    <x v="5"/>
    <s v="CHANCHARI"/>
    <s v="HUIÑAPI "/>
    <s v="DILVER"/>
    <s v="MASCULINO"/>
    <s v="-"/>
    <s v="OPERARIO DE PRODUCCIÓN"/>
    <s v="-"/>
    <s v="Colaborador se encontraba regulando el peso debido a la variación, mientras pulsaba el botón regulador alza la mirada hacia la tornamesa y cuando ésta gira se proyecta detergente en su dirección por lo que le ingresa al ojo derecho causando irritación. Contaba con lentes de seguridad._x000a_-Cabe mencionar que la máquina no cuenta con mica protectora _x000a_-Se realizó un primer lavado ocular en el área, sin embargo no hubo mejoría "/>
    <s v="Proyección de Material Particulado"/>
    <s v="Ojos"/>
    <s v="Ojos"/>
    <s v="Regulacion de equipo"/>
    <s v="Cuerpo Extraño en Ojos"/>
    <s v="Cuerpo Extraño en Ojos"/>
    <n v="0"/>
    <n v="0"/>
    <n v="0"/>
    <s v="Trabajando"/>
    <m/>
    <m/>
    <s v="Particulas de detergente"/>
    <s v="CONTRATO TEMPORAL"/>
    <s v="Acc. No Incapacitante"/>
    <n v="0"/>
    <m/>
  </r>
  <r>
    <n v="134"/>
    <s v="-"/>
    <s v="PERÚ"/>
    <s v="INTRADEVCO_INDUSTRIAL_SA"/>
    <s v="LURIN"/>
    <x v="5"/>
    <s v="Lurin 4_Detergente"/>
    <s v="Producción"/>
    <x v="28"/>
    <x v="0"/>
    <s v="Acc. No Incapacitante"/>
    <d v="2024-07-05T03:22:00"/>
    <n v="27"/>
    <n v="5"/>
    <x v="7"/>
    <n v="2024"/>
    <d v="1899-12-30T03:22:00"/>
    <s v="N"/>
    <x v="3"/>
    <x v="5"/>
    <s v="SANCHEZ"/>
    <s v="GUTIERREZ"/>
    <s v="CARLOS"/>
    <s v="MASCULINO"/>
    <s v="-"/>
    <s v="OPERARIO DE PRODUCCIÓN"/>
    <s v="-"/>
    <s v="Colaborador Sanchez Gutiérrez Carlos C.A, se encontraba trasladando una paleta junto a su compañero hacia la zona de ducto para traspaso de bolsones. _x000a_Durante la actividad estuvo en retroceso por lo que no se percata de la llenadora del ducto manual y se golpea, al ocurrir ello suelta la paleta e impacta en su pie derecho._x000a_Intensidad de dolor leve"/>
    <s v="Golpeado por"/>
    <s v="Pie derecho"/>
    <s v="Pie/Tobillo"/>
    <s v="Manipulacion de paleta"/>
    <s v="Contusion en pie derecho"/>
    <s v="Contusión/Trauma"/>
    <n v="0"/>
    <n v="0"/>
    <n v="0"/>
    <s v="Trabajando"/>
    <m/>
    <m/>
    <s v="Paleta"/>
    <s v="CONTRATO TEMPORAL"/>
    <s v="Acc. No Incapacitante"/>
    <n v="0"/>
    <m/>
  </r>
  <r>
    <n v="135"/>
    <s v="-"/>
    <s v="PERÚ"/>
    <s v="INTRADEVCO_INDUSTRIAL_SA"/>
    <s v="LURIN"/>
    <x v="5"/>
    <s v="Lurin 4_Detergente"/>
    <s v="Producción"/>
    <x v="29"/>
    <x v="0"/>
    <s v="Acc. No Incapacitante"/>
    <d v="2024-07-07T04:31:00"/>
    <n v="27"/>
    <n v="7"/>
    <x v="7"/>
    <n v="2024"/>
    <d v="1899-12-30T04:31:00"/>
    <s v="N"/>
    <x v="0"/>
    <x v="14"/>
    <s v="FIERRO"/>
    <s v="ARCE"/>
    <s v="EDWARD"/>
    <s v="MASCULINO"/>
    <s v="-"/>
    <s v="OPERARIO DE PRODUCCIÓN"/>
    <s v="-"/>
    <s v="Trabajador Fierro Arce Edward había terminado de realizar el abastecimiento de producto en la batidora N°2, al retirar los sacos vacíos de tiza se dirige hacia la mesa de trabajo para poder dejar sus epp's._x000a_En la batidora N°3 se encontraba apoyada la tapa del tanque de almacenamiento que había sido retirada para limpieza ya que la tubería estaba con crema pegada en su interior._x000a_Por ser el lugar más cercano pasa entre el espacio de las batidoras N°3 y 4 quedando enganchado su pantalón en el borde de la tapa mencionada, generando una herida superficial. Cabe mencionar que en ese espacio había colocado conos de seguridad."/>
    <s v="Contacto con superficie filosa"/>
    <s v="Pierna izquierda"/>
    <s v="Pierna"/>
    <s v="Transito en el area"/>
    <s v="Corte en pierna izquierda"/>
    <s v="Corte/Herida"/>
    <n v="0"/>
    <n v="0"/>
    <n v="0"/>
    <s v="Trabajando"/>
    <m/>
    <m/>
    <s v="Planca metalica"/>
    <s v="CONTRATO TEMPORAL"/>
    <s v="Acc. No Incapacitante"/>
    <n v="0"/>
    <m/>
  </r>
  <r>
    <n v="136"/>
    <s v="-"/>
    <s v="PERÚ"/>
    <s v="INTRADEVCO_INDUSTRIAL_SA"/>
    <s v="LURIN"/>
    <x v="5"/>
    <s v="Lurin 4_Detergente"/>
    <s v="Producción"/>
    <x v="28"/>
    <x v="0"/>
    <s v="Acc. No Incapacitante"/>
    <d v="2024-07-12T12:30:00"/>
    <n v="28"/>
    <n v="12"/>
    <x v="7"/>
    <n v="2024"/>
    <d v="1899-12-30T12:30:00"/>
    <s v="D"/>
    <x v="3"/>
    <x v="5"/>
    <s v="ARAUJO"/>
    <s v="CHOTA"/>
    <s v="EDINSON"/>
    <s v="MASCULINO"/>
    <s v="-"/>
    <s v="OPERARIO DE PRODUCCIÓN"/>
    <s v="-"/>
    <s v="Colaborador Araujo Chota Edinson, se encontraba realizando la actividad de colocación y retiro de bolsones y es golpeado por contadora de metal en la muñeca izquierda, ésta gira automáticamente, siendo su intensidad de dolor un 4/10."/>
    <s v="Golpeado por"/>
    <s v="Muñeca izquierda"/>
    <s v="Mano/Muñeca/Dedos"/>
    <s v="Colocacion de bolsones"/>
    <s v="Contusion en muñeca izquierda"/>
    <s v="Contusión/Trauma"/>
    <n v="0"/>
    <n v="0"/>
    <n v="0"/>
    <s v="Trabajando"/>
    <m/>
    <m/>
    <s v="Contador de bolsones"/>
    <s v="CONTRATO TEMPORAL"/>
    <s v="Acc. No Incapacitante"/>
    <n v="0"/>
    <m/>
  </r>
  <r>
    <n v="137"/>
    <s v="-"/>
    <s v="PERÚ"/>
    <s v="INTRADEVCO_INDUSTRIAL_SA"/>
    <s v="LURIN"/>
    <x v="5"/>
    <s v="Lurin 4_Detergente"/>
    <s v="Producción"/>
    <x v="28"/>
    <x v="0"/>
    <s v="Acc. No Incapacitante"/>
    <d v="2024-07-15T18:39:00"/>
    <n v="29"/>
    <n v="15"/>
    <x v="7"/>
    <n v="2024"/>
    <d v="1899-12-30T18:39:00"/>
    <s v="D"/>
    <x v="3"/>
    <x v="5"/>
    <s v="SANCHEZ"/>
    <s v="GUTIERREZ"/>
    <s v="CARLOS"/>
    <s v="MASCULINO"/>
    <s v="-"/>
    <s v="OPERARIO DE PRODUCCIÓN"/>
    <s v="-"/>
    <s v="Colaborador Sanchez Gutiérrez Carlos C.A se encontraba realizando la actividad de recuperado de merma por la zona de paletas y al sacudir una bolsita (ésta estaba mal sellada) se proyecta el detergente en dirección del rostro generando que le ingrese al ojo izquierdo._x000a_-Evento sucedió aproximadamente 5:30 pm sin embargo no dió aviso a tiempo._x000a_-Menciona que tenía colocado los lentes antiparras y aún así ingresó."/>
    <s v="Proyección de Material Particulado"/>
    <s v="Ojo izquierdo"/>
    <s v="Ojos"/>
    <s v="Recuperado de merma"/>
    <s v="Cuerpo Extraño en Ojos"/>
    <s v="Cuerpo Extraño en Ojos"/>
    <n v="0"/>
    <n v="0"/>
    <n v="0"/>
    <s v="Trabajando"/>
    <m/>
    <m/>
    <s v="Particulas de detergente"/>
    <s v="CONTRATO TEMPORAL"/>
    <s v="Acc. No Incapacitante"/>
    <n v="0"/>
    <m/>
  </r>
  <r>
    <n v="138"/>
    <s v="-"/>
    <s v="PERÚ"/>
    <s v="INTRADEVCO_INDUSTRIAL_SA"/>
    <s v="CHORRILLOS"/>
    <x v="5"/>
    <s v="Chorrillos"/>
    <s v="Producción"/>
    <x v="51"/>
    <x v="0"/>
    <s v="Acc. No Incapacitante"/>
    <d v="2024-07-15T00:00:00"/>
    <n v="29"/>
    <n v="15"/>
    <x v="7"/>
    <n v="2024"/>
    <d v="1899-12-30T14:30:00"/>
    <s v="D"/>
    <x v="3"/>
    <x v="5"/>
    <s v="CHAVEZ"/>
    <s v="CANAYO"/>
    <s v="KELLY PATRICIA"/>
    <s v="FEMENINO"/>
    <s v="-"/>
    <s v="OPERARIO DE PRODUCCIÓN"/>
    <s v="-"/>
    <s v="Aproximadamente a las 13:30 P.M, la colaboradora , _x000a_Empezó su trabajo en el Área de MR2, donde se envasaría el producto desatorador de cocina, la colaboradora realizaba la colocación de tapas en los envases al promediar las 15:20 P.M, El operador de la tapadora neumatica y Kelly empujan los envases a la mesa para ser encajados, donde un envase cae en una parte que estaba Humedecida con el producto desatorador y la colaboradora Kelly se inspecciona que no le hubiera salpicado en la ropa ,luego siente que le arde el rostro Kelly jala el respirador de media ccara on los guantes de nitrilo aun puesto, es ahi donde los compañeros le observan y le aconsejan que no se toque ni se rasque, y que fuera a lavarse la parte afectada en el lavaojos, luego de ello se le derivo al tópico donde la Dra. María le brinda los primeros auxilios y le coloca la crema sulfadiazina de plata 1%, Kelly negando dolor alguno y reaccionando de manera favorable, se le indica que puede continuar sus labores en el área ofertado._x000a_"/>
    <s v="Exposición a Sustancias Químicas"/>
    <s v="Cara"/>
    <s v="Mano/Muñeca/Dedos"/>
    <s v="Colocación de tapas"/>
    <m/>
    <m/>
    <n v="0"/>
    <n v="0"/>
    <n v="0"/>
    <s v="Trabajando"/>
    <m/>
    <m/>
    <s v="Producto desatorador"/>
    <s v="CONTRATO TEMPORAL"/>
    <s v="Acc. No Incapacitante"/>
    <n v="0"/>
    <m/>
  </r>
  <r>
    <n v="139"/>
    <s v="-"/>
    <s v="PERÚ"/>
    <s v="INTRADEVCO_INDUSTRIAL_SA"/>
    <s v="LURIN"/>
    <x v="5"/>
    <s v="Lurin 4_Detergente"/>
    <s v="Producción"/>
    <x v="50"/>
    <x v="0"/>
    <s v="Acc. No Incapacitante"/>
    <d v="2024-07-19T22:30:00"/>
    <n v="29"/>
    <n v="19"/>
    <x v="7"/>
    <n v="2024"/>
    <d v="1899-12-30T22:30:00"/>
    <s v="N"/>
    <x v="3"/>
    <x v="5"/>
    <s v="BEJARANO"/>
    <s v="HUAPAYA"/>
    <s v="VICTOR"/>
    <s v="MASCULINO"/>
    <s v="-"/>
    <s v="OPERARIO DE PRODUCCIÓN"/>
    <s v="-"/>
    <s v="Colaborador se encontraba transitando con su compañera por el sendero peatonal camino al comedor en su hora de cena, al momento de doblar para subir a la vereda se abre demasiado al punto de chocar contra la caja de pase ubicada en la pared y se golpea con ella el brazo izquierdo _x000a__x000a_Según indica el colaborador tenía la mirada al frente y lo mismo menciona su compañera, quien caminaba detrás de él."/>
    <s v="Golpeado contra"/>
    <s v="Brazo izquierdo"/>
    <s v="Brazo/Codo/Hombro"/>
    <s v="Transito por areas comunes"/>
    <s v="Contusion en brazo izquierdo"/>
    <s v="Contusión/Trauma"/>
    <n v="0"/>
    <n v="0"/>
    <n v="0"/>
    <s v="Trabajando"/>
    <m/>
    <m/>
    <s v="Caja de paso"/>
    <s v="CONTRATO TEMPORAL"/>
    <s v="Acc. No Incapacitante"/>
    <n v="0"/>
    <m/>
  </r>
  <r>
    <n v="140"/>
    <s v="-"/>
    <s v="PERÚ"/>
    <s v="INTRADEVCO_INDUSTRIAL_SA"/>
    <s v="LURIN"/>
    <x v="5"/>
    <s v="Lurin 4_Detergente"/>
    <s v="Producción"/>
    <x v="45"/>
    <x v="0"/>
    <s v="Acc. No Incapacitante"/>
    <d v="2024-07-24T13:13:00"/>
    <n v="30"/>
    <n v="24"/>
    <x v="7"/>
    <n v="2024"/>
    <d v="1899-12-30T13:13:00"/>
    <s v="D"/>
    <x v="0"/>
    <x v="14"/>
    <s v="ROJAS"/>
    <s v="ESPINOZA"/>
    <s v="JESUS"/>
    <s v="MASCULINO"/>
    <s v="-"/>
    <s v="OPERARIO DE PRODUCCIÓN"/>
    <s v="-"/>
    <s v="colaborador de ITDC Jesus Rojas quiere bajar el motorreductor que estaba colocado sobre el coche, colaborador mete las manos para sujetar y poder bajarlo, cuando ya lo están bajando el eje interior choque con el piso y lo empuje hacia arriba lo que provoca la subida del engranaje interno y hace que aplaste el dedo medio de la mano derecha."/>
    <s v="Golpeado por"/>
    <s v="Dedo medio derecho"/>
    <s v="Mano/Muñeca/Dedos"/>
    <s v="Manipulacion de motoreductor"/>
    <s v="Contusion en dedo medio derecho"/>
    <s v="Contusión/Trauma"/>
    <n v="0"/>
    <n v="0"/>
    <n v="0"/>
    <s v="Trabajando"/>
    <m/>
    <m/>
    <s v="Motoreductor"/>
    <s v="CONTRATO TEMPORAL"/>
    <s v="Acc. No Incapacitante"/>
    <n v="0"/>
    <m/>
  </r>
  <r>
    <n v="141"/>
    <m/>
    <s v="PERÚ"/>
    <s v="ALICORP_SAA"/>
    <s v="CD AREQUIPA"/>
    <x v="6"/>
    <s v="DISTRIBUCIÓN"/>
    <s v="Distribución"/>
    <x v="70"/>
    <x v="0"/>
    <s v="Acc. No Incapacitante"/>
    <d v="2024-07-05T00:00:00"/>
    <n v="27"/>
    <n v="5"/>
    <x v="7"/>
    <n v="2024"/>
    <d v="1899-12-30T21:05:00"/>
    <s v="N"/>
    <x v="0"/>
    <x v="0"/>
    <s v="VALENCIA"/>
    <s v="BARAZORDA"/>
    <s v="ROLANDO"/>
    <s v="MASCULINO"/>
    <m/>
    <s v="Operario de montacargas"/>
    <m/>
    <s v="El colaborador se encontraba realizando una llamada por teléfono fuera de la puerta principal de las oficinas del CD AREQUIPA. No se percató que se había posicionado cerca de una de las macertas de decoración, mientras hablaba por teléfono iba caminando y en un descuido tropezó con la maceta, sufrió un pequeño corte ye determina que al resultar una herida leve no requiere descanso médico."/>
    <s v="Golpeado por"/>
    <s v="Pierna"/>
    <s v="Pierna"/>
    <s v="Caminando hablado por teléfono"/>
    <s v="Herida leve"/>
    <s v="Corte/Herida"/>
    <n v="0"/>
    <m/>
    <m/>
    <s v="Trabajando "/>
    <m/>
    <s v="&gt; 10 años"/>
    <s v="Maceta"/>
    <s v="Indeterminado"/>
    <s v="Acc. No Incapacitante"/>
    <n v="0"/>
    <s v="NO"/>
  </r>
  <r>
    <n v="142"/>
    <s v="DIS24485"/>
    <s v="PERÚ"/>
    <s v="ALICORP_SAA"/>
    <s v="CD AREQUIPA"/>
    <x v="6"/>
    <s v="DISTRIBUCIÓN"/>
    <s v="Distribución"/>
    <x v="70"/>
    <x v="0"/>
    <s v="Acc. No Incapacitante"/>
    <d v="2024-07-13T00:00:00"/>
    <n v="28"/>
    <n v="13"/>
    <x v="7"/>
    <n v="2024"/>
    <d v="1899-12-30T11:00:00"/>
    <s v="D"/>
    <x v="9"/>
    <x v="32"/>
    <s v="APAZA"/>
    <s v="HUAYHUA"/>
    <s v="CARLOS FERNANDO"/>
    <s v="MASCULINO"/>
    <n v="21"/>
    <s v="Auxiliar de carga"/>
    <d v="2023-04-13T00:00:00"/>
    <s v="Cargando una unidad furgón, el operador de montacargas coloca un pallet de harinas en la parte interna del furgón; el Sr. Apaza Huayhua Carlos Fernando, auxiliar de carga de la empresa IOLSA, toma un saco para llevarlo al hombro sin embargo indica que le gana el peso y decide soltar el saco, pero también se desestabiliza y cae al piso golpeándose parte del hombro y espalda. Personal de alicorp e Iolsa acuden al accidentado, al preguntar por su estado el Sr. Apaza Huayhua Carlos Fernando, indica estar bien, de todas maneras, es conducido a una clínica para ser evaluado y descartar algún daño. Se descarta algún tipo de fractura o lesión grave y no se genera descanso médico. El personal de IOLSA procede a realizar la difusión y refuerzo de seguridad sobre el incidente ocurrido. "/>
    <s v="Caída al mismo nivel"/>
    <s v="Espalda superior"/>
    <s v="Brazo/Codo/Hombro"/>
    <s v="Descarga de sacos de harina"/>
    <s v="Contusión"/>
    <s v="Contusión/Trauma"/>
    <n v="0"/>
    <m/>
    <m/>
    <s v="Trabajando "/>
    <n v="15"/>
    <s v="&lt; 1 a 5 años"/>
    <s v="Sacos de harina"/>
    <s v="CONTRATO TEMPORAL"/>
    <s v="Acc. No Incapacitante"/>
    <n v="0"/>
    <s v="NO"/>
  </r>
  <r>
    <n v="143"/>
    <s v="-"/>
    <s v="PERÚ"/>
    <s v="INTRADEVCO_INDUSTRIAL_SA"/>
    <s v="LURIN"/>
    <x v="5"/>
    <s v="Lurin 4_Detergente"/>
    <s v="Producción"/>
    <x v="50"/>
    <x v="0"/>
    <s v="Acc. No Incapacitante"/>
    <d v="2024-07-26T15:29:00"/>
    <n v="30"/>
    <n v="26"/>
    <x v="7"/>
    <n v="2024"/>
    <d v="1899-12-30T15:29:00"/>
    <s v="D"/>
    <x v="3"/>
    <x v="5"/>
    <s v="GINEZ"/>
    <s v="BARRERA"/>
    <s v="VICTOR"/>
    <s v="MASCULINO"/>
    <s v="-"/>
    <s v="OPERARIO DE PRODUCCIÓN"/>
    <s v="-"/>
    <s v="Operador de equipo logístico Ginez Barrera Victor C.A realizaba actividades de ubicación de paletas de PT en la zona de pampa-patio de bombonas. Estaba designado solo para ésta actividad._x000a_- Al observar que sus compañeros están colocando toldo a las paletas de PT, por iniciativa propia baja del equipo para así ayudar _x000a_- Sube a las rumas de paletas con PT y se posiciona en el medio de ellas para poder jalar el toldo, en el transcurso retrocede y se enreda con el film generando que caiga en los mismos sacos, sin embargo todo el peso de su cuerpo lo apoyó en su mano derecha._x000a_- Pasado cierto tiempo supervisor de área se acerca a realizarle la consulta al colaborador debido a que notó que hacía gestos de incomodidad, movimiento constante de muñeca. Refiere que dolor era leve durante el término de turno por lo que no dieron aviso , recién la intensidad aumentó hoy por la madrugada"/>
    <s v="Golpeado contra"/>
    <s v="Mano derecha"/>
    <s v="Mano/Muñeca/Dedos"/>
    <s v="Manipulacion de toldo"/>
    <s v="Contusion en mano derecha"/>
    <s v="Contusión/Trauma"/>
    <n v="0"/>
    <n v="0"/>
    <n v="0"/>
    <s v="Trabajando"/>
    <m/>
    <m/>
    <s v="Toldo"/>
    <s v="CONTRATO TEMPORAL"/>
    <s v="Acc. No Incapacitante"/>
    <n v="0"/>
    <m/>
  </r>
  <r>
    <n v="144"/>
    <s v="-"/>
    <s v="PERÚ"/>
    <s v="INTRADEVCO_INDUSTRIAL_SA"/>
    <s v="LURIN"/>
    <x v="5"/>
    <s v="Lurin 4_Detergente"/>
    <s v="Producción"/>
    <x v="28"/>
    <x v="0"/>
    <s v="Acc. No Incapacitante"/>
    <d v="2024-08-06T06:30:00"/>
    <n v="32"/>
    <n v="6"/>
    <x v="5"/>
    <n v="2024"/>
    <d v="1899-12-30T06:30:00"/>
    <s v="N"/>
    <x v="3"/>
    <x v="5"/>
    <s v="GARCIA"/>
    <s v="VIDAURE"/>
    <s v="JORGE"/>
    <s v="MASCULINO"/>
    <s v="-"/>
    <s v="OPERARIO DE PRODUCCIÓN"/>
    <s v="-"/>
    <s v="El colaborador Garcia Vidaure Jorge CA. se encontraba apilando en la línea 2, debido a que desde plataforma estaban mandando sacos hacia el primer nivel por medio de un ducto, mientras apilaban se llegó a acumular los sacos entre el ducto y la faja, no dio aviso a plataforma para que dejen de mandar sacos para tener tiempo de retirar los sacos acumulados y en ese momento mientras se encontraba liberando los sacos uno de estos le impacta en la mano izquierda generandole dolor, su intensidad de dolor 5/10._x000a__x000a_Dato adicional:  el colaborador menciona que la acumulación de sacos se dio por que su compañero es nuevo  y no sabía apilar._x000a__x000a_Los sacos que mandaban pesaba 14 kilos aproximadamente."/>
    <s v="Golpeado por"/>
    <s v="Mano izquierda"/>
    <s v="Mano/Muñeca/Dedos"/>
    <s v="Manipulacion de sacos"/>
    <s v="Contusion en mano izquierda"/>
    <s v="Contusión/Trauma"/>
    <n v="0"/>
    <n v="0"/>
    <n v="0"/>
    <s v="Trabajando"/>
    <m/>
    <m/>
    <s v="Sacos de detergente"/>
    <s v="CONTRATO TEMPORAL"/>
    <s v="Acc. No Incapacitante"/>
    <n v="0"/>
    <m/>
  </r>
  <r>
    <n v="145"/>
    <s v="-"/>
    <s v="BOLIVIA"/>
    <s v="ALICORP_BOLIVIA"/>
    <m/>
    <x v="2"/>
    <s v="PLANTA COCHABAMBA"/>
    <s v="Producción"/>
    <x v="71"/>
    <x v="0"/>
    <s v="Acc. No Incapacitante"/>
    <d v="2024-07-05T00:00:00"/>
    <n v="27"/>
    <n v="5"/>
    <x v="7"/>
    <n v="2024"/>
    <d v="1899-12-30T06:30:00"/>
    <s v="M"/>
    <x v="0"/>
    <x v="0"/>
    <s v="POCA"/>
    <s v="TANGARA"/>
    <s v="FLORENCIO"/>
    <s v="MASCULINO"/>
    <n v="55"/>
    <s v="Encajonador recepcionista"/>
    <d v="1995-12-01T00:00:00"/>
    <s v="En fecha viernes 05 de julio a hrs. 06:30 am el Sr. Florencio Poca Tangara, persona que se encontraba reemplazando por vacación al asistente de refinería, mismo que se encontraba transitando por planta baja en el sector del tanque de Borra de la PX 100, donde existía rastros de borra en el suelo. El trabajador se resbala, sufriendo una caída al mismo nivel (sin daño alguno). Posteriormente se llevó al trabajador a la posta médica de planta para su valoración correspondiente."/>
    <s v="Caída al mismo nivel"/>
    <s v="Nalga"/>
    <s v="Columna"/>
    <s v="Transito en vías peatonales"/>
    <s v="Contusión región pelvica (nalga)"/>
    <s v="Contusión/Trauma"/>
    <n v="0"/>
    <n v="0"/>
    <n v="0"/>
    <s v="Trabajando"/>
    <n v="343"/>
    <s v="&gt; 10 años"/>
    <s v="Derrame de borra"/>
    <s v="CONTRATO INDEFINIDO"/>
    <s v="Acc. No Incapacitante"/>
    <n v="0"/>
    <m/>
  </r>
  <r>
    <n v="146"/>
    <s v="-"/>
    <s v="PERÚ"/>
    <s v="INTRADEVCO_INDUSTRIAL_SA"/>
    <s v="LURIN"/>
    <x v="5"/>
    <s v="Lurin 5_20mil"/>
    <s v="Producción"/>
    <x v="72"/>
    <x v="1"/>
    <s v="Acc. Incapacitante"/>
    <d v="2024-08-04T00:00:00"/>
    <n v="31"/>
    <n v="4"/>
    <x v="5"/>
    <n v="2024"/>
    <d v="1899-12-30T15:05:00"/>
    <s v="D"/>
    <x v="3"/>
    <x v="5"/>
    <s v="ACOSTA"/>
    <s v="MURAYARI"/>
    <s v="JHON"/>
    <s v="MASCULINO"/>
    <n v="23"/>
    <s v="OPERARIO DE PRODUCCIÓN"/>
    <s v="-"/>
    <s v="Colaborador Acosta Murayari Jhon C.A perteneciente al área de Etiquetado estaba desempeñando labores de apoyo como operario de producción, al culminar actividades se dirige a los vestuarios. Al abrir su casillero mete la mano derecha con gran impulso para agarrar su ropa y en el transcurso su mano impacta con el borde del casillero generando un corte en el dedo medio "/>
    <s v="Contacto con superficie filosa"/>
    <s v="Mano derecha"/>
    <s v="Mano/Muñeca/Dedos"/>
    <s v="Apertura de casillero"/>
    <s v="Corte en dedo medio derecho"/>
    <s v="Corte/Herida"/>
    <n v="16"/>
    <n v="0"/>
    <n v="16"/>
    <s v="DM"/>
    <m/>
    <m/>
    <s v="Casillero"/>
    <s v="CONTRATO TEMPORAL"/>
    <s v="Acc. Incapacitante"/>
    <n v="0"/>
    <s v="SI"/>
  </r>
  <r>
    <n v="147"/>
    <s v="ILU24261"/>
    <s v="PERÚ"/>
    <s v="INTRADEVCO_INDUSTRIAL_SA"/>
    <s v="Distrito de Lurín"/>
    <x v="5"/>
    <s v="Lurin 2_Planta principal"/>
    <s v="Producción"/>
    <x v="73"/>
    <x v="1"/>
    <s v="Acc. Incapacitante"/>
    <d v="2024-07-06T00:00:00"/>
    <n v="27"/>
    <n v="6"/>
    <x v="7"/>
    <n v="2024"/>
    <d v="1899-12-30T01:40:00"/>
    <s v="N"/>
    <x v="3"/>
    <x v="5"/>
    <s v="GARCIA"/>
    <s v="SANDOVAL"/>
    <s v="NICOLE MISSI"/>
    <s v="FEMENINO"/>
    <n v="22"/>
    <s v="OPERARIO DE PRODUCCIÓN"/>
    <d v="2024-01-31T00:00:00"/>
    <s v="Aproximadamente a las 1:40 de la mañana la colaboradora Nicole García Sandoval, de 22 años pasaba por el sendero peatonal por la zona de tópico a la altura del ingreso y salida de materiales de limpia todo, mientras se dirigía al área de soplado había un transpalet # 1249 conducido por el operador Miguel angel Arteaga Muñoz, que pertenecía al área de AMP #5 dejando materiales y al momento de que se detuvo la colaboradora continúo pasando, luego cuando se da cuenta que el operador retrocede sin mirar hacia atrás ni tocar clauso, para que no la impacte puso la mano derecha como medida de protección la cual recibo un golpe, al momento que sucedió el evento no le aviso al operador quien continúo con sus labores."/>
    <s v="Golpeado por"/>
    <s v="MANO DERECHA"/>
    <s v="Mano/Muñeca/Dedos"/>
    <s v="Desplazamiento peatonal"/>
    <s v="Contusion"/>
    <s v="Contusión/Trauma"/>
    <n v="150"/>
    <n v="0"/>
    <n v="150"/>
    <s v="Descanso Médico"/>
    <n v="7"/>
    <s v="&lt; 0.5 a 1 año"/>
    <s v="Transpaleta"/>
    <s v="CONTRATO TEMPORAL"/>
    <s v="Acc. Incapacitante"/>
    <n v="0"/>
    <s v="SI"/>
  </r>
  <r>
    <n v="148"/>
    <s v="-"/>
    <s v="PERÚ"/>
    <s v="INTRADEVCO_INDUSTRIAL_SA"/>
    <s v="LURIN"/>
    <x v="5"/>
    <s v="Lurin 1_Hipoclorito"/>
    <s v="Producción"/>
    <x v="40"/>
    <x v="0"/>
    <s v="Acc. No Incapacitante"/>
    <d v="2024-07-24T00:00:00"/>
    <n v="30"/>
    <n v="24"/>
    <x v="7"/>
    <n v="2024"/>
    <d v="1899-12-30T12:30:00"/>
    <s v="D"/>
    <x v="2"/>
    <x v="33"/>
    <s v="PONCE"/>
    <s v="TAPULLIMA"/>
    <s v="LUIS"/>
    <s v="MASCULINO"/>
    <s v="-"/>
    <s v="OPERADOR"/>
    <s v="-"/>
    <s v="Siendo las 12:44 aproximadamente el trabajador Luis Ponce Tapullima (empresa SURFACE PROTECTION S.A.C), sufrió un accidente menor al tener contacto con residuos de catolito en el interior del dique del tanque de salmuera declorada._x000a_El contacto ocurrió cuando secaba el piso del dique que tenía restos de sustancia química, empleando trapos industriales y haciendo uso de guantes inadecuados."/>
    <s v="Exposición a Sustancias Químicas"/>
    <s v="Mano derecha"/>
    <s v="Mano/Muñeca/Dedos"/>
    <s v="Limpieza de piso contaminado"/>
    <s v="Quemadura química"/>
    <s v="Dermatitis/Irritación de la piel"/>
    <n v="0"/>
    <m/>
    <m/>
    <m/>
    <m/>
    <s v="&lt; 1 mes"/>
    <m/>
    <m/>
    <s v="Acc. No Incapacitante"/>
    <n v="0"/>
    <m/>
  </r>
  <r>
    <n v="149"/>
    <s v="-"/>
    <s v="PERÚ"/>
    <s v="INTRADEVCO_INDUSTRIAL_SA"/>
    <s v="LURIN"/>
    <x v="5"/>
    <s v="CD1-CD2"/>
    <s v="Distribución"/>
    <x v="17"/>
    <x v="0"/>
    <s v="Acc. No Incapacitante"/>
    <d v="2024-06-18T00:00:00"/>
    <n v="25"/>
    <n v="18"/>
    <x v="6"/>
    <n v="2024"/>
    <d v="1899-12-30T21:39:00"/>
    <s v="N"/>
    <x v="3"/>
    <x v="7"/>
    <s v="MEZA"/>
    <s v="YAYE"/>
    <s v="LIZBETH"/>
    <s v="FEMENINO"/>
    <s v="-"/>
    <s v="ALMACENERO 2"/>
    <s v="-"/>
    <s v="Colaboradora Lizbeth Meza Yaye estaba llevando mercadería al canal y al notar que no había espacio para colocar la mercadería, procede a mover las paletas vacías al pasillo 15 para hacer espacio y así poder seguir trayendo mercadería, y en el momento de dejar las paletas en el pasillo 15, la colaboradora siente un estirón en su dedo producto de la manipulación propia del timón del traspalet. "/>
    <s v="Sobreesfuerzo"/>
    <s v="Dedo"/>
    <s v="Mano/Muñeca/Dedos"/>
    <s v="Operación de transpaleta"/>
    <s v="Tendinitis por contusión"/>
    <s v="Desgarro/Estiramiento Muscular"/>
    <n v="0"/>
    <n v="0"/>
    <n v="0"/>
    <s v="Trabajando"/>
    <m/>
    <m/>
    <s v="Transpaleta"/>
    <s v="CONTRATO TEMPORAL"/>
    <s v="Acc. No Incapacitante"/>
    <n v="0"/>
    <m/>
  </r>
  <r>
    <n v="150"/>
    <s v="-"/>
    <s v="PERÚ"/>
    <s v="ALICORP_SAA"/>
    <s v="SIDSUR"/>
    <x v="12"/>
    <s v="SIDSUR"/>
    <s v="Producción"/>
    <x v="74"/>
    <x v="0"/>
    <s v="Acc. No Incapacitante"/>
    <d v="2024-07-19T00:00:00"/>
    <n v="29"/>
    <n v="19"/>
    <x v="7"/>
    <n v="2024"/>
    <d v="1899-12-30T07:40:00"/>
    <s v="D"/>
    <x v="1"/>
    <x v="0"/>
    <s v="BRIGIDA "/>
    <s v="PARISUAÑA"/>
    <s v="KARINA"/>
    <s v="FEMENINO"/>
    <n v="26"/>
    <s v="APRENDIZ SENATI"/>
    <s v="-"/>
    <s v="Colaboradora se encontraba en actividades en la máquina apiladora línea 1, relevando a su compañera quien salió de la linea a su refrigerio. Dicha actividad se realiza sobre una plataforma, a su vez se cuenta con una silla sobre ella. Cuando procedia a sentarse, consigo se inclina la silla puesto que las patas de la silla se encontraban al borde de la plataforma, en ese momento la colaboradora cae al suelo. Inmediatamente sus compañeros se acercan para ayudar a levantarse; luego recibe atencion de primeros auxilios por el inspector de turno. "/>
    <s v="Caída a distinto nivel"/>
    <s v="Brazo "/>
    <s v="Mano/Muñeca/Dedos"/>
    <s v="apilado de galleta "/>
    <s v="Contusión leve "/>
    <s v="Contusión/Trauma"/>
    <n v="0"/>
    <n v="0"/>
    <n v="0"/>
    <s v="Trabajando"/>
    <n v="4"/>
    <s v="&lt; 3 a 6 meses"/>
    <s v="Plataforma"/>
    <m/>
    <s v="Acc. No Incapacitante"/>
    <n v="0"/>
    <m/>
  </r>
  <r>
    <n v="151"/>
    <s v="-"/>
    <s v="PERÚ"/>
    <s v="ALICORP_SAA"/>
    <s v="SIDSUR"/>
    <x v="12"/>
    <s v="SIDSUR"/>
    <s v="Producción"/>
    <x v="74"/>
    <x v="0"/>
    <s v="Acc. No Incapacitante"/>
    <d v="2024-07-20T00:00:00"/>
    <n v="29"/>
    <n v="20"/>
    <x v="7"/>
    <n v="2024"/>
    <d v="1899-12-30T14:45:00"/>
    <s v="T"/>
    <x v="1"/>
    <x v="0"/>
    <s v="HANCCO"/>
    <s v="GUTIERREZ"/>
    <s v="JACK ANTONNY"/>
    <s v="MASCULINO"/>
    <n v="21"/>
    <s v="APRENDIZ SENATI"/>
    <s v="-"/>
    <s v="Colaborador se encontraba ordenando cajas debido al corte de producción, cuando el coordinador de turno le solicita apoyo para trasladar la faja de transporte de la zona de cambios a la zona de granel, entonces proceden con el traslado. Llegado al lugar, colaborador intenta levantar la faja para que el coordinador  ancle los frenos desde una posicion frontal; al no lograrlo se coloca al lado lateral, momento en el cual al levantar la faja ésa se desestabiliza y se inclina, en el intento de evitar la caida el colaborador siente el roce del metal, lugar donde estuvo sujetando la faja, inmediatamente da aviso al cooridnador de turno del corte que surfrió, entonces  lo traslada al área de seguridad industrial, posteriormente se le traslada al tópico, siendo atendido por la parte médica quien realiza la limpieza y curación. No requiere traslado a la clinica. "/>
    <s v="Contacto con superficie filosa"/>
    <s v="Dedos indice y medio de la mano izquierda"/>
    <s v="Mano/Muñeca/Dedos"/>
    <s v="Traslado de faja"/>
    <s v="Corte superficial"/>
    <s v="Corte/Herida"/>
    <n v="0"/>
    <n v="0"/>
    <n v="0"/>
    <s v="Trabajando"/>
    <n v="0"/>
    <s v="&lt; 1 mes"/>
    <s v="Faja"/>
    <m/>
    <s v="Acc. No Incapacitante"/>
    <n v="0"/>
    <m/>
  </r>
  <r>
    <n v="152"/>
    <s v="-"/>
    <s v="PERÚ"/>
    <s v="INTRADEVCO_INDUSTRIAL_SA"/>
    <s v="LURIN"/>
    <x v="5"/>
    <s v="Lurin 4_Detergente"/>
    <s v="Producción"/>
    <x v="40"/>
    <x v="1"/>
    <s v="Acc. Incapacitante"/>
    <d v="2024-07-31T00:00:00"/>
    <n v="31"/>
    <n v="31"/>
    <x v="7"/>
    <n v="2024"/>
    <d v="1899-12-30T07:30:00"/>
    <s v="D"/>
    <x v="0"/>
    <x v="14"/>
    <s v="ROMERO"/>
    <s v=" MATUTE"/>
    <s v="MAIZA ROSARIO "/>
    <s v="FEMENINO"/>
    <n v="47"/>
    <s v="OPERARIO LINEA LAVAVAJILLA"/>
    <d v="2016-04-11T00:00:00"/>
    <s v="Mientras se transportaba a un grupo de trabajadores a la salida del turno de amanecida, desde la sede Lurín hacia el Norte, a la altura del paradero 08 (Av. Gálvez y Av. Lima) Zarumilla, la unidad de la empresa de Transportes Gabisho (movilidad del personal) impacta contra la parte derecha de la unidad de transporte publico de placa de AMS-896, la cual realizó un giro intempestivo en la intersección de la avenida mientras el semáforo se encontraba en rojo. Producto del evento se registraron daños personales a 3 trabajadores, los cuales fueron evacuados para recibir atención médica."/>
    <s v="Golpeado contra"/>
    <s v="Rodilla"/>
    <s v="Mano/Muñeca/Dedos"/>
    <s v="Uso de movilidad"/>
    <s v="Contusion de rodilla"/>
    <s v="Contusión/Trauma"/>
    <n v="9"/>
    <n v="0"/>
    <n v="9"/>
    <s v="DM"/>
    <m/>
    <s v="&lt; 5 a 10 años"/>
    <s v="Vehiculo"/>
    <s v="CONTRATO INDEFINIDO"/>
    <s v="Acc. Incapacitante"/>
    <n v="0"/>
    <s v="NO"/>
  </r>
  <r>
    <n v="153"/>
    <s v="-"/>
    <s v="PERÚ"/>
    <s v="INTRADEVCO_INDUSTRIAL_SA"/>
    <s v="LURIN"/>
    <x v="5"/>
    <s v="Lurin 4_Detergente"/>
    <s v="Producción"/>
    <x v="40"/>
    <x v="1"/>
    <s v="Acc. Incapacitante"/>
    <d v="2024-07-31T00:00:00"/>
    <n v="31"/>
    <n v="31"/>
    <x v="7"/>
    <n v="2024"/>
    <d v="1899-12-30T07:30:00"/>
    <s v="D"/>
    <x v="3"/>
    <x v="5"/>
    <s v="QUISPE"/>
    <s v=" COYLLO"/>
    <s v="EVA LUZMILA"/>
    <s v="FEMENINO"/>
    <n v="29"/>
    <s v="OPERARIO DE PRODUCCION"/>
    <s v="-"/>
    <s v="Mientras se transportaba a un grupo de trabajadores a la salida del turno de amanecida, desde la sede Lurín hacia el Norte, a la altura del paradero 08 (Av. Gálvez y Av. Lima) Zarumilla, la unidad de la empresa de Transportes Gabisho (movilidad del personal) impacta contra la parte derecha de la unidad de transporte publico de placa de AMS-896, la cual realizó un giro intempestivo en la intersección de la avenida mientras el semáforo se encontraba en rojo. Producto del evento se registraron daños personales a 3 trabajadores, los cuales fueron evacuados para recibir atención médica."/>
    <s v="Golpeado contra"/>
    <s v="Torax"/>
    <s v="Mano/Muñeca/Dedos"/>
    <s v="Uso de movilidad"/>
    <s v="Traumatismo de torax"/>
    <s v="Contusión/Trauma"/>
    <n v="9"/>
    <n v="0"/>
    <n v="9"/>
    <s v="DM"/>
    <m/>
    <m/>
    <s v="Vehiculo"/>
    <s v="CONTRATO TEMPORAL"/>
    <s v="Acc. Incapacitante"/>
    <n v="0"/>
    <s v="NO"/>
  </r>
  <r>
    <n v="154"/>
    <s v="-"/>
    <s v="PERÚ"/>
    <s v="INTRADEVCO_INDUSTRIAL_SA"/>
    <s v="LURIN"/>
    <x v="5"/>
    <s v="Lurin 6"/>
    <s v="Planeamiento/Almacenes"/>
    <x v="75"/>
    <x v="1"/>
    <s v="Acc. Incapacitante"/>
    <d v="2024-07-31T00:00:00"/>
    <n v="31"/>
    <n v="31"/>
    <x v="7"/>
    <n v="2024"/>
    <d v="1899-12-30T07:30:00"/>
    <s v="D"/>
    <x v="0"/>
    <x v="14"/>
    <s v="CHAVEZ"/>
    <s v=" LIVIA"/>
    <s v="CESAR IVAN"/>
    <s v="MASCULINO"/>
    <n v="33"/>
    <s v="BALANCERO"/>
    <d v="2022-02-15T00:00:00"/>
    <s v="Mientras se transportaba a un grupo de trabajadores a la salida del turno de amanecida, desde la sede Lurín hacia el Norte, a la altura del paradero 08 (Av. Gálvez y Av. Lima) Zarumilla, la unidad de la empresa de Transportes Gabisho (movilidad del personal) impacta contra la parte derecha de la unidad de transporte publico de placa de AMS-896, la cual realizó un giro intempestivo en la intersección de la avenida mientras el semáforo se encontraba en rojo. Producto del evento se registraron daños personales a 3 trabajadores, los cuales fueron evacuados para recibir atención médica."/>
    <s v="Golpeado contra"/>
    <s v="Pierna derecha"/>
    <s v="Mano/Muñeca/Dedos"/>
    <s v="Uso de movilidad"/>
    <s v="Contusion en pierna derecha"/>
    <s v="Contusión/Trauma"/>
    <n v="5"/>
    <n v="0"/>
    <n v="5"/>
    <s v="DM"/>
    <m/>
    <s v="&lt; 1 a 5 años"/>
    <s v="Vehiculo"/>
    <s v="CONTRATO INDEFINIDO"/>
    <s v="Acc. Incapacitante"/>
    <n v="0"/>
    <s v="NO"/>
  </r>
  <r>
    <n v="155"/>
    <s v="-"/>
    <s v="PERÚ"/>
    <s v="ALICORP_SAA"/>
    <s v="SIDSUR"/>
    <x v="12"/>
    <s v="SIDSUR"/>
    <s v="Producción"/>
    <x v="76"/>
    <x v="0"/>
    <s v="Acc. No Incapacitante"/>
    <d v="2024-07-30T00:00:00"/>
    <n v="31"/>
    <n v="30"/>
    <x v="7"/>
    <n v="2024"/>
    <d v="1899-12-30T07:15:00"/>
    <s v="D"/>
    <x v="4"/>
    <x v="6"/>
    <s v="COAGUILA"/>
    <s v="COAGUILA"/>
    <s v="LOYOLA LOURDES"/>
    <s v="FEMENINO"/>
    <n v="42"/>
    <s v="OPERARIO DE LIMPIEZA"/>
    <s v="-"/>
    <s v="Colaboradora se encontraba realizando la limpieza de un puerta  de cristal con marco de metal de las oficinas de la planta de galleteria ubicada en el segundo piso de la planta, realizaba la limpieza con un trapo y tenia puesto guantes quirurgico; momento en que pasa la mano por una parte de vidrio roto sin percatarse de la condición sufre una corte superficial. Posteriormente es trasladada al tópico para recibir atención. "/>
    <s v="Contacto con superficie filosa"/>
    <s v="Dedo"/>
    <s v="Mano/Muñeca/Dedos"/>
    <s v="Limpieza "/>
    <s v="Corte superficial"/>
    <s v="Corte/Herida"/>
    <n v="0"/>
    <n v="0"/>
    <n v="0"/>
    <s v="Trabajando"/>
    <n v="9"/>
    <s v="&lt; 0.5 a 1 año"/>
    <s v="Vidrio roto"/>
    <m/>
    <s v="Acc. No Incapacitante"/>
    <n v="0"/>
    <m/>
  </r>
  <r>
    <n v="156"/>
    <s v="-"/>
    <s v="PERÚ"/>
    <s v="MASTERBREAD"/>
    <s v="Sicaya"/>
    <x v="10"/>
    <s v="Teal Sicaya"/>
    <s v="Producción"/>
    <x v="77"/>
    <x v="0"/>
    <s v="Acc. No Incapacitante"/>
    <d v="2024-08-02T00:00:00"/>
    <n v="31"/>
    <n v="2"/>
    <x v="5"/>
    <n v="2024"/>
    <d v="1899-12-30T14:25:00"/>
    <s v="D"/>
    <x v="0"/>
    <x v="18"/>
    <s v="BRAVO"/>
    <s v="CHUCARI"/>
    <s v="GERARDO JOSE"/>
    <s v="MASCULINO"/>
    <n v="19"/>
    <s v="OPERARIO DE PRODUCCION"/>
    <d v="2024-07-02T00:00:00"/>
    <s v="En circunstancias en que el Sr. Bravo Chucari Gerardo se encontraba cortando los zunchos de paquetes de los bloques de cajas de cartón para habilitar el armado de los mismo, hace una mala maniobra y sufre un corte superficial en el pulpejo del dedo medio de la mano derecha generando un pequeño sangrado, al instante es abordado por el supervisor de producción brindándole los primeros auxilios. Cabe precisar que el trabajador no utilizo sus guantes de protección asignado al puesto. "/>
    <s v="Contacto con superficie filosa"/>
    <s v="Dedo medio de la mano derecha"/>
    <s v="Mano/Muñeca/Dedos"/>
    <s v="Corte de zunchos del paquete de cajas de carton"/>
    <s v="Herida cortante"/>
    <s v="Corte/Herida"/>
    <n v="0"/>
    <n v="0"/>
    <n v="0"/>
    <s v="Trabajando"/>
    <n v="1"/>
    <s v="&lt; 1 a 3 meses"/>
    <s v="Cuchilla retractil estandar"/>
    <s v="CONTRATO TEMPORAL"/>
    <s v="Acc. No Incapacitante"/>
    <n v="0"/>
    <m/>
  </r>
  <r>
    <n v="157"/>
    <s v="-"/>
    <s v="PERÚ"/>
    <s v="MASTERBREAD"/>
    <s v="Sicaya"/>
    <x v="10"/>
    <s v="Teal Sicaya"/>
    <s v="Producción"/>
    <x v="77"/>
    <x v="0"/>
    <s v="Acc. No Incapacitante"/>
    <d v="2024-08-07T00:00:00"/>
    <n v="32"/>
    <n v="7"/>
    <x v="5"/>
    <n v="2024"/>
    <d v="1899-12-30T03:50:00"/>
    <s v="N"/>
    <x v="0"/>
    <x v="18"/>
    <s v="VASQUEZ"/>
    <s v="DE JESUS"/>
    <s v="DEYVIS"/>
    <s v="MASCULINO"/>
    <n v="26"/>
    <s v="OPERARIO DE PRODUCCION"/>
    <d v="2024-07-02T00:00:00"/>
    <s v="En circunstancias en que el Sr. Vasquez de Jesus Deivys se desplazaba a otra área en la zona de amasado de Panetones, sufrió un golpe en la ceja izquierda al impactar accidentalmente con la máquina amasadora inoperativa PEERLES 1. Este incidente provocó una pequeña lesión con sangrado activo. Inmediatamente fue asistido por el Supervisor de turno, quien le brindó los primeros auxilios y lo trasladó al tópico. Inmediatamente se llamo al servicio de ambulancia HelpMed para su evaluacion y curación respectiva"/>
    <s v="Golpeado contra"/>
    <s v="Ceja izquierda"/>
    <s v="Rostro/Nariz/Boca"/>
    <s v="Transito peatonal"/>
    <s v="Contusión"/>
    <s v="Contusión/Trauma"/>
    <n v="0"/>
    <n v="0"/>
    <n v="0"/>
    <s v="Trabajando"/>
    <n v="12"/>
    <s v="&lt; 0.5 a 1 año"/>
    <s v="Superficie de maquina"/>
    <s v="CONTRATO TEMPORAL"/>
    <s v="Acc. No Incapacitante"/>
    <n v="0"/>
    <m/>
  </r>
  <r>
    <n v="158"/>
    <s v="-"/>
    <s v="PERÚ"/>
    <s v="ALICORP_SAA"/>
    <s v="MCA"/>
    <x v="11"/>
    <s v="MCA"/>
    <s v="Producción"/>
    <x v="40"/>
    <x v="0"/>
    <s v="Acc. No Incapacitante"/>
    <d v="2024-08-13T00:00:00"/>
    <n v="33"/>
    <n v="13"/>
    <x v="5"/>
    <n v="2024"/>
    <d v="1899-12-30T00:49:00"/>
    <s v="N"/>
    <x v="0"/>
    <x v="30"/>
    <s v="MARCELO"/>
    <s v="CRUZ"/>
    <s v="JAIRO"/>
    <s v="MASCULINO"/>
    <s v="-"/>
    <s v="OPERADOR DE PLANTA"/>
    <d v="2024-08-14T00:00:00"/>
    <s v="Al presentarse falla en la maquina cosedora de línea 2 de embolsado, se solicita el soporte del mecánico de turno para su revisión de la maquina cocedora al revisar el mecánico indica cambiar la maquina cocedora, luego se dirige al taller de mantenimiento para traer otra cosedora para su cambio de la cosedora que se encontraba en falla, para desmontar la cocedora de la línea, solicita apoyo a los operadores de línea, con el apoyo del operador de planta Jairo Marcelo levantan la cocedora y al realizar el traslado hacia la mesa, el operador de planta se golpea la mano con el filo de la mesa y el peso de la cosedora._x000a_Inmediatamente fue asistido por el Ing. de turno, quien llamo al servicio de ambulancia Alerta Medica para su evaluación y atención respectiva. "/>
    <s v="Atrapado por"/>
    <s v="Dedo"/>
    <s v="Mano/Muñeca/Dedos"/>
    <s v="Desmontaje cosedora"/>
    <s v="Contusión"/>
    <s v="Contusión/Trauma"/>
    <n v="0"/>
    <n v="0"/>
    <n v="0"/>
    <s v="Trabajando"/>
    <n v="3"/>
    <s v="&lt; 1 a 5 años"/>
    <s v="Cosedora"/>
    <s v="CONTRATO INDEFINIDO"/>
    <s v="Acc. No Incapacitante"/>
    <n v="0"/>
    <m/>
  </r>
  <r>
    <n v="159"/>
    <s v="-"/>
    <s v="PERÚ"/>
    <s v="ALICORP_SAA"/>
    <s v="CENTRAL"/>
    <x v="0"/>
    <s v="GALLETERA &amp; INSTANTÁNEOS"/>
    <s v="Producción"/>
    <x v="40"/>
    <x v="0"/>
    <s v="Acc. No Incapacitante"/>
    <d v="2024-08-16T00:00:00"/>
    <n v="33"/>
    <n v="16"/>
    <x v="5"/>
    <n v="2024"/>
    <d v="1899-12-30T21:45:00"/>
    <s v="D"/>
    <x v="0"/>
    <x v="30"/>
    <s v="SAENZ"/>
    <s v="MINAYA"/>
    <s v="VICTOR RAUL"/>
    <s v="MASCULINO"/>
    <s v="-"/>
    <s v="Operador Volante"/>
    <s v="-"/>
    <s v="Siendo las 21:35, el operador se encontraba alimentando la envasadora secundaria C7 de la línea 1, de repente; se produce un atasco de paquetes en la plancha de recepción hacia la pack en mención, el operador por tratar de sacar dicho paquete, hace contacto con la plancha filosa y se corta  el pulgar derecho"/>
    <s v="Contacto con superficie filosa"/>
    <s v="Dedo"/>
    <s v="Mano/Muñeca/Dedos"/>
    <s v="Acomodo de Galletas"/>
    <s v="Corte"/>
    <s v="Corte/Herida"/>
    <n v="0"/>
    <n v="0"/>
    <n v="0"/>
    <s v="Laborando"/>
    <n v="178"/>
    <s v="&gt; 10 años"/>
    <s v="Superficie Filosa"/>
    <s v="CONTRATO INDEFINIDO"/>
    <s v="Acc. No Incapacitante"/>
    <n v="0"/>
    <m/>
  </r>
  <r>
    <n v="160"/>
    <s v="-"/>
    <s v="PERÚ"/>
    <s v="VITAPRO"/>
    <s v="Trujillo"/>
    <x v="7"/>
    <s v="TRUJILLO"/>
    <s v="Producción"/>
    <x v="78"/>
    <x v="1"/>
    <s v="Acc. Incapacitante"/>
    <d v="2024-04-10T00:00:00"/>
    <n v="15"/>
    <n v="10"/>
    <x v="3"/>
    <n v="2024"/>
    <d v="1899-12-30T04:15:00"/>
    <s v="C"/>
    <x v="0"/>
    <x v="10"/>
    <s v="-"/>
    <s v="-"/>
    <s v="-"/>
    <s v="MASCULINO"/>
    <n v="56"/>
    <s v="AUXLIAR DE PRODUCCIÓN"/>
    <s v="-"/>
    <s v="Siendo aproximadamente las 4:05 am el auxiliar de producción manifiesta que se produjo un obstrucción de materia prima en el ducto/esclusa del tolvin en el 5to nivel de L13 circunstancias en las que, procede a desmontar la tubería que conecta con la esclusa, luego se retira los guantes de protección de la mano derecha para verificar el paso del flujo de aire y ausencia de producto con equipo encendido, lo que ocasiona contacto del dedo índice derecho con las aspas de la esclusa._x000a_El colaborador es trasladado inmediatamente al servicio médico de turno , se evalúa al trabajador y es trasladado a la clínica para su tratamiento."/>
    <s v="Sobreesfuerzo"/>
    <s v="-"/>
    <s v="Mano/Muñeca/Dedos"/>
    <s v="-"/>
    <m/>
    <m/>
    <m/>
    <m/>
    <n v="60"/>
    <m/>
    <m/>
    <m/>
    <m/>
    <m/>
    <s v="Acc. Incapacitante"/>
    <n v="0"/>
    <s v="SI"/>
  </r>
  <r>
    <n v="161"/>
    <s v="-"/>
    <s v="PERÚ"/>
    <s v="ALICORP_SAA"/>
    <s v="SIDSUR"/>
    <x v="12"/>
    <s v="SIDSUR"/>
    <s v="Producción"/>
    <x v="79"/>
    <x v="0"/>
    <s v="Acc. No Incapacitante"/>
    <d v="2024-08-05T00:00:00"/>
    <n v="32"/>
    <n v="5"/>
    <x v="5"/>
    <n v="2024"/>
    <d v="1899-12-30T10:00:00"/>
    <s v="D"/>
    <x v="0"/>
    <x v="30"/>
    <s v="JARA"/>
    <s v="QUISPE"/>
    <s v="ELVIS FELIX"/>
    <s v="MASCULINO"/>
    <s v="-"/>
    <s v="MAQUINISTA ENVASADORA"/>
    <d v="2002-05-27T00:00:00"/>
    <s v="Colaborador menciona que se encontraba realizando actividad de cortado de galletas, actividad que realizaba sentado en una silla, indica que mientras ejecutaba la actividad la silla se inclina hacia la izquierda y cae al piso golpeadose la cadera, inmediatamente se pone de pie y evidencia que la silla tenia las patas dañadas. Posterioremnte es trasladado al tópico para ser atendido"/>
    <s v="Caída al mismo nivel"/>
    <s v="Cadera"/>
    <s v="Mano/Muñeca/Dedos"/>
    <s v="Cortado de galletas"/>
    <s v="Contusión"/>
    <s v="Contusión/Trauma"/>
    <n v="0"/>
    <n v="0"/>
    <m/>
    <s v="Trabajando"/>
    <m/>
    <m/>
    <m/>
    <m/>
    <s v="Acc. No Incapacitante"/>
    <n v="0"/>
    <m/>
  </r>
  <r>
    <n v="162"/>
    <s v="-"/>
    <s v="PERÚ"/>
    <s v="ALICORP_SAA"/>
    <s v="PREDIO CENTRAL"/>
    <x v="6"/>
    <s v="Comedor Copsa"/>
    <s v="Relaciones Laborales"/>
    <x v="80"/>
    <x v="1"/>
    <s v="Acc. Incapacitante"/>
    <d v="2024-08-14T00:00:00"/>
    <n v="33"/>
    <n v="14"/>
    <x v="5"/>
    <n v="2024"/>
    <d v="1899-12-30T14:30:00"/>
    <s v="T"/>
    <x v="5"/>
    <x v="34"/>
    <s v="Reynoso"/>
    <s v="Ipanaque"/>
    <s v="Valentin Bryan"/>
    <s v="MASCULINO"/>
    <s v="-"/>
    <s v="Ayudante de cocina"/>
    <d v="2024-08-12T00:00:00"/>
    <s v="El accidente sucedió aproximadamente las 14:30 p.m. momento en el que Valentin Bryan Reynoso Ypanaque, colaborador del concesionario se encontraba cortando verduras, y es cuando sufre el corte en el dedo medio de la mano derecha, ocasionándole un sangrado de regular cantidad, por ello es trasladado al tópico en donde le realizan la curación de la herida, luego en compañía de la supervisora de calidad de su empleador, es trasladado a la Clínica San Gabriel"/>
    <s v="Contacto con superficie filosa"/>
    <s v="dedo medio de mano derecha"/>
    <s v="Mano/Muñeca/Dedos"/>
    <s v="Corte de verduras"/>
    <s v="corte"/>
    <s v="Corte/Herida"/>
    <n v="8"/>
    <n v="0"/>
    <n v="8"/>
    <s v="Reasignado temporalmente a otras actividades"/>
    <m/>
    <s v="&lt; 1 mes"/>
    <s v="cuchillo de cocina"/>
    <s v="CONTRATO INDEFINIDO"/>
    <s v="Acc. Incapacitante"/>
    <n v="0"/>
    <s v="SI"/>
  </r>
  <r>
    <n v="163"/>
    <s v="DIS24484"/>
    <s v="PERÚ"/>
    <s v="ALICORP_SAA"/>
    <s v="PREDIO CENTRAL"/>
    <x v="6"/>
    <s v="Distribución"/>
    <s v="Distribución"/>
    <x v="81"/>
    <x v="0"/>
    <s v="Acc. No Incapacitante"/>
    <d v="2024-08-16T00:00:00"/>
    <n v="33"/>
    <n v="16"/>
    <x v="5"/>
    <n v="2024"/>
    <d v="1899-12-30T10:30:00"/>
    <s v="D"/>
    <x v="4"/>
    <x v="35"/>
    <s v="VELIZ"/>
    <s v="VELASQUEZ"/>
    <s v="YARAHI"/>
    <s v="FEMENINO"/>
    <n v="41"/>
    <s v="PDR"/>
    <d v="2024-02-01T00:00:00"/>
    <s v="Durante las labores de supervisión de las actividades del equipo de trabajo en la limpieza de pallets, la PDR sufre un accidente al apoyar la mano sobre una paleta, una pequeña astilla se incrustó en el dedo índice. En ese momento, se estaban utilizando guantes industriales de hilo con palma de látex, multipropósito, con el objetivo de recoger unos cartones del suelo. Tras varios intentos fallidos de retirar la astilla por cuenta propia, acudió al tópico de Alicorp para proceder con la extracción de la misma."/>
    <s v="Contacto con superficie filosa"/>
    <s v="Dedo índice derecho"/>
    <s v="Mano/Muñeca/Dedos"/>
    <s v="Supervisión"/>
    <s v="Cuerpo extraño en tejido blando"/>
    <s v="Corte/Herida"/>
    <n v="0"/>
    <n v="0"/>
    <n v="0"/>
    <s v="Trabajando"/>
    <n v="6"/>
    <s v="&lt; 3 a 6 meses"/>
    <s v="Paleta"/>
    <s v="CONTRATO TEMPORAL"/>
    <s v="Acc. No Incapacitante"/>
    <n v="0"/>
    <s v="NO"/>
  </r>
  <r>
    <n v="164"/>
    <s v="-"/>
    <s v="PERÚ"/>
    <s v="ALICORP_SAA"/>
    <s v="Miraflores"/>
    <x v="6"/>
    <s v="Miraflores"/>
    <s v="Administración"/>
    <x v="82"/>
    <x v="0"/>
    <s v="Acc. No Incapacitante"/>
    <d v="2024-08-20T00:00:00"/>
    <n v="34"/>
    <n v="20"/>
    <x v="5"/>
    <n v="2024"/>
    <d v="1899-12-30T14:20:00"/>
    <s v="T"/>
    <x v="4"/>
    <x v="36"/>
    <s v="Martinez"/>
    <s v="Ñaupari"/>
    <s v="Xiomara"/>
    <s v="FEMENINO"/>
    <n v="18"/>
    <s v="Operario de limpieza"/>
    <d v="2024-04-17T00:00:00"/>
    <s v="COLABORADORA REFIERE QUE LAVANDO LOS UTENSILIOS DE COCINA, ACCIDENTALMENTE SE ROMPIO UN VASO, ORIGINANDO UNA PEQUEÑA HERIDA EN EL DEDO DE LA MANO IZQUIERDA. SE REALIZO LA CURACION RESPECTIVA."/>
    <s v="Contacto con superficie filosa"/>
    <s v="dedo de mano izquierda"/>
    <s v="Mano/Muñeca/Dedos"/>
    <s v="Lavado de vaso"/>
    <s v="herida de dedo de mano izquierda"/>
    <s v="Corte/Herida"/>
    <n v="0"/>
    <n v="0"/>
    <n v="0"/>
    <s v="Trabajando"/>
    <n v="4"/>
    <s v="&lt; 3 a 6 meses"/>
    <s v="vaso"/>
    <s v="determinado"/>
    <s v="Acc. No Incapacitante"/>
    <n v="0"/>
    <m/>
  </r>
  <r>
    <n v="165"/>
    <s v="-"/>
    <s v="PERÚ"/>
    <s v="ALICORP_SAA"/>
    <s v="Miraflores"/>
    <x v="6"/>
    <s v="Miraflores"/>
    <s v="Administración"/>
    <x v="82"/>
    <x v="1"/>
    <s v="Acc. Incapacitante"/>
    <d v="2024-08-21T00:00:00"/>
    <n v="34"/>
    <n v="21"/>
    <x v="5"/>
    <n v="2024"/>
    <d v="1899-12-30T12:20:00"/>
    <s v="D"/>
    <x v="0"/>
    <x v="3"/>
    <s v="Crisostomo"/>
    <s v="Barrios"/>
    <s v="Adian"/>
    <s v="MASCULINO"/>
    <n v="40"/>
    <s v="GERENTE SR DE CATEGORIA"/>
    <d v="2012-05-08T00:00:00"/>
    <s v="REFIERE QUE ESTABA CAMINANDO CON EL CELULAR EN LA MANO ATENDIENDO LOS MENSAJES, NO SE PERCATÓ DE LA ESTRUCTURA METALICA DE LA ESCALERA Y SE GOLPEO LA CABEZA. SE APLICO HIELO EN LA ZONA AFECTADA Y SE DIO TRATAMIENTO ANALGESICO VIA ORAL. SE DIO LA RECOMENDACION DE PERSISTIR CEFALEA O PRESENTAR ALGUNA SINTOMATOLOGIA ADICIONAL ACUDIR A SU ESTABLECIMIENTO DE SALUD. SE REALIZA SEGUIMIENTO DESPUES DE UNA HORA, REFIERE QUE SE ENCUENTRA EN UNA REUNION. LUEGO DE ELLO ACUDE A LA CLINICA SANNA DE SAN BORJA. INDICA QUE LE DIERON UNA ORDEN PARA PLACA DE RX Y SE ENCUENTRA CON TRATAMIENTO INTRAMUSCULAR."/>
    <s v="Golpeado contra"/>
    <s v="cabeza"/>
    <s v="Cabeza"/>
    <s v="Desplazamineto por oficina"/>
    <s v="Traumatismo superficial de la cabeza"/>
    <s v="Contusión/Trauma"/>
    <n v="8"/>
    <n v="0"/>
    <n v="8"/>
    <m/>
    <n v="144"/>
    <s v="&gt; 10 años"/>
    <s v="Escalera"/>
    <s v="CONTRATO INDEFINIDO"/>
    <s v="Acc. Incapacitante"/>
    <n v="0"/>
    <s v="SI"/>
  </r>
  <r>
    <n v="166"/>
    <s v="-"/>
    <s v="PERÚ"/>
    <s v="ALICORP_SAA"/>
    <s v="Miraflores"/>
    <x v="6"/>
    <s v="Miraflores"/>
    <s v="Administración"/>
    <x v="82"/>
    <x v="0"/>
    <s v="Acc. No Incapacitante"/>
    <d v="2024-08-21T00:00:00"/>
    <n v="34"/>
    <n v="21"/>
    <x v="5"/>
    <n v="2024"/>
    <d v="1899-12-30T10:25:00"/>
    <s v="D"/>
    <x v="0"/>
    <x v="0"/>
    <s v="Delgadillo"/>
    <s v="Chau"/>
    <s v="Yury"/>
    <s v="FEMENINO"/>
    <n v="34"/>
    <s v="COORDINADOR DE DESARROLLO CONSULTIVO DE CLIENTE"/>
    <d v="2021-02-15T00:00:00"/>
    <s v="REFIERE QUE SE ENCONTRABA PREPARANDO UNA INFUSION Y AL INTENTAR TOMAR LA HERVIDORA PARA LLENAR LA TAZA DE AGUA SALPICO EN EL DEDO PULGAR DE LA MANO IZQUIERDA, EL AGUA HIRVIENDO OCASIONANDO UNA QUEMADURA DE PRIMER GRADO; QUE SE PUDO CONTROLAR CON AGUA A CHORRO Y CURACION. SE INDICO REEVALUACION DENTRO DE UNA HORA, LA EVOLUCION FUE FAVORABLE. SE DIO INDICACIONES Y REGRESO A SUS LABORES."/>
    <s v="Contacto con Superficie Caliente"/>
    <s v="Dedo pulgar y muñeca de Mano izquierda"/>
    <s v="Mano/Muñeca/Dedos"/>
    <s v="uso de kitchenette"/>
    <s v="Quemadura de primer grado"/>
    <s v="Quemadura por Temperatura"/>
    <n v="0"/>
    <m/>
    <n v="0"/>
    <s v="Trabajando"/>
    <n v="36"/>
    <s v="&lt; 1 a 5 años"/>
    <s v="hervidor"/>
    <s v="CONTRATO INDEFINIDO"/>
    <s v="Acc. No Incapacitante"/>
    <n v="0"/>
    <m/>
  </r>
  <r>
    <n v="167"/>
    <s v="-"/>
    <s v="PERÚ"/>
    <s v="ALICORP_SAA"/>
    <s v="CENTRAL"/>
    <x v="0"/>
    <s v="GALLETERA &amp; INSTANTÁNEOS"/>
    <s v="Producción"/>
    <x v="83"/>
    <x v="0"/>
    <s v="Acc. No Incapacitante"/>
    <d v="2024-08-24T00:00:00"/>
    <n v="34"/>
    <n v="24"/>
    <x v="5"/>
    <n v="2024"/>
    <d v="1899-12-30T08:45:00"/>
    <s v="D"/>
    <x v="0"/>
    <x v="30"/>
    <s v="LOSTAUNAU"/>
    <s v="ARANA"/>
    <s v="FREDY"/>
    <s v="MASCULINO"/>
    <s v="-"/>
    <s v="Operador de máquina envasadora"/>
    <s v="-"/>
    <s v="El colaborador estuvo regulando la plancha de ordena los paquetes a la salida de la envasadora C3, en ese momento el extremo de la llave queda atrapada con una de las tablillas, el operador al percibir el atrapamiento jala la llave y su dedo meñique sufre una contusión con una de las tablillas."/>
    <s v="Atrapado por Partes en Movimiento"/>
    <s v="Dedo meñique mano derecha"/>
    <s v="Mano/Muñeca/Dedos"/>
    <s v="Regulando plancha"/>
    <s v="Contusión"/>
    <s v="Contusión/Trauma"/>
    <n v="0"/>
    <m/>
    <n v="0"/>
    <s v="Laborando"/>
    <n v="168"/>
    <s v="&gt; 10 años"/>
    <s v="Tablillas"/>
    <s v="CONTRATO INDEFINIDO"/>
    <s v="Acc. No Incapacitante"/>
    <n v="0"/>
    <m/>
  </r>
  <r>
    <n v="168"/>
    <s v="-"/>
    <s v="PERÚ"/>
    <s v="ALICORP_SAA"/>
    <s v="PREDIO CENTRAL"/>
    <x v="13"/>
    <s v="Fideeria Lima"/>
    <s v="Producción"/>
    <x v="84"/>
    <x v="1"/>
    <s v="Acc. Incapacitante"/>
    <d v="2024-08-25T00:00:00"/>
    <n v="34"/>
    <n v="25"/>
    <x v="5"/>
    <n v="2024"/>
    <d v="1899-12-30T06:10:00"/>
    <s v="N"/>
    <x v="0"/>
    <x v="3"/>
    <s v="QUISPE"/>
    <s v="ALVA"/>
    <s v="JHONATAN"/>
    <s v="MASCULINO"/>
    <s v="-"/>
    <s v="Operador de Envasado"/>
    <s v="-"/>
    <s v="El accidente sucedió aproximadamente a las 06:10 a.m. momento en el que Jhonatan Quispe Alva, operador de envasado de la línea 28 de pasta larga se encontraba realizando la actividad de cambio de bobina, y es cuando al momento de colocar la bobina (20 Kg aprox) en el eje, no calcula bien y se le resbala la bobina, golpeándole la palma de la mano y muñeca contra la mesa. El colaborador es trasladado al tópico donde le revisan la mano y deciden trasladarlo a la Clínica San Gabriel en compañía del coordinador. Posteriormente le otorgan descanso médico hasta el 27/08/24"/>
    <s v="Golpeado por"/>
    <s v="Mano muñeca izquierda"/>
    <s v="Mano/Muñeca/Dedos"/>
    <s v="Cambio de bobinas"/>
    <s v="Contusión"/>
    <s v="Contusión/Trauma"/>
    <n v="60"/>
    <n v="0"/>
    <n v="60"/>
    <m/>
    <m/>
    <m/>
    <m/>
    <s v="CONTRATO INDEFINIDO"/>
    <s v="Acc. Incapacitante"/>
    <n v="0"/>
    <s v="SI"/>
  </r>
  <r>
    <n v="169"/>
    <s v="-"/>
    <s v="PERÚ"/>
    <s v="ALICORP_SAA"/>
    <s v="PREDIO CENTRAL"/>
    <x v="6"/>
    <s v="COPSA"/>
    <s v="Proyectos"/>
    <x v="85"/>
    <x v="1"/>
    <s v="Acc. Incapacitante"/>
    <d v="2024-08-02T00:00:00"/>
    <n v="31"/>
    <n v="2"/>
    <x v="5"/>
    <n v="2024"/>
    <d v="1899-12-30T14:00:00"/>
    <s v="D"/>
    <x v="2"/>
    <x v="37"/>
    <s v="ROSALES"/>
    <s v="MENDOZA"/>
    <s v="RAFAEL"/>
    <s v="FEMENINO"/>
    <n v="45"/>
    <s v="Soldador"/>
    <d v="2018-08-02T00:00:00"/>
    <s v="El 02 de agosto a las 14:00 horas aprox. La empresa RYCH se encontraba realizando el desmontaje y desguace de una porción del puente a nivel del piso. En ese instante el trabajador RAFAEL FERMIN ROSALES MENDOZA (Soldador) se encontraba cortando dicha estructura a una altura de 1.85m. Luego de culminada la actividad, se dispone a bajar por la escalera y al apoyarse en la rejilla (grating) esta no se encontraba fija; por lo cual hace que pierda el equilibrio y caiga."/>
    <s v="Caída a distinto nivel"/>
    <s v="Torax parte izquierda"/>
    <s v="Abdomen/Torso"/>
    <s v="corte de estructuras"/>
    <s v="contusión"/>
    <s v="Contusión/Trauma"/>
    <n v="10"/>
    <n v="0"/>
    <n v="10"/>
    <s v="Trabajando"/>
    <n v="168"/>
    <s v="&lt; 5 a 10 años"/>
    <s v="grating suelto"/>
    <s v="CONTRATO INDEFINIDO"/>
    <s v="Acc. Incapacitante"/>
    <n v="0"/>
    <s v="SI"/>
  </r>
  <r>
    <n v="170"/>
    <s v="-"/>
    <s v="PERÚ"/>
    <s v="INTRADEVCO_INDUSTRIAL_SA"/>
    <s v="LURIN"/>
    <x v="5"/>
    <s v="Lurin 4_Detergente"/>
    <s v="Producción"/>
    <x v="28"/>
    <x v="0"/>
    <s v="Acc. No Incapacitante"/>
    <d v="2024-08-07T00:00:00"/>
    <n v="32"/>
    <n v="7"/>
    <x v="5"/>
    <n v="2024"/>
    <d v="1899-12-30T11:40:00"/>
    <s v="D"/>
    <x v="3"/>
    <x v="5"/>
    <s v="YUMBATO"/>
    <s v="PACAYA"/>
    <s v="ALEXIS EGLINTON "/>
    <s v="MASCULINO"/>
    <s v="-"/>
    <s v="OPERARIO DE PRODUCCIÓN"/>
    <s v="-"/>
    <s v="El colaborador Yumbato Pacaya Alexis se encontraba apilando en la línea 1, al momento de agarrar la bolsa solo la alza con una mano (derecha) debido a ello esta se le resbala y como consecuencia se impacta su muñeca derecha contra la guarda de la faja. "/>
    <s v="Golpeado contra"/>
    <s v="Mano derecha"/>
    <s v="Mano/Muñeca/Dedos"/>
    <s v="Manipulacion de sacos"/>
    <s v="Contusion en mano derecha"/>
    <s v="Contusión/Trauma"/>
    <n v="0"/>
    <n v="0"/>
    <n v="0"/>
    <s v="Trabajando"/>
    <m/>
    <m/>
    <s v="Guarda"/>
    <s v="CONTRATO TEMPORAL"/>
    <s v="Acc. No Incapacitante"/>
    <n v="0"/>
    <m/>
  </r>
  <r>
    <n v="171"/>
    <s v="-"/>
    <s v="PERÚ"/>
    <s v="INTRADEVCO_INDUSTRIAL_SA"/>
    <s v="LURIN"/>
    <x v="5"/>
    <s v="Lurin 4_Detergente"/>
    <s v="Producción"/>
    <x v="29"/>
    <x v="0"/>
    <s v="Acc. No Incapacitante"/>
    <d v="2024-08-20T00:00:00"/>
    <n v="34"/>
    <n v="20"/>
    <x v="5"/>
    <n v="2024"/>
    <d v="1899-12-30T14:40:00"/>
    <s v="D"/>
    <x v="3"/>
    <x v="5"/>
    <s v="NUÑEZ"/>
    <s v="AHUAMAN"/>
    <s v="PABLO GABRIEL"/>
    <s v="MASCULINO"/>
    <s v="-"/>
    <s v="OPERARIO DE PRODUCCIÓN"/>
    <s v="-"/>
    <s v="El colaborador Nuñez Ahuanari se encontraba haciendo limpieza en la parte interna de la batidora número 2 con la espátula, pero la introduce demás lo que provoca que choque contra el hélice edicodial y éste rebote hacia arriba haciendo que la mano con la que manipula la parte superior de la herramienta choque contra la guarda del motor y sufra un  aplastamiento en dedo pulgar de la mano izquierda._x000a_- La limpieza se realiza sólo en la parte superior de la olla, no es necesario introducir demasiado la espátula._x000a_- Esta actividad la realizan con la máquina encendida._x000a_Como dato adicional:_x000a_- Se recomienda implementar el uso de guantes antiimpacto para realizar ésta actividad y prevenir se vuelvan a dar futuros accidentes, ya que colaboradores mencionan que en ocasiones sucede que espátula choca contra hélice y se produce un rebote hacia arriba."/>
    <s v="Golpeado contra"/>
    <s v="Pulgar izquierdo"/>
    <s v="Mano/Muñeca/Dedos"/>
    <s v="Limpieza"/>
    <s v="Contusion en pulgar izquierdo"/>
    <s v="Contusión/Trauma"/>
    <n v="0"/>
    <n v="0"/>
    <n v="0"/>
    <s v="Trabajando"/>
    <m/>
    <m/>
    <s v="Tapa de batidora"/>
    <s v="CONTRATO TEMPORAL"/>
    <s v="Acc. No Incapacitante"/>
    <n v="0"/>
    <m/>
  </r>
  <r>
    <n v="172"/>
    <s v="-"/>
    <s v="PERÚ"/>
    <s v="INTRADEVCO_INDUSTRIAL_SA"/>
    <s v="LURIN"/>
    <x v="5"/>
    <s v="Lurin 4_Detergente"/>
    <s v="Producción"/>
    <x v="50"/>
    <x v="0"/>
    <s v="Acc. No Incapacitante"/>
    <d v="2024-08-20T00:00:00"/>
    <n v="34"/>
    <n v="20"/>
    <x v="5"/>
    <n v="2024"/>
    <d v="1899-12-30T19:00:00"/>
    <s v="N"/>
    <x v="3"/>
    <x v="5"/>
    <s v="TORRES"/>
    <s v="ORUE"/>
    <s v="JHONATHAN HANS "/>
    <s v="MASCULINO"/>
    <s v="-"/>
    <s v="OPERARIO DE PRODUCCIÓN"/>
    <s v="-"/>
    <s v="Colaborador Torres Orue Jhonatan estuvo bajando por las escaleras para poder retirarse ya que era término de turno. Al haber tránsito de compañeros no pisa bien uno de los peldaños generando caída hacia atrás y se golpea su brazo derecho con el filo del antideslizante._x000a_- Se realiza la consulta al colaborador y manifiesta que no hizo uso del pasamanos ya que &quot;se le olvidó&quot;_x000a_- Luminarias de escaleras no están en funcionamiento lo que dificulta la visibilidad"/>
    <s v="Caída al mismo nivel"/>
    <s v="Brazo derecho"/>
    <s v="Brazo/Codo/Hombro"/>
    <s v="Uso de escalera"/>
    <s v="Corte en brazo derecho"/>
    <s v="Corte/Herida"/>
    <n v="0"/>
    <n v="0"/>
    <n v="0"/>
    <s v="Trabajando"/>
    <m/>
    <m/>
    <s v="Escalera"/>
    <s v="CONTRATO TEMPORAL"/>
    <s v="Acc. No Incapacitante"/>
    <n v="0"/>
    <m/>
  </r>
  <r>
    <n v="173"/>
    <s v="-"/>
    <s v="PERÚ"/>
    <s v="INTRADEVCO_INDUSTRIAL_SA"/>
    <s v="LURIN"/>
    <x v="5"/>
    <s v="Lurin 4_Detergente"/>
    <s v="Producción"/>
    <x v="28"/>
    <x v="0"/>
    <s v="Acc. No Incapacitante"/>
    <d v="2024-08-22T00:00:00"/>
    <n v="34"/>
    <n v="22"/>
    <x v="5"/>
    <n v="2024"/>
    <d v="1899-12-30T08:45:00"/>
    <s v="D"/>
    <x v="3"/>
    <x v="5"/>
    <s v="SANCHEZ "/>
    <s v="GUTIERREZ "/>
    <s v="CARLOS YASER"/>
    <s v="MASCULINO"/>
    <s v="-"/>
    <s v="OPERARIO DE PRODUCCIÓN"/>
    <s v="-"/>
    <s v="El colaborador Sánchez Gutiérrez Carlos menciona el día de ayer  21/08/24 a las 3:00 pm se encontraba en la línea 1 apilando, mencióna que su compañero apilaba lento y los bolsones venían rápido fue entonces que se juntaron dos bolsones y al momento de alzar cruza sus brazos y su mano derecha el dedo del medio queda atrapado entre la faja y su soporte de inmediato saca su mano continúo laborando ya que no sentía dolor, no dió aviso y a las 6:30 pm le empezó doler el dedo del medio de su mano derecha  y no dió aviso a nadie, llego a su casa se puso hielo y tomo pastilla paracetamol. _x000a__x000a_- hoy se encontraba apilando en la línea 1 y recién da aviso del dolor que siente al momento de alzar el bolsón, su intensidad de dolor es 5/10."/>
    <s v="Atrapado por Partes en Movimiento"/>
    <s v="Dedo medio derecho"/>
    <s v="Mano/Muñeca/Dedos"/>
    <s v="Apilado de sacos"/>
    <s v="Contusion en dedo medio derecho"/>
    <s v="Contusión/Trauma"/>
    <n v="0"/>
    <n v="0"/>
    <n v="0"/>
    <s v="Trabajando"/>
    <m/>
    <m/>
    <s v="Faja"/>
    <s v="CONTRATO TEMPORAL"/>
    <s v="Acc. No Incapacitante"/>
    <n v="0"/>
    <m/>
  </r>
  <r>
    <n v="174"/>
    <s v="-"/>
    <s v="PERÚ"/>
    <s v="INTRADEVCO_INDUSTRIAL_SA"/>
    <s v="LURIN"/>
    <x v="5"/>
    <s v="Lurin 4_Detergente"/>
    <s v="Producción"/>
    <x v="29"/>
    <x v="0"/>
    <s v="Acc. No Incapacitante"/>
    <d v="2024-08-27T00:00:00"/>
    <n v="35"/>
    <n v="27"/>
    <x v="5"/>
    <n v="2024"/>
    <d v="1899-12-30T23:50:00"/>
    <s v="N"/>
    <x v="3"/>
    <x v="5"/>
    <s v="-"/>
    <s v="-"/>
    <s v="-"/>
    <s v="FEMENINO"/>
    <s v="-"/>
    <s v="OPERARIO DE PRODUCCIÓN"/>
    <s v="-"/>
    <s v="La colaboradora se encontraba realizando la actividad de recuperado de bolsitas, al ejercer presión para revisión una de éstas se encontraba abierta, es ahí cuando el detergente se  proyecta al rostro siendo afectado su ojo izquierdo._x000a_- Antes de la atención por tópico fue llevada al lavaojos por 15 minutos, a pesar de ello aún tenía la vista roja y sentía ardor._x000a_- Sus lentes de seguridad no los tenía bien colocados, la colaboradora refiere que tenerlos pegados al rostro ocasiona que éstos se le empañen a causa del respirador N95 que tenía colocado."/>
    <s v="Proyección de Material Particulado"/>
    <s v="Ojos"/>
    <s v="Ojos"/>
    <s v="Recuperado de merma"/>
    <s v="Cuerpo Extraño en Ojos"/>
    <s v="Cuerpo Extraño en Ojos"/>
    <n v="0"/>
    <n v="0"/>
    <n v="0"/>
    <s v="Trabajando"/>
    <m/>
    <m/>
    <s v="Particulas de detergente"/>
    <s v="CONTRATO TEMPORAL"/>
    <s v="Acc. No Incapacitante"/>
    <n v="0"/>
    <m/>
  </r>
  <r>
    <n v="175"/>
    <s v="-"/>
    <s v="PERÚ"/>
    <s v="INTRADEVCO_INDUSTRIAL_SA"/>
    <s v="LURIN"/>
    <x v="5"/>
    <s v="Lurin 4_Detergente"/>
    <s v="Producción"/>
    <x v="29"/>
    <x v="0"/>
    <s v="Acc. No Incapacitante"/>
    <d v="2024-08-28T00:00:00"/>
    <n v="35"/>
    <n v="28"/>
    <x v="5"/>
    <n v="2024"/>
    <d v="1899-12-30T06:30:00"/>
    <s v="D"/>
    <x v="3"/>
    <x v="5"/>
    <s v="PAREDES"/>
    <s v=" SALAZAR"/>
    <s v=" ERLITA MARIBEL"/>
    <s v="FEMENINO"/>
    <s v="-"/>
    <s v="OPERARIO DE PRODUCCIÓN"/>
    <s v="-"/>
    <s v="La colaboradora se encontraba en la línea 3 encajando, da un paso para pasar la caja por la encintadora pero se resbala dado que los pisadores estaban separados, ocasionando que se resbale y se doble el pie derecho."/>
    <s v="Caída al mismo nivel"/>
    <s v="Pie derecho"/>
    <s v="Pie/Tobillo"/>
    <s v="Encajado"/>
    <s v="Contusion en pie derecho"/>
    <s v="Contusión/Trauma"/>
    <n v="0"/>
    <n v="0"/>
    <n v="0"/>
    <s v="Trabajando"/>
    <m/>
    <m/>
    <s v="Reposapies"/>
    <s v="CONTRATO TEMPORAL"/>
    <s v="Acc. No Incapacitante"/>
    <n v="0"/>
    <m/>
  </r>
  <r>
    <n v="176"/>
    <s v="-"/>
    <s v="PERÚ"/>
    <s v="INTRADEVCO_INDUSTRIAL_SA"/>
    <s v="LURIN"/>
    <x v="5"/>
    <s v="Lurin 4_Detergente"/>
    <s v="Producción"/>
    <x v="28"/>
    <x v="0"/>
    <s v="Acc. No Incapacitante"/>
    <d v="2024-08-29T00:00:00"/>
    <n v="35"/>
    <n v="29"/>
    <x v="5"/>
    <n v="2024"/>
    <d v="1899-12-30T18:20:00"/>
    <s v="D"/>
    <x v="3"/>
    <x v="5"/>
    <s v="GARCIA"/>
    <s v=" MONRROY"/>
    <s v=" LUIS ALFREDO "/>
    <s v="MASCULINO"/>
    <s v="-"/>
    <s v="OPERARIO DE PRODUCCIÓN"/>
    <s v="-"/>
    <s v="El colaborador García Monrroy Luis  CA. se encontraba en la actividad de colocación de bolsas, al momento de colocar la bolsa al soporte metálico queda atrapado su mano izquierda con la contadora N°1, el colaborador menciona que sus lentes se encontraban empañados y es por eso que no se dió cuenta cuando giro la contadora N°1."/>
    <s v="Atrapado por Partes en Movimiento"/>
    <s v="Mano izquierda"/>
    <s v="Mano/Muñeca/Dedos"/>
    <s v="Embolsado de producto"/>
    <s v="Contusion en mano izquierda"/>
    <s v="Contusión/Trauma"/>
    <n v="0"/>
    <n v="0"/>
    <n v="0"/>
    <s v="Trabajando"/>
    <m/>
    <m/>
    <s v="Contador de bolsones"/>
    <s v="CONTRATO TEMPORAL"/>
    <s v="Acc. No Incapacitante"/>
    <n v="0"/>
    <m/>
  </r>
  <r>
    <n v="177"/>
    <s v="-"/>
    <s v="PERÚ"/>
    <s v="INTRADEVCO_INDUSTRIAL_SA"/>
    <s v="LURIN"/>
    <x v="5"/>
    <s v="Lurin 4_Detergente"/>
    <s v="Producción"/>
    <x v="28"/>
    <x v="0"/>
    <s v="Acc. No Incapacitante"/>
    <d v="2024-08-30T00:00:00"/>
    <n v="35"/>
    <n v="30"/>
    <x v="5"/>
    <n v="2024"/>
    <d v="1899-12-30T23:50:00"/>
    <s v="N"/>
    <x v="3"/>
    <x v="5"/>
    <s v="WONG"/>
    <s v=" CONDORI"/>
    <s v=" YULIANA"/>
    <s v="FEMENINO"/>
    <s v="-"/>
    <s v="OPERARIO DE PRODUCCIÓN"/>
    <s v="-"/>
    <s v="La colaboradora Wong Condori se encontraba realizando la actividad de recuperado de merma, al sacudir una de las bolsitas el Deterguente sale proyectado hacia el rostro, siendo afectado su ojo derecho._x000a_- Se hizo uso del lavaojos durante 10 minutos, pero malestar de ardor continuó."/>
    <s v="Proyección de Material Particulado"/>
    <s v="Ojos"/>
    <s v="Ojos"/>
    <s v="Recuperado de merma"/>
    <s v="Cuerpo Extraño en Ojos"/>
    <s v="Cuerpo Extraño en Ojos"/>
    <n v="0"/>
    <n v="0"/>
    <n v="0"/>
    <s v="Trabajando"/>
    <m/>
    <m/>
    <s v="Particulas de detergente"/>
    <s v="CONTRATO TEMPORAL"/>
    <s v="Acc. No Incapacitante"/>
    <n v="0"/>
    <m/>
  </r>
  <r>
    <n v="178"/>
    <s v="-"/>
    <s v="BOLIVIA"/>
    <s v="ALICORP_BOLIVIA"/>
    <m/>
    <x v="2"/>
    <s v="Planta Cochabamba"/>
    <s v="Producción"/>
    <x v="86"/>
    <x v="0"/>
    <s v="Acc. No Incapacitante"/>
    <d v="2024-08-14T00:00:00"/>
    <n v="33"/>
    <n v="14"/>
    <x v="5"/>
    <n v="2024"/>
    <d v="1899-12-30T04:00:00"/>
    <s v="N"/>
    <x v="0"/>
    <x v="30"/>
    <s v="Ramos"/>
    <s v="Yapiticona"/>
    <s v="David"/>
    <s v="MASCULINO"/>
    <n v="35"/>
    <s v="Recepcionista de manteca"/>
    <d v="2007-06-19T00:00:00"/>
    <s v="En fecha 14 de agosto a hrs. 04:00 am aprox. el trabajador David Ramos Yapiticona (Recepcionista) persona que se encontraba reemplazando al asistente de envasado; detuvieron la línea de envasado de Manteca (Tecmar) por derrame de producto en la cinta transportadora, motivo por el cual procedió a limpiar la cinta con un trapo (huaype), momento en el que sufre un corte en el dedo índice de la mano izquierda por contacto con superficie filosa (Resguardo de la cinta transportadora). Posteriormente es evacuado a la posta médica donde se realiza los primeros auxilios."/>
    <s v="Contacto con superficie filosa"/>
    <s v="Mano izquierda"/>
    <s v="Mano/Muñeca/Dedos"/>
    <s v="Limpieza de cinta de transporte"/>
    <s v="Herida cortante superficial, menor a 1 cm en el dedo índice de la mano izquierda"/>
    <s v="Corte/Herida"/>
    <n v="0"/>
    <n v="0"/>
    <n v="0"/>
    <s v="Trabajando"/>
    <n v="206"/>
    <s v="&gt; 10 años"/>
    <s v="Resguardo de cinta transportadora"/>
    <s v="CONTRATO INDEFINIDO"/>
    <s v="Acc. No Incapacitante"/>
    <n v="0"/>
    <m/>
  </r>
  <r>
    <n v="179"/>
    <s v="-"/>
    <s v="BOLIVIA"/>
    <s v="ALICORP_BOLIVIA"/>
    <m/>
    <x v="2"/>
    <s v="Planta Cochabamba"/>
    <s v="Producción"/>
    <x v="87"/>
    <x v="0"/>
    <s v="Acc. No Incapacitante"/>
    <d v="2024-08-21T00:00:00"/>
    <n v="34"/>
    <n v="21"/>
    <x v="5"/>
    <n v="2024"/>
    <d v="1899-12-30T09:45:00"/>
    <s v="M"/>
    <x v="0"/>
    <x v="0"/>
    <s v="Rivero"/>
    <s v="Torrez"/>
    <s v="Romina"/>
    <s v="FEMENINO"/>
    <n v="22"/>
    <s v="Practica de producción"/>
    <d v="2024-07-02T00:00:00"/>
    <s v="En fecha 21 de agosto a hrs 08:15 am aprox. la practicante de producción Romina Rivero Torrez, realizaba la toma de datos para el control de la dosificación de aditivos (wetcool 305) en las torres de Frio Raf en la Planta Frío. Para ello acompaño al responsable de la operación de dosificación Juan Carlos Galvez. Durante el bombeo del aditivo que se realizaba con una bomba de desplazamiento positivo, se rompe la unión patente de pvc, salpicando la sustancia de trabajo al rostro de la practicante quien se encontraba próximo al área de trabajo. Inmediatamente el operador procede a realizarle el lavado en la ducha de emergencia del área."/>
    <s v="Proyección de Sustancias Químicas"/>
    <s v="Rostro"/>
    <s v="Ojos"/>
    <s v="Registro de toma de datos"/>
    <s v="Conjuntivitis irritativa en los ojos por contacto con sustancia peligrosa"/>
    <s v="Cuerpo Extraño en Ojos"/>
    <n v="0"/>
    <n v="0"/>
    <n v="0"/>
    <s v="Realizando su práctica"/>
    <n v="2"/>
    <s v="&lt; 1 a 3 meses"/>
    <s v="Sistema de dosificación de aditivos (bomba de succión)"/>
    <s v="Practica universitaria"/>
    <s v="Acc. No Incapacitante"/>
    <n v="0"/>
    <m/>
  </r>
  <r>
    <n v="180"/>
    <s v="-"/>
    <s v="BOLIVIA"/>
    <s v="ALICORP_BOLIVIA"/>
    <m/>
    <x v="1"/>
    <s v="Planta Don Felipe"/>
    <s v="Producción"/>
    <x v="88"/>
    <x v="0"/>
    <s v="Acc. No Incapacitante"/>
    <d v="2024-08-30T00:00:00"/>
    <n v="35"/>
    <n v="30"/>
    <x v="5"/>
    <n v="2024"/>
    <d v="1899-12-30T09:45:00"/>
    <s v="M"/>
    <x v="0"/>
    <x v="0"/>
    <s v="Hervas"/>
    <s v="Veizaga"/>
    <s v="Boris"/>
    <s v="MASCULINO"/>
    <n v="44"/>
    <s v="Supervisor de producción"/>
    <d v="2015-08-17T00:00:00"/>
    <s v="Durante la rutina de supervision diaria el funcionario Boris Herbas, se encontraba desplazandose del sector de peletizado hacia el embolsado, en un momento se desestabiliza doblandose su pies izquierdo generandole una leve molestia. Inmediatamente retorna con una pequeña dificultad a las oficinas de ingenieria y comunica sobre el eventos, y se procede trasladarlo a la posta medica para su respectiva valoracion y atencion."/>
    <s v="Sobreesfuerzo"/>
    <s v="Tobillo izquierdo"/>
    <s v="Pie/Tobillo"/>
    <s v="Transito en vías peatonales"/>
    <s v="Esguince grado I"/>
    <s v="Esguince/Torcedura"/>
    <n v="0"/>
    <n v="0"/>
    <n v="0"/>
    <s v="Trabajando"/>
    <n v="114"/>
    <s v="&gt; 10 años"/>
    <s v="Piso con desnivel"/>
    <s v="CONTRATO INDEFINIDO"/>
    <s v="Acc. No Incapacitante"/>
    <n v="0"/>
    <m/>
  </r>
  <r>
    <n v="181"/>
    <s v="PCO24388"/>
    <s v="PERÚ"/>
    <s v="ALICORP_SAA"/>
    <s v="PREDIO CENTRAL"/>
    <x v="3"/>
    <s v="COPSA"/>
    <s v="Producción"/>
    <x v="68"/>
    <x v="0"/>
    <s v="Acc. No Incapacitante"/>
    <d v="2024-09-03T00:00:00"/>
    <n v="36"/>
    <n v="3"/>
    <x v="8"/>
    <n v="2024"/>
    <d v="1899-12-30T10:30:00"/>
    <s v="M"/>
    <x v="0"/>
    <x v="0"/>
    <s v="PINEDA"/>
    <s v="ARRIOLA"/>
    <s v="PEDRO GUILLERMO"/>
    <s v="MASCULINO"/>
    <n v="37"/>
    <s v="JEFE DE PRODUCCION ENVASADO ACEITES"/>
    <d v="2015-05-18T00:00:00"/>
    <s v="El colaborador se encontraba en el área de paletizado automático de envasado de aceites y al caminar no se percató de la estructura metálica de la zona de salida de paletas e impactó a la altura de la pantorrilla, generándose una excoriación superficial"/>
    <s v="Golpeado contra"/>
    <s v="Pierna"/>
    <s v="Pierna"/>
    <s v="Coordinación en planta"/>
    <s v="Contusión leve"/>
    <s v="Contusión/Trauma"/>
    <n v="0"/>
    <n v="0"/>
    <n v="0"/>
    <s v="Trabajando"/>
    <n v="111"/>
    <s v="&lt; 5 a 10 años"/>
    <s v="Estructura metálica de la zona de salida de paletas"/>
    <s v="CONTRATO INDEFINIDO"/>
    <s v="Acc. No Incapacitante"/>
    <n v="0"/>
    <m/>
  </r>
  <r>
    <n v="182"/>
    <s v="-"/>
    <s v="PERÚ"/>
    <s v="INTRADEVCO_INDUSTRIAL_SA"/>
    <s v="LURIN"/>
    <x v="5"/>
    <s v="CD1-CD2"/>
    <s v="Planeamiento/Almacenes"/>
    <x v="63"/>
    <x v="1"/>
    <s v="Acc. Incapacitante"/>
    <d v="2024-09-04T00:00:00"/>
    <n v="36"/>
    <n v="4"/>
    <x v="8"/>
    <n v="2024"/>
    <d v="1899-12-30T09:40:00"/>
    <s v="M"/>
    <x v="3"/>
    <x v="7"/>
    <s v="Zuñiga"/>
    <s v="Fernández"/>
    <s v="Kevin"/>
    <s v="MASCULINO"/>
    <n v="20"/>
    <s v="almacenero 2_x0009_"/>
    <s v="-"/>
    <s v="Aproximadamente a las 09:40 a.m., el colaborador se encontraba en el almacen de insumos ( CD2 ), trasladando mercadería a los pasillos, al momento de cargar un bloque de cajas con un peso de 42 kg, junto a un compañero, perdieron el control de la carga, y esta golpeó sobre el tobillo derecho del colaborador, el colaborador es atendido en el topico y posteriormente evacuado a la clinica"/>
    <s v="Golpeado por"/>
    <s v="Tobillo derecho"/>
    <s v="Pie/Tobillo"/>
    <s v="Manipulacion de separadores"/>
    <s v="Contusion"/>
    <s v="Contusión/Trauma"/>
    <n v="12"/>
    <n v="0"/>
    <n v="12"/>
    <s v="Trabajando"/>
    <n v="4"/>
    <s v="&lt; 3 a 6 meses"/>
    <s v="Separadores"/>
    <s v="CONTRATO TEMPORAL"/>
    <s v="Acc. Incapacitante"/>
    <n v="0"/>
    <s v="SI"/>
  </r>
  <r>
    <n v="183"/>
    <s v="-"/>
    <s v="PERÚ"/>
    <s v="INTRADEVCO_INDUSTRIAL_SA"/>
    <s v="LURIN"/>
    <x v="5"/>
    <s v="Lurin 2_Principal"/>
    <s v="Producción"/>
    <x v="40"/>
    <x v="0"/>
    <s v="Acc. No Incapacitante"/>
    <d v="2024-08-07T00:00:00"/>
    <n v="32"/>
    <n v="7"/>
    <x v="5"/>
    <n v="2024"/>
    <d v="1899-12-30T17:00:00"/>
    <s v="D"/>
    <x v="0"/>
    <x v="14"/>
    <s v="GOMEZ"/>
    <s v="BENDEZU"/>
    <s v="RICARDO ALEJANDRO"/>
    <s v="MASCULINO"/>
    <s v="-"/>
    <s v="MECÁNICO"/>
    <s v="-"/>
    <s v="El colaborador se acercó al tópico de emergencia solicitando atención médica por contacto de sustancia química (Mezcla de barsol con solvente dieléctrico) en el dorso de la mano izquierda._x000a_Refiere que se contaminó al momento de realizar la limpieza en el interior de empacadora Meypack al utilizar un trapo humedo con la sustancia química, cabe indicar que usaba guantes descartable de nitrilo, que al parecer se encontraba con hueco."/>
    <s v="Exposición a Sustancias Químicas"/>
    <s v="Mano izquierda"/>
    <s v="Mano/Muñeca/Dedos"/>
    <s v="Limpieza de equipo"/>
    <s v="Quemadura química"/>
    <s v="Dermatitis/Irritación de la piel"/>
    <n v="0"/>
    <m/>
    <m/>
    <m/>
    <m/>
    <m/>
    <s v="Mezcla química"/>
    <m/>
    <s v="Acc. No Incapacitante"/>
    <n v="0"/>
    <m/>
  </r>
  <r>
    <n v="184"/>
    <s v="-"/>
    <s v="PERÚ"/>
    <s v="INTRADEVCO_INDUSTRIAL_SA"/>
    <s v="LURIN"/>
    <x v="5"/>
    <s v="Lurin 2_Principal"/>
    <s v="Producción"/>
    <x v="40"/>
    <x v="0"/>
    <s v="Acc. No Incapacitante"/>
    <d v="2024-08-16T00:00:00"/>
    <n v="33"/>
    <n v="16"/>
    <x v="5"/>
    <n v="2024"/>
    <d v="1899-12-30T09:51:00"/>
    <s v="D"/>
    <x v="0"/>
    <x v="1"/>
    <s v="Chero"/>
    <s v="Adrian"/>
    <s v="Sandoval"/>
    <s v="MASCULINO"/>
    <s v="-"/>
    <s v="OPERARIO DE PRODUCCIÓN"/>
    <s v="-"/>
    <s v="presenta heridad de corte en el rostro lado derecho, producido por el impacto al momento de bajar una caja llena con tapas actuadoras, golpea contra su lente de seguridad, generando presión sobre su rostro y produciendo un corte superficial. "/>
    <s v="Contacto con superficie cortante"/>
    <s v="Rostro"/>
    <s v="Rostro/Nariz/Boca"/>
    <s v="Movimiento de cajas"/>
    <s v="Herida"/>
    <m/>
    <n v="0"/>
    <m/>
    <m/>
    <m/>
    <m/>
    <m/>
    <s v="Lente de seguridad"/>
    <m/>
    <s v="Acc. No Incapacitante"/>
    <n v="0"/>
    <m/>
  </r>
  <r>
    <n v="185"/>
    <s v="-"/>
    <s v="PERÚ"/>
    <s v="INTRADEVCO_INDUSTRIAL_SA"/>
    <s v="LURIN"/>
    <x v="5"/>
    <s v="Lurin 2_Principal"/>
    <s v="Producción"/>
    <x v="40"/>
    <x v="0"/>
    <s v="Acc. No Incapacitante"/>
    <d v="2024-08-19T00:00:00"/>
    <n v="34"/>
    <n v="19"/>
    <x v="5"/>
    <n v="2024"/>
    <d v="1899-12-30T16:50:00"/>
    <s v="D"/>
    <x v="3"/>
    <x v="5"/>
    <s v="Huapaya"/>
    <s v="Ochoa "/>
    <s v="Randy Ronald"/>
    <s v="MASCULINO"/>
    <s v="-"/>
    <s v="OPERARIO DE PRODUCCIÓN"/>
    <s v="-"/>
    <s v="El colaborador Huapaya Ochoa Randy Ronald se encontraba colocando una paleta con producto terminado sobre la plataforma de la Robopack. En esas circunstancias, fue impactado en su tobillo izquierdo por la parte inferior de una paleta de madera que contenía una ruma de cajas, la cual era transportada en un transpalet eléctrico operado por el colaborador Pedro Conde (CAO)."/>
    <s v="Golpeado por"/>
    <s v="Pie izquierdo"/>
    <s v="Pie/Tobillo"/>
    <s v="Colocación de paleta en Robopack"/>
    <s v="Contusión"/>
    <m/>
    <n v="0"/>
    <m/>
    <m/>
    <m/>
    <m/>
    <m/>
    <s v="Transpaleta"/>
    <m/>
    <s v="Acc. No Incapacitante"/>
    <n v="0"/>
    <m/>
  </r>
  <r>
    <n v="186"/>
    <s v="ALI24533"/>
    <s v="PERÚ"/>
    <s v="ALICORP_SAA"/>
    <s v="Distrito del Callao"/>
    <x v="6"/>
    <s v="AREAS COMUNES"/>
    <s v="Administración"/>
    <x v="89"/>
    <x v="1"/>
    <s v="Acc. Incapacitante"/>
    <d v="2024-09-10T00:00:00"/>
    <n v="37"/>
    <n v="10"/>
    <x v="8"/>
    <n v="2024"/>
    <d v="1899-12-30T06:50:00"/>
    <s v="M"/>
    <x v="4"/>
    <x v="6"/>
    <s v="HUAMANI"/>
    <s v="QUISPE"/>
    <s v="JULIO"/>
    <s v="MASCULINO"/>
    <n v="49"/>
    <s v="OPERARIO DE LIMPIEZA"/>
    <s v="-"/>
    <s v="El señor Julio Huamani Quispe, se encontraba bajando la escalera ubicada en la zona de los vestuarios de terceros de CDC al llegar a los últimos escalones sufre un resbalón ocasionando la caída golpeándose el tobillo. Trató de pararse sin embargo sintió dolor y, caminó hacia el almacén de Alteliza ubicado en CDC; su Supervisor contactó al Tópico posteriormente llega la ambulancia y es derivado a la Clínica San Gabriel._x000a_Diagnóstico: esguince de 3er. Grado y es trasladado a la clínica San Gabriel activándose el SCTR."/>
    <s v="Caída a distinto nivel"/>
    <s v="Tobillo izquierdo"/>
    <s v="Pie/Tobillo"/>
    <s v="Bajando escaleras"/>
    <s v="Fractura de tobillo izquierdo"/>
    <s v="Fractura"/>
    <n v="29"/>
    <n v="0"/>
    <n v="29"/>
    <s v="DM"/>
    <n v="6"/>
    <s v="&lt; 3 a 6 meses"/>
    <s v="ESCALERA"/>
    <s v="PLAZO DETERMINADO"/>
    <s v="Acc. Incapacitante"/>
    <n v="0"/>
    <s v="SI"/>
  </r>
  <r>
    <n v="187"/>
    <s v="-"/>
    <s v="PERÚ"/>
    <s v="ALICORP_SAA"/>
    <s v="Miraflores"/>
    <x v="6"/>
    <s v="Miraflores"/>
    <s v="Administración"/>
    <x v="90"/>
    <x v="0"/>
    <s v="Acc. No Incapacitante"/>
    <d v="2024-09-11T00:00:00"/>
    <n v="37"/>
    <n v="11"/>
    <x v="8"/>
    <n v="2024"/>
    <d v="1899-12-30T17:14:00"/>
    <s v="T"/>
    <x v="0"/>
    <x v="0"/>
    <s v="Lazarte"/>
    <s v="Escudero"/>
    <s v="Gabriela"/>
    <s v="FEMENINO"/>
    <n v="26"/>
    <s v="EJECUTIVO DE MARCA CONSERVAS"/>
    <d v="2022-09-13T00:00:00"/>
    <s v="Tropiezo en escalera"/>
    <s v="Golpeado contra"/>
    <s v="brazo"/>
    <s v="Mano/Muñeca/Dedos"/>
    <s v="-"/>
    <s v="Traumatismo superficial de antebrazo"/>
    <s v="contusión"/>
    <n v="0"/>
    <n v="0"/>
    <n v="0"/>
    <s v="Laborando"/>
    <n v="24"/>
    <m/>
    <s v="escalera"/>
    <s v="CONTRATO INDEFINIDO"/>
    <s v="Acc. No Incapacitante"/>
    <n v="0"/>
    <m/>
  </r>
  <r>
    <n v="188"/>
    <s v="-"/>
    <s v="PERÚ"/>
    <s v="INTRADEVCO_INDUSTRIAL_SA"/>
    <s v="LURIN"/>
    <x v="5"/>
    <s v="Lurin 4_Detergente"/>
    <s v="Producción"/>
    <x v="28"/>
    <x v="1"/>
    <s v="Acc. Incapacitante"/>
    <d v="2024-09-07T00:00:00"/>
    <n v="36"/>
    <n v="7"/>
    <x v="8"/>
    <n v="2024"/>
    <d v="1899-12-30T02:40:00"/>
    <s v="N"/>
    <x v="0"/>
    <x v="14"/>
    <s v="TECCSI"/>
    <s v="RODRIGUEZ"/>
    <s v=" RAFAEL FELIPE"/>
    <s v="MASCULINO"/>
    <n v="62"/>
    <s v="MAQUINISTA"/>
    <s v="-"/>
    <s v="Aproximadamente a las 2:40 am el colaborador Rafael Teccsi se encontraba en su área de trabajo en la zona de enfardado de detergentes, el colaborador aprecia que la bobina de enfardado de la maquina N° 04 se desplazó unos centímetros a la derecha, por lo que el colaborador opta por colocarla en su lugar de manera manual, esta acción la ejecuta mediante su pierna izquierda, con la cual eleva la bobina y con ayuda de sus manos desplaza el eje hacia la izquierda. Al ejercer esta acción, el colaborador siente un dolor intenso en el tendón de aquiles de la pierna izquierda. El trabajador da aviso de lo ocurrido y es trasladado al tópico para recibir atención."/>
    <s v="Sobreesfuerzo"/>
    <s v="Pie izquierdo"/>
    <s v="Pie/Tobillo"/>
    <s v="Colocacion de bobina"/>
    <s v="TRAUMATISMO DEL PIE Y TOBILLO IZQUIERDO"/>
    <s v="Contusión/Trauma"/>
    <n v="9"/>
    <n v="0"/>
    <n v="9"/>
    <s v="DM"/>
    <n v="72"/>
    <s v="&lt; 5 a 10 años"/>
    <s v="Portabobinas"/>
    <s v="CONTRATO INDEFINIDO"/>
    <s v="Acc. Incapacitante"/>
    <n v="0"/>
    <s v="SI"/>
  </r>
  <r>
    <n v="189"/>
    <s v="PCO24389"/>
    <s v="PERÚ"/>
    <s v="ALICORP_SAA"/>
    <s v="PREDIO CENTRAL"/>
    <x v="3"/>
    <s v="COPSA"/>
    <s v="Producción"/>
    <x v="68"/>
    <x v="1"/>
    <s v="Acc. Incapacitante"/>
    <d v="2024-09-10T00:00:00"/>
    <n v="37"/>
    <n v="10"/>
    <x v="8"/>
    <n v="2024"/>
    <d v="1899-12-30T16:40:00"/>
    <s v="T"/>
    <x v="0"/>
    <x v="3"/>
    <s v="FAUSTINO"/>
    <s v="ZEVALLOS"/>
    <s v="FRANCISCO JOSE"/>
    <s v="MASCULINO"/>
    <n v="46"/>
    <s v="OPERADOR LLENADORA ACEITE"/>
    <d v="2006-09-01T00:00:00"/>
    <s v="El colaborador se encontraba desenrollando el zuncho para el tapado de bines, con una tijera en la mano derecha. En este proceso, su mano derecha impacta contra un grupo de cajas de cartón que se encontraban a su costado y rebota en dirección hacia su rostro, golpeando con la tijera el párpado inferior de su ojo derecho."/>
    <s v="Golpeado por"/>
    <s v="Ojo derecho"/>
    <s v="Ojos"/>
    <s v="Desenrollado de zuncho para el tapado de bines"/>
    <s v="Contusión en ojo derecho"/>
    <s v="Contusión/Trauma"/>
    <n v="1"/>
    <n v="0"/>
    <n v="1"/>
    <s v="Trabajando"/>
    <n v="53"/>
    <s v="&lt; 1 a 5 años"/>
    <s v="Tijera"/>
    <s v="CONTRATO INDEFINIDO"/>
    <s v="Acc. Incapacitante"/>
    <n v="0"/>
    <s v="SI"/>
  </r>
  <r>
    <n v="190"/>
    <s v="-"/>
    <s v="PERÚ"/>
    <s v="MASTERBREAD"/>
    <s v="Sicaya"/>
    <x v="10"/>
    <s v="Teal Sicaya"/>
    <s v="Producción"/>
    <x v="43"/>
    <x v="1"/>
    <s v="Acc. Incapacitante"/>
    <d v="2024-09-09T00:00:00"/>
    <n v="37"/>
    <n v="9"/>
    <x v="8"/>
    <n v="2024"/>
    <d v="1899-12-30T19:30:00"/>
    <s v="N"/>
    <x v="0"/>
    <x v="18"/>
    <s v="TORRES"/>
    <s v="RUIZ"/>
    <s v="CARLOS DANIEL"/>
    <s v="MASCULINO"/>
    <n v="26"/>
    <s v="OPERARIO DE PRODUCCION"/>
    <d v="2024-06-16T00:00:00"/>
    <s v="En circunstancias que el señor Carlos Torres, se encontraba apilando una jaba con caramelos envueltos sobre una ruma de 3 jabas de altura (1.40 m), se distrae escuchando una conversación de sus compañeros desviando la mirada hacia otro lado y a la vez posicionando la jaba, sufriendo el aplastamiento de su dedo anular de la mano derecha entre el borde de la base de la jaba superior con la jaba inferior, provocando el traumatismo en referencia. _x000a_Cabe precisar que el Colaborador reporto el hecho despues de 12 horas de haber ocurrido el accidente."/>
    <s v="Aprisionado entre"/>
    <s v="Dedo anular de la mano derecha"/>
    <s v="Mano/Muñeca/Dedos"/>
    <s v="Apilamiento de jabas con caramelo duro envuelto"/>
    <s v="Traumatismo de tendon y musculo extensor del dedo anular"/>
    <s v="Contusión/Trauma"/>
    <n v="58"/>
    <n v="0"/>
    <n v="58"/>
    <s v="DM"/>
    <n v="2"/>
    <s v="&lt; 1 a 3 meses"/>
    <s v="Manipulación de jabas en forma manual"/>
    <s v="CONTRATO TEMPORAL"/>
    <s v="Acc. Incapacitante"/>
    <n v="0"/>
    <s v="SI"/>
  </r>
  <r>
    <n v="191"/>
    <s v="ALI24532_x000a_"/>
    <s v="PERÚ"/>
    <s v="ALICORP_SAA"/>
    <s v="Distrito del Callao"/>
    <x v="6"/>
    <s v="DETERGENTES CALLAO"/>
    <s v="Administración"/>
    <x v="91"/>
    <x v="1"/>
    <s v="Acc. Incapacitante"/>
    <d v="2024-09-16T00:00:00"/>
    <n v="38"/>
    <n v="16"/>
    <x v="8"/>
    <n v="2024"/>
    <d v="1899-12-30T09:30:00"/>
    <s v="M"/>
    <x v="4"/>
    <x v="6"/>
    <s v="GONZALES"/>
    <s v="ORTIZ"/>
    <s v="EDUARDO"/>
    <s v="MASCULINO"/>
    <n v="40"/>
    <s v="OPERARIO DE LIMPIEZA"/>
    <s v="-"/>
    <s v="El día 16/09 aproximadamente a las 9:30 am el trabajador Eduardo Gonzales Ortiz de la empresa ALTELIZA por indicación de su líder de grupo, se encontraba bajando las escaleras del edificio de Elaboración de Planta Detergentes desde el 3er al 1er nivel, en el trayecto sufre un resbalón, para no caerse hacia adelante se sostiene del pasamanos, siente un estirón y hormigueo en la pierna derecha y espalda._x000a_El trabajador da aviso de lo ocurrido a su líder de grupo, quien le indica reposo para luego ser trasladado al tópico para recibir atención, quien luego de la evaluación del médico se decide trasladarlo a la clínica San Gabriel._x000a_En la clínica le brindan el diagnóstico de esguince y torcedura de columna lumbar, otorgándole un descanso médico hasta el 08 de octubre."/>
    <s v="Caída a distinto nivel"/>
    <s v="Zona lumbar de la Columna"/>
    <s v="Columna"/>
    <s v="Bajando escaleras"/>
    <s v="Esguince y torceduras de columna lumbar"/>
    <s v="Esguince/Torcedura"/>
    <n v="22"/>
    <n v="0"/>
    <n v="22"/>
    <s v="DM"/>
    <n v="30"/>
    <s v="&lt; 1 a 5 años"/>
    <s v="ESCALERA"/>
    <s v="PLAZO DETERMINADO"/>
    <s v="Acc. Incapacitante"/>
    <n v="0"/>
    <s v="SI"/>
  </r>
  <r>
    <n v="192"/>
    <s v="PCO24401"/>
    <s v="PERÚ"/>
    <s v="ALICORP_SAA"/>
    <s v="PREDIO CENTRAL"/>
    <x v="3"/>
    <s v="COPSA"/>
    <s v="Producción"/>
    <x v="92"/>
    <x v="1"/>
    <s v="Acc. Incapacitante"/>
    <d v="2024-09-17T00:00:00"/>
    <n v="38"/>
    <n v="17"/>
    <x v="8"/>
    <n v="2024"/>
    <d v="1899-12-30T09:20:00"/>
    <s v="M"/>
    <x v="2"/>
    <x v="38"/>
    <s v="CALIXTRO"/>
    <s v="OCHOA"/>
    <s v="HAROLD JUNIOR"/>
    <s v="MASCULINO"/>
    <n v="39"/>
    <s v="OPERARIO DE LIMPIEZA"/>
    <s v="-"/>
    <s v="El colaborador de la empresa tercera que brinda el servicio de limpieza en planta refinería se encontraba realizando la labor de limpieza de pisos, en el transcurso de la limpieza intenta mover una plataforma con otro compañero que al momento de jalar de lado opuesto se pierde la inercia y el colaborador se resbala golpeándose el mentón en la baranda media de la plataforma, el cual le ocasiona un corte de aprox. 1.5 cm. "/>
    <s v="Golpeado contra"/>
    <s v="Mentón"/>
    <s v="Rostro/Nariz/Boca"/>
    <s v="Limpieza de planta"/>
    <s v="Herida contusa en mentón"/>
    <s v="Contusión/Trauma"/>
    <n v="2"/>
    <n v="0"/>
    <n v="2"/>
    <s v="Trabajando"/>
    <m/>
    <s v="&lt; 0.5 a 1 año"/>
    <s v="Baranda de plataforma"/>
    <m/>
    <s v="Acc. Incapacitante"/>
    <n v="0"/>
    <s v="SI"/>
  </r>
  <r>
    <n v="193"/>
    <s v="PGL24396"/>
    <s v="PERÚ"/>
    <s v="ALICORP_SAA"/>
    <s v="PREDIO CENTRAL"/>
    <x v="0"/>
    <s v="GALLETERA &amp; INSTANTÁNEOS"/>
    <s v="Producción"/>
    <x v="93"/>
    <x v="0"/>
    <s v="Acc. No Incapacitante"/>
    <d v="2024-09-18T00:00:00"/>
    <n v="38"/>
    <n v="18"/>
    <x v="8"/>
    <n v="2024"/>
    <d v="1899-12-30T18:30:00"/>
    <s v="T"/>
    <x v="10"/>
    <x v="25"/>
    <s v="VALVERDE"/>
    <s v=" BERECHE "/>
    <s v="ROSITA ISABEL"/>
    <s v="FEMENINO"/>
    <n v="20"/>
    <s v="Operario de Producción"/>
    <d v="2024-09-11T00:00:00"/>
    <s v="La operadora se encontraba trasladando bandejas hacia la zona de bandejas vacías temporales, cuando bajando con las tres bandejas en mano resbala del primer peldaño cayendo y colocando su mano como soporte. No reportó hasta las 19:20, su supervisora la acompañó al tópico para atención médica. "/>
    <s v="Caída al mismo nivel"/>
    <s v="Mano"/>
    <s v="Mano/Muñeca/Dedos"/>
    <s v="Alimentación de galletas a granel"/>
    <s v="Contusión Leve"/>
    <s v="Contusión/Trauma"/>
    <n v="0"/>
    <n v="0"/>
    <n v="0"/>
    <s v="Laborando"/>
    <n v="0"/>
    <s v="&lt; 1 mes"/>
    <s v="escalera"/>
    <s v="CONTRATO TEMPORAL"/>
    <s v="Acc. No Incapacitante"/>
    <n v="0"/>
    <m/>
  </r>
  <r>
    <n v="194"/>
    <s v="PGL24545"/>
    <s v="PERÚ"/>
    <s v="ALICORP_SAA"/>
    <s v="PREDIO CENTRAL"/>
    <x v="0"/>
    <s v="GALLETERA &amp; INSTANTÁNEOS"/>
    <s v="Producción"/>
    <x v="93"/>
    <x v="1"/>
    <s v="Acc. Incapacitante"/>
    <d v="2024-09-19T00:00:00"/>
    <n v="38"/>
    <n v="19"/>
    <x v="8"/>
    <n v="2024"/>
    <d v="1899-12-30T21:30:00"/>
    <s v="T"/>
    <x v="3"/>
    <x v="25"/>
    <s v="VALVERDE"/>
    <s v=" BERECHE "/>
    <s v="ROSITA ISABEL"/>
    <s v="FEMENINO"/>
    <n v="20"/>
    <s v="Operario de Producción"/>
    <d v="2024-09-11T00:00:00"/>
    <s v="La colaboradora se encontraba alimentando galletas en la L4 - D3  y al tratar de movilizarse pierde el equilibrio y al sostenerse para evitar su caída , se golpea ambas manos (no presenta fracturas pero si un corte en la mano izquierda). Se le brindan los primeros auxilios y se otorga un DM de 03 días."/>
    <s v="Caída a distinto nivel"/>
    <s v="Mano"/>
    <s v="Mano/Muñeca/Dedos"/>
    <s v="Alimentación de galletas a granel"/>
    <s v="Corte"/>
    <s v="Corte/Herida"/>
    <n v="14"/>
    <n v="0"/>
    <n v="14"/>
    <s v="DM"/>
    <n v="0"/>
    <s v="&lt; 1 mes"/>
    <s v="Plataforma"/>
    <s v="CONTRATO TEMPORAL"/>
    <s v="Acc. Incapacitante"/>
    <n v="0"/>
    <s v="SI"/>
  </r>
  <r>
    <n v="195"/>
    <s v="PGL24403"/>
    <s v="PERÚ"/>
    <s v="ALICORP_SAA"/>
    <s v="PREDIO CENTRAL"/>
    <x v="0"/>
    <s v="GALLETERA &amp; INSTANTÁNEOS"/>
    <s v="Producción"/>
    <x v="93"/>
    <x v="0"/>
    <s v="Acc. No Incapacitante"/>
    <d v="2024-09-21T00:00:00"/>
    <n v="38"/>
    <n v="21"/>
    <x v="8"/>
    <n v="2024"/>
    <d v="1899-12-30T10:40:00"/>
    <s v="M"/>
    <x v="10"/>
    <x v="25"/>
    <s v="RAMOS "/>
    <s v="MALLQUI "/>
    <s v="GIOVANNA NERY"/>
    <s v="FEMENINO"/>
    <n v="40"/>
    <s v="Operario de Producción"/>
    <d v="2024-08-14T00:00:00"/>
    <s v="Siendo las 10:40, la operaria de producción se encontraba realizando labores de bandejeo de granel Margarita en la posición de mesa de acomodo (altura de envasadora D1), cuando de pronto su compañera Yessica Estacio quien también se encontraba realizando la misma labor en esta zona, levanta la bandeja con granel para realizar el apilado golpeando el rostro del lado izquierdo de su compañera. Se deriva a la trabajadora al tópico para evaluación y tratamiento farmacológico correspondiente. No requiere traslado._x000a_"/>
    <s v="Golpeado por"/>
    <s v="Rostro"/>
    <s v="Mano/Muñeca/Dedos"/>
    <s v="Alimentación de galletas a granel"/>
    <s v="Constusión en cara"/>
    <s v="Contusión/Trauma"/>
    <n v="0"/>
    <n v="0"/>
    <n v="0"/>
    <s v="Laborando"/>
    <n v="1"/>
    <s v="&lt; 1 a 3 meses"/>
    <s v="Bandeja"/>
    <s v="CONTRATO TEMPORAL"/>
    <s v="Acc. No Incapacitante"/>
    <n v="0"/>
    <m/>
  </r>
  <r>
    <n v="196"/>
    <s v="-"/>
    <s v="BOLIVIA"/>
    <s v="ALICORP_BOLIVIA"/>
    <m/>
    <x v="1"/>
    <s v="PLANTA DON FELIPE"/>
    <s v="Planeamiento/Almacenes"/>
    <x v="24"/>
    <x v="1"/>
    <s v="Acc. Incapacitante"/>
    <d v="2024-09-18T00:00:00"/>
    <n v="38"/>
    <n v="18"/>
    <x v="8"/>
    <n v="2024"/>
    <d v="1899-12-30T10:00:00"/>
    <s v="M"/>
    <x v="9"/>
    <x v="3"/>
    <s v="Muñoz"/>
    <s v="Rodriguez"/>
    <s v="Richard"/>
    <s v="MASCULINO"/>
    <n v="41"/>
    <s v="Estibador de cascara"/>
    <d v="2019-04-09T00:00:00"/>
    <s v="Alrededor de las 10:00 am el estibar de cascara Richard Muñoz Rodríguez se encontraba manipulando el chimango para su acomodo dentro del almacén de cascara de soya en planta PDF._x000a_Al momento de realizar el traslado de una posición a otra, junto con sus compañeros de trabajo (4 personas), realiza presiones con el pie izquierdo sobre una de las llantas (acción subestándar) para direccionar la misma en la posición deseada, posteriormente junto con sus compañeros empujan el chimango hacia la posición deseando, momento en el que el estibador de cascara siente un estirón en la pantorrilla de la pierna izquierda._x000a_Inmediatamente es derivado hacia la posta media, donde recibe la atención correspondiente y se procede con la derivación a ente de salud externo para la valoración de la lesión en compañía con el medico de planta."/>
    <s v="Sobreesfuerzo"/>
    <s v="MUSLO GEMELO INTERNO IZQUIERDO"/>
    <s v="Pierna"/>
    <s v="Presión con pie a rueda de chimango"/>
    <s v="Desgarro miofibrilar grado I-II Gemelo interno izquierdo"/>
    <s v="Desgarro/Estiramiento Muscular"/>
    <n v="3"/>
    <n v="0"/>
    <n v="3"/>
    <s v="Descanso Médico"/>
    <n v="2190"/>
    <s v="&lt; 5 a 10 años"/>
    <s v="COMPORTAMIENTO INSEGURO"/>
    <s v="CONTRATO POR TEMPORADA"/>
    <s v="Acc. Incapacitante"/>
    <n v="0"/>
    <s v="SI"/>
  </r>
  <r>
    <n v="197"/>
    <s v="PCO24420"/>
    <s v="PERÚ"/>
    <s v="ALICORP_SAA"/>
    <s v="PREDIO CENTRAL"/>
    <x v="3"/>
    <s v="COPSA"/>
    <s v="Calidad"/>
    <x v="94"/>
    <x v="1"/>
    <s v="Acc. Incapacitante"/>
    <d v="2024-09-24T00:00:00"/>
    <n v="39"/>
    <n v="24"/>
    <x v="8"/>
    <n v="2024"/>
    <d v="1899-12-30T15:45:00"/>
    <s v="T"/>
    <x v="0"/>
    <x v="3"/>
    <s v="SILVA"/>
    <s v="CADENILLAS"/>
    <s v="GERALDINE ALISSON"/>
    <s v="FEMENINO"/>
    <n v="29"/>
    <s v="TECNICO DE LABORATORIO"/>
    <d v="2020-07-27T00:00:00"/>
    <s v="La colaboradora refiere que trasladando un equipo homogenizador (vortex), éste se le resbala de las manos; al intentar evitar que el equipo caiga al piso, extiende la mano derecha, ocasionando que dicho equipo impacte contra su mano, provocando la contusión en el dorso (4to y 5to dedo)"/>
    <s v="Golpeado por"/>
    <s v="Mano"/>
    <s v="Mano/Muñeca/Dedos"/>
    <s v="Traslado de equipo homogenizador (vortex)"/>
    <s v="Contusión en dorso de mano derecha, 4to y 5to dedo"/>
    <s v="Contusión/Trauma"/>
    <n v="8"/>
    <n v="0"/>
    <n v="8"/>
    <s v="Descanso Médico"/>
    <n v="50"/>
    <s v="&lt; 1 a 5 años"/>
    <s v="Equipo homogenizador (vortex)"/>
    <s v="CONTRATO INDEFINIDO"/>
    <s v="Acc. Incapacitante"/>
    <n v="0"/>
    <s v="SI"/>
  </r>
  <r>
    <n v="198"/>
    <s v="DIS24479"/>
    <s v="PERÚ"/>
    <s v="ALICORP_SAA"/>
    <s v="PREDIO CENTRAL"/>
    <x v="6"/>
    <s v="Distribución"/>
    <s v="Distribución"/>
    <x v="95"/>
    <x v="1"/>
    <s v="Acc. Incapacitante"/>
    <d v="2024-09-23T00:00:00"/>
    <n v="39"/>
    <n v="23"/>
    <x v="8"/>
    <n v="2024"/>
    <d v="1899-12-30T13:40:00"/>
    <s v="D"/>
    <x v="8"/>
    <x v="39"/>
    <s v="MANTILLA"/>
    <s v="RODRIGUEZ"/>
    <s v="ROGER MANUEL"/>
    <s v="MASCULINO"/>
    <n v="46"/>
    <s v="Transportista"/>
    <s v="NA"/>
    <s v="El accidente sucedió aproximadamente 1:30pm en la zona de fumigación del CDC. El conductor de la empresa de Transportes Rodrigo Carranza (TRC) que transportaba la unidad de placa T6W806 para realizar un Traslado Nacional, se encontraba a la espera de la fumigación de su unidad cuando intenta levantar una manta cobertora que se encontraba en el suelo con la ayuda de otro trabajador, en ese instante experimenta un fuerte dolor en la espalda baja que le impidió moverse. Se comunica el evento, con el soporte de los inspectores de seguridad el conductor _x000a_es trasladado al tópico donde tras una evaluación inicial, se decidió derivarlo a la Clínica San Gabriel para el tratamiento médico que corresponda (En curso). _x000a_"/>
    <s v="Sobreesfuerzo"/>
    <s v="Cadera"/>
    <s v="Columna"/>
    <s v="Levantando una manta cobertora"/>
    <s v="Lumbago ciática"/>
    <s v="Desgarro/Estiramiento Muscular"/>
    <n v="15"/>
    <n v="0"/>
    <n v="15"/>
    <s v="Descanso Médico"/>
    <n v="180"/>
    <s v="&gt; 10 años"/>
    <s v="Manta cobertora"/>
    <s v="CONTRATO INDEFINIDO"/>
    <s v="Acc. Incapacitante"/>
    <n v="0"/>
    <s v="SI"/>
  </r>
  <r>
    <n v="199"/>
    <s v="PGL24546"/>
    <s v="PERÚ"/>
    <s v="ALICORP_SAA"/>
    <s v="PREDIO CENTRAL"/>
    <x v="0"/>
    <s v="GALLETERA &amp; INSTANTÁNEOS"/>
    <s v="Producción"/>
    <x v="96"/>
    <x v="1"/>
    <s v="Acc. Incapacitante"/>
    <d v="2024-09-25T00:00:00"/>
    <n v="39"/>
    <n v="25"/>
    <x v="8"/>
    <n v="2024"/>
    <d v="1899-12-30T19:00:00"/>
    <s v="D"/>
    <x v="0"/>
    <x v="3"/>
    <s v="ZANABRIA "/>
    <s v="AYMA"/>
    <s v=" MELQUIADES"/>
    <s v="MASCULINO"/>
    <n v="48"/>
    <s v="Operario de Producción"/>
    <m/>
    <s v="El colaborador intentó retirar su táper de comida del microondas con una sola mano, lo que provocó que el envase se desestabilizara y se rompiera. Al intentar evitar la caída, sufrió un corte en la mano izquierda debido al contacto con un borde afilado._x000a_El colaborador recibió atención en el centro médico, donde le realizaron la sutura de la herida y le han otorgado dos días de descanso médico por el momento."/>
    <s v="Contacto con superficie filosa"/>
    <s v="Mano"/>
    <s v="Mano/Muñeca/Dedos"/>
    <s v="Refrigerio"/>
    <s v="Herida en la mano"/>
    <s v="Corte/Herida"/>
    <n v="11"/>
    <n v="0"/>
    <n v="11"/>
    <s v="Descanso Médico"/>
    <m/>
    <m/>
    <s v="Recipiente roto"/>
    <s v="CONTRATO INDEFINIDO"/>
    <s v="Acc. Incapacitante"/>
    <n v="0"/>
    <s v="SI"/>
  </r>
  <r>
    <n v="200"/>
    <s v="PGL24472 "/>
    <s v="PERÚ"/>
    <s v="ALICORP_SAA"/>
    <s v="PREDIO CENTRAL"/>
    <x v="0"/>
    <s v="GALLETERA &amp; INSTANTÁNEOS"/>
    <s v="Producción"/>
    <x v="1"/>
    <x v="0"/>
    <s v="Acc. No Incapacitante"/>
    <d v="2024-09-27T00:00:00"/>
    <n v="39"/>
    <n v="27"/>
    <x v="8"/>
    <n v="2024"/>
    <d v="1899-12-30T08:40:00"/>
    <s v="D"/>
    <x v="0"/>
    <x v="0"/>
    <s v=" ZEVALLOS "/>
    <s v="ORRILLO"/>
    <s v="EMITERIO"/>
    <s v="MASCULINO"/>
    <n v="50"/>
    <s v="Operario de Producción"/>
    <m/>
    <s v="El colaborador intentó desatorar la  acumulación de galletas en el magazine , al aperturar la guarda y proceder a retirar presenta contacto con una superficie por la fuerza impartida para retirar el producto , es atendido en tópico y se le brindan los primeros auxilios"/>
    <s v="Golpeado por"/>
    <s v="Mano"/>
    <s v="Mano/Muñeca/Dedos"/>
    <s v="Alimentación de Galletas"/>
    <s v="Herida en la mano"/>
    <s v="Corte/Herida"/>
    <n v="0"/>
    <n v="0"/>
    <n v="0"/>
    <s v="Laborando"/>
    <m/>
    <m/>
    <s v="Magazine"/>
    <s v="CONTRATO INDEFINIDO"/>
    <s v="Acc. No Incapacitante"/>
    <n v="0"/>
    <m/>
  </r>
  <r>
    <n v="201"/>
    <s v="PCO24522"/>
    <s v="PERÚ"/>
    <s v="ALICORP_SAA"/>
    <s v="PREDIO CENTRAL"/>
    <x v="3"/>
    <s v="COPSA"/>
    <s v="Mantenimiento"/>
    <x v="45"/>
    <x v="0"/>
    <s v="Acc. No Incapacitante"/>
    <d v="2024-09-21T00:00:00"/>
    <n v="38"/>
    <n v="21"/>
    <x v="8"/>
    <n v="2024"/>
    <d v="1899-12-30T14:39:00"/>
    <s v="M"/>
    <x v="2"/>
    <x v="40"/>
    <s v="AGUILAR"/>
    <s v="DE LA CRUZ"/>
    <s v="EDDY GODOFREDO"/>
    <s v="MASCULINO"/>
    <n v="46"/>
    <s v="MAESTRO DE OBRA"/>
    <m/>
    <s v="El colaborador de la empresa tercera se encontraba en los vestuarios para lavarse la cara luego de haber realizado trabajos de desmontajes de tuberías. Se retira el casco con careta y en ese instante le caen partículas sólidas en el ojo derecho. Se realiza un lavado en los ojos pero la molestia persiste y opta por ir al tópico. En el tópico se le realiza un lavado ocular y no requiere traslado."/>
    <s v="Proyección de Material Particulado"/>
    <s v="Ojo derecho"/>
    <s v="Ojos"/>
    <s v="Lavado de cara en vestuarios"/>
    <s v="Cuerpo extraño en parte externa del ojo derecho"/>
    <s v="Cuerpo Extraño en Ojos"/>
    <n v="0"/>
    <n v="0"/>
    <n v="0"/>
    <s v="Trabajando"/>
    <m/>
    <m/>
    <s v="Partículas sólidas producto del desmontaje de tuberías"/>
    <m/>
    <s v="Acc. No Incapacitante"/>
    <n v="0"/>
    <m/>
  </r>
  <r>
    <n v="202"/>
    <m/>
    <s v="PERÚ"/>
    <s v="INTRADEVCO_INDUSTRIAL_SA"/>
    <s v="LURIN"/>
    <x v="5"/>
    <s v="Lurin 4_Detergente"/>
    <s v="Producción"/>
    <x v="28"/>
    <x v="0"/>
    <s v="Acc. No Incapacitante"/>
    <d v="2024-09-11T00:00:00"/>
    <n v="37"/>
    <n v="11"/>
    <x v="8"/>
    <n v="2024"/>
    <d v="1899-12-30T17:24:00"/>
    <s v="D"/>
    <x v="3"/>
    <x v="5"/>
    <s v="CARDENAS"/>
    <s v=" MELENDEZ"/>
    <s v="MINDOR"/>
    <s v="MASCULINO"/>
    <m/>
    <s v="OPERARIO DE PRODUCCIÓN"/>
    <m/>
    <s v="Colaborador se encontraba levantando la tapa del buzón- zona externa del área junto a otra persona para limpieza, ya que había charco de agua debido a que salía de la tubería rota._x000a_Al compañero se le resbaló la tapa generando que ésta caiga y los bordes le provoque raspones en la pierna posterior derecha"/>
    <s v="Golpeado por"/>
    <s v="Pierna"/>
    <s v="Pierna"/>
    <s v="Manipulacion de tapa de buzon"/>
    <s v="Contusion"/>
    <s v="Contusión/Trauma"/>
    <n v="0"/>
    <n v="0"/>
    <n v="0"/>
    <s v="Laborando"/>
    <m/>
    <m/>
    <s v="Tapa de buzon"/>
    <s v="CONTRATO TEMPORAL"/>
    <s v="Acc. No Incapacitante"/>
    <m/>
    <m/>
  </r>
  <r>
    <n v="203"/>
    <m/>
    <s v="PERÚ"/>
    <s v="INTRADEVCO_INDUSTRIAL_SA"/>
    <s v="LURIN"/>
    <x v="5"/>
    <s v="Lurin 5_20mil"/>
    <s v="Producción"/>
    <x v="72"/>
    <x v="0"/>
    <s v="Acc. No Incapacitante"/>
    <d v="2024-09-11T00:00:00"/>
    <n v="37"/>
    <n v="11"/>
    <x v="8"/>
    <n v="2024"/>
    <d v="1899-12-30T17:30:00"/>
    <s v="D"/>
    <x v="3"/>
    <x v="5"/>
    <s v="RUEDA"/>
    <s v="VASQUEZ"/>
    <s v="DARLING"/>
    <s v="FEMENINO"/>
    <m/>
    <s v="OPERARIO DE PRODUCCIÓN"/>
    <m/>
    <s v="Colaboradora se encontraba realizando la actividad de etiquetado de galonera de 4 litros en una línea manual, su compañera al momento de lanzar un envase sobre la piscina a una distancia de 1 metro aproximadamente, éste rebota y la punta le cae en el seno derecho."/>
    <s v="Golpeado por"/>
    <s v="Seno"/>
    <s v="Abdomen/Torso"/>
    <s v="Manipulacion de envases"/>
    <s v="Contusion"/>
    <s v="Contusión/Trauma"/>
    <n v="0"/>
    <n v="0"/>
    <n v="0"/>
    <s v="Laborando"/>
    <m/>
    <m/>
    <s v="Envase"/>
    <s v="CONTRATO TEMPORAL"/>
    <s v="Acc. No Incapacitante"/>
    <m/>
    <m/>
  </r>
  <r>
    <n v="204"/>
    <m/>
    <s v="PERÚ"/>
    <s v="INTRADEVCO_INDUSTRIAL_SA"/>
    <s v="LURIN"/>
    <x v="5"/>
    <s v="Lurin 4_Detergente"/>
    <s v="Producción"/>
    <x v="29"/>
    <x v="0"/>
    <s v="Acc. No Incapacitante"/>
    <d v="2024-09-13T00:00:00"/>
    <n v="37"/>
    <n v="13"/>
    <x v="8"/>
    <n v="2024"/>
    <d v="1899-12-30T15:30:00"/>
    <s v="D"/>
    <x v="3"/>
    <x v="5"/>
    <s v="PIZARRO"/>
    <s v=" CORONEL"/>
    <s v="YENY"/>
    <s v="FEMENINO"/>
    <m/>
    <s v="OPERARIO DE PRODUCCIÓN"/>
    <m/>
    <s v="Colaboradora se encontraba realizando la actividad de tapado de potes en la línea 2._x000a_Al compañero que realizaba el abastecimiento se le resbaló la primera caja de esponjas generando que ésta caiga y el borde inferior impacte contra su hombro derecho."/>
    <s v="Golpeado por"/>
    <s v="Hombro derecho"/>
    <s v="Brazo/Codo/Hombro"/>
    <s v="Tapado de potes"/>
    <s v="Contusion"/>
    <s v="Contusión/Trauma"/>
    <n v="0"/>
    <n v="0"/>
    <n v="0"/>
    <s v="Laborando"/>
    <m/>
    <m/>
    <s v="Caja"/>
    <s v="CONTRATO TEMPORAL"/>
    <s v="Acc. No Incapacitante"/>
    <m/>
    <m/>
  </r>
  <r>
    <n v="205"/>
    <m/>
    <s v="PERÚ"/>
    <s v="INTRADEVCO_INDUSTRIAL_SA"/>
    <s v="LURIN"/>
    <x v="5"/>
    <s v="Lurin 4_Detergente"/>
    <s v="Producción"/>
    <x v="29"/>
    <x v="0"/>
    <s v="Acc. No Incapacitante"/>
    <d v="2024-09-14T00:00:00"/>
    <n v="37"/>
    <n v="14"/>
    <x v="8"/>
    <n v="2024"/>
    <d v="1899-12-30T12:06:00"/>
    <s v="D"/>
    <x v="3"/>
    <x v="5"/>
    <s v="PEREZ"/>
    <s v="SOLANO"/>
    <s v="ASTRID FIORELLA"/>
    <s v="FEMENINO"/>
    <m/>
    <s v="OPERARIO DE PRODUCCIÓN"/>
    <m/>
    <s v="La colaboradora menciona que estaba en la actividad de recuperado; sin embargo, indica que aún no había comenzado dicha actividad. En ese momento, no llevaba puestos sus lentes, mientras conversaba con su compañera, se rió y se agachó. Su compañera, que estaba a su lado, lanza el producto (detergente), y el filo del producto le roza el ojo izquierdo en la &quot;esclerótica&quot;."/>
    <s v="Golpeado por"/>
    <s v="Ojo izquierdo"/>
    <s v="Ojos"/>
    <s v="Recuperado de bolsas"/>
    <s v="Contusion"/>
    <s v="Contusión/Trauma"/>
    <n v="0"/>
    <n v="0"/>
    <n v="0"/>
    <s v="Laborando"/>
    <m/>
    <m/>
    <s v="Bolsa de detergente"/>
    <s v="CONTRATO TEMPORAL"/>
    <s v="Acc. No Incapacitante"/>
    <m/>
    <m/>
  </r>
  <r>
    <n v="206"/>
    <m/>
    <s v="PERÚ"/>
    <s v="INTRADEVCO_INDUSTRIAL_SA"/>
    <s v="LURIN"/>
    <x v="5"/>
    <s v="Lurin 4_Detergente"/>
    <s v="Producción"/>
    <x v="28"/>
    <x v="0"/>
    <s v="Acc. No Incapacitante"/>
    <d v="2024-09-16T00:00:00"/>
    <n v="38"/>
    <n v="16"/>
    <x v="8"/>
    <n v="2024"/>
    <d v="1899-12-30T11:25:00"/>
    <s v="D"/>
    <x v="3"/>
    <x v="5"/>
    <s v="MEZA"/>
    <s v="TORRES"/>
    <s v="JESUS"/>
    <s v="MASCULINO"/>
    <m/>
    <s v="OPERARIO DE PRODUCCIÓN"/>
    <m/>
    <s v="El colaborador se encontraba haciendo limpieza de piso en el primer nivel con la espátula, pero ésta se despega de la varilla de madera en donde estaba atada. Le solicitó cinta a la colaboradora Janeth Trigozo (itdc) y le menciona que hay una caja en la máquina intrapack (mezzanine) . El colaborador se dirige a la zona, pero al retorno, cuando bajaba las escalera, se resbala y su reacción inmediata fue sujetarse con ambas manos de las barandas, quedando con los brazos suspendidos, dicha posición le ocasionó un estiramiento en el hombro derecho._x000a_- Colaborador menciona que bajaba sujetado de una mano en la baranda."/>
    <s v="Sobreesfuerzo"/>
    <s v="Hombro derecho"/>
    <s v="Brazo/Codo/Hombro"/>
    <s v="Descenso de escaleras"/>
    <s v="Estiramiento muscular"/>
    <s v="Desgarro/Estiramiento Muscular"/>
    <n v="0"/>
    <n v="0"/>
    <n v="0"/>
    <s v="Laborando"/>
    <m/>
    <m/>
    <s v="Escalera"/>
    <s v="CONTRATO TEMPORAL"/>
    <s v="Acc. No Incapacitante"/>
    <m/>
    <m/>
  </r>
  <r>
    <n v="207"/>
    <m/>
    <s v="PERÚ"/>
    <s v="INTRADEVCO_INDUSTRIAL_SA"/>
    <s v="LURIN"/>
    <x v="5"/>
    <s v="Lurin 4_Detergente"/>
    <s v="Producción"/>
    <x v="29"/>
    <x v="0"/>
    <s v="Acc. No Incapacitante"/>
    <d v="2024-09-25T00:00:00"/>
    <n v="39"/>
    <n v="25"/>
    <x v="8"/>
    <n v="2024"/>
    <d v="1899-12-30T10:00:00"/>
    <s v="D"/>
    <x v="3"/>
    <x v="5"/>
    <s v="MURAYARI"/>
    <s v=" COQUINCHE"/>
    <s v="MARLENI"/>
    <s v="FEMENINO"/>
    <m/>
    <s v="OPERARIO DE PRODUCCIÓN"/>
    <m/>
    <s v="La colaboradora Marlene Murayari, del área de envasado de lavavajillas, se encontraba realizando la actividad de ofertado en la línea 2. Durante esta tarea, se agotó la cinta de ofertado y se realizó el cambio de rollo de inmediato. Sin embargo, no se ajustó el tornillo (1), lo que provocó que la cinta se deslizara con mayor facilidad al jalarla y quede fuera de su lugar (2)._x000a_Al notar que había una porción de cinta despegada, Marlene intentó acomodarla desde el inicio (girando el rollo) (3), sin darse cuenta de que al lado había una unión de la tubería, esto resultó en un golpe en su codo izquierdo (4). Cabe destacar que la silla estaba muy cerca del muro, lo que contribuyó al choque del codo contra la tubería."/>
    <s v="Golpeado por"/>
    <s v="Codo izquierdo"/>
    <s v="Brazo/Codo/Hombro"/>
    <s v="Ofertado"/>
    <s v="Contusion"/>
    <s v="Contusión/Trauma"/>
    <n v="0"/>
    <n v="0"/>
    <n v="0"/>
    <s v="Laborando"/>
    <m/>
    <m/>
    <s v="Soporte metalico"/>
    <s v="CONTRATO TEMPORAL"/>
    <s v="Acc. No Incapacitante"/>
    <m/>
    <m/>
  </r>
  <r>
    <n v="208"/>
    <m/>
    <s v="PERÚ"/>
    <s v="INTRADEVCO_INDUSTRIAL_SA"/>
    <s v="LURIN"/>
    <x v="5"/>
    <s v="Lurin 5_20mil"/>
    <s v="Producción"/>
    <x v="72"/>
    <x v="0"/>
    <s v="Acc. No Incapacitante"/>
    <d v="2024-09-25T00:00:00"/>
    <n v="39"/>
    <n v="25"/>
    <x v="8"/>
    <n v="2024"/>
    <d v="1899-12-30T18:39:00"/>
    <s v="D"/>
    <x v="3"/>
    <x v="5"/>
    <s v="MAMANI"/>
    <s v=" AGUILAR"/>
    <s v="PILAR MELANIA"/>
    <s v="FEMENINO"/>
    <m/>
    <s v="OPERARIO DE PRODUCCIÓN"/>
    <m/>
    <s v="La colaboradora estaba haciendo una anotación en un post-it mientras transitaba en una zona del área donde hay máquinas en desuso, ésta contaba con baja iluminación ya que no se realizan actividades cerca de ella, lo que ocasionó que se choque contra la estructura metálica de una de las máquinas en su pómulo del lado izquierdo."/>
    <s v="Golpeado por"/>
    <s v="Pomulo izquiedo"/>
    <s v="Rostro/Nariz/Boca"/>
    <s v="Transito po areas"/>
    <s v="Contusion"/>
    <s v="Contusión/Trauma"/>
    <n v="0"/>
    <n v="0"/>
    <n v="0"/>
    <s v="Laborando"/>
    <m/>
    <m/>
    <s v="Estructura metalica"/>
    <s v="CONTRATO TEMPORAL"/>
    <s v="Acc. No Incapacitante"/>
    <m/>
    <m/>
  </r>
  <r>
    <n v="209"/>
    <m/>
    <s v="PERÚ"/>
    <s v="INTRADEVCO_INDUSTRIAL_SA"/>
    <s v="LURIN"/>
    <x v="5"/>
    <s v="Lurin 4_Detergente"/>
    <s v="Producción"/>
    <x v="28"/>
    <x v="0"/>
    <s v="Acc. No Incapacitante"/>
    <d v="2024-09-26T00:00:00"/>
    <n v="39"/>
    <n v="26"/>
    <x v="8"/>
    <n v="2024"/>
    <d v="1899-12-30T15:15:00"/>
    <s v="D"/>
    <x v="3"/>
    <x v="5"/>
    <s v="YUMBATO"/>
    <s v=" PACAYA"/>
    <s v="ALEXIS EGLINTON"/>
    <s v="MASCULINO"/>
    <m/>
    <s v="OPERARIO DE PRODUCCIÓN"/>
    <m/>
    <s v="El colaborador se encontraba realizando la actividad de colocación de bolsones en máquina neumopack 1, al notar que del lado izquierdo solo faltaban 2 bolsas para hacer el cambio, colocó de manera apresurada el bolsón del lado derecho, lo que ocasionó que al momento de retirar su mano ésta choque con la contadora que gira automáticamente generándose  un golpe en parte dorsal de la mano izquierda."/>
    <s v="Golpeado por"/>
    <s v="Mano izquierda"/>
    <s v="Mano/Muñeca/Dedos"/>
    <s v="Colocacion de bolsones"/>
    <s v="Contusion"/>
    <s v="Contusión/Trauma"/>
    <n v="0"/>
    <n v="0"/>
    <n v="0"/>
    <s v="Laborando"/>
    <m/>
    <m/>
    <m/>
    <s v="CONTRATO TEMPORAL"/>
    <s v="Acc. No Incapacitante"/>
    <m/>
    <m/>
  </r>
  <r>
    <n v="210"/>
    <m/>
    <s v="PERÚ"/>
    <s v="INTRADEVCO_INDUSTRIAL_SA"/>
    <s v="LURIN"/>
    <x v="5"/>
    <s v="Lurin 4_Detergente"/>
    <s v="Producción"/>
    <x v="29"/>
    <x v="1"/>
    <s v="Acc. Incapacitante"/>
    <d v="2024-09-28T00:00:00"/>
    <n v="39"/>
    <n v="28"/>
    <x v="8"/>
    <n v="2024"/>
    <d v="1899-12-30T17:45:00"/>
    <s v="D"/>
    <x v="3"/>
    <x v="5"/>
    <s v="GARCIA"/>
    <s v="VIDAURE"/>
    <s v="JORGE LUIS"/>
    <s v="MASCULINO"/>
    <n v="35"/>
    <s v="OPERARIO DE PRODUCCIÓN"/>
    <m/>
    <s v="El colaborador se encontraba realizando la limpieza de la tolva de la línea 3 de Lavavajillas. Mientras realizaba la actividad, de manera inesperada cae agua con restos de crema LVV sobre su cabeza y parte del cuerpo del colaborador, la caída del líquido ocasionó que se le muevan los lentes antiparras que tenía colocados, viéndose afectados ambos ojos."/>
    <s v="Proyección de Material Particulado"/>
    <s v="Ojo derecho"/>
    <s v="Ojos"/>
    <s v="Limpieza de tolva"/>
    <s v="Cuerpo extraño en el saco conjuntival"/>
    <s v="Cuerpo Extraño en Ojos"/>
    <n v="14"/>
    <n v="0"/>
    <n v="14"/>
    <s v="DM"/>
    <n v="4"/>
    <s v="&lt; 3 a 6 meses"/>
    <s v="Agua con residuos de pasta"/>
    <s v="CONTRATO TEMPORAL"/>
    <s v="Acc. Incapacitante"/>
    <m/>
    <s v="SI"/>
  </r>
  <r>
    <n v="211"/>
    <m/>
    <s v="BOLIVIA"/>
    <s v="ALICORP_BOLIVIA"/>
    <m/>
    <x v="4"/>
    <s v="PLANTA PARQUE INDUSTRIAL"/>
    <s v="Mantenimiento"/>
    <x v="97"/>
    <x v="0"/>
    <s v="Acc. No Incapacitante"/>
    <d v="2024-09-25T00:00:00"/>
    <n v="39"/>
    <n v="25"/>
    <x v="8"/>
    <n v="2024"/>
    <d v="1899-12-30T14:00:00"/>
    <s v="M"/>
    <x v="0"/>
    <x v="0"/>
    <s v="Ruiz"/>
    <m/>
    <s v="Jose"/>
    <s v="MASCULINO"/>
    <n v="57"/>
    <s v="Técnico de mantenimiento"/>
    <d v="1998-12-07T00:00:00"/>
    <s v="A las 14:00 se registra un accidente para el cual se dio atención de primeros auxilios. Personal de mantenimiento (Eléctrico de turno) se encontraba montando un sensor de temperatura analógico (de aguja) en el intercambiador de aceite mineral 440 de extracción HLS, durante el montaje, no realiza la purga del aceite sobrante en la línea y cuando retira el tapón temporal para colocar el sensor le salpica aceite mineral caliente &gt; 80 °C en la parte de la espalda al Técnico de Mantenimiento que realizaba una inspección de una bomba cerca del lugar. Comunica del hecho y se lo dirige a la posta médica para aplicación de pomada en la parte afectada. Posterior a la atención retorna a su escritorio y sale al completar su turno._x000a_"/>
    <s v="Contacto con Superficie Caliente"/>
    <s v="Espalda"/>
    <s v="Abdomen/Torso"/>
    <s v="Inspección de bombas"/>
    <s v="Quemadura de 1er grado"/>
    <s v="Quemadura por Temperatura"/>
    <n v="0"/>
    <n v="0"/>
    <n v="0"/>
    <s v="Trabajando"/>
    <n v="730"/>
    <s v="&gt; 10 años"/>
    <s v="Línea de aceite mineral (sensor de temperatura analógico)"/>
    <s v="CONTRATO INDEFINIDO"/>
    <s v="Acc. No Incapacitante"/>
    <n v="0"/>
    <m/>
  </r>
  <r>
    <n v="212"/>
    <s v="PCO24523"/>
    <s v="PERÚ"/>
    <s v="ALICORP_SAA"/>
    <s v="PREDIO CENTRAL"/>
    <x v="3"/>
    <s v="COPSA"/>
    <s v="Producción"/>
    <x v="92"/>
    <x v="1"/>
    <s v="Acc. Incapacitante"/>
    <d v="2024-09-30T00:00:00"/>
    <n v="40"/>
    <n v="30"/>
    <x v="8"/>
    <n v="2024"/>
    <d v="1899-12-30T01:20:00"/>
    <s v="N"/>
    <x v="0"/>
    <x v="3"/>
    <s v="MARENGO"/>
    <s v="PITTMAN"/>
    <s v="JOHN ARMANDO"/>
    <s v="MASCULINO"/>
    <n v="51"/>
    <s v="LIDER LINEA FRACCIONAMIENTO"/>
    <d v="2002-02-01T00:00:00"/>
    <s v="El líder de turno procede a realizar el soplado del filtro 1 de la planta de descerado, realizando la apertura y cierre de válvulas de ingreso de nitrógeno y liberación del aceite hacia el tanque pulmón; una vez que la presión del filtro llegó a 3bar procedió con la apertura de la válvula de retorno para aliviar la presión antes de abrir el filtro para su limpieza. Al terminar esta actividad se dirigió hacia la sala de control y en ese instante sucedió la liberación intempestiva de presión del filtro, cuya onda expansiva afecta los oidos del trabajador."/>
    <s v="Golpeado por"/>
    <s v="Oidos"/>
    <s v="Oído"/>
    <s v="Soplado y limpieza del filtro 1 de la planta de descerado"/>
    <s v="Inflamación interna de oídos"/>
    <s v="Contusión/Trauma"/>
    <n v="4"/>
    <n v="0"/>
    <n v="4"/>
    <s v="Descanso Médico"/>
    <n v="120"/>
    <s v="&gt; 10 años"/>
    <s v="Onda expansiva por liberación intempestiva de presión"/>
    <s v="CONTRATO INDEFINIDO"/>
    <s v="Acc. Incapacitante"/>
    <n v="0"/>
    <s v="SI"/>
  </r>
  <r>
    <n v="213"/>
    <m/>
    <s v="PERÚ"/>
    <s v="INTRADEVCO_INDUSTRIAL_SA"/>
    <s v="LURIN"/>
    <x v="5"/>
    <s v="Lurin 2_Principal"/>
    <s v="Producción"/>
    <x v="40"/>
    <x v="0"/>
    <s v="Acc. No Incapacitante"/>
    <d v="2024-09-06T00:00:00"/>
    <n v="36"/>
    <n v="6"/>
    <x v="8"/>
    <n v="2024"/>
    <d v="1899-12-30T08:15:00"/>
    <s v="D"/>
    <x v="0"/>
    <x v="14"/>
    <s v="CHOQUEZ "/>
    <s v="SOTELO "/>
    <s v="MARCO ANTONIO"/>
    <s v="MASCULINO"/>
    <n v="34"/>
    <s v="TÉCNICO MECÁNICO"/>
    <d v="2020-01-12T00:00:00"/>
    <s v="El técnico Marcos Choquez sufrió una contusión leve en el rostro, específicamente entre la nariz y el pómulo izquierdo. El incidente ocurrió mientras aflojaba la conexión roscada de una manguera hidráulica en la máquina Tincoo galonera, utilizando una llave de boca. La lesión fue provocada por el impacto de la parte metálica de la manguera hidráulica y la boca de la llave de boca."/>
    <s v="Golpeado por"/>
    <s v="Rostro"/>
    <s v="Rostro/Nariz/Boca"/>
    <s v="Desmontaje de manguera"/>
    <s v="Contusión"/>
    <s v="Contusión/Trauma"/>
    <n v="0"/>
    <n v="0"/>
    <n v="0"/>
    <s v="Trabajando"/>
    <n v="48"/>
    <s v="&lt; 1 a 5 años"/>
    <s v="Llave"/>
    <s v="CONTRATO INDEFINIDO"/>
    <s v="Acc. No Incapacitante"/>
    <n v="0"/>
    <m/>
  </r>
  <r>
    <n v="214"/>
    <s v="PGL24524"/>
    <s v="PERÚ"/>
    <s v="ALICORP_SAA"/>
    <s v="PREDIO CENTRAL"/>
    <x v="0"/>
    <s v="GALLETERA &amp; INSTANTÁNEOS"/>
    <s v="Producción"/>
    <x v="98"/>
    <x v="0"/>
    <s v="Acc. No Incapacitante"/>
    <d v="2024-10-02T00:00:00"/>
    <n v="40"/>
    <n v="2"/>
    <x v="9"/>
    <n v="2024"/>
    <d v="1899-12-30T17:30:00"/>
    <s v="T"/>
    <x v="0"/>
    <x v="0"/>
    <s v="NEYRA"/>
    <s v="CALDERON"/>
    <s v="JOSE"/>
    <s v="MASCULINO"/>
    <m/>
    <s v="Inspector de Calidad"/>
    <m/>
    <s v="El colaborador José Neyra sufrió un accidente mientras realizaba el cambio de bolsas en el depósito recolector. Durante la operación, no se percató de que el cartel acrílico de rotulación tenía una superficie filosa, lo que le provocó una herida en el antebrazo de la mano derecha.Se brindaron los primeros auxilios en el tópico y no se requiere traslado externo."/>
    <s v="Contacto con superficie filosa"/>
    <s v="Brazo"/>
    <m/>
    <s v="Retiro de bolsas"/>
    <s v="Herida en antebrazo derecho "/>
    <s v="Corte/Herida"/>
    <n v="0"/>
    <m/>
    <m/>
    <s v="Laborando"/>
    <m/>
    <m/>
    <s v="Señalización"/>
    <s v="CONTRATO INDEFINIDO"/>
    <s v="Acc. No Incapacitante"/>
    <m/>
    <m/>
  </r>
  <r>
    <n v="215"/>
    <m/>
    <s v="PERÚ"/>
    <s v="ALICORP_SAA"/>
    <s v="PREDIO CENTRAL"/>
    <x v="6"/>
    <s v="COPSA"/>
    <s v="Proyectos"/>
    <x v="99"/>
    <x v="1"/>
    <s v="Acc. Incapacitante"/>
    <d v="2024-10-02T00:00:00"/>
    <n v="40"/>
    <n v="2"/>
    <x v="9"/>
    <n v="2024"/>
    <d v="1899-12-30T15:25:00"/>
    <s v="M"/>
    <x v="2"/>
    <x v="41"/>
    <s v="Mozombite"/>
    <s v="Villacorta"/>
    <s v="Ricky Adrian"/>
    <s v="MASCULINO"/>
    <m/>
    <s v="Ayudante"/>
    <m/>
    <s v="El 02 de octubre a las 15:25 horas aprox. La empresa SC se encontraba realizando el traslado manual de restos de acero de demolición desde exteriores de Extracción Mecánica hasta el punto de acopio temporal ubicado en Extracción por solventes. En ese instante el trabajador RICKY ADRIAN  MOZOMBITE VILLACORTA (Ayudante) lanzó una varilla de ø ½¨x 1.25m para ubicarla en la zona más alta del punto de acopio, ésta, por su geometría y medida, rebota e impacta en el rostro del trabajador generándole un corte a la altura de la nariz._x000a_"/>
    <s v="Golpeado por"/>
    <s v="Rostro"/>
    <s v="Rostro/Nariz/Boca"/>
    <s v="Traslado manual de restos de acero"/>
    <s v="Herida de nariz"/>
    <s v="Corte/Herida"/>
    <n v="3"/>
    <n v="0"/>
    <n v="3"/>
    <s v="Laborando"/>
    <m/>
    <m/>
    <s v="Varillas de acero"/>
    <s v="CONTRATO TEMPORAL"/>
    <s v="Acc. Incapacitante"/>
    <n v="0"/>
    <s v="SI"/>
  </r>
  <r>
    <n v="216"/>
    <m/>
    <s v="BOLIVIA"/>
    <s v="ALICORP_BOLIVIA"/>
    <m/>
    <x v="2"/>
    <s v="PLANTA COCHABAMBA"/>
    <s v="Producción"/>
    <x v="100"/>
    <x v="0"/>
    <s v="Acc. No Incapacitante"/>
    <d v="2024-09-02T00:00:00"/>
    <n v="36"/>
    <n v="2"/>
    <x v="8"/>
    <n v="2024"/>
    <d v="1899-12-30T10:00:00"/>
    <s v="M"/>
    <x v="0"/>
    <x v="0"/>
    <s v="RIVERA"/>
    <s v="ZAMBRANA"/>
    <s v="TEODORO"/>
    <s v="MASCULINO"/>
    <n v="54"/>
    <s v="Auxiliar Granel"/>
    <d v="1998-01-15T00:00:00"/>
    <s v="En fecha 02 de septiembre a hrs 10:00 am aprox. el trabajador Teodoro Rivera Zambrana (Auxiliar de Granel), persona que se encontraba ajustando la unión danesa inoxidable entre la línea del tanque 634 y la línea de cisterna, para dicho trabajo estaba utilizando una llave de ajuste universal; cuando de repente la llave safa, impactando el dedo meñique de la mano derecha en la rosca de la línea (tubería) colindante. Posteriormente es evacuado a la posta médica donde se realiza los primeros auxilios."/>
    <s v="Golpeado por"/>
    <s v="Mano"/>
    <s v="Mano/Muñeca/Dedos"/>
    <s v="Ajuste de piezas (unión danesa)"/>
    <s v="Herida cortante superficial, menor a 1 cm en el dedo meñique de la mano der"/>
    <s v="Corte/Herida"/>
    <n v="0"/>
    <n v="0"/>
    <n v="0"/>
    <s v="Trabajando"/>
    <n v="320"/>
    <s v="&gt; 10 años"/>
    <s v="Líneas de transferencia de producto terminado (tuberías y accesorios)"/>
    <s v="CONTRATO INDEFINIDO"/>
    <s v="Acc. No Incapacitante"/>
    <n v="0"/>
    <m/>
  </r>
  <r>
    <n v="217"/>
    <m/>
    <s v="PERÚ"/>
    <s v="ALICORP_SAA"/>
    <s v="PREDIO CENTRAL"/>
    <x v="13"/>
    <s v="Fideeria Lima"/>
    <s v="Producción"/>
    <x v="101"/>
    <x v="1"/>
    <s v="Acc. Incapacitante"/>
    <d v="2024-10-04T00:00:00"/>
    <n v="40"/>
    <n v="4"/>
    <x v="9"/>
    <n v="2024"/>
    <d v="1899-12-30T05:00:00"/>
    <s v="N"/>
    <x v="2"/>
    <x v="42"/>
    <s v="TANANTA"/>
    <s v="TUANAMA"/>
    <s v="CRISTIAN"/>
    <s v="MASCULINO"/>
    <s v="-"/>
    <s v="Plataformero"/>
    <s v="-"/>
    <s v="El accidente sucedió aproximadamente a las 05:00 a.m. momento en el que Cristian Tananta, Plataformero de la empresa Clean Work se encontraba realizando la actividad de limpieza de plataformas y descansos, y finalizada la limpieza se percata de un fideo manchado con grasa en la zona de las cadenas laterales y decide acercarse a retirarlo sin percatarse del capacho que transporta la caña y le pellizca el dedo (con guante)."/>
    <s v="Atrapado por Partes en Movimiento"/>
    <s v="Dedo medio de mano derecha"/>
    <s v="Mano/Muñeca/Dedos"/>
    <s v="Limpieza de plataforma y descansos"/>
    <s v="Herida de dedo de la mano derecha con daño en la uña"/>
    <s v="Corte/Herida"/>
    <n v="3"/>
    <n v="0"/>
    <n v="3"/>
    <s v="Laborando"/>
    <n v="12"/>
    <s v="&lt; 1 a 5 años"/>
    <s v="Cadenas en movimiento"/>
    <s v="CONTRATO TEMPORAL"/>
    <s v="Acc. Incapacitante"/>
    <n v="0"/>
    <s v="SI"/>
  </r>
  <r>
    <n v="218"/>
    <m/>
    <s v="PERÚ"/>
    <s v="ALICORP_SAA"/>
    <s v="SIDSUR"/>
    <x v="12"/>
    <s v="SIDSUR"/>
    <s v="Producción"/>
    <x v="2"/>
    <x v="0"/>
    <s v="Acc. No Incapacitante"/>
    <d v="2024-10-05T00:00:00"/>
    <n v="40"/>
    <n v="5"/>
    <x v="9"/>
    <n v="2024"/>
    <d v="1899-12-30T06:00:00"/>
    <s v="D"/>
    <x v="1"/>
    <x v="3"/>
    <s v="ARAPA"/>
    <s v="APAZA"/>
    <s v="LUZ"/>
    <s v="FEMENINO"/>
    <m/>
    <s v="APRENDIZ DE SENATI"/>
    <d v="2024-03-11T00:00:00"/>
    <s v="Colaboradora se encontraba transitado dentro del área, al lado de la línea de producción de mascotas, al evidenciar el espacio reducido para pasar detrás de una persona quien se encontraba encajando. Ella decide pasar sobre una plataforma de meta; levanta el pie tropezándose en la plataforma, cayéndose ; por consecuencia se  golpea el muslo y el tobillo"/>
    <s v="Caída al mismo nivel"/>
    <s v="Pie"/>
    <s v="Pie/Tobillo"/>
    <s v="Transito en planta"/>
    <s v="Contusión en el pie izquierdo"/>
    <s v="Contusión/Trauma"/>
    <n v="0"/>
    <m/>
    <m/>
    <m/>
    <m/>
    <m/>
    <m/>
    <m/>
    <s v="Acc. No Incapacitante"/>
    <n v="0"/>
    <m/>
  </r>
  <r>
    <n v="219"/>
    <s v="PGL24544 "/>
    <s v="PERÚ"/>
    <s v="ALICORP_SAA"/>
    <s v="PREDIO CENTRAL"/>
    <x v="0"/>
    <s v="GALLETERA &amp; INSTANTÁNEOS"/>
    <s v="Producción"/>
    <x v="102"/>
    <x v="1"/>
    <s v="Acc. Incapacitante"/>
    <d v="2024-10-12T00:00:00"/>
    <n v="41"/>
    <n v="12"/>
    <x v="9"/>
    <n v="2024"/>
    <d v="1899-12-30T07:00:00"/>
    <s v="D"/>
    <x v="0"/>
    <x v="3"/>
    <s v="MILLONES"/>
    <s v="CASAS"/>
    <s v="JENY CECILIA"/>
    <s v="FEMENINO"/>
    <n v="43"/>
    <s v="OPERARIO DE PRODUCCION"/>
    <d v="2007-07-07T00:00:00"/>
    <s v="El sábado 12, a las 7:01 am, la colaboradora Jeny Millones estaba saliendo del vestuario de damas para comenzar su turno de trabajo. En ese instante, se resbaló y cayó al suelo, golpeándose las rodillas y el hombro. Posteriormente, ingresó a la planta, donde se notificó del accidente y se le brindaron primeros auxilios"/>
    <s v="Caída al mismo nivel"/>
    <s v="Hombro"/>
    <s v="Brazo/Codo/Hombro"/>
    <s v="Tránsito peatonal"/>
    <s v="Esguince y Torcedura que comprometen ligamento"/>
    <s v="Contusión/Trauma"/>
    <n v="22"/>
    <n v="0"/>
    <n v="22"/>
    <s v="Descanso Médico"/>
    <n v="192"/>
    <s v="&gt; 10 años"/>
    <s v="Piso "/>
    <s v="CONTRATO INDEFINIDO"/>
    <s v="Acc. Incapacitante"/>
    <m/>
    <s v="SI"/>
  </r>
  <r>
    <n v="220"/>
    <s v="PGL24574"/>
    <s v="PERÚ"/>
    <s v="ALICORP_SAA"/>
    <s v="PREDIO CENTRAL"/>
    <x v="6"/>
    <s v="GALLETERA &amp; INSTANTÁNEOS"/>
    <s v="Seguridad"/>
    <x v="103"/>
    <x v="1"/>
    <s v="Acc. Incapacitante"/>
    <d v="2024-10-17T00:00:00"/>
    <n v="42"/>
    <n v="17"/>
    <x v="9"/>
    <n v="2024"/>
    <d v="1899-12-30T11:00:00"/>
    <s v="D"/>
    <x v="0"/>
    <x v="3"/>
    <s v="ROMERO"/>
    <s v="SAMANIEGO"/>
    <s v="JERSON"/>
    <s v="MASCULINO"/>
    <n v="31"/>
    <s v="INSPECTOR DE SEGURIDAD INDUSTRIAL"/>
    <m/>
    <s v="El 17 de octubre de 2024 a las 11:00 horas, el colaborador Jerson Romero se encontraba realizando el cambio de un extintor de PQS 20 lb ubicado en el techo de la planta Galletera, para su retiro debe descender por una escalera trasladando el extintor en una mano; encontrándose en el penúltimo peldaño, pierde el equilibrio y pisa en falso.  Es atendido en el tópico y derivado a la clínica San Gabriel para la atención por especialista."/>
    <s v="Caída al mismo nivel"/>
    <s v="Pie"/>
    <s v="Pie/Tobillo"/>
    <s v="Traslado de extintores"/>
    <s v="Contusión en el pie izquierdo"/>
    <s v="Contusión/Trauma"/>
    <n v="8"/>
    <n v="0"/>
    <n v="8"/>
    <s v="Descanso Médico"/>
    <n v="60"/>
    <s v="&lt; 5 a 10 años"/>
    <s v="Escalera"/>
    <s v="CONTRATO INDEFINIDO"/>
    <s v="Acc. Incapacitante"/>
    <m/>
    <s v="SI"/>
  </r>
  <r>
    <n v="221"/>
    <m/>
    <s v="PERÚ"/>
    <s v="MASTERBREAD"/>
    <s v="Sicaya"/>
    <x v="10"/>
    <s v="Teal Sicaya"/>
    <s v="Producción"/>
    <x v="77"/>
    <x v="1"/>
    <s v="Acc. Incapacitante"/>
    <d v="2024-10-16T00:00:00"/>
    <n v="42"/>
    <n v="16"/>
    <x v="9"/>
    <n v="2024"/>
    <d v="1899-12-30T14:10:00"/>
    <s v="D"/>
    <x v="0"/>
    <x v="18"/>
    <s v="AYAMBO"/>
    <s v="CAHUACHI"/>
    <s v="BRAYAN JOSE"/>
    <s v="MASCULINO"/>
    <n v="33"/>
    <s v="OPERARIO DE PRODUCCION"/>
    <d v="2024-09-09T00:00:00"/>
    <s v="En circunstancias que el Operario de Producción Brayan Ayambo procedía a retirar en reversa el coche que contiene bandejas con panetones listos para el horneado; durante la maniobra de traslado se ladea hacia los coches estacionados y la penúltima bandeja metálica choca con la estructura de esta última, deslizándose hacia el lado izquierdo golpeando con sus bordes la frente del Colaborador, generándole una herida contusa en dicha zona."/>
    <s v="Golpeado por"/>
    <s v="Frente"/>
    <s v="Rostro/Nariz/Boca"/>
    <s v="Traslado de coche de bandejas de panetones"/>
    <s v="Herida contusa en la frente – lado izquierdo"/>
    <s v="Corte/Herida"/>
    <n v="9"/>
    <n v="0"/>
    <n v="9"/>
    <s v="Laborando"/>
    <n v="1"/>
    <s v="&lt; 1 a 3 meses"/>
    <s v="Bandeja metalica"/>
    <s v="CONTRATO TEMPORAL"/>
    <s v="Acc. Incapacitante"/>
    <n v="0"/>
    <s v="SI"/>
  </r>
  <r>
    <n v="222"/>
    <s v="PGL24573"/>
    <s v="PERÚ"/>
    <s v="ALICORP_SAA"/>
    <s v="PREDIO CENTRAL"/>
    <x v="0"/>
    <s v="GALLETERA &amp; INSTANTÁNEOS"/>
    <s v="Producción"/>
    <x v="40"/>
    <x v="0"/>
    <s v="Acc. No Incapacitante"/>
    <d v="2024-10-17T00:00:00"/>
    <n v="42"/>
    <n v="17"/>
    <x v="9"/>
    <n v="2024"/>
    <d v="1899-12-30T14:18:00"/>
    <s v="D"/>
    <x v="0"/>
    <x v="3"/>
    <s v="ROJAS"/>
    <s v="BARRERA"/>
    <s v="SAUL"/>
    <s v="MASCULINO"/>
    <m/>
    <s v="OPERARIO DE PRODUCCION"/>
    <m/>
    <s v="El colaborador Saúl Rojas sufrió un accidente no incapacitante mientras realizaba tareas de limpieza. Durante esta actividad, que realizó con un paño, agua y detergente, le salpicó agua con detergente en el ojo izquierdo, ya que no estaba usando los lentes de seguridad correspondientes."/>
    <s v="Exposición a Sustancias Químicas"/>
    <s v="Ojo"/>
    <s v="Ojos"/>
    <s v="Limpieza de equipo"/>
    <s v="Irritación Ocular"/>
    <s v="Queratoconjuntivitis"/>
    <n v="0"/>
    <m/>
    <m/>
    <s v="Laboranod"/>
    <n v="144"/>
    <s v="&gt; 10 años"/>
    <s v="Detergente"/>
    <s v="CONTRATO INDEFINIDO"/>
    <s v="Acc. No Incapacitante"/>
    <m/>
    <m/>
  </r>
  <r>
    <n v="223"/>
    <m/>
    <s v="PERÚ"/>
    <s v="INTRADEVCO_INDUSTRIAL_SA"/>
    <s v="LURIN"/>
    <x v="5"/>
    <s v="Lurin 4_Detergente"/>
    <s v="Producción"/>
    <x v="40"/>
    <x v="0"/>
    <s v="Acc. No Incapacitante"/>
    <d v="2024-10-09T00:00:00"/>
    <n v="41"/>
    <n v="9"/>
    <x v="9"/>
    <n v="2024"/>
    <d v="1899-12-30T09:30:00"/>
    <s v="D"/>
    <x v="3"/>
    <x v="5"/>
    <s v="ROMERO"/>
    <s v=" CORDOVA"/>
    <s v="CARLOS ANDY"/>
    <s v="MASCULINO"/>
    <m/>
    <s v="OPERARIO DE PRODUCCION"/>
    <d v="2024-07-03T00:00:00"/>
    <s v="El colaborador se encontraba abasteciendo sacos (codificado) en la zona de ducto automático. Al momento de trasportar en dirección al ducto,se tropieza con un saco que estaba sobresalido. Al no querer caer se inclina sobre la ruma de paletas generándose un golpe. "/>
    <s v="Golpeado contra"/>
    <s v="Torax"/>
    <s v="Abdomen/Torso"/>
    <s v="Transito en planta"/>
    <s v="Contusion superficial en el torax"/>
    <s v="Contusión/Trauma"/>
    <n v="0"/>
    <n v="0"/>
    <n v="0"/>
    <s v="Laborando"/>
    <n v="3"/>
    <s v="&lt; 3 a 6 meses"/>
    <s v="Ruma de pallets"/>
    <s v="CONTRATO TEMPORAL"/>
    <s v="Acc. No Incapacitante"/>
    <m/>
    <m/>
  </r>
  <r>
    <n v="224"/>
    <m/>
    <s v="PERÚ"/>
    <s v="INTRADEVCO_INDUSTRIAL_SA"/>
    <s v="LURIN"/>
    <x v="5"/>
    <s v="Lurin 4_Detergente"/>
    <s v="Producción"/>
    <x v="27"/>
    <x v="0"/>
    <s v="Acc. No Incapacitante"/>
    <d v="2024-10-25T00:00:00"/>
    <n v="43"/>
    <n v="25"/>
    <x v="9"/>
    <n v="2024"/>
    <d v="1899-12-30T02:40:00"/>
    <s v="N"/>
    <x v="3"/>
    <x v="5"/>
    <s v="ESAMAT "/>
    <s v="BESEN "/>
    <s v="ANTERO PEDRO"/>
    <s v="MASCULINO"/>
    <m/>
    <s v="OPERARIO DE PRODUCCION"/>
    <m/>
    <s v="El colaborador menciona que el brazo N°05 de la torre se encontraba compactado con la rosca, lo que le impedía retirarlo con facilidad. Por ello, al jalar con fuerza el brazo N°05, se impacta en su pómulo derecho, lo que le generó hinchazón y raspón."/>
    <s v="Golpeado por"/>
    <s v="Pomulo derecho"/>
    <s v="Rostro/Nariz/Boca"/>
    <s v="Manipulacion de brazo"/>
    <s v="Contusion en pomulo"/>
    <s v="Contusión/Trauma"/>
    <n v="0"/>
    <n v="0"/>
    <n v="0"/>
    <s v="Laborando"/>
    <m/>
    <m/>
    <s v="Brazo de torre"/>
    <s v="CONTRATO TEMPORAL"/>
    <s v="Acc. No Incapacitante"/>
    <n v="0"/>
    <m/>
  </r>
  <r>
    <n v="225"/>
    <m/>
    <s v="PERÚ"/>
    <s v="INTRADEVCO_INDUSTRIAL_SA"/>
    <s v="LURIN"/>
    <x v="5"/>
    <s v="Lurin 4_Detergente"/>
    <s v="Producción"/>
    <x v="27"/>
    <x v="0"/>
    <s v="Acc. No Incapacitante"/>
    <d v="2024-10-28T00:00:00"/>
    <n v="44"/>
    <n v="28"/>
    <x v="9"/>
    <n v="2024"/>
    <d v="1899-12-30T16:00:00"/>
    <s v="D"/>
    <x v="3"/>
    <x v="5"/>
    <s v="CONTRERAS"/>
    <s v=" VELASQUEZ"/>
    <s v=" SEGUNDO ROBERT"/>
    <s v="MASCULINO"/>
    <m/>
    <s v="OPERARIO DE PRODUCCION"/>
    <m/>
    <s v="El colaborador se encontraba colocando la baranda en la zona de ducto y menciona que no se percató que el hoyo en donde ingresa estaba con agua (se había hecho baldeado de piso) estuvo realizando presión para colocarla ya que es difícil de hacerla encajar y al introducirla el líquido sale proyectado hacia el rostro siendo afectados ambos ojos."/>
    <s v="Proyección de Sustancias Químicas"/>
    <s v="Ojos"/>
    <s v="Ojos"/>
    <s v="Manipulacion de baranda"/>
    <s v="Irritacion en ojos"/>
    <s v="Cuerpo Extraño en Ojos"/>
    <n v="0"/>
    <n v="0"/>
    <n v="0"/>
    <s v="Laborando"/>
    <m/>
    <m/>
    <s v="Liquido empozado"/>
    <s v="CONTRATO TEMPORAL"/>
    <s v="Acc. No Incapacitante"/>
    <n v="0"/>
    <m/>
  </r>
  <r>
    <n v="226"/>
    <m/>
    <s v="PERÚ"/>
    <s v="INTRADEVCO_INDUSTRIAL_SA"/>
    <s v="LURIN"/>
    <x v="5"/>
    <s v="Lurin 4_Detergente"/>
    <s v="Producción"/>
    <x v="27"/>
    <x v="0"/>
    <s v="Acc. No Incapacitante"/>
    <d v="2024-10-31T00:00:00"/>
    <n v="44"/>
    <n v="31"/>
    <x v="9"/>
    <n v="2024"/>
    <d v="1899-12-30T10:50:00"/>
    <s v="D"/>
    <x v="3"/>
    <x v="5"/>
    <s v="VARILLAS"/>
    <s v=" GALLARDO"/>
    <s v=" ROMER AUGUSTO"/>
    <s v="MASCULINO"/>
    <m/>
    <s v="OPERARIO DE PRODUCCION"/>
    <m/>
    <s v="Colaborador se encontraba realizando el traslado de coches de la balanza #01 a la zona de envasado. _x000a_Manifiesta que colocó una mano en el soporte y la otra en la manija debido a que se estaba llenando la zona de más coches, para evitar la acumulación hizo la sujeción de manera apresurada sin realizarlo correctamente. _x000a_Al hacer fuerza el dedo pulgar derecho se dobla generando que haya aumento de volumen en parte de la muñeca, sin embargo; no hay limitación de movimiento."/>
    <s v="Golpeado por"/>
    <s v="Pulgar derecho"/>
    <s v="Mano/Muñeca/Dedos"/>
    <s v="Manipulacion de coches"/>
    <s v="Contusion en pulgar derecho"/>
    <s v="Contusión/Trauma"/>
    <n v="0"/>
    <n v="0"/>
    <n v="0"/>
    <s v="Laborando"/>
    <m/>
    <m/>
    <m/>
    <s v="CONTRATO TEMPORAL"/>
    <s v="Acc. No Incapacitante"/>
    <n v="0"/>
    <m/>
  </r>
  <r>
    <n v="227"/>
    <m/>
    <s v="BOLIVIA"/>
    <s v="ALICORP_BOLIVIA"/>
    <m/>
    <x v="1"/>
    <s v="PLANTA DON FELIPE"/>
    <s v="Mantenimiento"/>
    <x v="104"/>
    <x v="1"/>
    <s v="Acc. Incapacitante"/>
    <d v="2024-10-15T00:00:00"/>
    <n v="42"/>
    <n v="15"/>
    <x v="9"/>
    <n v="2024"/>
    <d v="1899-12-30T09:20:00"/>
    <s v="M"/>
    <x v="0"/>
    <x v="3"/>
    <s v="TICONA"/>
    <s v="HURTADO"/>
    <s v="RENE FELIX"/>
    <s v="MASCULINO"/>
    <n v="62"/>
    <s v="Mecánico"/>
    <d v="1999-02-12T00:00:00"/>
    <s v="En fecha 15/10/ 2024 a horas 09:20 a.m., durante el desmontaje de la bandeja de plancha metálica del separador de cascara #1, los técnicos de mantenimiento  se encontraban retirando los seguros de los perfiles del marco de la batea, al retirar los pernos del lado sur de la plancha esta sede del lado derecho llegando a golpear sobre el tórax del técnico, (la plancha de 0,70 mts * 3 mts con un peso aproximado de  200 kg ) dicha plancha quedo anclada en uno de los soportes laterales y central no llegando a tener contacto el 100% de la plancha con el técnico."/>
    <s v="Golpeado por"/>
    <s v="Torax"/>
    <s v="Abdomen/Torso"/>
    <s v="Desmontaje de la bandeja de plancha metálica del separador de cascara #1"/>
    <s v="TME en tórax y abdomen por golpe"/>
    <s v="Contusión/Trauma"/>
    <n v="6"/>
    <n v="0"/>
    <n v="6"/>
    <s v="Descanso Médico"/>
    <n v="309"/>
    <s v="&gt; 10 años"/>
    <s v="Bandeja separador de cascara 1"/>
    <s v="CONTRATO INDEFINIDO"/>
    <s v="Acc. Incapacitante"/>
    <m/>
    <s v="SI"/>
  </r>
  <r>
    <n v="228"/>
    <m/>
    <s v="PERÚ"/>
    <s v="INTRADEVCO_INDUSTRIAL_SA"/>
    <s v="CHORRILLOS"/>
    <x v="5"/>
    <s v="Chorrillos"/>
    <s v="Producción"/>
    <x v="105"/>
    <x v="0"/>
    <s v="Acc. No Incapacitante"/>
    <d v="2024-09-11T00:00:00"/>
    <n v="37"/>
    <n v="11"/>
    <x v="8"/>
    <n v="2024"/>
    <d v="1899-12-30T08:15:00"/>
    <s v="D"/>
    <x v="3"/>
    <x v="5"/>
    <s v="FASANDO"/>
    <s v="MANIHUARI"/>
    <s v="OMAR"/>
    <s v="MASCULINO"/>
    <n v="35"/>
    <s v="OPERARIO DE PRODUCCIÓN"/>
    <d v="2024-06-24T00:00:00"/>
    <s v="El colaborador se encontraba encajando en ese momento empezó a gotear de una tubería quitamancha ropa color, cayéndole en el rostro y hombro, generándole una leve irritación."/>
    <s v="Exposición a Sustancias Químicas"/>
    <s v="Rostro"/>
    <s v="Brazo/Codo/Hombro"/>
    <s v="Encajando"/>
    <s v="Irritación leve"/>
    <s v="Dermatitis/Irritación de la piel"/>
    <n v="0"/>
    <n v="0"/>
    <n v="0"/>
    <s v="Laborando"/>
    <m/>
    <m/>
    <m/>
    <m/>
    <s v="Acc. No Incapacitante"/>
    <n v="0"/>
    <m/>
  </r>
  <r>
    <n v="229"/>
    <m/>
    <s v="PERÚ"/>
    <s v="INTRADEVCO_INDUSTRIAL_SA"/>
    <s v="CHORRILLOS"/>
    <x v="5"/>
    <s v="Chorrillos"/>
    <s v="Producción"/>
    <x v="105"/>
    <x v="0"/>
    <s v="Acc. No Incapacitante"/>
    <d v="2024-09-12T00:00:00"/>
    <n v="37"/>
    <n v="12"/>
    <x v="8"/>
    <n v="2024"/>
    <d v="1899-12-30T10:00:00"/>
    <s v="D"/>
    <x v="3"/>
    <x v="5"/>
    <s v="JULCAHUANCA"/>
    <s v="VASQUEZ"/>
    <s v=" CARLOS ENRRIQUE"/>
    <s v="MASCULINO"/>
    <n v="27"/>
    <s v="OPERARIO DE PRODUCCIÓN"/>
    <d v="2024-04-25T00:00:00"/>
    <s v="El trabajador se encontraba realizando la actividad de tapado de Quitamancha Ropa Color (550 mL) usando guantes hyflex y sobre eso guantes estaba usando guantes touchntuff, debido a una abertura que tenia el  guantes touchntuff ingresa el producto mientras el colaborador continua realizando la actividad, despues de una hora el colaborador presenta irritación en los dedos de ambas manos."/>
    <s v="Exposición a Sustancias Químicas"/>
    <s v="Dedos de la manos"/>
    <s v="Mano/Muñeca/Dedos"/>
    <s v="Tapado"/>
    <s v="Irritación leve"/>
    <s v="Dermatitis/Irritación de la piel"/>
    <n v="0"/>
    <n v="0"/>
    <n v="0"/>
    <s v="Laborando"/>
    <m/>
    <m/>
    <m/>
    <m/>
    <s v="Acc. No Incapacitante"/>
    <n v="0"/>
    <m/>
  </r>
  <r>
    <n v="230"/>
    <m/>
    <s v="PERÚ"/>
    <s v="INTRADEVCO_INDUSTRIAL_SA"/>
    <s v="CHORRILLOS"/>
    <x v="5"/>
    <s v="Chorrillos"/>
    <s v="Producción"/>
    <x v="106"/>
    <x v="0"/>
    <s v="Acc. No Incapacitante"/>
    <d v="2024-09-16T00:00:00"/>
    <n v="38"/>
    <n v="16"/>
    <x v="8"/>
    <n v="2024"/>
    <d v="1899-12-30T13:18:00"/>
    <s v="D"/>
    <x v="3"/>
    <x v="5"/>
    <s v="LOPEZ"/>
    <s v="CALLIRGOS"/>
    <s v="ALEX FRANCISCO"/>
    <s v="MASCULINO"/>
    <n v="30"/>
    <s v="OPERARIO DE PRODUCCIÓN"/>
    <d v="2024-09-05T00:00:00"/>
    <s v="El trabajador se encontra limpiando la maquina encintadora, en eso introduce la mano entre los rodillos quedado atrapada la mano derecha entre los espacios."/>
    <s v="Golpeado por"/>
    <s v="Mano derecha"/>
    <m/>
    <s v="Limpieza de encintadora"/>
    <s v="Contusión"/>
    <m/>
    <n v="0"/>
    <n v="0"/>
    <n v="0"/>
    <s v="Laborando"/>
    <n v="1"/>
    <s v="&lt; 1 mes"/>
    <m/>
    <m/>
    <s v="Acc. No Incapacitante"/>
    <n v="0"/>
    <m/>
  </r>
  <r>
    <n v="231"/>
    <m/>
    <s v="PERÚ"/>
    <s v="INTRADEVCO_INDUSTRIAL_SA"/>
    <s v="CHORRILLOS"/>
    <x v="5"/>
    <s v="Chorrillos"/>
    <s v="Producción"/>
    <x v="106"/>
    <x v="0"/>
    <s v="Acc. No Incapacitante"/>
    <d v="2024-09-17T00:00:00"/>
    <n v="38"/>
    <n v="17"/>
    <x v="8"/>
    <n v="2024"/>
    <d v="1899-12-30T10:20:00"/>
    <s v="D"/>
    <x v="3"/>
    <x v="5"/>
    <s v="MONTES"/>
    <s v="HEREDIA"/>
    <s v="BRYAN"/>
    <s v="MASCULINO"/>
    <n v="32"/>
    <s v="OPERARIO DE PRODUCCIÓN"/>
    <d v="2024-08-28T00:00:00"/>
    <s v="El trabajador el día 17/09/2024 a las 10:20 am se encontraba paletizando al momento de colocar una paleta sobre otra con ayuda de un compañero que al soltar el la palleta superior porque su dedo meñique queda atrapado en medio por tal motivo jala su mano sin sentir dolor debido a que se encontraba con guantes"/>
    <s v="Atrapado por Partes en Movimiento"/>
    <s v="Mano "/>
    <m/>
    <s v="Colocar pallets"/>
    <s v="Contusión en dedo meñique"/>
    <m/>
    <n v="0"/>
    <n v="0"/>
    <n v="0"/>
    <s v="Laborando"/>
    <m/>
    <m/>
    <m/>
    <m/>
    <s v="Acc. No Incapacitante"/>
    <n v="0"/>
    <m/>
  </r>
  <r>
    <n v="232"/>
    <s v="PGL24575"/>
    <s v="PERÚ"/>
    <s v="ALICORP_SAA"/>
    <s v="PREDIO CENTRAL"/>
    <x v="0"/>
    <s v="GALLETERA &amp; INSTANTÁNEOS"/>
    <s v="Producción"/>
    <x v="40"/>
    <x v="0"/>
    <s v="Acc. No Incapacitante"/>
    <d v="2024-10-22T00:00:00"/>
    <n v="43"/>
    <n v="22"/>
    <x v="9"/>
    <n v="2024"/>
    <d v="1899-12-30T07:15:00"/>
    <s v="D"/>
    <x v="0"/>
    <x v="3"/>
    <s v="ROSALES "/>
    <s v="CRISPIN"/>
    <s v="DINA NOEMI"/>
    <s v="FEMENINO"/>
    <n v="34"/>
    <s v="OPERARIO DE PRODUCCION"/>
    <m/>
    <s v="Siendo las 07:15 a.m la trabajadora ROSALES CRISPIN DINA NOEMI se encontraba realizando labores de acomodo de guías de alimentación de granel en línea 2 de envasado de galletas, para ello estaba parada sobre una tarima metálica, misma que tiene en todos los bordes cinta antideslizante; y cuando la trabajadora se dispone a bajar de dicha tarima pierde el equilibrio y cae golpeándose la rodilla derecha"/>
    <s v="Caída al mismo nivel"/>
    <s v="Rodilla"/>
    <m/>
    <s v="Acomodo de galletas"/>
    <s v="Golpe en la rodilla derecha"/>
    <s v="Contusión/Trauma"/>
    <n v="0"/>
    <n v="0"/>
    <n v="0"/>
    <s v="Laborando"/>
    <m/>
    <m/>
    <s v="Tarima métalica"/>
    <s v="CONTRATO INDEFINIDO"/>
    <s v="Acc. No Incapacitante"/>
    <n v="0"/>
    <m/>
  </r>
  <r>
    <n v="233"/>
    <m/>
    <s v="PERÚ"/>
    <s v="INTRADEVCO_INDUSTRIAL_SA"/>
    <s v="LURIN"/>
    <x v="5"/>
    <s v="Lurin 5_20mil"/>
    <s v="Producción"/>
    <x v="72"/>
    <x v="0"/>
    <s v="Acc. No Incapacitante"/>
    <d v="2024-10-23T00:00:00"/>
    <n v="43"/>
    <n v="23"/>
    <x v="9"/>
    <n v="2024"/>
    <d v="1899-12-30T11:25:00"/>
    <s v="D"/>
    <x v="3"/>
    <x v="5"/>
    <s v="EFFIO"/>
    <s v=" BRACAMONTE"/>
    <s v="INGRID BALBINA"/>
    <s v="FEMENINO"/>
    <m/>
    <s v="OPERARIO DE PRODUCCION"/>
    <m/>
    <s v="Colaboradora estaba realizando el abastecimiento de frascos en la línea Triner y utilizó una escalera de dos peldaños. Al hacer el abastecimiento, pisó al vacío, lo que provocó una caída desde un nivel diferente siendo afectado su tobillo derecho."/>
    <s v="Caída a distinto nivel"/>
    <s v="Tobillo derecho"/>
    <s v="Pie/Tobillo"/>
    <s v="Abastecimiento de frascos a línea"/>
    <s v="Contusion en tobillo"/>
    <s v="Contusión/Trauma"/>
    <n v="0"/>
    <n v="0"/>
    <n v="0"/>
    <s v="Laborando"/>
    <m/>
    <m/>
    <s v="Escalera"/>
    <s v="CONTRATO TEMPORAL"/>
    <s v="Acc. No Incapacitante"/>
    <n v="0"/>
    <m/>
  </r>
  <r>
    <n v="234"/>
    <m/>
    <s v="PERÚ"/>
    <s v="ALICORP_SAA"/>
    <s v="PREDIO CENTRAL"/>
    <x v="3"/>
    <s v="COPSA"/>
    <s v="Mantenimiento"/>
    <x v="45"/>
    <x v="1"/>
    <s v="Acc. Incapacitante"/>
    <d v="2024-10-26T00:00:00"/>
    <n v="43"/>
    <n v="26"/>
    <x v="9"/>
    <n v="2024"/>
    <d v="1899-12-30T07:47:00"/>
    <s v="M"/>
    <x v="1"/>
    <x v="1"/>
    <s v="GONZALES "/>
    <s v="TUANAMA"/>
    <s v="FABIAN ALESSANDRO"/>
    <s v="MASCULINO"/>
    <n v="21"/>
    <s v="CAPE MANTTO"/>
    <m/>
    <s v="El colaborador se encontraba realizando corte de pernos en el tornillo de banco. Una parte del cuerpo del perno se quedó sujetada en tornillo de banco y la otra parte quedó sobre la mesa. El colaborador realiza unas coordinaciones con su compañero, y en ese momento un elemento de la mesa de trabajo rueda con dirección al suelo. El colaborador trata de evitar que el elemento caiga sin percatarse que no había retirado el perno con filo vivo de la mordaza del tornillo de banco. Su brazo sufre un corte por lo cual el trabajador se dirige al tópico. El médico lo evalúa y dispone su traslado a la clínica San Gabriel._x000a_"/>
    <s v="Contacto con superficie filosa"/>
    <s v="Antebrazo"/>
    <s v="Brazo/Codo/Hombro"/>
    <s v="Corte de perno"/>
    <s v="Herida de otras partes del antebrazo"/>
    <s v="Corte/Herida"/>
    <n v="9"/>
    <n v="0"/>
    <n v="9"/>
    <s v="Descanso Médico"/>
    <m/>
    <m/>
    <s v="Perno"/>
    <s v="PRACTICAS_ SENATI"/>
    <s v="Acc. Incapacitante"/>
    <n v="0"/>
    <s v="SI"/>
  </r>
  <r>
    <n v="235"/>
    <s v="DIS24634"/>
    <s v="PERÚ"/>
    <s v="ALICORP_SAA"/>
    <s v="Latam 400"/>
    <x v="6"/>
    <s v="Latam 400"/>
    <s v="Distribución"/>
    <x v="107"/>
    <x v="1"/>
    <s v="Acc. Incapacitante"/>
    <d v="2024-10-29T00:00:00"/>
    <n v="44"/>
    <n v="29"/>
    <x v="9"/>
    <n v="2024"/>
    <d v="1899-12-30T15:15:00"/>
    <s v="M"/>
    <x v="3"/>
    <x v="43"/>
    <s v="GARCÍA"/>
    <s v="BENDAÑO"/>
    <s v="CRISTIAN"/>
    <s v="MASCULINO"/>
    <n v="30"/>
    <s v="AUXILIAR DE ALMACÉN"/>
    <d v="2024-10-24T00:00:00"/>
    <s v="El 29 de octubre, alrededor de las 15:15 horas un auxiliar de almacén se encontraba en la zona de canales de despacho posicionado al costado de dos paletas vacías. En ese instante un order picker ingresa a dejar mercadería en el canal continuo, que se encontraba libre, sin embargo, al momento de ingresar al canal, impacta con el filo de una de una de las paletas vacías y , por consecuencia la segunda paleta vacía choca con la parte posterior de la pierna izquierda del colaborador afectado, quien fue trasladado al centro médico para la atención con el especialista."/>
    <s v="Golpeado por"/>
    <s v="Pierna Izquierda"/>
    <s v="Pierna"/>
    <s v="Colocar pallets"/>
    <s v="Contusión en pierna"/>
    <s v="Contusión/Trauma"/>
    <n v="3"/>
    <n v="0"/>
    <n v="3"/>
    <s v="Laborando"/>
    <m/>
    <m/>
    <s v="Pallets"/>
    <s v="CONTRATO TEMPORAL"/>
    <s v="Acc. Incapacitante"/>
    <m/>
    <s v="SI"/>
  </r>
  <r>
    <n v="236"/>
    <s v="DIS24633"/>
    <s v="PERÚ"/>
    <s v="ALICORP_SAA"/>
    <s v="CD PIURA"/>
    <x v="6"/>
    <s v="CD Piura"/>
    <s v="Distribución"/>
    <x v="108"/>
    <x v="0"/>
    <s v="Acc. No Incapacitante"/>
    <d v="2024-10-26T00:00:00"/>
    <n v="43"/>
    <n v="26"/>
    <x v="9"/>
    <n v="2024"/>
    <d v="1899-12-30T16:05:00"/>
    <s v="M"/>
    <x v="8"/>
    <x v="44"/>
    <s v="CABRERA"/>
    <s v="HERRERA"/>
    <s v="HERNAN"/>
    <s v="MASCULINO"/>
    <n v="38"/>
    <s v="CONDUCTO A3"/>
    <d v="2019-01-01T00:00:00"/>
    <s v="En circunstancias que el OMC de Alicorp José Ramos Sullon descargaba la unidad paletizada de traslados con placa BYY750, en simultaneo, el conductor Hernan Cabrera Herrera se encontraba abriendo las cortinas del lado opuesto al que operaba el OMC. Al momento que el operador ingresa las horquillas  del montacarga a la paleta situada en la plataforma del camión, esta choca con la paleta posterior, haciendo un pequeño empuje , donde aprisiona la mano derecha del conductor entre la paleta y la cortina metálica generando un golpe en la mano derecha"/>
    <s v="Golpeado por"/>
    <s v="Mano derecha"/>
    <s v="Mano/Muñeca/Dedos"/>
    <s v="Descarga unidad"/>
    <s v="Contusión en mano"/>
    <s v="Contusión/Trauma"/>
    <n v="0"/>
    <m/>
    <m/>
    <s v="Laborando"/>
    <n v="7"/>
    <m/>
    <s v="Cortina"/>
    <s v="CONTRATO TEMPORAL"/>
    <s v="Acc. No Incapacitante"/>
    <n v="0"/>
    <m/>
  </r>
  <r>
    <n v="237"/>
    <s v="PGL24632"/>
    <s v="PERÚ"/>
    <s v="ALICORP_SAA"/>
    <s v="PREDIO CENTRAL"/>
    <x v="0"/>
    <s v="GALLETERA &amp; INSTANTÁNEOS"/>
    <s v="Producción"/>
    <x v="40"/>
    <x v="0"/>
    <s v="Acc. No Incapacitante"/>
    <d v="2024-11-06T00:00:00"/>
    <n v="45"/>
    <n v="6"/>
    <x v="10"/>
    <n v="2024"/>
    <d v="1899-12-30T20:00:00"/>
    <s v="D"/>
    <x v="0"/>
    <x v="3"/>
    <s v=" Santamaría "/>
    <s v="Folch"/>
    <s v="Bryan Caleb"/>
    <s v="MASCULINO"/>
    <m/>
    <s v="OPERARIO DE PRODUCCIÓN"/>
    <d v="2024-06-05T00:00:00"/>
    <s v="Siendo las 20:00, el operador se encontraba reprocesando bolsones abiertos de Gelatina Fresa. Al sellar, procede a presionar el botón de sellado manual para juntar ambas mordazas e introduce el dedo índice por el lateral de la guarda, teniendo contacto con la resistencia de la mordaza. Al presentar ardor reporta al encargado de línea, lo cual proceden a llamar al ing de turno, llevándolo al tópico para atención médica. No requiere traslado"/>
    <s v="Contacto con Superficie Caliente"/>
    <s v="Dedo"/>
    <s v="Mano/Muñeca/Dedos"/>
    <s v="Sellado de empaque"/>
    <s v="Quemadura de 1er grado en dedo índice derecho"/>
    <s v="Quemadura por Temperatura"/>
    <n v="0"/>
    <n v="0"/>
    <n v="0"/>
    <s v="Laborando"/>
    <n v="5"/>
    <s v="&lt; 0.5 a 1 año"/>
    <s v="Selladora"/>
    <s v="CONTRATO INDEFINIDO"/>
    <s v="Acc. No Incapacitante"/>
    <m/>
    <m/>
  </r>
  <r>
    <n v="238"/>
    <m/>
    <s v="PERÚ"/>
    <s v="INTRADEVCO_INDUSTRIAL_SA"/>
    <s v="LURIN"/>
    <x v="5"/>
    <s v="Lurin 5_20mil"/>
    <s v="Producción"/>
    <x v="40"/>
    <x v="1"/>
    <s v="Acc. Incapacitante"/>
    <d v="2024-11-04T00:00:00"/>
    <n v="45"/>
    <n v="4"/>
    <x v="10"/>
    <n v="2024"/>
    <d v="1899-12-30T14:30:00"/>
    <s v="D"/>
    <x v="3"/>
    <x v="5"/>
    <s v="Tuesta"/>
    <s v=" Ruiz"/>
    <s v="Karina"/>
    <s v="FEMENINO"/>
    <n v="43"/>
    <s v="OPERARIO DE PRODUCCIÓN"/>
    <m/>
    <s v="Siendo las 2:30 pm del lunes 04/11, la trabajadora Karina Tuesta (Consulting) se encontraba desempeñando sus labores en el área de etiquetado de la línea MCGS. Mientras realizaba su labor, observó que el contenedor de frascos se estaba llenando, lo que ocasionó que empiecen a caer los envases vacíos por el costado de la faja transportadora. En un intento por evitar que los frascos cayeran al suelo, la colaboradora atrapó un frasco y al momento de lanzarlo hacia el contenedor de frascos, se golpea el dedo pulgar izquierdo contra la pared del contenedor. La colaboradora accidentada observó una protuberancia entre la falange proximal y distal del dedo pulgar, por lo que solicita a su compañera Anita Canaquiri (Consulting) que le ayude, la colaboradora en mención manipula el dedo lesionado. _x000a_Se da aviso de lo ocurrido a la supervisora del área, la cual deriva a la trabajadora accidentada al tópico. Posteriormente fue evacuada a la clínica San Pablo para recibir atención especializada."/>
    <s v="Golpeado contra"/>
    <s v="Dedo pulgar izquierdo"/>
    <s v="Mano/Muñeca/Dedos"/>
    <s v="Sujecion de envases"/>
    <s v="Contusion en pulgar izquierdo"/>
    <s v="Contusión/Trauma"/>
    <n v="11"/>
    <n v="0"/>
    <n v="11"/>
    <s v="Descanso Médico"/>
    <n v="10"/>
    <s v="&lt; 0.5 a 1 año"/>
    <s v="Contenedor de envases"/>
    <s v="CONTRATO TEMPORAL"/>
    <s v="Acc. Incapacitante"/>
    <n v="0"/>
    <s v="SI"/>
  </r>
  <r>
    <n v="239"/>
    <m/>
    <s v="PERÚ"/>
    <s v="INTRADEVCO_INDUSTRIAL_SA"/>
    <s v="LURIN"/>
    <x v="5"/>
    <s v="Lurin 5_20mil"/>
    <s v="Producción"/>
    <x v="109"/>
    <x v="0"/>
    <s v="Acc. No Incapacitante"/>
    <d v="2024-11-13T00:00:00"/>
    <n v="46"/>
    <n v="13"/>
    <x v="10"/>
    <n v="2024"/>
    <d v="1899-12-30T12:45:00"/>
    <s v="D"/>
    <x v="0"/>
    <x v="14"/>
    <s v="ECHENIQUE"/>
    <s v=" HUAPAYA"/>
    <s v=" GIANCARLO"/>
    <s v="MASCULINO"/>
    <m/>
    <s v="OPERARIO DE PRODUCCIÓN"/>
    <m/>
    <s v=" El colaborador se encontraba en el área de formulación FEM trasladando sacos hacia las pailas y en esa actividad sintió un tirón en el antebrazo izquierdo con leve dolor."/>
    <s v="Sobreesfuerzo"/>
    <s v="Antebrazo Izquierdo"/>
    <s v="Brazo/Codo/Hombro"/>
    <s v="Manipulacion de sacos"/>
    <s v="Estiramiento muscular"/>
    <s v="Desgarro/Estiramiento Muscular"/>
    <n v="0"/>
    <n v="0"/>
    <n v="0"/>
    <s v="Laborando"/>
    <m/>
    <m/>
    <s v="Sacos"/>
    <s v="CONTRATO INDEFINIDO"/>
    <s v="Acc. No Incapacitante"/>
    <n v="0"/>
    <m/>
  </r>
  <r>
    <n v="240"/>
    <s v="PCO24669"/>
    <s v="PERÚ"/>
    <s v="ALICORP_SAA"/>
    <s v="PREDIO CENTRAL"/>
    <x v="3"/>
    <s v="COPSA"/>
    <s v="Producción"/>
    <x v="92"/>
    <x v="0"/>
    <s v="Acc. No Incapacitante"/>
    <d v="2024-11-15T00:00:00"/>
    <n v="46"/>
    <n v="15"/>
    <x v="10"/>
    <n v="2024"/>
    <d v="1899-12-30T14:45:00"/>
    <s v="D"/>
    <x v="2"/>
    <x v="38"/>
    <s v="PEQUEÑO"/>
    <s v=" ARAMBURU "/>
    <s v="TATIANA"/>
    <s v="FEMENINO"/>
    <n v="49"/>
    <s v="OPERARIO DE LIMPIEZA"/>
    <m/>
    <s v="Siendo la 02:45 pm la trabajadora de la empresa de limpieza Ssays se encontraba secando el primer piso de la planta desodorización sin advertir la presencia de un tubo de fierro de ½ pulgada, el cual se encontraba apoyado solamente sobre un intercambiador de calor. El tubo al ser impactado por el jalador de agua que utilizaba la colaboradora cae golpeándole el antebrazo izquierdo._x000a_"/>
    <s v="Golpeado por"/>
    <s v="Antebrazo Izquierdo"/>
    <s v="Brazo/Codo/Hombro"/>
    <s v="Limpieza"/>
    <s v="Contusión antebrazo izquierdo"/>
    <s v="Contusión/Trauma"/>
    <n v="0"/>
    <n v="0"/>
    <n v="0"/>
    <s v="Laborando"/>
    <m/>
    <m/>
    <s v="tubo de fierro de ½ pulgada"/>
    <m/>
    <s v="Acc. No Incapacitante"/>
    <n v="0"/>
    <m/>
  </r>
  <r>
    <n v="241"/>
    <m/>
    <m/>
    <s v="INTRADEVCO_INDUSTRIAL_SA"/>
    <s v="LURIN"/>
    <x v="5"/>
    <s v="Lurin 2_Planta principal"/>
    <s v="Medio Ambiente"/>
    <x v="110"/>
    <x v="1"/>
    <s v="Acc. Incapacitante"/>
    <d v="2024-11-15T00:00:00"/>
    <n v="46"/>
    <n v="15"/>
    <x v="10"/>
    <n v="2024"/>
    <d v="1899-12-30T09:00:00"/>
    <s v="D"/>
    <x v="4"/>
    <x v="6"/>
    <s v="Mederos"/>
    <s v="Velez"/>
    <s v="Carlos Alonzo"/>
    <s v="FEMENINO"/>
    <n v="22"/>
    <s v="OPERARIO DE LIMPIEZA"/>
    <m/>
    <s v="Alrededor de las 09:40 am el personal se encontraba realizando labores de compactación de residuos y al momento de cerrar la compuerta N°1, el personal posiciona la mano izquierda al borde de la puerta para luego realizar el cierre manual; durante esta actividad se produjo la atricción del medio de la mano izquierda. "/>
    <s v="Atrapado por"/>
    <s v="Mano izquierda"/>
    <s v="Mano/Muñeca/Dedos"/>
    <s v="Compactación de RRSS"/>
    <s v="Traumatismo por aplastamiento"/>
    <s v="Contusión/Trauma"/>
    <n v="4"/>
    <n v="0"/>
    <n v="4"/>
    <s v="Laborando"/>
    <m/>
    <m/>
    <s v="Compactadora"/>
    <m/>
    <s v="Acc. Incapacitante"/>
    <n v="0"/>
    <s v="SI"/>
  </r>
  <r>
    <n v="242"/>
    <m/>
    <s v="PERÚ"/>
    <s v="ALICORP_SAA"/>
    <s v="MCA"/>
    <x v="11"/>
    <s v="MCA"/>
    <s v="Mantenimiento"/>
    <x v="45"/>
    <x v="0"/>
    <s v="Acc. No Incapacitante"/>
    <d v="2024-11-13T00:00:00"/>
    <n v="46"/>
    <n v="13"/>
    <x v="10"/>
    <n v="2024"/>
    <d v="1899-12-30T15:00:00"/>
    <s v="D"/>
    <x v="0"/>
    <x v="0"/>
    <s v="QUIQUINLLA"/>
    <s v="NUÑEZ"/>
    <s v="JUAN LEONARDO"/>
    <s v="MASCULINO"/>
    <n v="56"/>
    <s v="MECANICO"/>
    <d v="2024-11-13T00:00:00"/>
    <s v="El 13.11.24 aproximadamente a las 3pm, el colaborador se encontraba realizando la actividad de desmontaje de un eje de transmisión de la balanza #4 de subproducto. Para dicha actividad estaba usando un martillo de bola y un disco metálico para martillar y retirar el eje, que estaba agarrotado. De forma súbita, el disco sale proyectado choca en el casco de seguridad y roza la nariz del trabajador, ocasionándole un ligero sangrado y corte superficial. El casco cayó al piso producto del impacto._x000a_Rápidamente se llama al inspector de seguridad para brindarle los primeros auxilios y luego a la ambulancia para evaluación médica. De la evaluación se diagnostica corte superficial y se coloca un adhesivo sanitario sobre la herida."/>
    <s v="Golpeado por"/>
    <s v="Nariz"/>
    <s v="Rostro/Nariz/Boca"/>
    <s v="Desmontaje de un eje de transmisión"/>
    <s v="Corte superficial"/>
    <s v="Corte/Herida"/>
    <n v="0"/>
    <n v="0"/>
    <n v="0"/>
    <s v="Laborando"/>
    <n v="240"/>
    <s v="&gt; 10 años"/>
    <s v="Disco metálico"/>
    <s v="Indefinido"/>
    <s v="Acc. No Incapacitante"/>
    <n v="0"/>
    <m/>
  </r>
  <r>
    <n v="243"/>
    <m/>
    <s v="PERÚ"/>
    <s v="ALICORP_SAA"/>
    <s v="CENTRAL"/>
    <x v="13"/>
    <s v="Fideeria Lima"/>
    <s v="Producción"/>
    <x v="111"/>
    <x v="1"/>
    <s v="Acc. Incapacitante"/>
    <d v="2024-11-18T00:00:00"/>
    <n v="47"/>
    <n v="18"/>
    <x v="10"/>
    <n v="2024"/>
    <d v="1899-12-30T15:20:00"/>
    <s v="T"/>
    <x v="8"/>
    <x v="45"/>
    <s v="VALVERDE"/>
    <s v="VEGA"/>
    <s v="RICHARD"/>
    <s v="MASCULINO"/>
    <n v="33"/>
    <s v="Conductor"/>
    <m/>
    <s v="Alrededor de las 03:12 p.m., mientras el conductor de la empresa Transportes S&amp;R SRL, se encontraba finalizando la actividad de succión de líquidos acidulados en el área de Refinería (Ácidos grasos), al intentar desactivar la bomba hidráulica, se produjo una expulsión de hidrolina desde la bomba, impactando directamente en su rostro y cuerpo causándole un fuerte ardor en la vista. _x000a_Seguidamente al accidente, la ambulancia de Cardiomóvil lo traslado al tópico en donde se le brindó atención médica al conductor. Tras la evaluación, se decidió trasladarlo a la Clínica San Gabriel, otorgándose un descanso médico de 3 días."/>
    <s v="Proyección de Sustancias Químicas"/>
    <s v="Ojos"/>
    <s v="Rostro/Nariz/Boca"/>
    <s v="Desactivar la bomba hidraúlica"/>
    <s v="Queratoconjuntivitis "/>
    <s v="Queratoconjuntivitis"/>
    <n v="3"/>
    <n v="0"/>
    <n v="3"/>
    <s v="Descanso Médico"/>
    <m/>
    <s v="&lt; 5 a 10 años"/>
    <s v="Hidrolina"/>
    <m/>
    <s v="Acc. Incapacitante"/>
    <n v="0"/>
    <s v="SI"/>
  </r>
  <r>
    <n v="244"/>
    <m/>
    <s v="PERÚ"/>
    <s v="ALICORP_SAA"/>
    <s v="CENTRAL"/>
    <x v="6"/>
    <s v="CDC"/>
    <s v="Distribución"/>
    <x v="95"/>
    <x v="1"/>
    <s v="Acc. Incapacitante"/>
    <d v="2024-11-25T00:00:00"/>
    <n v="48"/>
    <n v="25"/>
    <x v="10"/>
    <n v="2024"/>
    <d v="1899-12-30T13:50:00"/>
    <s v="D"/>
    <x v="8"/>
    <x v="46"/>
    <s v="FERNANDEZ"/>
    <s v="VARGAS"/>
    <s v="JASSAN"/>
    <s v="MASCULINO"/>
    <m/>
    <s v="Conductor"/>
    <m/>
    <s v="El evento ocurrió en el proceso de carga de la unidad de transporte TRANSCOM, a cargo del conductor Fernandez Vargas , quien al identificar que ya se había cargado la primera mitad de la unidad, procedió a cerrar la cortina metálica lateral pero se dio cuenta que no cerraba fácilmente y sigue intentando con mayor esfuerzo, haciendo que el 3er y 4to dedo su mano izquierda se atrapen por un instante en la estructura de las cortinas metálicas, generando lesiones en ambos dedos a pesar de estar usando sus guantes de seguridad._x000a_"/>
    <s v="Atrapado por Partes en Movimiento"/>
    <s v="3er  dedo de la mano izquierda"/>
    <s v="4to dedo de la mano izquierda"/>
    <s v="Carga "/>
    <s v="Traumatismo por aplastamiento"/>
    <s v="Contusión/Trauma"/>
    <n v="20"/>
    <n v="0"/>
    <n v="20"/>
    <s v="Descanso Médico"/>
    <m/>
    <m/>
    <s v="Cortina metálica"/>
    <m/>
    <s v="Acc. Incapacitante"/>
    <n v="0"/>
    <s v="SI"/>
  </r>
  <r>
    <n v="245"/>
    <m/>
    <s v="PERÚ"/>
    <s v="INTRADEVCO_INDUSTRIAL_SA"/>
    <s v="LURIN 2"/>
    <x v="5"/>
    <s v="ALMACÉN 4"/>
    <s v="Distribución"/>
    <x v="112"/>
    <x v="1"/>
    <s v="Acc. Incapacitante"/>
    <d v="2024-11-28T00:00:00"/>
    <n v="48"/>
    <n v="28"/>
    <x v="10"/>
    <n v="2024"/>
    <d v="1899-12-30T08:40:00"/>
    <s v="D"/>
    <x v="4"/>
    <x v="6"/>
    <s v="CONTRERAS"/>
    <s v="HUACHACA"/>
    <s v="JESSICA"/>
    <s v="FEMENINO"/>
    <n v="42"/>
    <s v="Operaria de Limpieza"/>
    <d v="2024-10-25T00:00:00"/>
    <s v="Al promediar las 08:40 am del jueves 28.11 en Almacén 4 de Lurin 2, la colaboradora tercera de la empresa Alteliza se encontraba realizando sus labores de limpieza de racks.  En ese momento, pisa restos de Acido Sulfónico lineal (HLAS) presente en el piso, se resbala y logra cogerse de la estructura del Rack. Producto de esto, se dobla el tobillo derecho._x000a_La colaboradora en todo momento se encontraba utilizando sus EPPs (Casco, chaleco de alta visibilidad y botas de seguridad)._x000a_"/>
    <s v="Caída al mismo nivel"/>
    <s v="tobillo"/>
    <m/>
    <s v="limpieza"/>
    <s v="esguince y torcedura"/>
    <s v="Esguince/Torcedura"/>
    <n v="10"/>
    <n v="0"/>
    <n v="10"/>
    <s v="Descanso Médico"/>
    <s v="1.5"/>
    <s v="&lt; 1 a 3 meses"/>
    <s v="piso resbaloso"/>
    <m/>
    <s v="Acc. Incapacitante"/>
    <n v="0"/>
    <s v="SI"/>
  </r>
  <r>
    <n v="248"/>
    <s v="PCO24725 "/>
    <s v="PERÚ"/>
    <s v="ALICORP_SAA"/>
    <s v="PREDIO CENTRAL"/>
    <x v="3"/>
    <s v="COPSA"/>
    <s v="Producción"/>
    <x v="38"/>
    <x v="0"/>
    <s v="Acc. No Incapacitante"/>
    <d v="2024-11-12T00:00:00"/>
    <n v="46"/>
    <n v="12"/>
    <x v="10"/>
    <n v="2024"/>
    <d v="1899-12-30T12:10:00"/>
    <s v="D"/>
    <x v="3"/>
    <x v="47"/>
    <s v="Villancida "/>
    <s v="Perez"/>
    <s v="Rosa Isabel "/>
    <s v="FEMENINO"/>
    <n v="31"/>
    <s v="Operario Apoyo producción"/>
    <m/>
    <s v="La colaboradora se encontraba retornando de los servicios sanitarios (SSHH) en dirección a la planta Salsas 1. Debido al alto tránsito en el sendero peatonal, decidió adelantarse por el lado izquierdo sin percatarse del anillo perimétrico que protege la tapa del buzón, lo que provocó que tropezara. Al caer, sufrió golpes en la rodilla izquierda y el codo derecho._x000a_Fue auxiliada por personas que transitaban por el área, quienes solicitaron la asistencia de la ambulancia. _x000a_"/>
    <s v="Caída al mismo nivel"/>
    <s v="Rodilla"/>
    <s v="Rodilla"/>
    <s v="Tránsito peatonal"/>
    <s v="Constusión en rodilla y codo"/>
    <s v="Contusión/Trauma"/>
    <n v="0"/>
    <n v="0"/>
    <n v="0"/>
    <s v="Laborando"/>
    <m/>
    <m/>
    <m/>
    <m/>
    <s v="Acc. No Incapacitante"/>
    <n v="0"/>
    <m/>
  </r>
  <r>
    <n v="249"/>
    <m/>
    <s v="PERÚ"/>
    <s v="ALICORP_SAA"/>
    <s v="PREDIO CENTRAL"/>
    <x v="6"/>
    <s v="COMEDOR"/>
    <s v="Administración"/>
    <x v="22"/>
    <x v="1"/>
    <s v="Acc. Incapacitante"/>
    <d v="2024-12-03T00:00:00"/>
    <n v="49"/>
    <n v="3"/>
    <x v="11"/>
    <n v="2024"/>
    <d v="1899-12-30T13:30:00"/>
    <s v="D"/>
    <x v="5"/>
    <x v="34"/>
    <s v="MEDRANO"/>
    <s v="CENTENO"/>
    <s v="VAISLOV"/>
    <s v="MASCULINO"/>
    <n v="45"/>
    <s v="AUXILIAR DE COCINA"/>
    <d v="2023-07-03T00:00:00"/>
    <s v=" El trabajador, al salir del almacén con los insumos, pisa la rampa ubicada en la puerta de ingreso. Debido a su pendiente pronunciada, resbala y cae, golpeándose el brazo izquierdo y el codo derecho. El trabajador no comunica el accidente y continúa sus actividades, aunque el dolor en las áreas afectadas empieza a intensificarse.El trabajador informa del accidente a su responsable tras sentir un incremento en el dolor. Se coordina el traslado del trabajador al área médica para su evaluación._x000a_"/>
    <s v="Caída al mismo nivel"/>
    <s v="Brazo derecho"/>
    <s v="Brazo/Codo/Hombro"/>
    <s v="Tralado"/>
    <s v="Contusión "/>
    <s v="Contusión "/>
    <n v="7"/>
    <n v="0"/>
    <n v="7"/>
    <s v="Laborando"/>
    <n v="240"/>
    <s v="&lt; 1 a 5 años"/>
    <m/>
    <m/>
    <s v="Acc. Incapacitante"/>
    <n v="0"/>
    <s v="SI"/>
  </r>
  <r>
    <n v="250"/>
    <n v="247"/>
    <s v="PERÚ"/>
    <s v="ALICORP_SAA"/>
    <s v="MCA"/>
    <x v="6"/>
    <s v="APT MCA"/>
    <s v="Distribución"/>
    <x v="113"/>
    <x v="1"/>
    <s v="Acc. Incapacitante"/>
    <d v="2024-12-08T00:00:00"/>
    <n v="49"/>
    <n v="8"/>
    <x v="11"/>
    <n v="2024"/>
    <d v="1899-12-30T06:20:00"/>
    <s v="N"/>
    <x v="0"/>
    <x v="3"/>
    <s v="TALAVERA"/>
    <s v="FLORES"/>
    <s v="LUIS GUILLERMO"/>
    <s v="MASCULINO"/>
    <n v="54"/>
    <s v="OMC"/>
    <d v="2000-01-01T00:00:00"/>
    <s v="Alrededor de las 6.20 am.  el colaborador se encontraba cerrando el portón que separa el Almacén “C” con producción._x000a_Al momento de cerrar el portón (para proceder con la fumigación del molino), la mano izquierda se encontraba en la manija quedando atrapado el dedo medio entre la manija y el marco de la puerta._x000a_El colaborador procedió a dirigirse al segundo piso (kitchenette) a colocarse Hielo y posteriormente retirase al hospital._x000a_Cabe precisar, que al retirarse el colaborador no informo a seguridad ni jefaturas. Se comunico a las 9.00 am fuera de su horario laboral, cuando fue atendido en el hospital."/>
    <s v="Atrapado por"/>
    <s v="Dedo medio izquierdo"/>
    <s v="Mano/Muñeca/Dedos"/>
    <s v="Cierre del portón"/>
    <s v="Aplastamiento del dedo medio izquierdo"/>
    <s v="Corte/Herida"/>
    <n v="17"/>
    <n v="0"/>
    <n v="17"/>
    <m/>
    <n v="288"/>
    <s v="&gt; 10 años"/>
    <s v="Manija del portón"/>
    <s v="Indefinido"/>
    <s v="Acc. Incapacitante"/>
    <n v="0"/>
    <s v="SI"/>
  </r>
  <r>
    <n v="251"/>
    <m/>
    <s v="PERÚ"/>
    <s v="ALICORP_SAA"/>
    <s v="PREDIO CENTRAL"/>
    <x v="13"/>
    <s v="Fideeria Lima"/>
    <s v="Producción"/>
    <x v="114"/>
    <x v="1"/>
    <s v="Acc. Incapacitante"/>
    <d v="2024-12-13T00:00:00"/>
    <n v="50"/>
    <n v="13"/>
    <x v="11"/>
    <n v="2024"/>
    <d v="1899-12-30T22:49:00"/>
    <s v="N"/>
    <x v="0"/>
    <x v="3"/>
    <s v="RUGEL "/>
    <s v="ZELADA "/>
    <s v="CESAR IVAN "/>
    <s v="MASCULINO"/>
    <n v="49"/>
    <s v="Operador de Molinos- Silos "/>
    <m/>
    <s v="Al promediar las 22:49 del viernes 13.12 en la zona del Buhler 2 el operador de molinos- silos se encontraba recepcionando el producto  en unas bolsas de 15 Kg aprox, al momento de trasladar la bolsa y retornar a realizar nuevamente la misma actividad,  sintió un tirón en la espalda que hizo que se quedara sentado sin poder reincorporarse. _x000a_Se notificó el accidente, se brindó primeros auxilios por tópico y trasladó a la Clínica San Gabriel  para recibir atención médica._x000a_DX: Lumbago con ciática _x000a_DM: 2 días. _x000a_Antigüedad: 25 años_x000a_Antigüedad Puesto : 1 año_x000a_"/>
    <s v="Sobreesfuerzo"/>
    <s v="Lumbar "/>
    <s v="Columna"/>
    <s v="Manipulación Manual de Carga"/>
    <s v="LUMBAGO CON CIATICA"/>
    <s v="Desgarro/Estiramiento Muscular"/>
    <n v="2"/>
    <n v="0"/>
    <n v="2"/>
    <s v="Laborando"/>
    <n v="12"/>
    <s v="&gt; 10 años"/>
    <s v="Bolsa de Premix "/>
    <s v="Indefinido"/>
    <s v="Acc. Incapacitante"/>
    <n v="0"/>
    <s v="SI"/>
  </r>
  <r>
    <n v="252"/>
    <m/>
    <s v="PERÚ"/>
    <s v="ALICORP_SAA"/>
    <s v="PREDIO CENTRAL"/>
    <x v="3"/>
    <s v="COPSA"/>
    <s v="Producción"/>
    <x v="68"/>
    <x v="0"/>
    <s v="Acc. No Incapacitante"/>
    <d v="2024-12-22T00:00:00"/>
    <n v="51"/>
    <n v="22"/>
    <x v="11"/>
    <n v="2024"/>
    <d v="1899-12-30T10:30:00"/>
    <s v="D"/>
    <x v="0"/>
    <x v="0"/>
    <s v="CHAVEZ "/>
    <s v="CAHUANA "/>
    <s v="RENE REINALDO "/>
    <s v="MASCULINO"/>
    <n v="53"/>
    <s v="Operario de producción"/>
    <m/>
    <m/>
    <s v="Golpeado por"/>
    <s v="Rostro"/>
    <s v="Rostro/Nariz/Boca"/>
    <s v="Verificación de cajas"/>
    <s v="Herida en el rostro"/>
    <s v="Corte/Herida"/>
    <n v="0"/>
    <n v="0"/>
    <n v="0"/>
    <s v="Laborando"/>
    <m/>
    <m/>
    <s v="Brazo Hidraulico"/>
    <s v="Indefinido"/>
    <s v="Acc. No Incapacitante"/>
    <n v="0"/>
    <m/>
  </r>
  <r>
    <n v="253"/>
    <m/>
    <s v="PERÚ"/>
    <s v="INTRADEVCO_INDUSTRIAL_SA"/>
    <s v="LURIN 2"/>
    <x v="5"/>
    <s v="Lurin 2_Planta principal"/>
    <s v="Producción"/>
    <x v="40"/>
    <x v="1"/>
    <s v="Acc. Incapacitante"/>
    <d v="2024-12-23T00:00:00"/>
    <n v="52"/>
    <n v="23"/>
    <x v="11"/>
    <n v="2024"/>
    <d v="1899-12-30T12:30:00"/>
    <s v="D"/>
    <x v="3"/>
    <x v="5"/>
    <s v="ROJAS"/>
    <s v="GUERRA"/>
    <s v="CINDY"/>
    <s v="FEMENINO"/>
    <n v="22"/>
    <s v="Operario de Producción"/>
    <d v="2024-09-19T00:00:00"/>
    <s v="A inicios de diciembre se registró la avería de la codificadora de la línea envasadora de lejía IMSB 2; por lo que se creó una posición provisional para colocar manualmente las etiquetas en las cajas de producto terminado que salían de la línea. Este puesto de trabajo se ubicó frente a los polines libres que se ubican luego de la faja transportadora de salida del producto terminado. Las actividades de este puesto iniciaron sin contar con un análisis de riesgos._x000a__x000a_El lunes 23/12 aproximadamente a las 12 30 pm, la colaboradora que se encontraba colocando manualmente las etiquetas, sufre el atrapamiento de su mano derecha entre la faja transportadora y el primer polín libre, generándose el aplastamiento de su mano._x000a_"/>
    <s v="Atrapado por Partes en Movimiento"/>
    <s v="Mano derecha"/>
    <s v="Mano/Muñeca/Dedos"/>
    <s v="Etiquetado manual de cajas"/>
    <s v="Traumatismo por aplastamiento"/>
    <s v="Contusión/Trauma"/>
    <n v="5"/>
    <n v="0"/>
    <n v="5"/>
    <s v="Laborando"/>
    <n v="3"/>
    <s v="&lt; 1 a 3 meses"/>
    <s v="Faja y polines"/>
    <s v="Plazo fijo"/>
    <s v="Acc. Incapacitante"/>
    <n v="0"/>
    <s v="SI"/>
  </r>
  <r>
    <n v="254"/>
    <m/>
    <s v="PERÚ"/>
    <s v="ALICORP_SAA"/>
    <s v="PREDIO CENTRAL"/>
    <x v="0"/>
    <s v="GALLETERA &amp; INSTANTÁNEOS"/>
    <s v="Producción"/>
    <x v="40"/>
    <x v="0"/>
    <s v="Acc. No Incapacitante"/>
    <d v="2024-12-23T00:00:00"/>
    <n v="52"/>
    <n v="23"/>
    <x v="11"/>
    <n v="2024"/>
    <d v="1899-12-30T12:10:00"/>
    <s v="D"/>
    <x v="0"/>
    <x v="3"/>
    <s v="NARCISO"/>
    <s v=" VERGARAY"/>
    <s v=" ENRIQUE"/>
    <s v="MASCULINO"/>
    <n v="53"/>
    <s v="Operario de producción"/>
    <m/>
    <s v=" Siendo las 11:55 a.m., el operador de máquina VERGARAY ENRIQUE NARCISO CIRILO se encontraba realizando labores de limpieza fina en las canaletas de la máquina envasadora C10, y luego de culminar la misma se levanta golpeándose  la cabeza contra el pin que asegura la posición de polín de arrastre de lamina causándole un leve sangrado._x000a_ _x000a_El operador es derivado hacia tópico donde realizan limpieza de la zona afectada. Post evaluación, retorna a sus labores en planta._x000a_"/>
    <s v="Golpeado por"/>
    <s v="Cabeza"/>
    <s v="Cabeza"/>
    <s v="Limpieza de superficie de bandeja en nivel inferior desenergizada. "/>
    <s v="Contusión Leve "/>
    <s v="Contusión/Trauma"/>
    <n v="0"/>
    <n v="0"/>
    <n v="0"/>
    <s v="Laborando"/>
    <m/>
    <m/>
    <s v="Polín "/>
    <s v="Indefinido"/>
    <s v="Acc. No Incapacitante"/>
    <n v="0"/>
    <m/>
  </r>
  <r>
    <n v="256"/>
    <m/>
    <s v="PERÚ"/>
    <s v="ALICORP_SAA"/>
    <s v="SIDSUR"/>
    <x v="12"/>
    <s v="GALLETERA"/>
    <s v="Producción"/>
    <x v="40"/>
    <x v="0"/>
    <s v="Acc. No Incapacitante"/>
    <s v="SIN FECHA"/>
    <n v="11"/>
    <n v="15"/>
    <x v="2"/>
    <n v="2024"/>
    <s v=" "/>
    <s v=" "/>
    <x v="0"/>
    <x v="3"/>
    <s v="PAREDES"/>
    <s v="LUQUE"/>
    <s v="BRUCKNER"/>
    <s v="MASCULINO"/>
    <s v=" "/>
    <s v="Operario de producción"/>
    <s v=" "/>
    <s v="Según indica el trabajador, él se encontraba trasladando la artesa con contenido de ingrediente hacia la mezcladora, en dicha actividad siente un tirón en el brazo "/>
    <s v="Sobreesfuerzo"/>
    <s v="Brazo"/>
    <s v="Brazo/Codo/Hombro"/>
    <s v="Traslado de artesa"/>
    <s v=" "/>
    <s v=" "/>
    <s v=" "/>
    <s v=" "/>
    <n v="0"/>
    <s v=" "/>
    <s v=" "/>
    <s v=" "/>
    <s v=" "/>
    <s v=" "/>
    <s v="Acc. No Incapacitante"/>
    <n v="0"/>
    <s v=" "/>
  </r>
  <r>
    <n v="257"/>
    <m/>
    <s v="PERÚ"/>
    <s v="ALICORP_SAA"/>
    <s v="SIDSUR"/>
    <x v="12"/>
    <s v="GALLETERA"/>
    <s v="Producción"/>
    <x v="40"/>
    <x v="0"/>
    <s v="Acc. No Incapacitante"/>
    <d v="2024-03-19T00:00:00"/>
    <n v="12"/>
    <n v="19"/>
    <x v="2"/>
    <n v="2024"/>
    <s v=" "/>
    <s v=" "/>
    <x v="0"/>
    <x v="3"/>
    <s v="PARISUAÑA"/>
    <s v="QUISPE"/>
    <s v="BRIGIDA"/>
    <s v="FEMENINO"/>
    <s v=" "/>
    <s v="APRENDIZ DE SENATI"/>
    <s v=" "/>
    <s v="Trabajadora se encontraba transitando para relevar el puesto a su compañera; se resbala por presencia de galleta en el suelo y se cae"/>
    <s v="Caída al mismo nivel"/>
    <s v=" "/>
    <s v=" "/>
    <s v="Transito"/>
    <s v=" "/>
    <s v=" "/>
    <s v=" "/>
    <s v=" "/>
    <n v="0"/>
    <s v=" "/>
    <s v=" "/>
    <s v=" "/>
    <s v=" "/>
    <s v=" "/>
    <s v="Acc. No Incapacitante"/>
    <n v="0"/>
    <s v=" "/>
  </r>
  <r>
    <n v="258"/>
    <m/>
    <s v="PERÚ"/>
    <s v="ALICORP_SAA"/>
    <s v="SIDSUR"/>
    <x v="12"/>
    <s v="MOLINO VICTORIA"/>
    <s v="Producción"/>
    <x v="40"/>
    <x v="0"/>
    <s v="Acc. No Incapacitante"/>
    <d v="2024-03-27T00:00:00"/>
    <n v="13"/>
    <n v="27"/>
    <x v="2"/>
    <n v="2024"/>
    <s v=" "/>
    <s v=" "/>
    <x v="0"/>
    <x v="3"/>
    <s v="QUISPE"/>
    <s v="CHOQUE"/>
    <s v="ELADIO"/>
    <s v="MASCULINO"/>
    <s v=" "/>
    <s v="Operario de producción"/>
    <s v=" "/>
    <s v="Colaborador sufre resbalon en el segundo peldaño de la escalera, mencionando dolor posterior  al resbalon "/>
    <s v="Caída a distinto nivel"/>
    <s v="Espalda "/>
    <s v=" "/>
    <s v=" "/>
    <s v=" "/>
    <s v=" "/>
    <s v=" "/>
    <s v=" "/>
    <n v="0"/>
    <s v=" "/>
    <s v=" "/>
    <s v=" "/>
    <s v=" "/>
    <s v=" "/>
    <s v="Acc. No Incapacitante"/>
    <n v="0"/>
    <s v=" "/>
  </r>
  <r>
    <n v="259"/>
    <m/>
    <s v="PERÚ"/>
    <s v="ALICORP_SAA"/>
    <s v="SIDSUR"/>
    <x v="12"/>
    <s v="CALIDAD"/>
    <s v="Producción"/>
    <x v="40"/>
    <x v="0"/>
    <s v="Acc. No Incapacitante"/>
    <d v="2024-03-27T00:00:00"/>
    <n v="13"/>
    <n v="27"/>
    <x v="2"/>
    <n v="2024"/>
    <s v=" "/>
    <s v=" "/>
    <x v="0"/>
    <x v="3"/>
    <s v="CRUZ"/>
    <s v="CRUZ"/>
    <s v="ELMER"/>
    <s v="MASCULINO"/>
    <s v=" "/>
    <s v="Inspector de calidad "/>
    <s v=" "/>
    <s v="Trabajador indica que al momento de abrir la puerta de almacen de quinua , empujandolo porque estaba dura e impulsandome con el cuerpo a la pared , al realizar esta accion la puerta cede y sufre un corte con el filo de la puerta"/>
    <s v="Atrapado por"/>
    <s v="Dedo"/>
    <s v=" "/>
    <s v=" "/>
    <s v=" "/>
    <s v=" "/>
    <s v=" "/>
    <s v=" "/>
    <n v="0"/>
    <s v=" "/>
    <s v=" "/>
    <s v=" "/>
    <s v=" "/>
    <s v=" "/>
    <s v="Acc. No Incapacitante"/>
    <n v="0"/>
    <s v=" "/>
  </r>
  <r>
    <n v="260"/>
    <m/>
    <s v="PERÚ"/>
    <s v="ALICORP_SAA"/>
    <s v="SIDSUR"/>
    <x v="12"/>
    <s v="GALLETERA"/>
    <s v="Producción"/>
    <x v="40"/>
    <x v="0"/>
    <s v="Acc. No Incapacitante"/>
    <d v="2024-03-11T00:00:00"/>
    <n v="11"/>
    <n v="11"/>
    <x v="2"/>
    <n v="2024"/>
    <s v="1.30 am"/>
    <s v=" "/>
    <x v="0"/>
    <x v="3"/>
    <s v="SANCHEZ "/>
    <s v="DIAZ "/>
    <s v="CARLOS"/>
    <s v="MASCULINO"/>
    <s v=" "/>
    <s v="Maquinista de empaquetadora"/>
    <s v=" "/>
    <s v="Trabajador menciona que al acercarse a la maquina Bosh 2 para realizar cambio de bolsa de paquetes defectuosos siente el ingreso de particula en el ojo izquierdo, esto al solplo de paquetes que realiza la maquina pero al acercarse a las aduanas no evidencia nada en el ojo; . El trabajador se retira del turno a las 5: am y a las 11:30 despues de descansar siente dolor en el ojo por lo que se acerca a un centro medico en donde le realizan limpieza y recetan gotas.  "/>
    <s v="Proyección de Material Particulado"/>
    <s v="Ojo izquierdo"/>
    <s v=" "/>
    <s v=" "/>
    <s v=" "/>
    <s v=" "/>
    <s v=" "/>
    <s v=" "/>
    <n v="0"/>
    <s v=" "/>
    <s v=" "/>
    <s v=" "/>
    <s v=" "/>
    <s v=" "/>
    <s v="Acc. No Incapacitante"/>
    <n v="0"/>
    <s v=" "/>
  </r>
  <r>
    <n v="261"/>
    <s v="-"/>
    <s v="PERÚ"/>
    <s v="INTRADEVCO_INDUSTRIAL_SA"/>
    <s v="CHORRILLOS"/>
    <x v="5"/>
    <s v="CHORRILLOS"/>
    <s v="Producción"/>
    <x v="51"/>
    <x v="0"/>
    <s v="Acc. No Incapacitante"/>
    <d v="2024-10-22T00:00:00"/>
    <n v="43"/>
    <n v="22"/>
    <x v="9"/>
    <n v="2024"/>
    <d v="1899-12-30T16:15:00"/>
    <s v="D"/>
    <x v="3"/>
    <x v="5"/>
    <s v="LOPEZ"/>
    <s v="CALLIRGOS"/>
    <s v="ALEX FRANCISCO"/>
    <s v="MASCULINO"/>
    <n v="30"/>
    <s v="OPERARIO DE PRODUCCIÓN"/>
    <d v="2024-09-05T00:00:00"/>
    <s v="El 22/10/2024 aproximadamente a las 16:15 P.M en el área de sanitarios en la maquina z8, el operador CESAR MONTALVAN decide resetear la máquina (envasadora) debido a que los pistones se habían desalineado. Al parar la línea, uno de los envases con producto (ANTIHONGO) queda a la altura del empujador; en ese momento, el colaborador CHRISTIAN ARRIAGA procede a retirar aquel frasco; instantáneamente, se activa el empujador presionando el frasco con producto el cual llega a salpicar al trabajador, ALEX LOPEZ (cara, ojo izquierdo), quien se encontraba realizando la colocación de tapas del producto en mención generándole ardor especialmente en los ojos. Posteriormente, acude al lavaojos, pero este se encontraba inoperativo, por lo que, se dirigió al baño para realizarse el lavado de ojos._x000a_Posteriormente, acudió al tópico donde fue atendido por el inspector Fernando con asesoría de la Dra. María, donde se realizó el lavado de ojos por 20 minutos y la aplicación de gotas._x000a_Al día 23/10/2024, el trabajador manifiesta estar sin dolor, escozor ni irritación ocular. "/>
    <s v="Exposición a Sustancias Químicas"/>
    <s v="Cara"/>
    <m/>
    <m/>
    <m/>
    <m/>
    <n v="0"/>
    <n v="0"/>
    <n v="0"/>
    <s v="Laborando"/>
    <n v="1"/>
    <s v="&lt; 1 mes"/>
    <m/>
    <s v="CONTRATO TEMPORAL"/>
    <s v="Acc. No Incapacitante"/>
    <n v="0"/>
    <m/>
  </r>
  <r>
    <n v="262"/>
    <s v="-"/>
    <s v="PERÚ"/>
    <s v="INTRADEVCO_INDUSTRIAL_SA"/>
    <s v="CHORRILLOS"/>
    <x v="5"/>
    <s v="CHORRILLOS"/>
    <s v="Producción"/>
    <x v="51"/>
    <x v="0"/>
    <s v="Acc. No Incapacitante"/>
    <d v="2024-08-29T00:00:00"/>
    <n v="35"/>
    <n v="29"/>
    <x v="5"/>
    <n v="2024"/>
    <d v="1899-12-30T14:05:00"/>
    <s v="D"/>
    <x v="3"/>
    <x v="5"/>
    <s v="SAAVEDRA"/>
    <s v="BERNALES"/>
    <s v="HEDINZON ALBERTO"/>
    <s v="MASCULINO"/>
    <n v="24"/>
    <s v="OPERARIO DE PRODUCCIÓN"/>
    <d v="2023-07-12T00:00:00"/>
    <s v="El día 29/08/2024 dos colaboradores de pesado y dispensación hicieron caer un balde de 26.5 litros, al impactar el balde con el suelo rebota e impacta en la pierna derecha del colaborador Saavedra."/>
    <s v="Golpeado por"/>
    <s v="Pierna derecha"/>
    <m/>
    <m/>
    <m/>
    <m/>
    <n v="0"/>
    <n v="0"/>
    <n v="0"/>
    <s v="Cesado"/>
    <n v="1"/>
    <s v="&lt; 1 mes"/>
    <m/>
    <s v="CONTRATO TEMPORAL"/>
    <s v="Acc. No Incapacitante"/>
    <n v="0"/>
    <m/>
  </r>
  <r>
    <n v="263"/>
    <s v="-"/>
    <s v="PERÚ"/>
    <s v="INTRADEVCO_INDUSTRIAL_SA"/>
    <s v="CHORRILLOS"/>
    <x v="5"/>
    <s v="CHORRILLOS"/>
    <s v="Producción"/>
    <x v="115"/>
    <x v="0"/>
    <s v="Acc. No Incapacitante"/>
    <d v="2024-09-17T00:00:00"/>
    <n v="38"/>
    <n v="17"/>
    <x v="8"/>
    <n v="2024"/>
    <d v="1899-12-30T10:20:00"/>
    <s v="D"/>
    <x v="3"/>
    <x v="5"/>
    <s v="MONTES"/>
    <s v="HEREDIA"/>
    <s v="BRYAN"/>
    <s v="MASCULINO"/>
    <n v="32"/>
    <s v="OPERARIO DE PRODUCCIÓN"/>
    <d v="2024-08-28T00:00:00"/>
    <s v="El trabajador MONTES HEREDIA BRYAN,el día 17/09/2024 a las 10:20 am se encontraba paletizando al momento de colocar una paleta sobre otra con ayuda de un compañero que al soltar el la palleta superior porque su dedo meñique queda atrapado en medio por tal motivo jala su mano sin sentir dolor debido a que se encontraba con guantes"/>
    <s v="Golpeado por"/>
    <s v="Mano"/>
    <m/>
    <m/>
    <m/>
    <m/>
    <n v="0"/>
    <n v="0"/>
    <n v="0"/>
    <s v="Cesado"/>
    <n v="1"/>
    <s v="&lt; 1 mes"/>
    <m/>
    <s v="CONTRATO TEMPORAL"/>
    <s v="Acc. No Incapacitante"/>
    <n v="0"/>
    <m/>
  </r>
  <r>
    <n v="264"/>
    <s v="-"/>
    <s v="PERÚ"/>
    <s v="INTRADEVCO_INDUSTRIAL_SA"/>
    <s v="CHORRILLOS"/>
    <x v="5"/>
    <s v="CHORRILLOS"/>
    <s v="Producción"/>
    <x v="115"/>
    <x v="0"/>
    <s v="Acc. No Incapacitante"/>
    <d v="2024-10-15T00:00:00"/>
    <n v="42"/>
    <n v="15"/>
    <x v="9"/>
    <n v="2024"/>
    <d v="1899-12-30T10:40:00"/>
    <s v="D"/>
    <x v="3"/>
    <x v="5"/>
    <s v="CAMPOS"/>
    <s v="PROAÑO"/>
    <s v="RODRIGO RODOLFO"/>
    <s v="MASCULINO"/>
    <n v="24"/>
    <s v="OPERARIO DE PRODUCCIÓN"/>
    <d v="2024-08-05T00:00:00"/>
    <s v="Al promediar las 10:40 a.m, los colaboradores Rodrigo y Tafur se encontraban realizando la nivelación de la máquina encintadora, en la que el compañero Rodrigo al utilizar la llave para nivelar la encintadora con la mesa desafloja un soporte de la encintadora asumiendo que los otros soportes están asegurados y de golpe baja la encintadora debido a que un soporte del otro extramo se encontraba desajustado.                                                       La encintadora no impacto con el piso tampoco golpeo al trabajador debido a que el trabajador Tafur se encontraba sosteniendo la encintadora."/>
    <s v="Sobreesfuerzo"/>
    <m/>
    <m/>
    <m/>
    <m/>
    <m/>
    <n v="0"/>
    <n v="0"/>
    <n v="0"/>
    <s v="Laborando"/>
    <n v="2"/>
    <s v="&lt; 1 a 3 meses"/>
    <m/>
    <s v="CONTRATO TEMPORAL"/>
    <s v="Acc. No Incapacitante"/>
    <n v="0"/>
    <m/>
  </r>
  <r>
    <n v="265"/>
    <s v="-"/>
    <s v="PERÚ"/>
    <s v="INTRADEVCO_INDUSTRIAL_SA"/>
    <s v="CHORRILLOS"/>
    <x v="5"/>
    <s v="CHORRILLOS"/>
    <s v="Producción"/>
    <x v="51"/>
    <x v="0"/>
    <s v="Acc. No Incapacitante"/>
    <d v="2024-11-07T00:00:00"/>
    <n v="45"/>
    <n v="7"/>
    <x v="10"/>
    <n v="2024"/>
    <d v="1899-12-30T10:40:00"/>
    <s v="D"/>
    <x v="0"/>
    <x v="14"/>
    <s v="CUBA"/>
    <s v="ESPINOZA"/>
    <s v="CESAR AUGUSTO"/>
    <s v="MASCULINO"/>
    <n v="45"/>
    <s v="OPERARIO DE PRODUCCIÓN"/>
    <d v="2007-07-23T00:00:00"/>
    <s v="El colaborador se encontraba desconectando la manguera para realizar el cambio del motor averiado cuando, al realizar dicha acción, una pequeña cantidad de producto (KlinTex) le cayó en la cara, específicamente en la frente. El Sr. César Cuba se dirigió al lavaojos más cercano, se quitó los lentes de seguridad y comenzó a limpiarse. Sin embargo, el producto escurrió hacia su ojo, por lo que dejó de usar el lavaojos debido a que el agua no fluía correctamente. Posteriormente, se retiró hacia los servicios higiénicos para continuar con el lavado. Más tarde, acudió al tópico, donde fue atendido por la enfermera. Allí se le realizó un lavado ocular durante 20 minutos y se le aplicaron las gotas correspondientes."/>
    <s v="Exposición a Sustancias Químicas"/>
    <s v="Cara"/>
    <m/>
    <m/>
    <m/>
    <m/>
    <n v="0"/>
    <n v="0"/>
    <n v="0"/>
    <s v="Laborando"/>
    <n v="204"/>
    <s v="&gt; 10 años"/>
    <m/>
    <s v="CONTRATO INDEFINIDO"/>
    <s v="Acc. No Incapacitante"/>
    <n v="0"/>
    <m/>
  </r>
  <r>
    <n v="266"/>
    <s v="-"/>
    <s v="PERÚ"/>
    <s v="INTRADEVCO_INDUSTRIAL_SA"/>
    <s v="CHORRILLOS"/>
    <x v="5"/>
    <s v="CHORRILLOS"/>
    <s v="Producción"/>
    <x v="115"/>
    <x v="0"/>
    <s v="Acc. No Incapacitante"/>
    <d v="2024-11-21T00:00:00"/>
    <n v="47"/>
    <n v="21"/>
    <x v="10"/>
    <n v="2024"/>
    <d v="1899-12-30T10:07:00"/>
    <s v="D"/>
    <x v="3"/>
    <x v="5"/>
    <s v="CRUZ"/>
    <s v="QUISPE"/>
    <s v="ROBERTO"/>
    <s v="MASCULINO"/>
    <n v="25"/>
    <s v="OPERARIO DE PRODUCCIÓN"/>
    <d v="2024-11-14T00:00:00"/>
    <s v="El trabajador se encontraba trasladando un bidón de merma, en una carreta, al girar la carreta para acomodar el producto; el trabajador se golpea el pie con el pallet que se encontraba en el area con materiales en desuso."/>
    <s v="Golpeado por"/>
    <s v="Pie"/>
    <m/>
    <m/>
    <m/>
    <m/>
    <n v="0"/>
    <n v="0"/>
    <n v="0"/>
    <s v="Cesado"/>
    <n v="1"/>
    <s v="&lt; 1 mes"/>
    <m/>
    <s v="CONTRATO TEMPORAL"/>
    <s v="Acc. No Incapacitante"/>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6579CD-0D4D-404E-867C-0C757B65A7F8}"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7:B11" firstHeaderRow="1" firstDataRow="1" firstDataCol="1" rowPageCount="5" colPageCount="1"/>
  <pivotFields count="46">
    <pivotField showAll="0"/>
    <pivotField showAll="0"/>
    <pivotField axis="axisPage" multipleItemSelectionAllowed="1" showAll="0">
      <items count="6">
        <item h="1" x="1"/>
        <item h="1" x="3"/>
        <item h="1" x="2"/>
        <item x="0"/>
        <item h="1" x="4"/>
        <item t="default"/>
      </items>
    </pivotField>
    <pivotField name="pla" axis="axisPage" multipleItemSelectionAllowed="1" showAll="0">
      <items count="8">
        <item m="1" x="6"/>
        <item h="1" x="1"/>
        <item x="0"/>
        <item h="1" x="2"/>
        <item h="1" x="4"/>
        <item h="1" x="3"/>
        <item x="5"/>
        <item t="default"/>
      </items>
    </pivotField>
    <pivotField showAll="0"/>
    <pivotField showAll="0"/>
    <pivotField axis="axisPage" dataField="1" multipleItemSelectionAllowed="1" showAll="0">
      <items count="46">
        <item h="1" x="10"/>
        <item h="1" x="38"/>
        <item h="1" x="40"/>
        <item h="1" x="17"/>
        <item h="1" x="43"/>
        <item h="1" x="36"/>
        <item h="1" x="9"/>
        <item h="1" x="37"/>
        <item h="1" x="24"/>
        <item h="1" x="27"/>
        <item h="1" x="6"/>
        <item h="1" x="39"/>
        <item h="1" x="33"/>
        <item h="1" x="14"/>
        <item x="3"/>
        <item h="1" x="13"/>
        <item h="1" x="23"/>
        <item h="1" x="15"/>
        <item h="1" x="28"/>
        <item h="1" x="34"/>
        <item h="1" x="41"/>
        <item h="1" x="0"/>
        <item h="1" x="18"/>
        <item h="1" x="19"/>
        <item h="1" x="11"/>
        <item h="1" x="35"/>
        <item h="1" x="30"/>
        <item h="1" x="5"/>
        <item h="1" x="7"/>
        <item h="1" x="8"/>
        <item h="1" x="16"/>
        <item h="1" x="29"/>
        <item h="1" x="31"/>
        <item h="1" x="22"/>
        <item h="1" x="26"/>
        <item h="1" x="20"/>
        <item h="1" x="42"/>
        <item h="1" x="2"/>
        <item h="1" x="1"/>
        <item h="1" x="4"/>
        <item h="1" x="12"/>
        <item h="1" x="25"/>
        <item h="1" x="21"/>
        <item h="1" x="32"/>
        <item x="44"/>
        <item t="default"/>
      </items>
    </pivotField>
    <pivotField axis="axisPage" multipleItemSelectionAllowed="1" showAll="0">
      <items count="12">
        <item h="1" x="4"/>
        <item h="1" x="1"/>
        <item h="1" x="3"/>
        <item x="6"/>
        <item h="1" x="2"/>
        <item h="1" x="9"/>
        <item x="0"/>
        <item h="1" x="5"/>
        <item h="1" x="7"/>
        <item x="8"/>
        <item h="1" x="10"/>
        <item t="default"/>
      </items>
    </pivotField>
    <pivotField showAll="0"/>
    <pivotField axis="axisPage" multipleItemSelectionAllowed="1" showAll="0">
      <items count="4">
        <item x="1"/>
        <item h="1" x="0"/>
        <item x="2"/>
        <item t="default"/>
      </items>
    </pivotField>
    <pivotField showAll="0"/>
    <pivotField showAll="0"/>
    <pivotField showAll="0"/>
    <pivotField showAll="0"/>
    <pivotField showAll="0"/>
    <pivotField showAll="0"/>
    <pivotField showAll="0"/>
    <pivotField showAll="0"/>
    <pivotField axis="axisRow" showAll="0">
      <items count="13">
        <item x="2"/>
        <item x="9"/>
        <item x="0"/>
        <item x="7"/>
        <item x="1"/>
        <item x="3"/>
        <item x="10"/>
        <item x="5"/>
        <item x="4"/>
        <item x="6"/>
        <item x="8"/>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
    <i>
      <x/>
    </i>
    <i>
      <x v="2"/>
    </i>
    <i>
      <x v="4"/>
    </i>
    <i t="grand">
      <x/>
    </i>
  </rowItems>
  <colItems count="1">
    <i/>
  </colItems>
  <pageFields count="5">
    <pageField fld="2" hier="-1"/>
    <pageField fld="3" hier="-1"/>
    <pageField fld="9" hier="-1"/>
    <pageField fld="6" hier="-1"/>
    <pageField fld="7" hier="-1"/>
  </pageFields>
  <dataFields count="1">
    <dataField name="Cuenta de Planta"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5B6ADE-5480-404B-9A1C-3F32A4D0E4B2}" name="Tabla dinámica3"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6:D42" firstHeaderRow="1" firstDataRow="2" firstDataCol="1" rowPageCount="1" colPageCount="1"/>
  <pivotFields count="45">
    <pivotField compact="0" outline="0" showAll="0"/>
    <pivotField compact="0" outline="0" showAll="0"/>
    <pivotField compact="0" outline="0" showAll="0"/>
    <pivotField compact="0" outline="0" showAll="0"/>
    <pivotField compact="0" outline="0" showAll="0"/>
    <pivotField axis="axisPage" compact="0" outline="0" showAll="0">
      <items count="15">
        <item h="1" x="2"/>
        <item x="3"/>
        <item h="1" x="13"/>
        <item h="1" x="0"/>
        <item h="1" x="9"/>
        <item h="1" x="5"/>
        <item h="1" x="11"/>
        <item h="1" x="6"/>
        <item h="1" x="8"/>
        <item h="1" x="1"/>
        <item h="1" x="4"/>
        <item h="1" x="12"/>
        <item h="1" x="10"/>
        <item h="1" x="7"/>
        <item t="default"/>
      </items>
    </pivotField>
    <pivotField compact="0" outline="0" showAll="0"/>
    <pivotField compact="0" outline="0" showAll="0"/>
    <pivotField compact="0" outline="0" showAll="0"/>
    <pivotField axis="axisCol" compact="0" outline="0" showAll="0">
      <items count="3">
        <item x="1"/>
        <item x="0"/>
        <item t="default"/>
      </items>
    </pivotField>
    <pivotField dataField="1"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axis="axisRow" compact="0" outline="0" showAll="0">
      <items count="12">
        <item x="2"/>
        <item x="9"/>
        <item x="0"/>
        <item x="7"/>
        <item x="1"/>
        <item x="3"/>
        <item x="10"/>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8"/>
  </rowFields>
  <rowItems count="5">
    <i>
      <x/>
    </i>
    <i>
      <x v="2"/>
    </i>
    <i>
      <x v="4"/>
    </i>
    <i>
      <x v="5"/>
    </i>
    <i t="grand">
      <x/>
    </i>
  </rowItems>
  <colFields count="1">
    <field x="9"/>
  </colFields>
  <colItems count="3">
    <i>
      <x/>
    </i>
    <i>
      <x v="1"/>
    </i>
    <i t="grand">
      <x/>
    </i>
  </colItems>
  <pageFields count="1">
    <pageField fld="5" item="1" hier="-1"/>
  </pageFields>
  <dataFields count="1">
    <dataField name="Cuenta de Tipo de Accidente3"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24208F-492E-49B1-A78E-3820FAEFE9B4}" name="Tabla dinámica2"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0:A27" firstHeaderRow="1" firstDataRow="1" firstDataCol="1" rowPageCount="1" colPageCount="1"/>
  <pivotFields count="45">
    <pivotField compact="0" outline="0" showAll="0"/>
    <pivotField compact="0" outline="0" showAll="0"/>
    <pivotField compact="0" outline="0" showAll="0"/>
    <pivotField compact="0" outline="0" showAll="0"/>
    <pivotField compact="0" outline="0" showAll="0"/>
    <pivotField axis="axisPage" compact="0" outline="0" showAll="0">
      <items count="15">
        <item h="1" x="2"/>
        <item x="3"/>
        <item h="1" x="13"/>
        <item h="1" x="0"/>
        <item h="1" x="9"/>
        <item h="1" x="5"/>
        <item h="1" x="11"/>
        <item h="1" x="6"/>
        <item h="1" x="8"/>
        <item h="1" x="1"/>
        <item h="1" x="4"/>
        <item h="1" x="12"/>
        <item h="1" x="10"/>
        <item h="1" x="7"/>
        <item t="default"/>
      </items>
    </pivotField>
    <pivotField compact="0" outline="0" showAll="0"/>
    <pivotField compact="0" outline="0" showAll="0"/>
    <pivotField axis="axisRow" compact="0" outline="0" showAll="0">
      <items count="118">
        <item x="78"/>
        <item x="68"/>
        <item x="11"/>
        <item x="55"/>
        <item x="75"/>
        <item x="24"/>
        <item x="69"/>
        <item x="63"/>
        <item x="25"/>
        <item x="113"/>
        <item x="13"/>
        <item x="50"/>
        <item x="73"/>
        <item x="1"/>
        <item x="114"/>
        <item x="70"/>
        <item x="65"/>
        <item x="108"/>
        <item x="58"/>
        <item x="20"/>
        <item x="106"/>
        <item x="80"/>
        <item x="22"/>
        <item x="96"/>
        <item x="60"/>
        <item x="61"/>
        <item x="41"/>
        <item x="110"/>
        <item x="14"/>
        <item x="30"/>
        <item x="17"/>
        <item x="19"/>
        <item x="91"/>
        <item x="23"/>
        <item x="81"/>
        <item x="35"/>
        <item x="28"/>
        <item x="42"/>
        <item x="83"/>
        <item x="84"/>
        <item x="21"/>
        <item x="72"/>
        <item x="89"/>
        <item x="97"/>
        <item x="109"/>
        <item x="79"/>
        <item x="56"/>
        <item x="57"/>
        <item x="74"/>
        <item x="15"/>
        <item x="32"/>
        <item x="111"/>
        <item x="0"/>
        <item x="98"/>
        <item n="LABORATORIO" x="94"/>
        <item x="107"/>
        <item x="29"/>
        <item x="16"/>
        <item x="64"/>
        <item x="76"/>
        <item x="2"/>
        <item x="8"/>
        <item x="93"/>
        <item x="77"/>
        <item x="86"/>
        <item x="4"/>
        <item x="45"/>
        <item x="27"/>
        <item m="1" x="116"/>
        <item x="52"/>
        <item x="39"/>
        <item x="62"/>
        <item x="90"/>
        <item x="31"/>
        <item x="85"/>
        <item x="102"/>
        <item x="53"/>
        <item x="88"/>
        <item x="10"/>
        <item x="67"/>
        <item x="82"/>
        <item x="33"/>
        <item x="43"/>
        <item x="34"/>
        <item x="87"/>
        <item x="44"/>
        <item x="59"/>
        <item x="26"/>
        <item x="100"/>
        <item x="104"/>
        <item x="48"/>
        <item x="46"/>
        <item x="47"/>
        <item x="40"/>
        <item x="99"/>
        <item x="18"/>
        <item x="7"/>
        <item x="92"/>
        <item x="71"/>
        <item x="37"/>
        <item x="38"/>
        <item x="6"/>
        <item x="36"/>
        <item x="51"/>
        <item x="105"/>
        <item x="3"/>
        <item x="101"/>
        <item x="49"/>
        <item x="5"/>
        <item x="9"/>
        <item x="112"/>
        <item x="12"/>
        <item x="103"/>
        <item x="95"/>
        <item x="54"/>
        <item x="66"/>
        <item x="115"/>
        <item t="default"/>
      </items>
    </pivotField>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7">
    <i>
      <x v="1"/>
    </i>
    <i>
      <x v="54"/>
    </i>
    <i>
      <x v="66"/>
    </i>
    <i>
      <x v="97"/>
    </i>
    <i>
      <x v="100"/>
    </i>
    <i>
      <x v="101"/>
    </i>
    <i t="grand">
      <x/>
    </i>
  </rowItems>
  <colItems count="1">
    <i/>
  </colItems>
  <pageFields count="1">
    <pageField fld="5" item="1" hier="-1"/>
  </pageFields>
  <formats count="1">
    <format dxfId="1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998BCC-2504-4245-ABD8-819A3868FC5D}" name="Tabla dinámica1"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3" firstHeaderRow="1" firstDataRow="2" firstDataCol="1" rowPageCount="1" colPageCount="1"/>
  <pivotFields count="45">
    <pivotField compact="0" outline="0" showAll="0"/>
    <pivotField compact="0" outline="0" showAll="0"/>
    <pivotField compact="0" outline="0" showAll="0"/>
    <pivotField compact="0" outline="0" showAll="0"/>
    <pivotField compact="0" outline="0" showAll="0"/>
    <pivotField axis="axisPage" compact="0" outline="0" showAll="0">
      <items count="15">
        <item h="1" x="2"/>
        <item x="3"/>
        <item h="1" x="13"/>
        <item h="1" x="0"/>
        <item h="1" x="9"/>
        <item h="1" x="5"/>
        <item h="1" x="11"/>
        <item h="1" x="6"/>
        <item h="1" x="8"/>
        <item h="1" x="1"/>
        <item h="1" x="4"/>
        <item h="1" x="12"/>
        <item h="1" x="10"/>
        <item h="1" x="7"/>
        <item t="default"/>
      </items>
    </pivotField>
    <pivotField compact="0" outline="0" showAll="0"/>
    <pivotField compact="0" outline="0" showAll="0"/>
    <pivotField compact="0" outline="0" showAll="0"/>
    <pivotField axis="axisCol" compact="0" outline="0" showAll="0">
      <items count="3">
        <item x="1"/>
        <item x="0"/>
        <item t="default"/>
      </items>
    </pivotField>
    <pivotField dataField="1" compact="0" outline="0" showAll="0"/>
    <pivotField compact="0" outline="0" showAll="0"/>
    <pivotField compact="0" numFmtId="1" outline="0" showAll="0"/>
    <pivotField compact="0" outline="0" showAll="0"/>
    <pivotField axis="axisRow" compact="0" outline="0" showAll="0">
      <items count="13">
        <item x="0"/>
        <item x="1"/>
        <item x="2"/>
        <item x="3"/>
        <item x="4"/>
        <item x="6"/>
        <item x="7"/>
        <item x="5"/>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9">
    <i>
      <x/>
    </i>
    <i>
      <x v="3"/>
    </i>
    <i>
      <x v="6"/>
    </i>
    <i>
      <x v="7"/>
    </i>
    <i>
      <x v="8"/>
    </i>
    <i>
      <x v="9"/>
    </i>
    <i>
      <x v="10"/>
    </i>
    <i>
      <x v="11"/>
    </i>
    <i t="grand">
      <x/>
    </i>
  </rowItems>
  <colFields count="1">
    <field x="9"/>
  </colFields>
  <colItems count="3">
    <i>
      <x/>
    </i>
    <i>
      <x v="1"/>
    </i>
    <i t="grand">
      <x/>
    </i>
  </colItems>
  <pageFields count="1">
    <pageField fld="5" item="1" hier="-1"/>
  </pageFields>
  <dataFields count="1">
    <dataField name="Cuenta de Tipo de Accidente3" fld="10" subtotal="count" baseField="0" baseItem="0"/>
  </dataFields>
  <formats count="3">
    <format dxfId="107">
      <pivotArea outline="0" collapsedLevelsAreSubtotals="1" fieldPosition="0"/>
    </format>
    <format dxfId="106">
      <pivotArea dataOnly="0" labelOnly="1" outline="0" fieldPosition="0">
        <references count="1">
          <reference field="9" count="0"/>
        </references>
      </pivotArea>
    </format>
    <format dxfId="10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ABD4EC-5288-4507-849E-525D05E4FB32}" name="Tabla dinámica4"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53:D62" firstHeaderRow="1" firstDataRow="2" firstDataCol="1" rowPageCount="1" colPageCount="1"/>
  <pivotFields count="45">
    <pivotField compact="0" outline="0" showAll="0"/>
    <pivotField compact="0" outline="0" showAll="0"/>
    <pivotField compact="0" outline="0" showAll="0"/>
    <pivotField compact="0" outline="0" showAll="0"/>
    <pivotField compact="0" outline="0" showAll="0"/>
    <pivotField axis="axisPage" compact="0" outline="0" showAll="0">
      <items count="15">
        <item h="1" x="2"/>
        <item x="3"/>
        <item h="1" x="13"/>
        <item h="1" x="0"/>
        <item h="1" x="9"/>
        <item h="1" x="5"/>
        <item h="1" x="11"/>
        <item h="1" x="6"/>
        <item h="1" x="8"/>
        <item h="1" x="1"/>
        <item h="1" x="4"/>
        <item h="1" x="12"/>
        <item h="1" x="10"/>
        <item h="1" x="7"/>
        <item t="default"/>
      </items>
    </pivotField>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0">
        <item x="40"/>
        <item x="30"/>
        <item x="3"/>
        <item x="0"/>
        <item x="6"/>
        <item x="4"/>
        <item x="11"/>
        <item x="27"/>
        <item x="43"/>
        <item m="1" x="48"/>
        <item x="34"/>
        <item x="13"/>
        <item x="42"/>
        <item x="15"/>
        <item x="2"/>
        <item x="8"/>
        <item x="12"/>
        <item x="36"/>
        <item x="9"/>
        <item x="35"/>
        <item x="16"/>
        <item x="5"/>
        <item x="14"/>
        <item x="32"/>
        <item x="18"/>
        <item x="17"/>
        <item x="24"/>
        <item x="47"/>
        <item x="25"/>
        <item x="22"/>
        <item x="19"/>
        <item x="7"/>
        <item x="37"/>
        <item x="26"/>
        <item x="31"/>
        <item x="41"/>
        <item x="1"/>
        <item x="23"/>
        <item x="21"/>
        <item x="38"/>
        <item x="33"/>
        <item x="20"/>
        <item x="46"/>
        <item x="29"/>
        <item x="45"/>
        <item x="39"/>
        <item x="28"/>
        <item x="44"/>
        <item x="1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9"/>
  </rowFields>
  <rowItems count="8">
    <i>
      <x/>
    </i>
    <i>
      <x v="2"/>
    </i>
    <i>
      <x v="3"/>
    </i>
    <i>
      <x v="27"/>
    </i>
    <i>
      <x v="34"/>
    </i>
    <i>
      <x v="36"/>
    </i>
    <i>
      <x v="39"/>
    </i>
    <i t="grand">
      <x/>
    </i>
  </rowItems>
  <colFields count="1">
    <field x="9"/>
  </colFields>
  <colItems count="3">
    <i>
      <x/>
    </i>
    <i>
      <x v="1"/>
    </i>
    <i t="grand">
      <x/>
    </i>
  </colItems>
  <pageFields count="1">
    <pageField fld="5" item="1" hier="-1"/>
  </pageFields>
  <dataFields count="1">
    <dataField name="Cuenta de NOMBRES"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4:O23" firstHeaderRow="1" firstDataRow="2" firstDataCol="1" rowPageCount="2" colPageCount="1"/>
  <pivotFields count="42">
    <pivotField showAll="0"/>
    <pivotField showAll="0"/>
    <pivotField showAll="0"/>
    <pivotField showAll="0">
      <items count="8">
        <item x="1"/>
        <item sd="0" x="0"/>
        <item sd="0" x="2"/>
        <item x="5"/>
        <item h="1" x="3"/>
        <item sd="0" x="4"/>
        <item h="1" m="1" x="6"/>
        <item t="default"/>
      </items>
    </pivotField>
    <pivotField showAll="0"/>
    <pivotField showAll="0"/>
    <pivotField axis="axisRow" showAll="0">
      <items count="49">
        <item x="3"/>
        <item x="0"/>
        <item x="7"/>
        <item x="2"/>
        <item x="1"/>
        <item x="4"/>
        <item sd="0" x="44"/>
        <item x="16"/>
        <item m="1" x="46"/>
        <item x="8"/>
        <item x="6"/>
        <item x="11"/>
        <item x="22"/>
        <item x="12"/>
        <item x="13"/>
        <item x="14"/>
        <item x="15"/>
        <item m="1" x="47"/>
        <item x="17"/>
        <item sd="0" x="18"/>
        <item x="19"/>
        <item x="21"/>
        <item x="23"/>
        <item x="24"/>
        <item x="25"/>
        <item x="32"/>
        <item x="26"/>
        <item x="41"/>
        <item x="27"/>
        <item x="9"/>
        <item x="10"/>
        <item x="20"/>
        <item x="28"/>
        <item x="29"/>
        <item x="30"/>
        <item x="31"/>
        <item x="33"/>
        <item x="34"/>
        <item m="1" x="45"/>
        <item x="35"/>
        <item x="36"/>
        <item x="37"/>
        <item x="38"/>
        <item x="39"/>
        <item x="40"/>
        <item x="5"/>
        <item x="42"/>
        <item x="43"/>
        <item t="default"/>
      </items>
    </pivotField>
    <pivotField axis="axisPage" multipleItemSelectionAllowed="1" showAll="0">
      <items count="12">
        <item h="1" x="4"/>
        <item x="1"/>
        <item h="1" x="3"/>
        <item x="6"/>
        <item x="0"/>
        <item h="1" x="5"/>
        <item h="1" x="10"/>
        <item h="1" x="7"/>
        <item x="2"/>
        <item x="8"/>
        <item h="1" x="9"/>
        <item t="default"/>
      </items>
    </pivotField>
    <pivotField showAll="0"/>
    <pivotField axis="axisPage" multipleItemSelectionAllowed="1" showAll="0">
      <items count="4">
        <item x="1"/>
        <item h="1" x="0"/>
        <item h="1" x="2"/>
        <item t="default"/>
      </items>
    </pivotField>
    <pivotField showAll="0"/>
    <pivotField showAll="0"/>
    <pivotField showAll="0"/>
    <pivotField showAll="0"/>
    <pivotField axis="axisCol" subtotalCaption="total abril" showAll="0">
      <items count="13">
        <item n="Enero" x="0"/>
        <item n="Febrero" x="1"/>
        <item n="Marzo" x="2"/>
        <item n="Abril" x="3"/>
        <item n="Mayo" x="4"/>
        <item n="Junio" x="6"/>
        <item x="7"/>
        <item x="5"/>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8">
    <i>
      <x/>
    </i>
    <i>
      <x v="1"/>
    </i>
    <i>
      <x v="4"/>
    </i>
    <i>
      <x v="5"/>
    </i>
    <i>
      <x v="7"/>
    </i>
    <i>
      <x v="10"/>
    </i>
    <i>
      <x v="12"/>
    </i>
    <i>
      <x v="13"/>
    </i>
    <i>
      <x v="14"/>
    </i>
    <i>
      <x v="20"/>
    </i>
    <i>
      <x v="21"/>
    </i>
    <i>
      <x v="24"/>
    </i>
    <i>
      <x v="25"/>
    </i>
    <i>
      <x v="26"/>
    </i>
    <i>
      <x v="33"/>
    </i>
    <i>
      <x v="37"/>
    </i>
    <i>
      <x v="45"/>
    </i>
    <i t="grand">
      <x/>
    </i>
  </rowItems>
  <colFields count="1">
    <field x="14"/>
  </colFields>
  <colItems count="13">
    <i>
      <x/>
    </i>
    <i>
      <x v="1"/>
    </i>
    <i>
      <x v="2"/>
    </i>
    <i>
      <x v="3"/>
    </i>
    <i>
      <x v="4"/>
    </i>
    <i>
      <x v="5"/>
    </i>
    <i>
      <x v="6"/>
    </i>
    <i>
      <x v="7"/>
    </i>
    <i>
      <x v="8"/>
    </i>
    <i>
      <x v="9"/>
    </i>
    <i>
      <x v="10"/>
    </i>
    <i>
      <x v="11"/>
    </i>
    <i t="grand">
      <x/>
    </i>
  </colItems>
  <pageFields count="2">
    <pageField fld="9" hier="-1"/>
    <pageField fld="7" hier="-1"/>
  </pageFields>
  <dataFields count="1">
    <dataField name="Cuenta de DESCRIPCION DEL ACCIDENTE" fld="27" subtotal="count" baseField="0" baseItem="0"/>
  </dataFields>
  <formats count="50">
    <format dxfId="67">
      <pivotArea outline="0" collapsedLevelsAreSubtotals="1" fieldPosition="0">
        <references count="1">
          <reference field="14" count="1" selected="0">
            <x v="0"/>
          </reference>
        </references>
      </pivotArea>
    </format>
    <format dxfId="66">
      <pivotArea outline="0" collapsedLevelsAreSubtotals="1" fieldPosition="0">
        <references count="1">
          <reference field="14" count="1" selected="0">
            <x v="1"/>
          </reference>
        </references>
      </pivotArea>
    </format>
    <format dxfId="65">
      <pivotArea grandCol="1" outline="0" collapsedLevelsAreSubtotals="1" fieldPosition="0"/>
    </format>
    <format dxfId="64">
      <pivotArea type="topRight" dataOnly="0" labelOnly="1" outline="0" fieldPosition="0"/>
    </format>
    <format dxfId="63">
      <pivotArea dataOnly="0" labelOnly="1" fieldPosition="0">
        <references count="1">
          <reference field="14" count="1">
            <x v="1"/>
          </reference>
        </references>
      </pivotArea>
    </format>
    <format dxfId="62">
      <pivotArea dataOnly="0" labelOnly="1" grandCol="1" outline="0" fieldPosition="0"/>
    </format>
    <format dxfId="61">
      <pivotArea field="14" type="button" dataOnly="0" labelOnly="1" outline="0" axis="axisCol" fieldPosition="0"/>
    </format>
    <format dxfId="60">
      <pivotArea field="3" type="button" dataOnly="0" labelOnly="1" outline="0"/>
    </format>
    <format dxfId="59">
      <pivotArea dataOnly="0" labelOnly="1" fieldPosition="0">
        <references count="1">
          <reference field="14" count="1" defaultSubtotal="1">
            <x v="0"/>
          </reference>
        </references>
      </pivotArea>
    </format>
    <format dxfId="58">
      <pivotArea dataOnly="0" labelOnly="1" fieldPosition="0">
        <references count="1">
          <reference field="14" count="1" defaultSubtotal="1">
            <x v="1"/>
          </reference>
        </references>
      </pivotArea>
    </format>
    <format dxfId="57">
      <pivotArea dataOnly="0" labelOnly="1" grandCol="1" outline="0" fieldPosition="0"/>
    </format>
    <format dxfId="56">
      <pivotArea field="3" type="button" dataOnly="0" labelOnly="1" outline="0"/>
    </format>
    <format dxfId="55">
      <pivotArea dataOnly="0" labelOnly="1" fieldPosition="0">
        <references count="1">
          <reference field="14" count="1" defaultSubtotal="1">
            <x v="0"/>
          </reference>
        </references>
      </pivotArea>
    </format>
    <format dxfId="54">
      <pivotArea dataOnly="0" labelOnly="1" fieldPosition="0">
        <references count="1">
          <reference field="14" count="1" defaultSubtotal="1">
            <x v="1"/>
          </reference>
        </references>
      </pivotArea>
    </format>
    <format dxfId="53">
      <pivotArea dataOnly="0" labelOnly="1" grandCol="1" outline="0" fieldPosition="0"/>
    </format>
    <format dxfId="52">
      <pivotArea field="3" type="button" dataOnly="0" labelOnly="1" outline="0"/>
    </format>
    <format dxfId="51">
      <pivotArea dataOnly="0" labelOnly="1" fieldPosition="0">
        <references count="1">
          <reference field="14" count="1" defaultSubtotal="1">
            <x v="1"/>
          </reference>
        </references>
      </pivotArea>
    </format>
    <format dxfId="50">
      <pivotArea field="3" type="button" dataOnly="0" labelOnly="1" outline="0"/>
    </format>
    <format dxfId="49">
      <pivotArea dataOnly="0" labelOnly="1" fieldPosition="0">
        <references count="1">
          <reference field="14" count="1" defaultSubtotal="1">
            <x v="1"/>
          </reference>
        </references>
      </pivotArea>
    </format>
    <format dxfId="48">
      <pivotArea outline="0" collapsedLevelsAreSubtotals="1" fieldPosition="0"/>
    </format>
    <format dxfId="47">
      <pivotArea dataOnly="0" labelOnly="1" fieldPosition="0">
        <references count="1">
          <reference field="14" count="1" defaultSubtotal="1">
            <x v="0"/>
          </reference>
        </references>
      </pivotArea>
    </format>
    <format dxfId="46">
      <pivotArea dataOnly="0" labelOnly="1" fieldPosition="0">
        <references count="1">
          <reference field="14" count="1" defaultSubtotal="1">
            <x v="1"/>
          </reference>
        </references>
      </pivotArea>
    </format>
    <format dxfId="45">
      <pivotArea dataOnly="0" labelOnly="1" fieldPosition="0">
        <references count="1">
          <reference field="14" count="1" defaultSubtotal="1">
            <x v="1"/>
          </reference>
        </references>
      </pivotArea>
    </format>
    <format dxfId="44">
      <pivotArea dataOnly="0" labelOnly="1" fieldPosition="0">
        <references count="1">
          <reference field="14" count="1" defaultSubtotal="1">
            <x v="0"/>
          </reference>
        </references>
      </pivotArea>
    </format>
    <format dxfId="43">
      <pivotArea dataOnly="0" labelOnly="1" fieldPosition="0">
        <references count="1">
          <reference field="14" count="1" defaultSubtotal="1">
            <x v="1"/>
          </reference>
        </references>
      </pivotArea>
    </format>
    <format dxfId="42">
      <pivotArea dataOnly="0" labelOnly="1" grandCol="1" outline="0" fieldPosition="0"/>
    </format>
    <format dxfId="41">
      <pivotArea dataOnly="0" labelOnly="1" fieldPosition="0">
        <references count="1">
          <reference field="14" count="1">
            <x v="0"/>
          </reference>
        </references>
      </pivotArea>
    </format>
    <format dxfId="40">
      <pivotArea dataOnly="0" labelOnly="1" fieldPosition="0">
        <references count="1">
          <reference field="14" count="1" defaultSubtotal="1">
            <x v="0"/>
          </reference>
        </references>
      </pivotArea>
    </format>
    <format dxfId="39">
      <pivotArea dataOnly="0" labelOnly="1" fieldPosition="0">
        <references count="1">
          <reference field="14" count="1">
            <x v="1"/>
          </reference>
        </references>
      </pivotArea>
    </format>
    <format dxfId="38">
      <pivotArea dataOnly="0" labelOnly="1" fieldPosition="0">
        <references count="1">
          <reference field="14" count="1" defaultSubtotal="1">
            <x v="1"/>
          </reference>
        </references>
      </pivotArea>
    </format>
    <format dxfId="37">
      <pivotArea dataOnly="0" labelOnly="1" grandCol="1" outline="0" fieldPosition="0"/>
    </format>
    <format dxfId="36">
      <pivotArea grandRow="1" outline="0" collapsedLevelsAreSubtotals="1" fieldPosition="0"/>
    </format>
    <format dxfId="35">
      <pivotArea dataOnly="0" labelOnly="1" grandRow="1" outline="0" fieldPosition="0"/>
    </format>
    <format dxfId="34">
      <pivotArea dataOnly="0" labelOnly="1" fieldPosition="0">
        <references count="1">
          <reference field="14" count="1" defaultSubtotal="1">
            <x v="2"/>
          </reference>
        </references>
      </pivotArea>
    </format>
    <format dxfId="33">
      <pivotArea dataOnly="0" labelOnly="1" fieldPosition="0">
        <references count="1">
          <reference field="14" count="1" defaultSubtotal="1">
            <x v="2"/>
          </reference>
        </references>
      </pivotArea>
    </format>
    <format dxfId="32">
      <pivotArea dataOnly="0" labelOnly="1" fieldPosition="0">
        <references count="1">
          <reference field="14" count="6">
            <x v="0"/>
            <x v="1"/>
            <x v="2"/>
            <x v="3"/>
            <x v="4"/>
            <x v="5"/>
          </reference>
        </references>
      </pivotArea>
    </format>
    <format dxfId="31">
      <pivotArea outline="0" collapsedLevelsAreSubtotals="1" fieldPosition="0"/>
    </format>
    <format dxfId="30">
      <pivotArea field="3" type="button" dataOnly="0" labelOnly="1" outline="0"/>
    </format>
    <format dxfId="29">
      <pivotArea dataOnly="0" labelOnly="1" grandRow="1" outline="0" fieldPosition="0"/>
    </format>
    <format dxfId="28">
      <pivotArea dataOnly="0" labelOnly="1" fieldPosition="0">
        <references count="1">
          <reference field="14" count="6">
            <x v="0"/>
            <x v="1"/>
            <x v="2"/>
            <x v="3"/>
            <x v="4"/>
            <x v="5"/>
          </reference>
        </references>
      </pivotArea>
    </format>
    <format dxfId="27">
      <pivotArea dataOnly="0" labelOnly="1" grandCol="1" outline="0" fieldPosition="0"/>
    </format>
    <format dxfId="26">
      <pivotArea dataOnly="0" labelOnly="1" fieldPosition="0">
        <references count="1">
          <reference field="6" count="2">
            <x v="0"/>
            <x v="1"/>
          </reference>
        </references>
      </pivotArea>
    </format>
    <format dxfId="25">
      <pivotArea dataOnly="0" labelOnly="1" fieldPosition="0">
        <references count="1">
          <reference field="6" count="1">
            <x v="2"/>
          </reference>
        </references>
      </pivotArea>
    </format>
    <format dxfId="24">
      <pivotArea dataOnly="0" labelOnly="1" fieldPosition="0">
        <references count="1">
          <reference field="14" count="8">
            <x v="0"/>
            <x v="1"/>
            <x v="2"/>
            <x v="3"/>
            <x v="4"/>
            <x v="5"/>
            <x v="6"/>
            <x v="7"/>
          </reference>
        </references>
      </pivotArea>
    </format>
    <format dxfId="23">
      <pivotArea dataOnly="0" labelOnly="1" grandCol="1" outline="0" fieldPosition="0"/>
    </format>
    <format dxfId="22">
      <pivotArea dataOnly="0" labelOnly="1" fieldPosition="0">
        <references count="1">
          <reference field="14" count="8">
            <x v="0"/>
            <x v="1"/>
            <x v="2"/>
            <x v="3"/>
            <x v="4"/>
            <x v="5"/>
            <x v="6"/>
            <x v="7"/>
          </reference>
        </references>
      </pivotArea>
    </format>
    <format dxfId="21">
      <pivotArea dataOnly="0" labelOnly="1" grandCol="1" outline="0" fieldPosition="0"/>
    </format>
    <format dxfId="20">
      <pivotArea dataOnly="0" labelOnly="1" fieldPosition="0">
        <references count="1">
          <reference field="6" count="2">
            <x v="4"/>
            <x v="5"/>
          </reference>
        </references>
      </pivotArea>
    </format>
    <format dxfId="19">
      <pivotArea dataOnly="0" labelOnly="1" fieldPosition="0">
        <references count="1">
          <reference field="6" count="1">
            <x v="7"/>
          </reference>
        </references>
      </pivotArea>
    </format>
    <format dxfId="18">
      <pivotArea dataOnly="0" labelOnly="1" fieldPosition="0">
        <references count="1">
          <reference field="6"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3:B54" firstHeaderRow="1" firstDataRow="1" firstDataCol="1"/>
  <pivotFields count="39">
    <pivotField axis="axisRow" showAll="0">
      <items count="7">
        <item sd="0" x="1"/>
        <item x="0"/>
        <item x="2"/>
        <item x="4"/>
        <item x="3"/>
        <item m="1" x="5"/>
        <item t="default"/>
      </items>
    </pivotField>
    <pivotField showAll="0"/>
    <pivotField showAll="0"/>
    <pivotField axis="axisRow" showAll="0">
      <items count="36">
        <item x="17"/>
        <item x="6"/>
        <item sd="0" x="14"/>
        <item sd="0" x="3"/>
        <item x="13"/>
        <item x="15"/>
        <item x="0"/>
        <item x="18"/>
        <item x="19"/>
        <item x="11"/>
        <item x="7"/>
        <item x="8"/>
        <item m="1" x="32"/>
        <item x="16"/>
        <item x="22"/>
        <item x="2"/>
        <item x="1"/>
        <item x="4"/>
        <item x="12"/>
        <item m="1" x="34"/>
        <item x="21"/>
        <item x="23"/>
        <item x="24"/>
        <item x="25"/>
        <item m="1" x="31"/>
        <item m="1" x="33"/>
        <item x="9"/>
        <item x="10"/>
        <item x="20"/>
        <item m="1" x="30"/>
        <item x="5"/>
        <item m="1" x="26"/>
        <item m="1" x="27"/>
        <item m="1" x="28"/>
        <item m="1" x="29"/>
        <item t="default"/>
      </items>
    </pivotField>
    <pivotField axis="axisRow" showAll="0">
      <items count="11">
        <item x="4"/>
        <item x="1"/>
        <item x="3"/>
        <item x="6"/>
        <item x="2"/>
        <item x="0"/>
        <item x="5"/>
        <item x="7"/>
        <item x="8"/>
        <item m="1" x="9"/>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3"/>
    <field x="4"/>
  </rowFields>
  <rowItems count="51">
    <i>
      <x/>
    </i>
    <i>
      <x v="1"/>
    </i>
    <i r="1">
      <x/>
    </i>
    <i r="2">
      <x/>
    </i>
    <i r="1">
      <x v="2"/>
    </i>
    <i r="1">
      <x v="3"/>
    </i>
    <i r="1">
      <x v="4"/>
    </i>
    <i r="2">
      <x v="5"/>
    </i>
    <i r="1">
      <x v="5"/>
    </i>
    <i r="2">
      <x/>
    </i>
    <i r="1">
      <x v="6"/>
    </i>
    <i r="2">
      <x v="5"/>
    </i>
    <i r="1">
      <x v="14"/>
    </i>
    <i r="2">
      <x v="3"/>
    </i>
    <i r="1">
      <x v="21"/>
    </i>
    <i r="2">
      <x v="2"/>
    </i>
    <i r="1">
      <x v="23"/>
    </i>
    <i r="2">
      <x v="5"/>
    </i>
    <i r="1">
      <x v="27"/>
    </i>
    <i r="2">
      <x/>
    </i>
    <i r="1">
      <x v="28"/>
    </i>
    <i r="2">
      <x v="7"/>
    </i>
    <i>
      <x v="2"/>
    </i>
    <i r="1">
      <x v="1"/>
    </i>
    <i r="2">
      <x v="5"/>
    </i>
    <i r="2">
      <x v="8"/>
    </i>
    <i r="1">
      <x v="10"/>
    </i>
    <i r="2">
      <x v="4"/>
    </i>
    <i r="2">
      <x v="5"/>
    </i>
    <i r="1">
      <x v="11"/>
    </i>
    <i r="2">
      <x v="5"/>
    </i>
    <i r="1">
      <x v="13"/>
    </i>
    <i r="2">
      <x v="5"/>
    </i>
    <i r="1">
      <x v="26"/>
    </i>
    <i r="2">
      <x v="2"/>
    </i>
    <i r="1">
      <x v="30"/>
    </i>
    <i r="2">
      <x v="5"/>
    </i>
    <i>
      <x v="3"/>
    </i>
    <i r="1">
      <x v="7"/>
    </i>
    <i r="2">
      <x v="7"/>
    </i>
    <i r="1">
      <x v="8"/>
    </i>
    <i r="2">
      <x v="5"/>
    </i>
    <i r="2">
      <x v="7"/>
    </i>
    <i r="1">
      <x v="20"/>
    </i>
    <i r="2">
      <x v="5"/>
    </i>
    <i>
      <x v="4"/>
    </i>
    <i r="1">
      <x v="9"/>
    </i>
    <i r="2">
      <x v="6"/>
    </i>
    <i r="1">
      <x v="18"/>
    </i>
    <i r="2">
      <x v="3"/>
    </i>
    <i t="grand">
      <x/>
    </i>
  </rowItems>
  <colItems count="1">
    <i/>
  </colItems>
  <formats count="3">
    <format dxfId="17">
      <pivotArea dataOnly="0" labelOnly="1" fieldPosition="0">
        <references count="3">
          <reference field="0" count="1" selected="0">
            <x v="1"/>
          </reference>
          <reference field="3" count="1" selected="0">
            <x v="5"/>
          </reference>
          <reference field="4" count="1">
            <x v="0"/>
          </reference>
        </references>
      </pivotArea>
    </format>
    <format dxfId="16">
      <pivotArea dataOnly="0" labelOnly="1" fieldPosition="0">
        <references count="3">
          <reference field="0" count="1" selected="0">
            <x v="1"/>
          </reference>
          <reference field="3" count="1" selected="0">
            <x v="0"/>
          </reference>
          <reference field="4" count="1">
            <x v="0"/>
          </reference>
        </references>
      </pivotArea>
    </format>
    <format dxfId="15">
      <pivotArea collapsedLevelsAreSubtotals="1" fieldPosition="0">
        <references count="3">
          <reference field="0" count="1" selected="0">
            <x v="1"/>
          </reference>
          <reference field="3" count="1" selected="0">
            <x v="14"/>
          </reference>
          <reference field="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TablaDiná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4:C43" firstHeaderRow="1" firstDataRow="1" firstDataCol="1" rowPageCount="1" colPageCount="1"/>
  <pivotFields count="42">
    <pivotField showAll="0"/>
    <pivotField showAll="0"/>
    <pivotField showAll="0"/>
    <pivotField axis="axisRow" showAll="0">
      <items count="8">
        <item x="0"/>
        <item x="4"/>
        <item x="2"/>
        <item x="1"/>
        <item h="1" x="5"/>
        <item x="3"/>
        <item h="1" m="1" x="6"/>
        <item t="default"/>
      </items>
    </pivotField>
    <pivotField showAll="0"/>
    <pivotField showAll="0"/>
    <pivotField axis="axisRow" showAll="0">
      <items count="49">
        <item x="3"/>
        <item x="0"/>
        <item x="7"/>
        <item x="2"/>
        <item x="1"/>
        <item x="4"/>
        <item x="44"/>
        <item x="16"/>
        <item m="1" x="46"/>
        <item x="8"/>
        <item x="6"/>
        <item x="11"/>
        <item x="22"/>
        <item x="12"/>
        <item x="13"/>
        <item x="14"/>
        <item x="15"/>
        <item m="1" x="47"/>
        <item x="17"/>
        <item x="18"/>
        <item x="19"/>
        <item x="21"/>
        <item x="23"/>
        <item x="24"/>
        <item x="25"/>
        <item x="32"/>
        <item x="26"/>
        <item x="41"/>
        <item x="27"/>
        <item x="9"/>
        <item x="10"/>
        <item x="20"/>
        <item x="28"/>
        <item x="29"/>
        <item x="30"/>
        <item x="31"/>
        <item x="33"/>
        <item x="34"/>
        <item m="1" x="45"/>
        <item x="35"/>
        <item x="36"/>
        <item x="37"/>
        <item x="38"/>
        <item x="39"/>
        <item x="40"/>
        <item x="5"/>
        <item x="42"/>
        <item x="43"/>
        <item t="default"/>
      </items>
    </pivotField>
    <pivotField axis="axisRow" showAll="0">
      <items count="12">
        <item x="4"/>
        <item x="1"/>
        <item x="3"/>
        <item x="6"/>
        <item x="0"/>
        <item x="5"/>
        <item x="10"/>
        <item x="7"/>
        <item x="2"/>
        <item x="8"/>
        <item x="9"/>
        <item t="default"/>
      </items>
    </pivotField>
    <pivotField showAll="0"/>
    <pivotField showAll="0"/>
    <pivotField showAll="0"/>
    <pivotField showAll="0"/>
    <pivotField showAll="0"/>
    <pivotField showAll="0"/>
    <pivotField axis="axisPage" multipleItemSelectionAllowed="1" showAll="0">
      <items count="13">
        <item n="Enero" h="1" x="0"/>
        <item n="Febrero" h="1" x="1"/>
        <item h="1" x="2"/>
        <item x="3"/>
        <item h="1" x="4"/>
        <item h="1" x="6"/>
        <item h="1" x="7"/>
        <item h="1" x="5"/>
        <item h="1" x="8"/>
        <item h="1" x="9"/>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3"/>
    <field x="6"/>
    <field x="7"/>
  </rowFields>
  <rowItems count="39">
    <i>
      <x/>
    </i>
    <i r="1">
      <x/>
    </i>
    <i r="2">
      <x v="4"/>
    </i>
    <i r="1">
      <x v="1"/>
    </i>
    <i r="2">
      <x v="4"/>
    </i>
    <i r="1">
      <x v="12"/>
    </i>
    <i r="2">
      <x v="3"/>
    </i>
    <i r="1">
      <x v="14"/>
    </i>
    <i r="2">
      <x v="4"/>
    </i>
    <i r="1">
      <x v="24"/>
    </i>
    <i r="2">
      <x v="4"/>
    </i>
    <i r="1">
      <x v="31"/>
    </i>
    <i r="2">
      <x v="7"/>
    </i>
    <i>
      <x v="1"/>
    </i>
    <i r="1">
      <x v="20"/>
    </i>
    <i r="2">
      <x v="4"/>
    </i>
    <i r="2">
      <x v="7"/>
    </i>
    <i r="1">
      <x v="21"/>
    </i>
    <i r="2">
      <x v="4"/>
    </i>
    <i>
      <x v="2"/>
    </i>
    <i r="1">
      <x v="2"/>
    </i>
    <i r="2">
      <x v="4"/>
    </i>
    <i r="1">
      <x v="7"/>
    </i>
    <i r="2">
      <x v="4"/>
    </i>
    <i r="1">
      <x v="10"/>
    </i>
    <i r="2">
      <x v="4"/>
    </i>
    <i r="1">
      <x v="45"/>
    </i>
    <i r="2">
      <x v="4"/>
    </i>
    <i>
      <x v="3"/>
    </i>
    <i r="1">
      <x v="4"/>
    </i>
    <i r="2">
      <x v="4"/>
    </i>
    <i r="1">
      <x v="5"/>
    </i>
    <i r="2">
      <x v="4"/>
    </i>
    <i r="1">
      <x v="23"/>
    </i>
    <i r="2">
      <x v="4"/>
    </i>
    <i>
      <x v="5"/>
    </i>
    <i r="1">
      <x v="25"/>
    </i>
    <i r="2">
      <x v="4"/>
    </i>
    <i t="grand">
      <x/>
    </i>
  </rowItems>
  <colItems count="1">
    <i/>
  </colItems>
  <pageFields count="1">
    <pageField fld="14" hier="-1"/>
  </pageFields>
  <dataFields count="1">
    <dataField name="Cuenta de DESCRIPCION DEL ACCIDENTE" fld="27" subtotal="count" baseField="0" baseItem="0"/>
  </dataFields>
  <formats count="15">
    <format dxfId="14">
      <pivotArea grandCol="1" outline="0" collapsedLevelsAreSubtotals="1" fieldPosition="0"/>
    </format>
    <format dxfId="13">
      <pivotArea type="topRight" dataOnly="0" labelOnly="1" outline="0" fieldPosition="0"/>
    </format>
    <format dxfId="12">
      <pivotArea dataOnly="0" labelOnly="1" grandCol="1" outline="0" fieldPosition="0"/>
    </format>
    <format dxfId="11">
      <pivotArea field="14" type="button" dataOnly="0" labelOnly="1" outline="0" axis="axisPage" fieldPosition="0"/>
    </format>
    <format dxfId="10">
      <pivotArea field="3" type="button" dataOnly="0" labelOnly="1" outline="0" axis="axisRow" fieldPosition="0"/>
    </format>
    <format dxfId="9">
      <pivotArea dataOnly="0" labelOnly="1" grandCol="1" outline="0" fieldPosition="0"/>
    </format>
    <format dxfId="8">
      <pivotArea field="3" type="button" dataOnly="0" labelOnly="1" outline="0" axis="axisRow" fieldPosition="0"/>
    </format>
    <format dxfId="7">
      <pivotArea dataOnly="0" labelOnly="1" grandCol="1" outline="0" fieldPosition="0"/>
    </format>
    <format dxfId="6">
      <pivotArea field="3" type="button" dataOnly="0" labelOnly="1" outline="0" axis="axisRow" fieldPosition="0"/>
    </format>
    <format dxfId="5">
      <pivotArea field="3" type="button" dataOnly="0" labelOnly="1" outline="0" axis="axisRow" fieldPosition="0"/>
    </format>
    <format dxfId="4">
      <pivotArea outline="0" collapsedLevelsAreSubtotals="1" fieldPosition="0"/>
    </format>
    <format dxfId="3">
      <pivotArea dataOnly="0" labelOnly="1" grandCol="1" outline="0" fieldPosition="0"/>
    </format>
    <format dxfId="2">
      <pivotArea dataOnly="0" labelOnly="1" grandCol="1" outline="0"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DD0328-325F-43FE-8FA3-FB072DC15FDF}" name="Tabla dinámica5"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F243" firstHeaderRow="1" firstDataRow="1" firstDataCol="5"/>
  <pivotFields count="46">
    <pivotField compact="0" outline="0" showAll="0"/>
    <pivotField compact="0" outline="0" showAll="0"/>
    <pivotField compact="0" outline="0" showAll="0"/>
    <pivotField axis="axisRow" compact="0" outline="0" showAll="0">
      <items count="8">
        <item m="1" x="6"/>
        <item x="1"/>
        <item x="0"/>
        <item x="2"/>
        <item x="4"/>
        <item h="1" x="3"/>
        <item x="5"/>
        <item t="default"/>
      </items>
    </pivotField>
    <pivotField compact="0" outline="0" showAll="0"/>
    <pivotField compact="0" outline="0" showAll="0"/>
    <pivotField axis="axisRow" compact="0" outline="0" showAll="0">
      <items count="46">
        <item x="10"/>
        <item x="38"/>
        <item x="40"/>
        <item x="17"/>
        <item x="36"/>
        <item x="9"/>
        <item x="37"/>
        <item x="24"/>
        <item x="27"/>
        <item x="6"/>
        <item x="39"/>
        <item x="33"/>
        <item x="14"/>
        <item x="3"/>
        <item x="13"/>
        <item x="23"/>
        <item x="15"/>
        <item x="28"/>
        <item x="34"/>
        <item x="0"/>
        <item x="18"/>
        <item x="19"/>
        <item x="11"/>
        <item x="35"/>
        <item x="30"/>
        <item x="5"/>
        <item x="7"/>
        <item x="8"/>
        <item x="16"/>
        <item x="29"/>
        <item x="31"/>
        <item x="22"/>
        <item x="26"/>
        <item x="20"/>
        <item x="2"/>
        <item x="1"/>
        <item x="4"/>
        <item x="12"/>
        <item x="25"/>
        <item x="21"/>
        <item x="32"/>
        <item x="44"/>
        <item x="41"/>
        <item x="42"/>
        <item x="43"/>
        <item t="default"/>
      </items>
    </pivotField>
    <pivotField compact="0" outline="0" showAll="0"/>
    <pivotField compact="0" outline="0" showAll="0"/>
    <pivotField axis="axisRow" dataField="1" compact="0" outline="0" showAll="0">
      <items count="4">
        <item x="1"/>
        <item x="0"/>
        <item x="2"/>
        <item t="default"/>
      </items>
    </pivotField>
    <pivotField compact="0" outline="0" showAll="0"/>
    <pivotField compact="0" outline="0" showAll="0"/>
    <pivotField compact="0" numFmtId="1" outline="0" showAll="0"/>
    <pivotField compact="0" outline="0" showAll="0"/>
    <pivotField axis="axisRow" compact="0" outline="0" showAll="0">
      <items count="13">
        <item x="0"/>
        <item x="1"/>
        <item x="2"/>
        <item x="3"/>
        <item x="4"/>
        <item x="6"/>
        <item x="7"/>
        <item x="5"/>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1"/>
        <item x="0"/>
        <item x="3"/>
        <item t="default"/>
      </items>
    </pivotField>
    <pivotField compact="0" outline="0" showAll="0"/>
  </pivotFields>
  <rowFields count="5">
    <field x="44"/>
    <field x="9"/>
    <field x="3"/>
    <field x="6"/>
    <field x="14"/>
  </rowFields>
  <rowItems count="241">
    <i>
      <x/>
      <x/>
      <x v="3"/>
      <x v="28"/>
      <x v="6"/>
    </i>
    <i t="default" r="3">
      <x v="28"/>
    </i>
    <i r="3">
      <x v="30"/>
      <x v="6"/>
    </i>
    <i t="default" r="3">
      <x v="30"/>
    </i>
    <i t="default" r="2">
      <x v="3"/>
    </i>
    <i t="default" r="1">
      <x/>
    </i>
    <i r="1">
      <x v="1"/>
      <x v="1"/>
      <x v="35"/>
      <x v="4"/>
    </i>
    <i t="default" r="3">
      <x v="35"/>
    </i>
    <i t="default" r="2">
      <x v="1"/>
    </i>
    <i r="2">
      <x v="2"/>
      <x v="15"/>
      <x v="2"/>
    </i>
    <i r="4">
      <x v="4"/>
    </i>
    <i r="4">
      <x v="6"/>
    </i>
    <i r="4">
      <x v="7"/>
    </i>
    <i t="default" r="3">
      <x v="15"/>
    </i>
    <i t="default" r="2">
      <x v="2"/>
    </i>
    <i t="default" r="1">
      <x v="1"/>
    </i>
    <i t="default">
      <x/>
    </i>
    <i>
      <x v="1"/>
      <x/>
      <x v="1"/>
      <x v="8"/>
      <x v="5"/>
    </i>
    <i t="default" r="3">
      <x v="8"/>
    </i>
    <i r="3">
      <x v="34"/>
      <x v="6"/>
    </i>
    <i t="default" r="3">
      <x v="34"/>
    </i>
    <i r="3">
      <x v="35"/>
      <x/>
    </i>
    <i r="4">
      <x v="8"/>
    </i>
    <i r="4">
      <x v="9"/>
    </i>
    <i t="default" r="3">
      <x v="35"/>
    </i>
    <i r="3">
      <x v="36"/>
      <x v="3"/>
    </i>
    <i t="default" r="3">
      <x v="36"/>
    </i>
    <i t="default" r="2">
      <x v="1"/>
    </i>
    <i r="2">
      <x v="2"/>
      <x/>
      <x/>
    </i>
    <i t="default" r="3">
      <x/>
    </i>
    <i r="3">
      <x v="2"/>
      <x v="11"/>
    </i>
    <i t="default" r="3">
      <x v="2"/>
    </i>
    <i r="3">
      <x v="3"/>
      <x v="8"/>
    </i>
    <i t="default" r="3">
      <x v="3"/>
    </i>
    <i r="3">
      <x v="6"/>
      <x v="10"/>
    </i>
    <i t="default" r="3">
      <x v="6"/>
    </i>
    <i r="3">
      <x v="10"/>
      <x v="11"/>
    </i>
    <i t="default" r="3">
      <x v="10"/>
    </i>
    <i r="3">
      <x v="11"/>
      <x v="7"/>
    </i>
    <i t="default" r="3">
      <x v="11"/>
    </i>
    <i r="3">
      <x v="13"/>
      <x/>
    </i>
    <i r="4">
      <x v="7"/>
    </i>
    <i r="4">
      <x v="8"/>
    </i>
    <i r="4">
      <x v="9"/>
    </i>
    <i t="default" r="3">
      <x v="13"/>
    </i>
    <i r="3">
      <x v="14"/>
      <x/>
    </i>
    <i r="4">
      <x v="2"/>
    </i>
    <i r="4">
      <x v="8"/>
    </i>
    <i t="default" r="3">
      <x v="14"/>
    </i>
    <i r="3">
      <x v="15"/>
      <x v="6"/>
    </i>
    <i r="4">
      <x v="8"/>
    </i>
    <i t="default" r="3">
      <x v="15"/>
    </i>
    <i r="3">
      <x v="16"/>
      <x v="1"/>
    </i>
    <i r="4">
      <x v="5"/>
    </i>
    <i r="4">
      <x v="6"/>
    </i>
    <i t="default" r="3">
      <x v="16"/>
    </i>
    <i r="3">
      <x v="17"/>
      <x v="5"/>
    </i>
    <i t="default" r="3">
      <x v="17"/>
    </i>
    <i r="3">
      <x v="18"/>
      <x v="7"/>
    </i>
    <i r="4">
      <x v="9"/>
    </i>
    <i r="4">
      <x v="10"/>
    </i>
    <i r="4">
      <x v="11"/>
    </i>
    <i t="default" r="3">
      <x v="18"/>
    </i>
    <i r="3">
      <x v="19"/>
      <x v="1"/>
    </i>
    <i r="4">
      <x v="2"/>
    </i>
    <i r="4">
      <x v="8"/>
    </i>
    <i r="4">
      <x v="9"/>
    </i>
    <i t="default" r="3">
      <x v="19"/>
    </i>
    <i r="3">
      <x v="23"/>
      <x v="9"/>
    </i>
    <i t="default" r="3">
      <x v="23"/>
    </i>
    <i r="3">
      <x v="31"/>
      <x v="5"/>
    </i>
    <i t="default" r="3">
      <x v="31"/>
    </i>
    <i r="3">
      <x v="32"/>
      <x v="4"/>
    </i>
    <i t="default" r="3">
      <x v="32"/>
    </i>
    <i r="3">
      <x v="33"/>
      <x v="3"/>
    </i>
    <i r="4">
      <x v="7"/>
    </i>
    <i t="default" r="3">
      <x v="33"/>
    </i>
    <i r="3">
      <x v="38"/>
      <x v="3"/>
    </i>
    <i r="4">
      <x v="4"/>
    </i>
    <i t="default" r="3">
      <x v="38"/>
    </i>
    <i t="default" r="2">
      <x v="2"/>
    </i>
    <i r="2">
      <x v="3"/>
      <x v="1"/>
      <x v="10"/>
    </i>
    <i t="default" r="3">
      <x v="1"/>
    </i>
    <i r="3">
      <x v="5"/>
      <x v="8"/>
    </i>
    <i t="default" r="3">
      <x v="5"/>
    </i>
    <i r="3">
      <x v="9"/>
      <x v="2"/>
    </i>
    <i r="4">
      <x v="3"/>
    </i>
    <i r="4">
      <x v="4"/>
    </i>
    <i r="4">
      <x v="5"/>
    </i>
    <i r="4">
      <x v="6"/>
    </i>
    <i t="default" r="3">
      <x v="9"/>
    </i>
    <i r="3">
      <x v="25"/>
      <x/>
    </i>
    <i r="4">
      <x v="3"/>
    </i>
    <i r="4">
      <x v="6"/>
    </i>
    <i r="4">
      <x v="10"/>
    </i>
    <i r="4">
      <x v="11"/>
    </i>
    <i t="default" r="3">
      <x v="25"/>
    </i>
    <i r="3">
      <x v="28"/>
      <x v="1"/>
    </i>
    <i r="4">
      <x v="2"/>
    </i>
    <i r="4">
      <x v="3"/>
    </i>
    <i r="4">
      <x v="5"/>
    </i>
    <i r="4">
      <x v="8"/>
    </i>
    <i t="default" r="3">
      <x v="28"/>
    </i>
    <i r="3">
      <x v="29"/>
      <x v="7"/>
    </i>
    <i r="4">
      <x v="10"/>
    </i>
    <i t="default" r="3">
      <x v="29"/>
    </i>
    <i t="default" r="2">
      <x v="3"/>
    </i>
    <i r="2">
      <x v="4"/>
      <x v="20"/>
      <x v="1"/>
    </i>
    <i t="default" r="3">
      <x v="20"/>
    </i>
    <i r="3">
      <x v="21"/>
      <x v="10"/>
    </i>
    <i t="default" r="3">
      <x v="21"/>
    </i>
    <i r="3">
      <x v="39"/>
      <x v="8"/>
    </i>
    <i r="4">
      <x v="9"/>
    </i>
    <i t="default" r="3">
      <x v="39"/>
    </i>
    <i t="default" r="2">
      <x v="4"/>
    </i>
    <i t="default" r="1">
      <x/>
    </i>
    <i t="default">
      <x v="1"/>
    </i>
    <i>
      <x v="2"/>
      <x v="1"/>
      <x v="1"/>
      <x v="7"/>
      <x v="3"/>
    </i>
    <i t="default" r="3">
      <x v="7"/>
    </i>
    <i r="3">
      <x v="34"/>
      <x/>
    </i>
    <i r="4">
      <x v="1"/>
    </i>
    <i r="4">
      <x v="2"/>
    </i>
    <i r="4">
      <x v="6"/>
    </i>
    <i r="4">
      <x v="7"/>
    </i>
    <i r="4">
      <x v="8"/>
    </i>
    <i t="default" r="3">
      <x v="34"/>
    </i>
    <i r="3">
      <x v="35"/>
      <x/>
    </i>
    <i r="4">
      <x v="1"/>
    </i>
    <i r="4">
      <x v="3"/>
    </i>
    <i r="4">
      <x v="7"/>
    </i>
    <i t="default" r="3">
      <x v="35"/>
    </i>
    <i r="3">
      <x v="36"/>
      <x/>
    </i>
    <i r="4">
      <x v="4"/>
    </i>
    <i r="4">
      <x v="8"/>
    </i>
    <i t="default" r="3">
      <x v="36"/>
    </i>
    <i t="default" r="2">
      <x v="1"/>
    </i>
    <i r="2">
      <x v="2"/>
      <x v="3"/>
      <x v="1"/>
    </i>
    <i t="default" r="3">
      <x v="3"/>
    </i>
    <i r="3">
      <x v="4"/>
      <x v="9"/>
    </i>
    <i t="default" r="3">
      <x v="4"/>
    </i>
    <i r="3">
      <x v="12"/>
      <x v="1"/>
    </i>
    <i t="default" r="3">
      <x v="12"/>
    </i>
    <i r="3">
      <x v="13"/>
      <x v="3"/>
    </i>
    <i r="4">
      <x v="6"/>
    </i>
    <i r="4">
      <x v="8"/>
    </i>
    <i r="4">
      <x v="10"/>
    </i>
    <i r="4">
      <x v="11"/>
    </i>
    <i t="default" r="3">
      <x v="13"/>
    </i>
    <i r="3">
      <x v="14"/>
      <x v="3"/>
    </i>
    <i t="default" r="3">
      <x v="14"/>
    </i>
    <i r="3">
      <x v="19"/>
      <x/>
    </i>
    <i r="4">
      <x v="3"/>
    </i>
    <i r="4">
      <x v="4"/>
    </i>
    <i r="4">
      <x v="5"/>
    </i>
    <i r="4">
      <x v="6"/>
    </i>
    <i r="4">
      <x v="7"/>
    </i>
    <i r="4">
      <x v="8"/>
    </i>
    <i r="4">
      <x v="9"/>
    </i>
    <i r="4">
      <x v="10"/>
    </i>
    <i r="4">
      <x v="11"/>
    </i>
    <i t="default" r="3">
      <x v="19"/>
    </i>
    <i r="3">
      <x v="31"/>
      <x v="3"/>
    </i>
    <i r="4">
      <x v="7"/>
    </i>
    <i r="4">
      <x v="10"/>
    </i>
    <i t="default" r="3">
      <x v="31"/>
    </i>
    <i r="3">
      <x v="33"/>
      <x v="7"/>
    </i>
    <i r="4">
      <x v="8"/>
    </i>
    <i t="default" r="3">
      <x v="33"/>
    </i>
    <i r="3">
      <x v="38"/>
      <x v="6"/>
    </i>
    <i r="4">
      <x v="7"/>
    </i>
    <i r="4">
      <x v="9"/>
    </i>
    <i r="4">
      <x v="10"/>
    </i>
    <i t="default" r="3">
      <x v="38"/>
    </i>
    <i t="default" r="2">
      <x v="2"/>
    </i>
    <i r="2">
      <x v="3"/>
      <x v="5"/>
      <x/>
    </i>
    <i r="4">
      <x v="5"/>
    </i>
    <i t="default" r="3">
      <x v="5"/>
    </i>
    <i r="3">
      <x v="9"/>
      <x/>
    </i>
    <i r="4">
      <x v="3"/>
    </i>
    <i r="4">
      <x v="6"/>
    </i>
    <i r="4">
      <x v="7"/>
    </i>
    <i r="4">
      <x v="8"/>
    </i>
    <i r="4">
      <x v="9"/>
    </i>
    <i r="4">
      <x v="10"/>
    </i>
    <i r="4">
      <x v="11"/>
    </i>
    <i t="default" r="3">
      <x v="9"/>
    </i>
    <i r="3">
      <x v="24"/>
      <x v="6"/>
    </i>
    <i t="default" r="3">
      <x v="24"/>
    </i>
    <i r="3">
      <x v="26"/>
      <x/>
    </i>
    <i r="4">
      <x v="1"/>
    </i>
    <i r="4">
      <x v="2"/>
    </i>
    <i r="4">
      <x v="3"/>
    </i>
    <i r="4">
      <x v="6"/>
    </i>
    <i r="4">
      <x v="7"/>
    </i>
    <i r="4">
      <x v="8"/>
    </i>
    <i t="default" r="3">
      <x v="26"/>
    </i>
    <i r="3">
      <x v="27"/>
      <x/>
    </i>
    <i t="default" r="3">
      <x v="27"/>
    </i>
    <i r="3">
      <x v="28"/>
      <x/>
    </i>
    <i r="4">
      <x v="1"/>
    </i>
    <i r="4">
      <x v="2"/>
    </i>
    <i r="4">
      <x v="3"/>
    </i>
    <i r="4">
      <x v="4"/>
    </i>
    <i r="4">
      <x v="5"/>
    </i>
    <i r="4">
      <x v="6"/>
    </i>
    <i r="4">
      <x v="7"/>
    </i>
    <i r="4">
      <x v="8"/>
    </i>
    <i r="4">
      <x v="9"/>
    </i>
    <i r="4">
      <x v="10"/>
    </i>
    <i r="4">
      <x v="11"/>
    </i>
    <i t="default" r="3">
      <x v="28"/>
    </i>
    <i r="3">
      <x v="29"/>
      <x v="8"/>
    </i>
    <i r="4">
      <x v="9"/>
    </i>
    <i r="4">
      <x v="10"/>
    </i>
    <i t="default" r="3">
      <x v="29"/>
    </i>
    <i t="default" r="2">
      <x v="3"/>
    </i>
    <i r="2">
      <x v="4"/>
      <x v="20"/>
      <x v="1"/>
    </i>
    <i t="default" r="3">
      <x v="20"/>
    </i>
    <i r="3">
      <x v="21"/>
      <x v="3"/>
    </i>
    <i t="default" r="3">
      <x v="21"/>
    </i>
    <i r="3">
      <x v="39"/>
      <x v="3"/>
    </i>
    <i r="4">
      <x v="5"/>
    </i>
    <i r="4">
      <x v="7"/>
    </i>
    <i t="default" r="3">
      <x v="39"/>
    </i>
    <i t="default" r="2">
      <x v="4"/>
    </i>
    <i t="default" r="1">
      <x v="1"/>
    </i>
    <i r="1">
      <x v="2"/>
      <x v="6"/>
      <x v="41"/>
      <x/>
    </i>
    <i t="default" r="3">
      <x v="41"/>
    </i>
    <i t="default" r="2">
      <x v="6"/>
    </i>
    <i t="default" r="1">
      <x v="2"/>
    </i>
    <i t="default">
      <x v="2"/>
    </i>
    <i>
      <x v="3"/>
      <x v="1"/>
      <x v="2"/>
      <x v="42"/>
      <x v="2"/>
    </i>
    <i t="default" r="3">
      <x v="42"/>
    </i>
    <i r="3">
      <x v="43"/>
      <x v="2"/>
    </i>
    <i t="default" r="3">
      <x v="43"/>
    </i>
    <i r="3">
      <x v="44"/>
      <x v="2"/>
    </i>
    <i t="default" r="3">
      <x v="44"/>
    </i>
    <i t="default" r="2">
      <x v="2"/>
    </i>
    <i t="default" r="1">
      <x v="1"/>
    </i>
    <i t="default">
      <x v="3"/>
    </i>
    <i t="grand">
      <x/>
    </i>
  </rowItems>
  <colItems count="1">
    <i/>
  </colItems>
  <dataFields count="1">
    <dataField name="Cuenta de Tipo de Accident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E852EB-4F29-461C-85B5-6AD235DEFE8B}" name="Tabla dinámica6"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D77" firstHeaderRow="1" firstDataRow="1" firstDataCol="3"/>
  <pivotFields count="46">
    <pivotField compact="0" outline="0" showAll="0"/>
    <pivotField compact="0" outline="0" showAll="0"/>
    <pivotField compact="0" outline="0" showAll="0"/>
    <pivotField axis="axisRow" compact="0" outline="0" showAll="0">
      <items count="8">
        <item m="1" x="6"/>
        <item x="1"/>
        <item x="0"/>
        <item x="2"/>
        <item x="4"/>
        <item h="1" x="3"/>
        <item x="5"/>
        <item t="default"/>
      </items>
    </pivotField>
    <pivotField compact="0" outline="0" showAll="0"/>
    <pivotField compact="0" outline="0" showAll="0"/>
    <pivotField axis="axisRow" compact="0" outline="0" showAll="0">
      <items count="46">
        <item x="10"/>
        <item x="38"/>
        <item x="40"/>
        <item x="17"/>
        <item x="43"/>
        <item x="36"/>
        <item x="9"/>
        <item x="37"/>
        <item x="24"/>
        <item x="27"/>
        <item x="6"/>
        <item x="39"/>
        <item x="33"/>
        <item x="14"/>
        <item x="3"/>
        <item x="13"/>
        <item x="23"/>
        <item x="15"/>
        <item x="28"/>
        <item x="34"/>
        <item x="41"/>
        <item x="0"/>
        <item x="18"/>
        <item x="19"/>
        <item x="11"/>
        <item x="35"/>
        <item x="30"/>
        <item x="5"/>
        <item x="7"/>
        <item x="8"/>
        <item x="16"/>
        <item x="29"/>
        <item x="31"/>
        <item x="22"/>
        <item x="26"/>
        <item x="20"/>
        <item x="42"/>
        <item x="2"/>
        <item x="1"/>
        <item x="4"/>
        <item x="12"/>
        <item x="25"/>
        <item x="21"/>
        <item x="32"/>
        <item x="44"/>
        <item t="default"/>
      </items>
    </pivotField>
    <pivotField compact="0" outline="0" showAll="0"/>
    <pivotField compact="0" outline="0" showAll="0"/>
    <pivotField dataField="1"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3"/>
    <field x="10"/>
    <field x="6"/>
  </rowFields>
  <rowItems count="75">
    <i>
      <x v="1"/>
      <x v="1"/>
      <x v="9"/>
    </i>
    <i r="2">
      <x v="37"/>
    </i>
    <i r="2">
      <x v="38"/>
    </i>
    <i r="2">
      <x v="39"/>
    </i>
    <i t="default" r="1">
      <x v="1"/>
    </i>
    <i r="1">
      <x v="2"/>
      <x v="8"/>
    </i>
    <i r="2">
      <x v="37"/>
    </i>
    <i r="2">
      <x v="38"/>
    </i>
    <i r="2">
      <x v="39"/>
    </i>
    <i t="default" r="1">
      <x v="2"/>
    </i>
    <i t="default">
      <x v="1"/>
    </i>
    <i>
      <x v="2"/>
      <x v="1"/>
      <x/>
    </i>
    <i r="2">
      <x v="2"/>
    </i>
    <i r="2">
      <x v="3"/>
    </i>
    <i r="2">
      <x v="7"/>
    </i>
    <i r="2">
      <x v="11"/>
    </i>
    <i r="2">
      <x v="12"/>
    </i>
    <i r="2">
      <x v="14"/>
    </i>
    <i r="2">
      <x v="15"/>
    </i>
    <i r="2">
      <x v="16"/>
    </i>
    <i r="2">
      <x v="17"/>
    </i>
    <i r="2">
      <x v="18"/>
    </i>
    <i r="2">
      <x v="19"/>
    </i>
    <i r="2">
      <x v="21"/>
    </i>
    <i r="2">
      <x v="25"/>
    </i>
    <i r="2">
      <x v="33"/>
    </i>
    <i r="2">
      <x v="34"/>
    </i>
    <i r="2">
      <x v="35"/>
    </i>
    <i r="2">
      <x v="41"/>
    </i>
    <i t="default" r="1">
      <x v="1"/>
    </i>
    <i r="1">
      <x v="2"/>
      <x v="3"/>
    </i>
    <i r="2">
      <x v="4"/>
    </i>
    <i r="2">
      <x v="5"/>
    </i>
    <i r="2">
      <x v="13"/>
    </i>
    <i r="2">
      <x v="14"/>
    </i>
    <i r="2">
      <x v="15"/>
    </i>
    <i r="2">
      <x v="16"/>
    </i>
    <i r="2">
      <x v="20"/>
    </i>
    <i r="2">
      <x v="21"/>
    </i>
    <i r="2">
      <x v="33"/>
    </i>
    <i r="2">
      <x v="35"/>
    </i>
    <i r="2">
      <x v="36"/>
    </i>
    <i r="2">
      <x v="41"/>
    </i>
    <i t="default" r="1">
      <x v="2"/>
    </i>
    <i t="default">
      <x v="2"/>
    </i>
    <i>
      <x v="3"/>
      <x v="1"/>
      <x v="1"/>
    </i>
    <i r="2">
      <x v="6"/>
    </i>
    <i r="2">
      <x v="10"/>
    </i>
    <i r="2">
      <x v="27"/>
    </i>
    <i r="2">
      <x v="30"/>
    </i>
    <i r="2">
      <x v="31"/>
    </i>
    <i r="2">
      <x v="32"/>
    </i>
    <i t="default" r="1">
      <x v="1"/>
    </i>
    <i r="1">
      <x v="2"/>
      <x v="6"/>
    </i>
    <i r="2">
      <x v="10"/>
    </i>
    <i r="2">
      <x v="26"/>
    </i>
    <i r="2">
      <x v="28"/>
    </i>
    <i r="2">
      <x v="29"/>
    </i>
    <i r="2">
      <x v="30"/>
    </i>
    <i r="2">
      <x v="31"/>
    </i>
    <i t="default" r="1">
      <x v="2"/>
    </i>
    <i t="default">
      <x v="3"/>
    </i>
    <i>
      <x v="4"/>
      <x v="1"/>
      <x v="22"/>
    </i>
    <i r="2">
      <x v="23"/>
    </i>
    <i r="2">
      <x v="42"/>
    </i>
    <i t="default" r="1">
      <x v="1"/>
    </i>
    <i r="1">
      <x v="2"/>
      <x v="22"/>
    </i>
    <i r="2">
      <x v="23"/>
    </i>
    <i r="2">
      <x v="42"/>
    </i>
    <i t="default" r="1">
      <x v="2"/>
    </i>
    <i t="default">
      <x v="4"/>
    </i>
    <i>
      <x v="6"/>
      <x/>
      <x v="44"/>
    </i>
    <i t="default" r="1">
      <x/>
    </i>
    <i t="default">
      <x v="6"/>
    </i>
    <i t="grand">
      <x/>
    </i>
  </rowItems>
  <colItems count="1">
    <i/>
  </colItems>
  <dataFields count="1">
    <dataField name="Cuenta de Tipo de Accident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0E4B85-EDBD-4E75-BD1D-982C151E170B}" name="Tabla dinámica7"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C17" firstHeaderRow="1" firstDataRow="2" firstDataCol="1" rowPageCount="2" colPageCount="1"/>
  <pivotFields count="4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4">
        <item x="1"/>
        <item h="1" x="0"/>
        <item h="1" x="2"/>
        <item t="default"/>
      </items>
    </pivotField>
    <pivotField compact="0" outline="0" showAll="0"/>
    <pivotField compact="0" outline="0" showAll="0"/>
    <pivotField compact="0" outline="0" showAll="0"/>
    <pivotField compact="0" outline="0" showAll="0"/>
    <pivotField axis="axisPage" compact="0" outline="0" multipleItemSelectionAllowed="1" showAll="0">
      <items count="13">
        <item x="0"/>
        <item x="1"/>
        <item x="2"/>
        <item x="3"/>
        <item x="4"/>
        <item h="1" x="6"/>
        <item h="1" x="7"/>
        <item h="1" x="5"/>
        <item h="1" x="8"/>
        <item h="1" x="9"/>
        <item h="1" x="10"/>
        <item h="1" x="11"/>
        <item t="default"/>
      </items>
    </pivotField>
    <pivotField compact="0" outline="0" showAll="0"/>
    <pivotField compact="0" outline="0" showAll="0"/>
    <pivotField compact="0" outline="0" showAll="0"/>
    <pivotField compact="0" outline="0" showAll="0"/>
    <pivotField axis="axisRow" dataField="1" compact="0" outline="0" showAll="0">
      <items count="50">
        <item x="40"/>
        <item x="30"/>
        <item x="3"/>
        <item x="0"/>
        <item x="6"/>
        <item x="4"/>
        <item x="11"/>
        <item x="27"/>
        <item x="43"/>
        <item x="34"/>
        <item x="13"/>
        <item x="42"/>
        <item x="15"/>
        <item x="2"/>
        <item x="8"/>
        <item x="12"/>
        <item x="36"/>
        <item x="9"/>
        <item x="35"/>
        <item x="16"/>
        <item x="5"/>
        <item x="14"/>
        <item x="32"/>
        <item x="18"/>
        <item x="17"/>
        <item x="24"/>
        <item x="47"/>
        <item x="25"/>
        <item x="22"/>
        <item x="19"/>
        <item x="7"/>
        <item x="37"/>
        <item x="26"/>
        <item x="31"/>
        <item x="41"/>
        <item x="1"/>
        <item x="23"/>
        <item x="21"/>
        <item x="38"/>
        <item x="33"/>
        <item x="20"/>
        <item x="46"/>
        <item x="29"/>
        <item x="45"/>
        <item x="39"/>
        <item x="28"/>
        <item x="44"/>
        <item h="1" x="10"/>
        <item h="1" x="4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3"/>
        <item x="2"/>
        <item x="1"/>
        <item x="0"/>
        <item t="default"/>
      </items>
    </pivotField>
    <pivotField compact="0" outline="0" showAll="0"/>
  </pivotFields>
  <rowFields count="1">
    <field x="19"/>
  </rowFields>
  <rowItems count="12">
    <i>
      <x v="2"/>
    </i>
    <i>
      <x v="4"/>
    </i>
    <i>
      <x v="10"/>
    </i>
    <i>
      <x v="12"/>
    </i>
    <i>
      <x v="13"/>
    </i>
    <i>
      <x v="14"/>
    </i>
    <i>
      <x v="15"/>
    </i>
    <i>
      <x v="17"/>
    </i>
    <i>
      <x v="20"/>
    </i>
    <i>
      <x v="21"/>
    </i>
    <i>
      <x v="24"/>
    </i>
    <i t="grand">
      <x/>
    </i>
  </rowItems>
  <colFields count="1">
    <field x="44"/>
  </colFields>
  <colItems count="2">
    <i>
      <x v="2"/>
    </i>
    <i t="grand">
      <x/>
    </i>
  </colItems>
  <pageFields count="2">
    <pageField fld="14" hier="-1"/>
    <pageField fld="9" item="0" hier="-1"/>
  </pageFields>
  <dataFields count="1">
    <dataField name="Cuenta de EMPRESA"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se_Accidentes" displayName="Base_Accidentes" ref="A1:AT282" totalsRowShown="0" headerRowDxfId="205" dataDxfId="203" totalsRowDxfId="201" headerRowBorderDxfId="204" tableBorderDxfId="202" totalsRowBorderDxfId="200">
  <autoFilter ref="A1:AT282" xr:uid="{00000000-000C-0000-FFFF-FFFF00000000}">
    <filterColumn colId="3">
      <filters>
        <filter val="ALICORP_SAA"/>
      </filters>
    </filterColumn>
    <filterColumn colId="18">
      <filters>
        <filter val="Contratista"/>
        <filter val="Estibador"/>
        <filter val="Proveedor"/>
        <filter val="SENATI"/>
        <filter val="Service"/>
        <filter val="TERCERO"/>
        <filter val="Tercero - Comedor"/>
        <filter val="Tercero - Limpieza"/>
        <filter val="Tercero - Mantenimiento"/>
        <filter val="Transportista"/>
      </filters>
    </filterColumn>
  </autoFilter>
  <tableColumns count="46">
    <tableColumn id="1" xr3:uid="{00000000-0010-0000-0000-000001000000}" name="Item" dataDxfId="199" totalsRowDxfId="198"/>
    <tableColumn id="2" xr3:uid="{00000000-0010-0000-0000-000002000000}" name="N° ROM" dataDxfId="197" totalsRowDxfId="196"/>
    <tableColumn id="39" xr3:uid="{00000000-0010-0000-0000-000027000000}" name="PAIS" dataDxfId="195" totalsRowDxfId="194"/>
    <tableColumn id="38" xr3:uid="{00000000-0010-0000-0000-000026000000}" name="SOCIEDAD_x000a_(Razón Social)" dataDxfId="193" totalsRowDxfId="192"/>
    <tableColumn id="3" xr3:uid="{00000000-0010-0000-0000-000003000000}" name="Predio" dataDxfId="191" totalsRowDxfId="190"/>
    <tableColumn id="27" xr3:uid="{00000000-0010-0000-0000-00001B000000}" name="Planta Sigma" dataDxfId="189" totalsRowDxfId="188"/>
    <tableColumn id="4" xr3:uid="{00000000-0010-0000-0000-000004000000}" name="Planta" dataDxfId="187" totalsRowDxfId="186"/>
    <tableColumn id="5" xr3:uid="{00000000-0010-0000-0000-000005000000}" name="Dirección de Responsabilidad" dataDxfId="185" totalsRowDxfId="184"/>
    <tableColumn id="6" xr3:uid="{00000000-0010-0000-0000-000006000000}" name="Area" dataDxfId="183" totalsRowDxfId="182"/>
    <tableColumn id="42" xr3:uid="{00000000-0010-0000-0000-00002A000000}" name="Tipo de Accidente" dataDxfId="181" totalsRowDxfId="180"/>
    <tableColumn id="44" xr3:uid="{00000000-0010-0000-0000-00002C000000}" name="Tipo de Accidente3" dataDxfId="179" totalsRowDxfId="178">
      <calculatedColumnFormula>IF(ISBLANK(Base_Accidentes[[#This Row],[Tipo de Accidente]])," ",Base_Accidentes[[#This Row],[Tipo de Accidente]])</calculatedColumnFormula>
    </tableColumn>
    <tableColumn id="7" xr3:uid="{00000000-0010-0000-0000-000007000000}" name="Fecha_x000a_(XX/XX/2024)" dataDxfId="177" totalsRowDxfId="176"/>
    <tableColumn id="37" xr3:uid="{00000000-0010-0000-0000-000025000000}" name="Sem" dataDxfId="175" totalsRowDxfId="174">
      <calculatedColumnFormula>_xlfn.ISOWEEKNUM(Base_Accidentes[[#This Row],[Fecha
(XX/XX/2024)]])</calculatedColumnFormula>
    </tableColumn>
    <tableColumn id="8" xr3:uid="{00000000-0010-0000-0000-000008000000}" name="Día" dataDxfId="173" totalsRowDxfId="172"/>
    <tableColumn id="9" xr3:uid="{00000000-0010-0000-0000-000009000000}" name="Mes" dataDxfId="171" totalsRowDxfId="170">
      <calculatedColumnFormula>MONTH(Base_Accidentes[[#This Row],[Fecha
(XX/XX/2024)]])</calculatedColumnFormula>
    </tableColumn>
    <tableColumn id="10" xr3:uid="{00000000-0010-0000-0000-00000A000000}" name="Año" dataDxfId="169" totalsRowDxfId="168"/>
    <tableColumn id="11" xr3:uid="{00000000-0010-0000-0000-00000B000000}" name="Hora" dataDxfId="167" totalsRowDxfId="166"/>
    <tableColumn id="12" xr3:uid="{00000000-0010-0000-0000-00000C000000}" name="Turno" dataDxfId="165" totalsRowDxfId="164"/>
    <tableColumn id="13" xr3:uid="{00000000-0010-0000-0000-00000D000000}" name="Tipo de Trabajador" dataDxfId="163" totalsRowDxfId="162"/>
    <tableColumn id="14" xr3:uid="{00000000-0010-0000-0000-00000E000000}" name="EMPRESA" dataDxfId="161" totalsRowDxfId="160"/>
    <tableColumn id="15" xr3:uid="{00000000-0010-0000-0000-00000F000000}" name="APELLIDO PATERNO" dataDxfId="159" totalsRowDxfId="158"/>
    <tableColumn id="16" xr3:uid="{00000000-0010-0000-0000-000010000000}" name="APELLIDO MATERNO" dataDxfId="157" totalsRowDxfId="156"/>
    <tableColumn id="17" xr3:uid="{00000000-0010-0000-0000-000011000000}" name="NOMBRES" dataDxfId="155" totalsRowDxfId="154"/>
    <tableColumn id="18" xr3:uid="{00000000-0010-0000-0000-000012000000}" name="SEXO" dataDxfId="153" totalsRowDxfId="152"/>
    <tableColumn id="19" xr3:uid="{00000000-0010-0000-0000-000013000000}" name="Edad" dataDxfId="151" totalsRowDxfId="150"/>
    <tableColumn id="20" xr3:uid="{00000000-0010-0000-0000-000014000000}" name="Puesto de Trabajo" dataDxfId="149" totalsRowDxfId="148"/>
    <tableColumn id="21" xr3:uid="{00000000-0010-0000-0000-000015000000}" name="Fecha de Ingreso a Labores" dataDxfId="147" totalsRowDxfId="146"/>
    <tableColumn id="22" xr3:uid="{00000000-0010-0000-0000-000016000000}" name="DESCRIPCION DEL ACCIDENTE" dataDxfId="145" totalsRowDxfId="144"/>
    <tableColumn id="23" xr3:uid="{00000000-0010-0000-0000-000017000000}" name="Tipo de Contacto" dataDxfId="143" totalsRowDxfId="142"/>
    <tableColumn id="24" xr3:uid="{00000000-0010-0000-0000-000018000000}" name="Parte del Cuerpo Afectada" dataDxfId="141" totalsRowDxfId="140"/>
    <tableColumn id="25" xr3:uid="{00000000-0010-0000-0000-000019000000}" name="Parte del Cuerpo Afectada 2" dataDxfId="139" totalsRowDxfId="138"/>
    <tableColumn id="26" xr3:uid="{00000000-0010-0000-0000-00001A000000}" name="Actividad Realizada" dataDxfId="137" totalsRowDxfId="136"/>
    <tableColumn id="28" xr3:uid="{00000000-0010-0000-0000-00001C000000}" name="DIAGNOSTICO_x000a_MÉDICO" dataDxfId="135" totalsRowDxfId="134"/>
    <tableColumn id="29" xr3:uid="{00000000-0010-0000-0000-00001D000000}" name="Lesión" dataDxfId="133" totalsRowDxfId="132"/>
    <tableColumn id="30" xr3:uid="{00000000-0010-0000-0000-00001E000000}" name="Días DM Total Indicador" dataDxfId="131" totalsRowDxfId="130"/>
    <tableColumn id="31" xr3:uid="{00000000-0010-0000-0000-00001F000000}" name="Cargo ANSI " dataDxfId="129" totalsRowDxfId="128"/>
    <tableColumn id="32" xr3:uid="{00000000-0010-0000-0000-000020000000}" name="Días de D.M." dataDxfId="127" totalsRowDxfId="126"/>
    <tableColumn id="33" xr3:uid="{00000000-0010-0000-0000-000021000000}" name="Situación Actual" dataDxfId="125" totalsRowDxfId="124"/>
    <tableColumn id="34" xr3:uid="{00000000-0010-0000-0000-000022000000}" name="Tiempo experiencia_x000a_(meses)" dataDxfId="123" totalsRowDxfId="122"/>
    <tableColumn id="36" xr3:uid="{00000000-0010-0000-0000-000024000000}" name="Antigüedad" dataDxfId="121" totalsRowDxfId="120"/>
    <tableColumn id="40" xr3:uid="{00000000-0010-0000-0000-000028000000}" name="FUENTE DE PELIGRO" dataDxfId="119" totalsRowDxfId="118"/>
    <tableColumn id="41" xr3:uid="{00000000-0010-0000-0000-000029000000}" name="TIPO DE CONTRATO" dataDxfId="117" totalsRowDxfId="116"/>
    <tableColumn id="35" xr3:uid="{00000000-0010-0000-0000-000023000000}" name="Tipo de Accidente2" dataDxfId="115" totalsRowDxfId="114">
      <calculatedColumnFormula>+Base_Accidentes[[#This Row],[Tipo de Accidente]]</calculatedColumnFormula>
    </tableColumn>
    <tableColumn id="43" xr3:uid="{00000000-0010-0000-0000-00002B000000}" name="Población" dataDxfId="113" totalsRowDxfId="112">
      <calculatedColumnFormula array="1">+Base_Accidentes[Población]</calculatedColumnFormula>
    </tableColumn>
    <tableColumn id="45" xr3:uid="{00000000-0010-0000-0000-00002D000000}" name="Considerar" dataDxfId="111" totalsRowDxfId="110"/>
    <tableColumn id="46" xr3:uid="{786E6EB9-3B04-422E-9616-63D4FD05167F}" name="Recategorización" dataDxfId="109" totalsRowDxfId="108"/>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RECCIÓN" displayName="DIRECCIÓN" ref="H3:H14" totalsRowShown="0" headerRowDxfId="103" dataDxfId="102">
  <autoFilter ref="H3:H14" xr:uid="{00000000-0009-0000-0100-000002000000}"/>
  <tableColumns count="1">
    <tableColumn id="1" xr3:uid="{00000000-0010-0000-0100-000001000000}" name="DIRECCIÓN" dataDxfId="101"/>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NTRADEVCO_INDUSTRIAL_SA" displayName="INTRADEVCO_INDUSTRIAL_SA" ref="F3:F12" totalsRowShown="0" headerRowDxfId="100" dataDxfId="99">
  <autoFilter ref="F3:F12" xr:uid="{00000000-0009-0000-0100-000003000000}"/>
  <tableColumns count="1">
    <tableColumn id="1" xr3:uid="{00000000-0010-0000-0200-000001000000}" name="INTRADEVCO_INDUSTRIAL_SA" dataDxfId="98"/>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25" displayName="Tabla25" ref="J3:J18" totalsRowShown="0" headerRowDxfId="97" dataDxfId="96">
  <autoFilter ref="J3:J18" xr:uid="{00000000-0009-0000-0100-000004000000}"/>
  <tableColumns count="1">
    <tableColumn id="1" xr3:uid="{00000000-0010-0000-0300-000001000000}" name="TIPO DE TRABAJADOR" dataDxfId="95"/>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26" displayName="Tabla26" ref="L3:L10" totalsRowShown="0" headerRowDxfId="94" dataDxfId="93">
  <autoFilter ref="L3:L10" xr:uid="{00000000-0009-0000-0100-000005000000}"/>
  <tableColumns count="1">
    <tableColumn id="1" xr3:uid="{00000000-0010-0000-0400-000001000000}" name="ANTIGÜEDAD" dataDxfId="92"/>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27" displayName="Tabla27" ref="N3:N17" totalsRowShown="0" headerRowDxfId="91" dataDxfId="90">
  <autoFilter ref="N3:N17" xr:uid="{00000000-0009-0000-0100-000006000000}"/>
  <tableColumns count="1">
    <tableColumn id="1" xr3:uid="{00000000-0010-0000-0500-000001000000}" name="TIPO DE CONTACTO" dataDxfId="8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LICORP_SAA" displayName="ALICORP_SAA" ref="F15:F31" totalsRowShown="0" headerRowDxfId="88" tableBorderDxfId="87">
  <autoFilter ref="F15:F31" xr:uid="{00000000-0009-0000-0100-000007000000}"/>
  <tableColumns count="1">
    <tableColumn id="1" xr3:uid="{00000000-0010-0000-0600-000001000000}" name="ALICORP_SAA"/>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LICORP_BOLIVIA" displayName="ALICORP_BOLIVIA" ref="F32:F40" totalsRowShown="0" headerRowDxfId="86" dataDxfId="85" tableBorderDxfId="84">
  <autoFilter ref="F32:F40" xr:uid="{00000000-0009-0000-0100-000008000000}"/>
  <tableColumns count="1">
    <tableColumn id="1" xr3:uid="{00000000-0010-0000-0700-000001000000}" name="ALICORP_BOLIVIA" dataDxfId="83"/>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MASTERBREAD" displayName="MASTERBREAD" ref="F42:F47" totalsRowShown="0">
  <autoFilter ref="F42:F47" xr:uid="{00000000-0009-0000-0100-000009000000}"/>
  <tableColumns count="1">
    <tableColumn id="1" xr3:uid="{00000000-0010-0000-0800-000001000000}" name="MASTERBREAD"/>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VITAPRO" displayName="VITAPRO" ref="F49:F53" totalsRowShown="0">
  <autoFilter ref="F49:F53" xr:uid="{00000000-0009-0000-0100-00000A000000}"/>
  <tableColumns count="1">
    <tableColumn id="1" xr3:uid="{00000000-0010-0000-0900-000001000000}" name="VITAPRO"/>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PAÍS" displayName="PAÍS" ref="B3:B8" totalsRowShown="0" headerRowDxfId="82" dataDxfId="81" tableBorderDxfId="80">
  <autoFilter ref="B3:B8" xr:uid="{00000000-0009-0000-0100-00000B000000}"/>
  <tableColumns count="1">
    <tableColumn id="1" xr3:uid="{00000000-0010-0000-0A00-000001000000}" name="PAÍS" dataDxfId="79"/>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RAZON_SOCIAL" displayName="RAZON_SOCIAL" ref="D3:D9" totalsRowShown="0" headerRowDxfId="78" dataDxfId="77" tableBorderDxfId="76">
  <autoFilter ref="D3:D9" xr:uid="{00000000-0009-0000-0100-00000C000000}"/>
  <tableColumns count="1">
    <tableColumn id="1" xr3:uid="{00000000-0010-0000-0B00-000001000000}" name="RAZON_SOCIAL" dataDxfId="75"/>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a13" displayName="Tabla13" ref="P3:P16" totalsRowShown="0" headerRowDxfId="74">
  <autoFilter ref="P3:P16" xr:uid="{00000000-0009-0000-0100-00000D000000}"/>
  <tableColumns count="1">
    <tableColumn id="1" xr3:uid="{00000000-0010-0000-0C00-000001000000}" name="PARTE DEL CUERPO AFECTADA 2"/>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a14" displayName="Tabla14" ref="R3:R17" totalsRowShown="0" headerRowDxfId="73">
  <autoFilter ref="R3:R17" xr:uid="{00000000-0009-0000-0100-00000E000000}"/>
  <tableColumns count="1">
    <tableColumn id="1" xr3:uid="{00000000-0010-0000-0D00-000001000000}" name="LESION"/>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a15" displayName="Tabla15" ref="B13:B15" totalsRowShown="0" headerRowDxfId="72" dataDxfId="71">
  <autoFilter ref="B13:B15" xr:uid="{00000000-0009-0000-0100-00000F000000}"/>
  <tableColumns count="1">
    <tableColumn id="1" xr3:uid="{00000000-0010-0000-0E00-000001000000}" name="Tipo de Accidente" dataDxfId="70"/>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Dim_PlantaSigma" displayName="Dim_PlantaSigma" ref="B19:B34" totalsRowShown="0" dataDxfId="69">
  <autoFilter ref="B19:B34" xr:uid="{00000000-0009-0000-0100-000010000000}"/>
  <tableColumns count="1">
    <tableColumn id="1" xr3:uid="{00000000-0010-0000-0F00-000001000000}" name="Planta Sigma" dataDxfId="68"/>
  </tableColumns>
  <tableStyleInfo name="TableStyleLight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1.bin"/><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customProperty" Target="../customProperty6.bin"/><Relationship Id="rId5" Type="http://schemas.openxmlformats.org/officeDocument/2006/relationships/customProperty" Target="../customProperty5.bin"/><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18" Type="http://schemas.openxmlformats.org/officeDocument/2006/relationships/table" Target="../tables/table16.xml"/><Relationship Id="rId3" Type="http://schemas.openxmlformats.org/officeDocument/2006/relationships/customProperty" Target="../customProperty8.bin"/><Relationship Id="rId7" Type="http://schemas.openxmlformats.org/officeDocument/2006/relationships/table" Target="../tables/table5.xml"/><Relationship Id="rId12" Type="http://schemas.openxmlformats.org/officeDocument/2006/relationships/table" Target="../tables/table10.xml"/><Relationship Id="rId17" Type="http://schemas.openxmlformats.org/officeDocument/2006/relationships/table" Target="../tables/table15.xml"/><Relationship Id="rId2" Type="http://schemas.openxmlformats.org/officeDocument/2006/relationships/customProperty" Target="../customProperty7.bin"/><Relationship Id="rId16" Type="http://schemas.openxmlformats.org/officeDocument/2006/relationships/table" Target="../tables/table14.xml"/><Relationship Id="rId1" Type="http://schemas.openxmlformats.org/officeDocument/2006/relationships/printerSettings" Target="../printerSettings/printerSettings2.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10.bin"/><Relationship Id="rId2" Type="http://schemas.openxmlformats.org/officeDocument/2006/relationships/customProperty" Target="../customProperty9.bin"/><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customProperty" Target="../customProperty11.bin"/><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4.bin"/><Relationship Id="rId2" Type="http://schemas.openxmlformats.org/officeDocument/2006/relationships/customProperty" Target="../customProperty13.bin"/><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customProperty" Target="../customProperty15.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customProperty" Target="../customProperty17.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customProperty" Target="../customProperty19.bin"/></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22.bin"/><Relationship Id="rId2" Type="http://schemas.openxmlformats.org/officeDocument/2006/relationships/customProperty" Target="../customProperty21.bin"/><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openxmlformats.org/officeDocument/2006/relationships/customProperty" Target="../customProperty24.bin"/><Relationship Id="rId2" Type="http://schemas.openxmlformats.org/officeDocument/2006/relationships/customProperty" Target="../customProperty23.bin"/><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215C-3CD9-4518-A2DB-0E7D61ABD126}">
  <dimension ref="A1:B11"/>
  <sheetViews>
    <sheetView workbookViewId="0">
      <selection activeCell="B10" sqref="B10"/>
    </sheetView>
  </sheetViews>
  <sheetFormatPr baseColWidth="10" defaultColWidth="11.44140625" defaultRowHeight="14.4" x14ac:dyDescent="0.3"/>
  <cols>
    <col min="1" max="1" width="24.6640625" bestFit="1" customWidth="1"/>
    <col min="2" max="2" width="18.44140625" bestFit="1" customWidth="1"/>
  </cols>
  <sheetData>
    <row r="1" spans="1:2" x14ac:dyDescent="0.3">
      <c r="A1" s="8" t="s">
        <v>0</v>
      </c>
      <c r="B1" t="s">
        <v>1</v>
      </c>
    </row>
    <row r="2" spans="1:2" x14ac:dyDescent="0.3">
      <c r="A2" s="8" t="s">
        <v>2</v>
      </c>
      <c r="B2" t="s">
        <v>3</v>
      </c>
    </row>
    <row r="3" spans="1:2" x14ac:dyDescent="0.3">
      <c r="A3" s="8" t="s">
        <v>4</v>
      </c>
      <c r="B3" t="s">
        <v>3</v>
      </c>
    </row>
    <row r="4" spans="1:2" x14ac:dyDescent="0.3">
      <c r="A4" s="8" t="s">
        <v>5</v>
      </c>
      <c r="B4" t="s">
        <v>3</v>
      </c>
    </row>
    <row r="5" spans="1:2" x14ac:dyDescent="0.3">
      <c r="A5" s="8" t="s">
        <v>6</v>
      </c>
      <c r="B5" t="s">
        <v>3</v>
      </c>
    </row>
    <row r="7" spans="1:2" x14ac:dyDescent="0.3">
      <c r="A7" s="8" t="s">
        <v>7</v>
      </c>
      <c r="B7" t="s">
        <v>8</v>
      </c>
    </row>
    <row r="8" spans="1:2" x14ac:dyDescent="0.3">
      <c r="A8" s="9" t="s">
        <v>9</v>
      </c>
      <c r="B8">
        <v>1</v>
      </c>
    </row>
    <row r="9" spans="1:2" x14ac:dyDescent="0.3">
      <c r="A9" s="9" t="s">
        <v>10</v>
      </c>
      <c r="B9">
        <v>4</v>
      </c>
    </row>
    <row r="10" spans="1:2" x14ac:dyDescent="0.3">
      <c r="A10" s="9" t="s">
        <v>11</v>
      </c>
      <c r="B10">
        <v>1</v>
      </c>
    </row>
    <row r="11" spans="1:2" x14ac:dyDescent="0.3">
      <c r="A11" s="9" t="s">
        <v>12</v>
      </c>
      <c r="B11">
        <v>6</v>
      </c>
    </row>
  </sheetData>
  <pageMargins left="0.7" right="0.7" top="0.75" bottom="0.75" header="0.3" footer="0.3"/>
  <customProperties>
    <customPr name="_pios_id" r:id="rId2"/>
    <customPr name="IbpWorksheetKeyString_GUID"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282"/>
  <sheetViews>
    <sheetView tabSelected="1" zoomScale="84" zoomScaleNormal="120" workbookViewId="0">
      <pane xSplit="2" ySplit="1" topLeftCell="I235" activePane="bottomRight" state="frozen"/>
      <selection pane="topRight" activeCell="C1" sqref="C1"/>
      <selection pane="bottomLeft" activeCell="A2" sqref="A2"/>
      <selection pane="bottomRight" activeCell="V241" sqref="V241"/>
    </sheetView>
  </sheetViews>
  <sheetFormatPr baseColWidth="10" defaultColWidth="9.44140625" defaultRowHeight="12" x14ac:dyDescent="0.3"/>
  <cols>
    <col min="1" max="1" width="6.44140625" style="65" customWidth="1"/>
    <col min="2" max="2" width="11.5546875" style="65" customWidth="1"/>
    <col min="3" max="3" width="9.44140625" style="65" customWidth="1"/>
    <col min="4" max="4" width="25.44140625" style="74" customWidth="1"/>
    <col min="5" max="5" width="15" style="65" customWidth="1"/>
    <col min="6" max="6" width="11.44140625" style="65" customWidth="1"/>
    <col min="7" max="7" width="18.5546875" style="65" customWidth="1"/>
    <col min="8" max="8" width="13.5546875" style="65" customWidth="1"/>
    <col min="9" max="9" width="12.44140625" style="65" customWidth="1"/>
    <col min="10" max="11" width="13.44140625" style="65" customWidth="1"/>
    <col min="12" max="12" width="11.44140625" style="65" customWidth="1"/>
    <col min="13" max="13" width="10.44140625" style="65" customWidth="1"/>
    <col min="14" max="15" width="6.44140625" style="65" customWidth="1"/>
    <col min="16" max="16" width="8.44140625" style="65" customWidth="1"/>
    <col min="17" max="17" width="7.5546875" style="65" customWidth="1"/>
    <col min="18" max="18" width="5.44140625" style="65" customWidth="1"/>
    <col min="19" max="20" width="9.44140625" style="65" customWidth="1"/>
    <col min="21" max="21" width="11.44140625" style="65" customWidth="1"/>
    <col min="22" max="22" width="18" style="65" customWidth="1"/>
    <col min="23" max="23" width="19" style="65" customWidth="1"/>
    <col min="24" max="24" width="11.5546875" style="65" customWidth="1"/>
    <col min="25" max="25" width="8.44140625" style="65" customWidth="1"/>
    <col min="26" max="26" width="13.5546875" style="74" customWidth="1"/>
    <col min="27" max="27" width="9.44140625" style="65" customWidth="1"/>
    <col min="28" max="28" width="92.33203125" style="65" customWidth="1"/>
    <col min="29" max="29" width="21.44140625" style="65" customWidth="1"/>
    <col min="30" max="30" width="13.5546875" style="65" customWidth="1"/>
    <col min="31" max="31" width="16.44140625" style="65" customWidth="1"/>
    <col min="32" max="32" width="13.5546875" style="74" customWidth="1"/>
    <col min="33" max="33" width="18.44140625" style="74" customWidth="1"/>
    <col min="34" max="34" width="16.44140625" style="65" customWidth="1"/>
    <col min="35" max="35" width="8.44140625" style="65" customWidth="1"/>
    <col min="36" max="36" width="9.44140625" style="65" customWidth="1"/>
    <col min="37" max="37" width="10.5546875" style="65" customWidth="1"/>
    <col min="38" max="38" width="14.5546875" style="65" customWidth="1"/>
    <col min="39" max="39" width="14.44140625" style="65" customWidth="1"/>
    <col min="40" max="40" width="14.5546875" style="65" customWidth="1"/>
    <col min="41" max="41" width="20.5546875" style="74" customWidth="1"/>
    <col min="42" max="42" width="20.5546875" style="65" customWidth="1"/>
    <col min="43" max="43" width="23.44140625" style="65" customWidth="1"/>
    <col min="44" max="44" width="15.5546875" style="65" customWidth="1"/>
    <col min="45" max="45" width="13" style="65" customWidth="1"/>
    <col min="46" max="46" width="15.44140625" style="65" bestFit="1" customWidth="1"/>
    <col min="47" max="16363" width="9.44140625" style="65"/>
    <col min="16364" max="16383" width="9.44140625" style="65" customWidth="1"/>
    <col min="16384" max="16384" width="9.44140625" style="65"/>
  </cols>
  <sheetData>
    <row r="1" spans="1:57" ht="36" x14ac:dyDescent="0.3">
      <c r="A1" s="35" t="s">
        <v>13</v>
      </c>
      <c r="B1" s="36" t="s">
        <v>14</v>
      </c>
      <c r="C1" s="37" t="s">
        <v>0</v>
      </c>
      <c r="D1" s="37" t="s">
        <v>15</v>
      </c>
      <c r="E1" s="36" t="s">
        <v>16</v>
      </c>
      <c r="F1" s="38" t="s">
        <v>17</v>
      </c>
      <c r="G1" s="37" t="s">
        <v>5</v>
      </c>
      <c r="H1" s="37" t="s">
        <v>6</v>
      </c>
      <c r="I1" s="39" t="s">
        <v>18</v>
      </c>
      <c r="J1" s="37" t="s">
        <v>4</v>
      </c>
      <c r="K1" s="37" t="s">
        <v>19</v>
      </c>
      <c r="L1" s="37" t="s">
        <v>20</v>
      </c>
      <c r="M1" s="37" t="s">
        <v>21</v>
      </c>
      <c r="N1" s="40" t="s">
        <v>22</v>
      </c>
      <c r="O1" s="40" t="s">
        <v>23</v>
      </c>
      <c r="P1" s="40" t="s">
        <v>24</v>
      </c>
      <c r="Q1" s="36" t="s">
        <v>25</v>
      </c>
      <c r="R1" s="37" t="s">
        <v>26</v>
      </c>
      <c r="S1" s="36" t="s">
        <v>27</v>
      </c>
      <c r="T1" s="37" t="s">
        <v>28</v>
      </c>
      <c r="U1" s="36" t="s">
        <v>29</v>
      </c>
      <c r="V1" s="36" t="s">
        <v>30</v>
      </c>
      <c r="W1" s="36" t="s">
        <v>31</v>
      </c>
      <c r="X1" s="37" t="s">
        <v>32</v>
      </c>
      <c r="Y1" s="37" t="s">
        <v>33</v>
      </c>
      <c r="Z1" s="36" t="s">
        <v>34</v>
      </c>
      <c r="AA1" s="36" t="s">
        <v>35</v>
      </c>
      <c r="AB1" s="41" t="s">
        <v>36</v>
      </c>
      <c r="AC1" s="42" t="s">
        <v>37</v>
      </c>
      <c r="AD1" s="41" t="s">
        <v>38</v>
      </c>
      <c r="AE1" s="42" t="s">
        <v>39</v>
      </c>
      <c r="AF1" s="41" t="s">
        <v>40</v>
      </c>
      <c r="AG1" s="41" t="s">
        <v>41</v>
      </c>
      <c r="AH1" s="42" t="s">
        <v>42</v>
      </c>
      <c r="AI1" s="41" t="s">
        <v>43</v>
      </c>
      <c r="AJ1" s="43" t="s">
        <v>44</v>
      </c>
      <c r="AK1" s="43" t="s">
        <v>45</v>
      </c>
      <c r="AL1" s="41" t="s">
        <v>46</v>
      </c>
      <c r="AM1" s="41" t="s">
        <v>47</v>
      </c>
      <c r="AN1" s="44" t="s">
        <v>48</v>
      </c>
      <c r="AO1" s="58" t="s">
        <v>49</v>
      </c>
      <c r="AP1" s="58" t="s">
        <v>50</v>
      </c>
      <c r="AQ1" s="63" t="s">
        <v>51</v>
      </c>
      <c r="AR1" s="64" t="s">
        <v>52</v>
      </c>
      <c r="AS1" s="64" t="s">
        <v>53</v>
      </c>
      <c r="AT1" s="64" t="s">
        <v>54</v>
      </c>
    </row>
    <row r="2" spans="1:57" ht="72" hidden="1" x14ac:dyDescent="0.3">
      <c r="A2" s="45">
        <v>1</v>
      </c>
      <c r="B2" s="24" t="s">
        <v>55</v>
      </c>
      <c r="C2" s="24" t="s">
        <v>1</v>
      </c>
      <c r="D2" s="24" t="s">
        <v>56</v>
      </c>
      <c r="E2" s="24" t="s">
        <v>57</v>
      </c>
      <c r="F2" s="24" t="s">
        <v>58</v>
      </c>
      <c r="G2" s="24" t="s">
        <v>59</v>
      </c>
      <c r="H2" s="24" t="s">
        <v>60</v>
      </c>
      <c r="I2" s="24" t="s">
        <v>61</v>
      </c>
      <c r="J2" s="24" t="s">
        <v>62</v>
      </c>
      <c r="K2" s="24" t="str">
        <f>IF(ISBLANK(Base_Accidentes[[#This Row],[Tipo de Accidente]])," ",Base_Accidentes[[#This Row],[Tipo de Accidente]])</f>
        <v>Acc. No Incapacitante</v>
      </c>
      <c r="L2" s="46">
        <v>45304</v>
      </c>
      <c r="M2" s="47">
        <f>_xlfn.ISOWEEKNUM(Base_Accidentes[[#This Row],[Fecha
(XX/XX/2024)]])</f>
        <v>2</v>
      </c>
      <c r="N2" s="23">
        <f>DAY(Base_Accidentes[[#This Row],[Fecha
(XX/XX/2024)]])</f>
        <v>13</v>
      </c>
      <c r="O2" s="23">
        <f>MONTH(Base_Accidentes[[#This Row],[Fecha
(XX/XX/2024)]])</f>
        <v>1</v>
      </c>
      <c r="P2" s="23">
        <f>YEAR(Base_Accidentes[[#This Row],[Fecha
(XX/XX/2024)]])</f>
        <v>2024</v>
      </c>
      <c r="Q2" s="48">
        <v>0.3576388888888889</v>
      </c>
      <c r="R2" s="24" t="s">
        <v>63</v>
      </c>
      <c r="S2" s="24" t="s">
        <v>10</v>
      </c>
      <c r="T2" s="24" t="s">
        <v>64</v>
      </c>
      <c r="U2" s="24" t="s">
        <v>65</v>
      </c>
      <c r="V2" s="24" t="s">
        <v>66</v>
      </c>
      <c r="W2" s="24" t="s">
        <v>67</v>
      </c>
      <c r="X2" s="24" t="s">
        <v>68</v>
      </c>
      <c r="Y2" s="24">
        <v>45</v>
      </c>
      <c r="Z2" s="24" t="s">
        <v>69</v>
      </c>
      <c r="AA2" s="49">
        <v>37587</v>
      </c>
      <c r="AB2" s="24" t="s">
        <v>70</v>
      </c>
      <c r="AC2" s="24" t="s">
        <v>71</v>
      </c>
      <c r="AD2" s="24" t="s">
        <v>72</v>
      </c>
      <c r="AE2" s="24" t="s">
        <v>73</v>
      </c>
      <c r="AF2" s="24" t="s">
        <v>74</v>
      </c>
      <c r="AG2" s="24" t="s">
        <v>75</v>
      </c>
      <c r="AH2" s="24" t="s">
        <v>76</v>
      </c>
      <c r="AI2" s="24" t="s">
        <v>77</v>
      </c>
      <c r="AJ2" s="24">
        <v>0</v>
      </c>
      <c r="AK2" s="24">
        <v>0</v>
      </c>
      <c r="AL2" s="24" t="s">
        <v>78</v>
      </c>
      <c r="AM2" s="24">
        <f>21*12</f>
        <v>252</v>
      </c>
      <c r="AN2" s="23" t="s">
        <v>79</v>
      </c>
      <c r="AO2" s="23" t="s">
        <v>80</v>
      </c>
      <c r="AP2" s="23" t="s">
        <v>81</v>
      </c>
      <c r="AQ2" s="27" t="str">
        <f>+Base_Accidentes[[#This Row],[Tipo de Accidente]]</f>
        <v>Acc. No Incapacitante</v>
      </c>
      <c r="AR2" s="64" cm="1">
        <f t="array" aca="1" ref="AR2" ca="1">+Base_Accidentes[Población]</f>
        <v>0</v>
      </c>
      <c r="AS2" s="64"/>
      <c r="AT2" s="64"/>
    </row>
    <row r="3" spans="1:57" ht="84" hidden="1" x14ac:dyDescent="0.3">
      <c r="A3" s="45">
        <v>2</v>
      </c>
      <c r="B3" s="24" t="s">
        <v>82</v>
      </c>
      <c r="C3" s="24" t="s">
        <v>1</v>
      </c>
      <c r="D3" s="24" t="s">
        <v>56</v>
      </c>
      <c r="E3" s="24" t="s">
        <v>57</v>
      </c>
      <c r="F3" s="24" t="s">
        <v>58</v>
      </c>
      <c r="G3" s="24" t="s">
        <v>59</v>
      </c>
      <c r="H3" s="24" t="s">
        <v>60</v>
      </c>
      <c r="I3" s="24" t="s">
        <v>83</v>
      </c>
      <c r="J3" s="24" t="s">
        <v>62</v>
      </c>
      <c r="K3" s="24" t="str">
        <f>IF(ISBLANK(Base_Accidentes[[#This Row],[Tipo de Accidente]])," ",Base_Accidentes[[#This Row],[Tipo de Accidente]])</f>
        <v>Acc. No Incapacitante</v>
      </c>
      <c r="L3" s="49">
        <v>45318</v>
      </c>
      <c r="M3" s="47">
        <f>_xlfn.ISOWEEKNUM(Base_Accidentes[[#This Row],[Fecha
(XX/XX/2024)]])</f>
        <v>4</v>
      </c>
      <c r="N3" s="23">
        <f>DAY(Base_Accidentes[[#This Row],[Fecha
(XX/XX/2024)]])</f>
        <v>27</v>
      </c>
      <c r="O3" s="23">
        <f>MONTH(Base_Accidentes[[#This Row],[Fecha
(XX/XX/2024)]])</f>
        <v>1</v>
      </c>
      <c r="P3" s="23">
        <f>YEAR(Base_Accidentes[[#This Row],[Fecha
(XX/XX/2024)]])</f>
        <v>2024</v>
      </c>
      <c r="Q3" s="48">
        <v>0.3611111111111111</v>
      </c>
      <c r="R3" s="24" t="s">
        <v>84</v>
      </c>
      <c r="S3" s="24" t="s">
        <v>10</v>
      </c>
      <c r="T3" s="24" t="s">
        <v>64</v>
      </c>
      <c r="U3" s="24" t="s">
        <v>85</v>
      </c>
      <c r="V3" s="24" t="s">
        <v>86</v>
      </c>
      <c r="W3" s="23" t="s">
        <v>87</v>
      </c>
      <c r="X3" s="24" t="s">
        <v>68</v>
      </c>
      <c r="Y3" s="24">
        <v>58</v>
      </c>
      <c r="Z3" s="24" t="s">
        <v>88</v>
      </c>
      <c r="AA3" s="49">
        <v>41992</v>
      </c>
      <c r="AB3" s="24" t="s">
        <v>89</v>
      </c>
      <c r="AC3" s="24" t="s">
        <v>71</v>
      </c>
      <c r="AD3" s="24" t="s">
        <v>72</v>
      </c>
      <c r="AE3" s="24" t="s">
        <v>73</v>
      </c>
      <c r="AF3" s="24" t="s">
        <v>90</v>
      </c>
      <c r="AG3" s="24" t="s">
        <v>75</v>
      </c>
      <c r="AH3" s="24" t="s">
        <v>76</v>
      </c>
      <c r="AI3" s="24">
        <v>0</v>
      </c>
      <c r="AJ3" s="24">
        <v>0</v>
      </c>
      <c r="AK3" s="24">
        <v>0</v>
      </c>
      <c r="AL3" s="24" t="s">
        <v>78</v>
      </c>
      <c r="AM3" s="24">
        <f>28*12</f>
        <v>336</v>
      </c>
      <c r="AN3" s="23" t="s">
        <v>79</v>
      </c>
      <c r="AO3" s="23" t="s">
        <v>91</v>
      </c>
      <c r="AP3" s="23" t="s">
        <v>81</v>
      </c>
      <c r="AQ3" s="27" t="str">
        <f>+Base_Accidentes[[#This Row],[Tipo de Accidente]]</f>
        <v>Acc. No Incapacitante</v>
      </c>
      <c r="AR3" s="23" cm="1">
        <f t="array" aca="1" ref="AR3" ca="1">+Base_Accidentes[Población]</f>
        <v>0</v>
      </c>
      <c r="AS3" s="23"/>
      <c r="AT3" s="23"/>
      <c r="BE3" s="25" t="s">
        <v>92</v>
      </c>
    </row>
    <row r="4" spans="1:57" ht="96" x14ac:dyDescent="0.3">
      <c r="A4" s="45">
        <v>3</v>
      </c>
      <c r="B4" s="24" t="s">
        <v>93</v>
      </c>
      <c r="C4" s="24" t="s">
        <v>1</v>
      </c>
      <c r="D4" s="24" t="s">
        <v>56</v>
      </c>
      <c r="E4" s="24" t="s">
        <v>57</v>
      </c>
      <c r="F4" s="24" t="s">
        <v>58</v>
      </c>
      <c r="G4" s="50" t="s">
        <v>59</v>
      </c>
      <c r="H4" s="24" t="s">
        <v>60</v>
      </c>
      <c r="I4" s="24" t="s">
        <v>94</v>
      </c>
      <c r="J4" s="24" t="s">
        <v>62</v>
      </c>
      <c r="K4" s="24" t="str">
        <f>IF(ISBLANK(Base_Accidentes[[#This Row],[Tipo de Accidente]])," ",Base_Accidentes[[#This Row],[Tipo de Accidente]])</f>
        <v>Acc. No Incapacitante</v>
      </c>
      <c r="L4" s="49">
        <v>45301</v>
      </c>
      <c r="M4" s="47">
        <f>_xlfn.ISOWEEKNUM(Base_Accidentes[[#This Row],[Fecha
(XX/XX/2024)]])</f>
        <v>2</v>
      </c>
      <c r="N4" s="23">
        <f>DAY(Base_Accidentes[[#This Row],[Fecha
(XX/XX/2024)]])</f>
        <v>10</v>
      </c>
      <c r="O4" s="23">
        <f>MONTH(Base_Accidentes[[#This Row],[Fecha
(XX/XX/2024)]])</f>
        <v>1</v>
      </c>
      <c r="P4" s="23">
        <f>YEAR(Base_Accidentes[[#This Row],[Fecha
(XX/XX/2024)]])</f>
        <v>2024</v>
      </c>
      <c r="Q4" s="48">
        <v>0.6875</v>
      </c>
      <c r="R4" s="24" t="s">
        <v>84</v>
      </c>
      <c r="S4" s="24" t="s">
        <v>11</v>
      </c>
      <c r="T4" s="24" t="s">
        <v>11</v>
      </c>
      <c r="U4" s="24" t="s">
        <v>95</v>
      </c>
      <c r="V4" s="24" t="s">
        <v>96</v>
      </c>
      <c r="W4" s="24" t="s">
        <v>97</v>
      </c>
      <c r="X4" s="24" t="s">
        <v>98</v>
      </c>
      <c r="Y4" s="24">
        <v>19</v>
      </c>
      <c r="Z4" s="24" t="s">
        <v>99</v>
      </c>
      <c r="AA4" s="49">
        <v>45141</v>
      </c>
      <c r="AB4" s="24" t="s">
        <v>100</v>
      </c>
      <c r="AC4" s="24" t="s">
        <v>101</v>
      </c>
      <c r="AD4" s="24" t="s">
        <v>102</v>
      </c>
      <c r="AE4" s="24" t="s">
        <v>103</v>
      </c>
      <c r="AF4" s="24" t="s">
        <v>104</v>
      </c>
      <c r="AG4" s="24" t="s">
        <v>75</v>
      </c>
      <c r="AH4" s="24" t="s">
        <v>76</v>
      </c>
      <c r="AI4" s="24">
        <v>0</v>
      </c>
      <c r="AJ4" s="24">
        <v>0</v>
      </c>
      <c r="AK4" s="24">
        <v>0</v>
      </c>
      <c r="AL4" s="24" t="s">
        <v>78</v>
      </c>
      <c r="AM4" s="24">
        <v>5</v>
      </c>
      <c r="AN4" s="23" t="s">
        <v>105</v>
      </c>
      <c r="AO4" s="23" t="s">
        <v>106</v>
      </c>
      <c r="AP4" s="23" t="s">
        <v>107</v>
      </c>
      <c r="AQ4" s="27" t="str">
        <f>+Base_Accidentes[[#This Row],[Tipo de Accidente]]</f>
        <v>Acc. No Incapacitante</v>
      </c>
      <c r="AR4" s="23" cm="1">
        <f t="array" aca="1" ref="AR4" ca="1">+Base_Accidentes[Población]</f>
        <v>0</v>
      </c>
      <c r="AS4" s="23"/>
      <c r="AT4" s="23"/>
    </row>
    <row r="5" spans="1:57" ht="72" hidden="1" x14ac:dyDescent="0.3">
      <c r="A5" s="45">
        <v>7</v>
      </c>
      <c r="B5" s="24" t="s">
        <v>108</v>
      </c>
      <c r="C5" s="24" t="s">
        <v>1</v>
      </c>
      <c r="D5" s="24" t="s">
        <v>56</v>
      </c>
      <c r="E5" s="51" t="s">
        <v>109</v>
      </c>
      <c r="F5" s="24" t="s">
        <v>110</v>
      </c>
      <c r="G5" s="50" t="s">
        <v>111</v>
      </c>
      <c r="H5" s="24" t="s">
        <v>60</v>
      </c>
      <c r="I5" s="24" t="s">
        <v>112</v>
      </c>
      <c r="J5" s="24" t="s">
        <v>113</v>
      </c>
      <c r="K5" s="24" t="str">
        <f>IF(ISBLANK(Base_Accidentes[[#This Row],[Tipo de Accidente]])," ",Base_Accidentes[[#This Row],[Tipo de Accidente]])</f>
        <v>Acc. Incapacitante</v>
      </c>
      <c r="L5" s="49">
        <v>45293</v>
      </c>
      <c r="M5" s="47">
        <f>_xlfn.ISOWEEKNUM(Base_Accidentes[[#This Row],[Fecha
(XX/XX/2024)]])</f>
        <v>1</v>
      </c>
      <c r="N5" s="23">
        <f>DAY(Base_Accidentes[[#This Row],[Fecha
(XX/XX/2024)]])</f>
        <v>2</v>
      </c>
      <c r="O5" s="23">
        <f>MONTH(Base_Accidentes[[#This Row],[Fecha
(XX/XX/2024)]])</f>
        <v>1</v>
      </c>
      <c r="P5" s="23">
        <f>YEAR(Base_Accidentes[[#This Row],[Fecha
(XX/XX/2024)]])</f>
        <v>2024</v>
      </c>
      <c r="Q5" s="48">
        <v>0.3576388888888889</v>
      </c>
      <c r="R5" s="24" t="s">
        <v>63</v>
      </c>
      <c r="S5" s="24" t="s">
        <v>10</v>
      </c>
      <c r="T5" s="24" t="s">
        <v>114</v>
      </c>
      <c r="U5" s="24" t="s">
        <v>115</v>
      </c>
      <c r="V5" s="24" t="s">
        <v>116</v>
      </c>
      <c r="W5" s="24" t="s">
        <v>117</v>
      </c>
      <c r="X5" s="24" t="s">
        <v>68</v>
      </c>
      <c r="Y5" s="24">
        <v>60</v>
      </c>
      <c r="Z5" s="24" t="s">
        <v>118</v>
      </c>
      <c r="AA5" s="49">
        <v>38995</v>
      </c>
      <c r="AB5" s="24" t="s">
        <v>119</v>
      </c>
      <c r="AC5" s="24" t="s">
        <v>120</v>
      </c>
      <c r="AD5" s="24" t="s">
        <v>121</v>
      </c>
      <c r="AE5" s="24" t="s">
        <v>122</v>
      </c>
      <c r="AF5" s="24" t="s">
        <v>123</v>
      </c>
      <c r="AG5" s="24" t="s">
        <v>124</v>
      </c>
      <c r="AH5" s="24" t="s">
        <v>125</v>
      </c>
      <c r="AI5" s="24">
        <v>180</v>
      </c>
      <c r="AJ5" s="24">
        <v>0</v>
      </c>
      <c r="AK5" s="24">
        <v>180</v>
      </c>
      <c r="AL5" s="24" t="s">
        <v>126</v>
      </c>
      <c r="AM5" s="24">
        <v>207</v>
      </c>
      <c r="AN5" s="23" t="s">
        <v>79</v>
      </c>
      <c r="AO5" s="24" t="s">
        <v>127</v>
      </c>
      <c r="AP5" s="23" t="s">
        <v>81</v>
      </c>
      <c r="AQ5" s="27" t="str">
        <f>+Base_Accidentes[[#This Row],[Tipo de Accidente]]</f>
        <v>Acc. Incapacitante</v>
      </c>
      <c r="AR5" s="23" cm="1">
        <f t="array" aca="1" ref="AR5" ca="1">+Base_Accidentes[Población]</f>
        <v>0</v>
      </c>
      <c r="AS5" s="23" t="s">
        <v>128</v>
      </c>
      <c r="AT5" s="23"/>
    </row>
    <row r="6" spans="1:57" ht="48" hidden="1" x14ac:dyDescent="0.3">
      <c r="A6" s="45">
        <v>5</v>
      </c>
      <c r="B6" s="24" t="s">
        <v>129</v>
      </c>
      <c r="C6" s="24" t="s">
        <v>130</v>
      </c>
      <c r="D6" s="24" t="s">
        <v>131</v>
      </c>
      <c r="E6" s="24"/>
      <c r="F6" s="24" t="s">
        <v>132</v>
      </c>
      <c r="G6" s="24" t="s">
        <v>133</v>
      </c>
      <c r="H6" s="24" t="s">
        <v>60</v>
      </c>
      <c r="I6" s="24" t="s">
        <v>134</v>
      </c>
      <c r="J6" s="24" t="s">
        <v>62</v>
      </c>
      <c r="K6" s="24" t="str">
        <f>IF(ISBLANK(Base_Accidentes[[#This Row],[Tipo de Accidente]])," ",Base_Accidentes[[#This Row],[Tipo de Accidente]])</f>
        <v>Acc. No Incapacitante</v>
      </c>
      <c r="L6" s="49">
        <v>45309</v>
      </c>
      <c r="M6" s="47">
        <f>_xlfn.ISOWEEKNUM(Base_Accidentes[[#This Row],[Fecha
(XX/XX/2024)]])</f>
        <v>3</v>
      </c>
      <c r="N6" s="23">
        <f>DAY(Base_Accidentes[[#This Row],[Fecha
(XX/XX/2024)]])</f>
        <v>18</v>
      </c>
      <c r="O6" s="23">
        <f>MONTH(Base_Accidentes[[#This Row],[Fecha
(XX/XX/2024)]])</f>
        <v>1</v>
      </c>
      <c r="P6" s="23">
        <f>YEAR(Base_Accidentes[[#This Row],[Fecha
(XX/XX/2024)]])</f>
        <v>2024</v>
      </c>
      <c r="Q6" s="48">
        <v>0.13541666666666666</v>
      </c>
      <c r="R6" s="24" t="s">
        <v>135</v>
      </c>
      <c r="S6" s="24" t="s">
        <v>10</v>
      </c>
      <c r="T6" s="24" t="s">
        <v>64</v>
      </c>
      <c r="U6" s="24" t="s">
        <v>136</v>
      </c>
      <c r="V6" s="24" t="s">
        <v>137</v>
      </c>
      <c r="W6" s="24" t="s">
        <v>138</v>
      </c>
      <c r="X6" s="24" t="s">
        <v>68</v>
      </c>
      <c r="Y6" s="24">
        <v>43</v>
      </c>
      <c r="Z6" s="24" t="s">
        <v>139</v>
      </c>
      <c r="AA6" s="49">
        <v>41699</v>
      </c>
      <c r="AB6" s="24" t="s">
        <v>140</v>
      </c>
      <c r="AC6" s="24" t="s">
        <v>120</v>
      </c>
      <c r="AD6" s="24" t="s">
        <v>141</v>
      </c>
      <c r="AE6" s="24" t="s">
        <v>142</v>
      </c>
      <c r="AF6" s="24" t="s">
        <v>143</v>
      </c>
      <c r="AG6" s="24" t="s">
        <v>144</v>
      </c>
      <c r="AH6" s="24" t="s">
        <v>145</v>
      </c>
      <c r="AI6" s="24">
        <v>0</v>
      </c>
      <c r="AJ6" s="24" t="s">
        <v>129</v>
      </c>
      <c r="AK6" s="24">
        <v>0</v>
      </c>
      <c r="AL6" s="24" t="s">
        <v>78</v>
      </c>
      <c r="AM6" s="24">
        <v>118</v>
      </c>
      <c r="AN6" s="23" t="s">
        <v>146</v>
      </c>
      <c r="AO6" s="23" t="s">
        <v>147</v>
      </c>
      <c r="AP6" s="23" t="s">
        <v>81</v>
      </c>
      <c r="AQ6" s="27" t="str">
        <f>+Base_Accidentes[[#This Row],[Tipo de Accidente]]</f>
        <v>Acc. No Incapacitante</v>
      </c>
      <c r="AR6" s="23" cm="1">
        <f t="array" aca="1" ref="AR6" ca="1">+Base_Accidentes[Población]</f>
        <v>0</v>
      </c>
      <c r="AS6" s="23"/>
      <c r="AT6" s="23"/>
    </row>
    <row r="7" spans="1:57" ht="24" hidden="1" x14ac:dyDescent="0.3">
      <c r="A7" s="45">
        <v>6</v>
      </c>
      <c r="B7" s="24" t="s">
        <v>129</v>
      </c>
      <c r="C7" s="24" t="s">
        <v>130</v>
      </c>
      <c r="D7" s="24" t="s">
        <v>131</v>
      </c>
      <c r="E7" s="24"/>
      <c r="F7" s="24" t="s">
        <v>148</v>
      </c>
      <c r="G7" s="24" t="s">
        <v>149</v>
      </c>
      <c r="H7" s="24" t="s">
        <v>150</v>
      </c>
      <c r="I7" s="24" t="s">
        <v>151</v>
      </c>
      <c r="J7" s="24" t="s">
        <v>62</v>
      </c>
      <c r="K7" s="24" t="str">
        <f>IF(ISBLANK(Base_Accidentes[[#This Row],[Tipo de Accidente]])," ",Base_Accidentes[[#This Row],[Tipo de Accidente]])</f>
        <v>Acc. No Incapacitante</v>
      </c>
      <c r="L7" s="49">
        <v>45294</v>
      </c>
      <c r="M7" s="47">
        <f>_xlfn.ISOWEEKNUM(Base_Accidentes[[#This Row],[Fecha
(XX/XX/2024)]])</f>
        <v>1</v>
      </c>
      <c r="N7" s="23">
        <f>DAY(Base_Accidentes[[#This Row],[Fecha
(XX/XX/2024)]])</f>
        <v>3</v>
      </c>
      <c r="O7" s="23">
        <f>MONTH(Base_Accidentes[[#This Row],[Fecha
(XX/XX/2024)]])</f>
        <v>1</v>
      </c>
      <c r="P7" s="23">
        <f>YEAR(Base_Accidentes[[#This Row],[Fecha
(XX/XX/2024)]])</f>
        <v>2024</v>
      </c>
      <c r="Q7" s="48">
        <v>2.4305555555555556E-2</v>
      </c>
      <c r="R7" s="24" t="s">
        <v>135</v>
      </c>
      <c r="S7" s="24" t="s">
        <v>10</v>
      </c>
      <c r="T7" s="24" t="s">
        <v>64</v>
      </c>
      <c r="U7" s="24" t="s">
        <v>152</v>
      </c>
      <c r="V7" s="24" t="s">
        <v>153</v>
      </c>
      <c r="W7" s="24" t="s">
        <v>154</v>
      </c>
      <c r="X7" s="24" t="s">
        <v>98</v>
      </c>
      <c r="Y7" s="24">
        <v>53</v>
      </c>
      <c r="Z7" s="24" t="s">
        <v>155</v>
      </c>
      <c r="AA7" s="49">
        <v>37712</v>
      </c>
      <c r="AB7" s="24" t="s">
        <v>156</v>
      </c>
      <c r="AC7" s="24" t="s">
        <v>120</v>
      </c>
      <c r="AD7" s="24" t="s">
        <v>121</v>
      </c>
      <c r="AE7" s="24" t="s">
        <v>157</v>
      </c>
      <c r="AF7" s="24" t="s">
        <v>158</v>
      </c>
      <c r="AG7" s="24" t="s">
        <v>159</v>
      </c>
      <c r="AH7" s="24" t="s">
        <v>145</v>
      </c>
      <c r="AI7" s="24">
        <v>0</v>
      </c>
      <c r="AJ7" s="24" t="s">
        <v>129</v>
      </c>
      <c r="AK7" s="24">
        <v>0</v>
      </c>
      <c r="AL7" s="24" t="s">
        <v>78</v>
      </c>
      <c r="AM7" s="24">
        <v>248</v>
      </c>
      <c r="AN7" s="23" t="s">
        <v>79</v>
      </c>
      <c r="AO7" s="23" t="s">
        <v>160</v>
      </c>
      <c r="AP7" s="23" t="s">
        <v>81</v>
      </c>
      <c r="AQ7" s="27" t="str">
        <f>+Base_Accidentes[[#This Row],[Tipo de Accidente]]</f>
        <v>Acc. No Incapacitante</v>
      </c>
      <c r="AR7" s="23" cm="1">
        <f t="array" aca="1" ref="AR7" ca="1">+Base_Accidentes[Población]</f>
        <v>0</v>
      </c>
      <c r="AS7" s="23"/>
      <c r="AT7" s="23"/>
    </row>
    <row r="8" spans="1:57" ht="144" hidden="1" x14ac:dyDescent="0.3">
      <c r="A8" s="45">
        <v>11</v>
      </c>
      <c r="B8" s="24" t="s">
        <v>161</v>
      </c>
      <c r="C8" s="24" t="s">
        <v>1</v>
      </c>
      <c r="D8" s="24" t="s">
        <v>162</v>
      </c>
      <c r="E8" s="24" t="s">
        <v>163</v>
      </c>
      <c r="F8" s="24" t="s">
        <v>164</v>
      </c>
      <c r="G8" s="24" t="s">
        <v>165</v>
      </c>
      <c r="H8" s="24" t="s">
        <v>60</v>
      </c>
      <c r="I8" s="24" t="s">
        <v>166</v>
      </c>
      <c r="J8" s="24" t="s">
        <v>113</v>
      </c>
      <c r="K8" s="24" t="str">
        <f>IF(ISBLANK(Base_Accidentes[[#This Row],[Tipo de Accidente]])," ",Base_Accidentes[[#This Row],[Tipo de Accidente]])</f>
        <v>Acc. Incapacitante</v>
      </c>
      <c r="L8" s="49">
        <v>45294</v>
      </c>
      <c r="M8" s="47">
        <f>_xlfn.ISOWEEKNUM(Base_Accidentes[[#This Row],[Fecha
(XX/XX/2024)]])</f>
        <v>1</v>
      </c>
      <c r="N8" s="23">
        <f>DAY(Base_Accidentes[[#This Row],[Fecha
(XX/XX/2024)]])</f>
        <v>3</v>
      </c>
      <c r="O8" s="23">
        <f>MONTH(Base_Accidentes[[#This Row],[Fecha
(XX/XX/2024)]])</f>
        <v>1</v>
      </c>
      <c r="P8" s="23">
        <f>YEAR(Base_Accidentes[[#This Row],[Fecha
(XX/XX/2024)]])</f>
        <v>2024</v>
      </c>
      <c r="Q8" s="48">
        <v>0.33333333333333331</v>
      </c>
      <c r="R8" s="24" t="s">
        <v>63</v>
      </c>
      <c r="S8" s="24" t="s">
        <v>167</v>
      </c>
      <c r="T8" s="24" t="s">
        <v>168</v>
      </c>
      <c r="U8" s="24" t="s">
        <v>169</v>
      </c>
      <c r="V8" s="24" t="s">
        <v>170</v>
      </c>
      <c r="W8" s="24" t="s">
        <v>171</v>
      </c>
      <c r="X8" s="24" t="s">
        <v>98</v>
      </c>
      <c r="Y8" s="24">
        <v>23</v>
      </c>
      <c r="Z8" s="24" t="s">
        <v>172</v>
      </c>
      <c r="AA8" s="49">
        <v>45017</v>
      </c>
      <c r="AB8" s="24" t="s">
        <v>173</v>
      </c>
      <c r="AC8" s="24" t="s">
        <v>174</v>
      </c>
      <c r="AD8" s="24" t="s">
        <v>141</v>
      </c>
      <c r="AE8" s="24" t="s">
        <v>142</v>
      </c>
      <c r="AF8" s="24" t="s">
        <v>175</v>
      </c>
      <c r="AG8" s="24" t="s">
        <v>176</v>
      </c>
      <c r="AH8" s="24" t="s">
        <v>76</v>
      </c>
      <c r="AI8" s="24">
        <v>9</v>
      </c>
      <c r="AJ8" s="24">
        <v>0</v>
      </c>
      <c r="AK8" s="24">
        <v>9</v>
      </c>
      <c r="AL8" s="24" t="s">
        <v>78</v>
      </c>
      <c r="AM8" s="23">
        <v>8</v>
      </c>
      <c r="AN8" s="23" t="s">
        <v>177</v>
      </c>
      <c r="AO8" s="23" t="s">
        <v>178</v>
      </c>
      <c r="AP8" s="23" t="s">
        <v>92</v>
      </c>
      <c r="AQ8" s="27" t="str">
        <f>+Base_Accidentes[[#This Row],[Tipo de Accidente]]</f>
        <v>Acc. Incapacitante</v>
      </c>
      <c r="AR8" s="23" cm="1">
        <f t="array" aca="1" ref="AR8" ca="1">+Base_Accidentes[Población]</f>
        <v>0</v>
      </c>
      <c r="AS8" s="23" t="s">
        <v>128</v>
      </c>
      <c r="AT8" s="23"/>
    </row>
    <row r="9" spans="1:57" ht="60" hidden="1" x14ac:dyDescent="0.3">
      <c r="A9" s="45">
        <v>23</v>
      </c>
      <c r="B9" s="24" t="s">
        <v>129</v>
      </c>
      <c r="C9" s="24" t="s">
        <v>179</v>
      </c>
      <c r="D9" s="24" t="s">
        <v>180</v>
      </c>
      <c r="E9" s="24" t="s">
        <v>181</v>
      </c>
      <c r="F9" s="24" t="s">
        <v>182</v>
      </c>
      <c r="G9" s="24" t="s">
        <v>183</v>
      </c>
      <c r="H9" s="24" t="s">
        <v>184</v>
      </c>
      <c r="I9" s="24" t="s">
        <v>185</v>
      </c>
      <c r="J9" s="24" t="s">
        <v>113</v>
      </c>
      <c r="K9" s="24" t="str">
        <f>IF(ISBLANK(Base_Accidentes[[#This Row],[Tipo de Accidente]])," ",Base_Accidentes[[#This Row],[Tipo de Accidente]])</f>
        <v>Acc. Incapacitante</v>
      </c>
      <c r="L9" s="49">
        <v>45295</v>
      </c>
      <c r="M9" s="47">
        <f>_xlfn.ISOWEEKNUM(Base_Accidentes[[#This Row],[Fecha
(XX/XX/2024)]])</f>
        <v>1</v>
      </c>
      <c r="N9" s="23">
        <f>DAY(Base_Accidentes[[#This Row],[Fecha
(XX/XX/2024)]])</f>
        <v>4</v>
      </c>
      <c r="O9" s="23">
        <f>MONTH(Base_Accidentes[[#This Row],[Fecha
(XX/XX/2024)]])</f>
        <v>1</v>
      </c>
      <c r="P9" s="23">
        <f>YEAR(Base_Accidentes[[#This Row],[Fecha
(XX/XX/2024)]])</f>
        <v>2024</v>
      </c>
      <c r="Q9" s="48">
        <v>0.625</v>
      </c>
      <c r="R9" s="24" t="s">
        <v>63</v>
      </c>
      <c r="S9" s="24" t="s">
        <v>10</v>
      </c>
      <c r="T9" s="24" t="s">
        <v>180</v>
      </c>
      <c r="U9" s="24" t="s">
        <v>129</v>
      </c>
      <c r="V9" s="24" t="s">
        <v>129</v>
      </c>
      <c r="W9" s="24" t="s">
        <v>129</v>
      </c>
      <c r="X9" s="24" t="s">
        <v>68</v>
      </c>
      <c r="Y9" s="24">
        <v>28</v>
      </c>
      <c r="Z9" s="24" t="s">
        <v>186</v>
      </c>
      <c r="AA9" s="49" t="s">
        <v>129</v>
      </c>
      <c r="AB9" s="24" t="s">
        <v>187</v>
      </c>
      <c r="AC9" s="24" t="s">
        <v>71</v>
      </c>
      <c r="AD9" s="24" t="s">
        <v>188</v>
      </c>
      <c r="AE9" s="24" t="s">
        <v>103</v>
      </c>
      <c r="AF9" s="24" t="s">
        <v>129</v>
      </c>
      <c r="AG9" s="24" t="s">
        <v>189</v>
      </c>
      <c r="AH9" s="24" t="s">
        <v>145</v>
      </c>
      <c r="AI9" s="24">
        <v>9</v>
      </c>
      <c r="AJ9" s="24">
        <v>0</v>
      </c>
      <c r="AK9" s="24">
        <v>9</v>
      </c>
      <c r="AL9" s="24"/>
      <c r="AM9" s="24">
        <v>20</v>
      </c>
      <c r="AN9" s="23" t="s">
        <v>190</v>
      </c>
      <c r="AO9" s="23" t="s">
        <v>191</v>
      </c>
      <c r="AP9" s="23"/>
      <c r="AQ9" s="27" t="str">
        <f>+Base_Accidentes[[#This Row],[Tipo de Accidente]]</f>
        <v>Acc. Incapacitante</v>
      </c>
      <c r="AR9" s="23" cm="1">
        <f t="array" aca="1" ref="AR9" ca="1">+Base_Accidentes[Población]</f>
        <v>0</v>
      </c>
      <c r="AS9" s="23" t="s">
        <v>128</v>
      </c>
      <c r="AT9" s="23"/>
    </row>
    <row r="10" spans="1:57" ht="60" hidden="1" x14ac:dyDescent="0.3">
      <c r="A10" s="45">
        <v>9</v>
      </c>
      <c r="B10" s="24" t="s">
        <v>129</v>
      </c>
      <c r="C10" s="24" t="s">
        <v>130</v>
      </c>
      <c r="D10" s="24" t="s">
        <v>131</v>
      </c>
      <c r="E10" s="24"/>
      <c r="F10" s="24" t="s">
        <v>192</v>
      </c>
      <c r="G10" s="24" t="s">
        <v>193</v>
      </c>
      <c r="H10" s="24" t="s">
        <v>60</v>
      </c>
      <c r="I10" s="24" t="s">
        <v>194</v>
      </c>
      <c r="J10" s="24" t="s">
        <v>62</v>
      </c>
      <c r="K10" s="24" t="str">
        <f>IF(ISBLANK(Base_Accidentes[[#This Row],[Tipo de Accidente]])," ",Base_Accidentes[[#This Row],[Tipo de Accidente]])</f>
        <v>Acc. No Incapacitante</v>
      </c>
      <c r="L10" s="49">
        <v>45308</v>
      </c>
      <c r="M10" s="47">
        <f>_xlfn.ISOWEEKNUM(Base_Accidentes[[#This Row],[Fecha
(XX/XX/2024)]])</f>
        <v>3</v>
      </c>
      <c r="N10" s="23">
        <f>DAY(Base_Accidentes[[#This Row],[Fecha
(XX/XX/2024)]])</f>
        <v>17</v>
      </c>
      <c r="O10" s="23">
        <f>MONTH(Base_Accidentes[[#This Row],[Fecha
(XX/XX/2024)]])</f>
        <v>1</v>
      </c>
      <c r="P10" s="23">
        <f>YEAR(Base_Accidentes[[#This Row],[Fecha
(XX/XX/2024)]])</f>
        <v>2024</v>
      </c>
      <c r="Q10" s="48">
        <v>0.6875</v>
      </c>
      <c r="R10" s="24" t="s">
        <v>84</v>
      </c>
      <c r="S10" s="24" t="s">
        <v>9</v>
      </c>
      <c r="T10" s="24" t="s">
        <v>195</v>
      </c>
      <c r="U10" s="24" t="s">
        <v>196</v>
      </c>
      <c r="V10" s="24" t="s">
        <v>197</v>
      </c>
      <c r="W10" s="24" t="s">
        <v>198</v>
      </c>
      <c r="X10" s="24" t="s">
        <v>68</v>
      </c>
      <c r="Y10" s="24">
        <v>40</v>
      </c>
      <c r="Z10" s="24" t="s">
        <v>199</v>
      </c>
      <c r="AA10" s="49">
        <v>45298</v>
      </c>
      <c r="AB10" s="24" t="s">
        <v>200</v>
      </c>
      <c r="AC10" s="24" t="s">
        <v>201</v>
      </c>
      <c r="AD10" s="24" t="s">
        <v>102</v>
      </c>
      <c r="AE10" s="24" t="s">
        <v>103</v>
      </c>
      <c r="AF10" s="24" t="s">
        <v>202</v>
      </c>
      <c r="AG10" s="24" t="s">
        <v>203</v>
      </c>
      <c r="AH10" s="24" t="s">
        <v>76</v>
      </c>
      <c r="AI10" s="24">
        <v>0</v>
      </c>
      <c r="AJ10" s="24">
        <v>0</v>
      </c>
      <c r="AK10" s="24">
        <v>0</v>
      </c>
      <c r="AL10" s="24" t="s">
        <v>78</v>
      </c>
      <c r="AM10" s="24">
        <v>120</v>
      </c>
      <c r="AN10" s="23" t="s">
        <v>190</v>
      </c>
      <c r="AO10" s="23" t="s">
        <v>178</v>
      </c>
      <c r="AP10" s="23" t="s">
        <v>92</v>
      </c>
      <c r="AQ10" s="27" t="str">
        <f>+Base_Accidentes[[#This Row],[Tipo de Accidente]]</f>
        <v>Acc. No Incapacitante</v>
      </c>
      <c r="AR10" s="23" cm="1">
        <f t="array" aca="1" ref="AR10" ca="1">+Base_Accidentes[Población]</f>
        <v>0</v>
      </c>
      <c r="AS10" s="23"/>
      <c r="AT10" s="23"/>
    </row>
    <row r="11" spans="1:57" ht="48" hidden="1" x14ac:dyDescent="0.3">
      <c r="A11" s="45">
        <v>24</v>
      </c>
      <c r="B11" s="24" t="s">
        <v>129</v>
      </c>
      <c r="C11" s="24" t="s">
        <v>1</v>
      </c>
      <c r="D11" s="24" t="s">
        <v>56</v>
      </c>
      <c r="E11" s="24" t="s">
        <v>57</v>
      </c>
      <c r="F11" s="24" t="s">
        <v>204</v>
      </c>
      <c r="G11" s="24" t="s">
        <v>205</v>
      </c>
      <c r="H11" s="24" t="s">
        <v>60</v>
      </c>
      <c r="I11" s="24" t="s">
        <v>206</v>
      </c>
      <c r="J11" s="24" t="s">
        <v>113</v>
      </c>
      <c r="K11" s="24" t="str">
        <f>IF(ISBLANK(Base_Accidentes[[#This Row],[Tipo de Accidente]])," ",Base_Accidentes[[#This Row],[Tipo de Accidente]])</f>
        <v>Acc. Incapacitante</v>
      </c>
      <c r="L11" s="49">
        <v>45296</v>
      </c>
      <c r="M11" s="47">
        <f>_xlfn.ISOWEEKNUM(Base_Accidentes[[#This Row],[Fecha
(XX/XX/2024)]])</f>
        <v>1</v>
      </c>
      <c r="N11" s="23">
        <f>DAY(Base_Accidentes[[#This Row],[Fecha
(XX/XX/2024)]])</f>
        <v>5</v>
      </c>
      <c r="O11" s="23">
        <f>MONTH(Base_Accidentes[[#This Row],[Fecha
(XX/XX/2024)]])</f>
        <v>1</v>
      </c>
      <c r="P11" s="23">
        <f>YEAR(Base_Accidentes[[#This Row],[Fecha
(XX/XX/2024)]])</f>
        <v>2024</v>
      </c>
      <c r="Q11" s="48">
        <v>0.10416666666666667</v>
      </c>
      <c r="R11" s="24" t="s">
        <v>135</v>
      </c>
      <c r="S11" s="24" t="s">
        <v>10</v>
      </c>
      <c r="T11" s="24" t="s">
        <v>114</v>
      </c>
      <c r="U11" s="24" t="s">
        <v>207</v>
      </c>
      <c r="V11" s="24" t="s">
        <v>208</v>
      </c>
      <c r="W11" s="24" t="s">
        <v>209</v>
      </c>
      <c r="X11" s="24" t="s">
        <v>68</v>
      </c>
      <c r="Y11" s="24">
        <v>38</v>
      </c>
      <c r="Z11" s="24" t="s">
        <v>210</v>
      </c>
      <c r="AA11" s="49">
        <v>41659</v>
      </c>
      <c r="AB11" s="56" t="s">
        <v>211</v>
      </c>
      <c r="AC11" s="24" t="s">
        <v>120</v>
      </c>
      <c r="AD11" s="24" t="s">
        <v>121</v>
      </c>
      <c r="AE11" s="24" t="s">
        <v>122</v>
      </c>
      <c r="AF11" s="24" t="s">
        <v>212</v>
      </c>
      <c r="AG11" s="24" t="s">
        <v>213</v>
      </c>
      <c r="AH11" s="24" t="s">
        <v>125</v>
      </c>
      <c r="AI11" s="24">
        <v>180</v>
      </c>
      <c r="AJ11" s="24">
        <v>0</v>
      </c>
      <c r="AK11" s="24">
        <v>180</v>
      </c>
      <c r="AL11" s="24" t="s">
        <v>78</v>
      </c>
      <c r="AM11" s="24">
        <v>119</v>
      </c>
      <c r="AN11" s="23" t="s">
        <v>146</v>
      </c>
      <c r="AO11" s="24" t="s">
        <v>214</v>
      </c>
      <c r="AP11" s="23" t="s">
        <v>81</v>
      </c>
      <c r="AQ11" s="27" t="str">
        <f>+Base_Accidentes[[#This Row],[Tipo de Accidente]]</f>
        <v>Acc. Incapacitante</v>
      </c>
      <c r="AR11" s="23" cm="1">
        <f t="array" aca="1" ref="AR11" ca="1">+Base_Accidentes[Población]</f>
        <v>0</v>
      </c>
      <c r="AS11" s="23" t="s">
        <v>128</v>
      </c>
      <c r="AT11" s="23" t="s">
        <v>128</v>
      </c>
    </row>
    <row r="12" spans="1:57" ht="95.25" hidden="1" customHeight="1" x14ac:dyDescent="0.3">
      <c r="A12" s="45">
        <v>4</v>
      </c>
      <c r="B12" s="24" t="s">
        <v>129</v>
      </c>
      <c r="C12" s="24" t="s">
        <v>130</v>
      </c>
      <c r="D12" s="24" t="s">
        <v>131</v>
      </c>
      <c r="E12" s="24"/>
      <c r="F12" s="24" t="s">
        <v>148</v>
      </c>
      <c r="G12" s="24" t="s">
        <v>149</v>
      </c>
      <c r="H12" s="24" t="s">
        <v>60</v>
      </c>
      <c r="I12" s="24" t="s">
        <v>215</v>
      </c>
      <c r="J12" s="24" t="s">
        <v>113</v>
      </c>
      <c r="K12" s="24" t="str">
        <f>IF(ISBLANK(Base_Accidentes[[#This Row],[Tipo de Accidente]])," ",Base_Accidentes[[#This Row],[Tipo de Accidente]])</f>
        <v>Acc. Incapacitante</v>
      </c>
      <c r="L12" s="49">
        <v>45299</v>
      </c>
      <c r="M12" s="47">
        <f>_xlfn.ISOWEEKNUM(Base_Accidentes[[#This Row],[Fecha
(XX/XX/2024)]])</f>
        <v>2</v>
      </c>
      <c r="N12" s="23">
        <f>DAY(Base_Accidentes[[#This Row],[Fecha
(XX/XX/2024)]])</f>
        <v>8</v>
      </c>
      <c r="O12" s="23">
        <f>MONTH(Base_Accidentes[[#This Row],[Fecha
(XX/XX/2024)]])</f>
        <v>1</v>
      </c>
      <c r="P12" s="23">
        <f>YEAR(Base_Accidentes[[#This Row],[Fecha
(XX/XX/2024)]])</f>
        <v>2024</v>
      </c>
      <c r="Q12" s="48">
        <v>0.4826388888888889</v>
      </c>
      <c r="R12" s="24" t="s">
        <v>63</v>
      </c>
      <c r="S12" s="24" t="s">
        <v>9</v>
      </c>
      <c r="T12" s="24" t="s">
        <v>216</v>
      </c>
      <c r="U12" s="24" t="s">
        <v>217</v>
      </c>
      <c r="V12" s="24" t="s">
        <v>218</v>
      </c>
      <c r="W12" s="24" t="s">
        <v>219</v>
      </c>
      <c r="X12" s="24" t="s">
        <v>68</v>
      </c>
      <c r="Y12" s="24">
        <v>35</v>
      </c>
      <c r="Z12" s="24" t="s">
        <v>220</v>
      </c>
      <c r="AA12" s="49">
        <v>45243</v>
      </c>
      <c r="AB12" s="24" t="s">
        <v>221</v>
      </c>
      <c r="AC12" s="24" t="s">
        <v>101</v>
      </c>
      <c r="AD12" s="24" t="s">
        <v>102</v>
      </c>
      <c r="AE12" s="24" t="s">
        <v>103</v>
      </c>
      <c r="AF12" s="24" t="s">
        <v>222</v>
      </c>
      <c r="AG12" s="24" t="s">
        <v>223</v>
      </c>
      <c r="AH12" s="24" t="s">
        <v>224</v>
      </c>
      <c r="AI12" s="24">
        <v>24</v>
      </c>
      <c r="AJ12" s="24">
        <v>0</v>
      </c>
      <c r="AK12" s="24">
        <v>24</v>
      </c>
      <c r="AL12" s="24" t="s">
        <v>225</v>
      </c>
      <c r="AM12" s="24">
        <v>120</v>
      </c>
      <c r="AN12" s="23" t="s">
        <v>190</v>
      </c>
      <c r="AO12" s="23" t="s">
        <v>226</v>
      </c>
      <c r="AP12" s="23" t="s">
        <v>81</v>
      </c>
      <c r="AQ12" s="27" t="str">
        <f>+Base_Accidentes[[#This Row],[Tipo de Accidente]]</f>
        <v>Acc. Incapacitante</v>
      </c>
      <c r="AR12" s="23" cm="1">
        <f t="array" aca="1" ref="AR12" ca="1">+Base_Accidentes[Población]</f>
        <v>0</v>
      </c>
      <c r="AS12" s="23" t="s">
        <v>128</v>
      </c>
      <c r="AT12" s="23"/>
    </row>
    <row r="13" spans="1:57" ht="36" hidden="1" x14ac:dyDescent="0.3">
      <c r="A13" s="45">
        <v>12</v>
      </c>
      <c r="B13" s="24" t="s">
        <v>129</v>
      </c>
      <c r="C13" s="24" t="s">
        <v>1</v>
      </c>
      <c r="D13" s="24" t="s">
        <v>162</v>
      </c>
      <c r="E13" s="24" t="s">
        <v>227</v>
      </c>
      <c r="F13" s="24" t="s">
        <v>164</v>
      </c>
      <c r="G13" s="24" t="s">
        <v>228</v>
      </c>
      <c r="H13" s="24" t="s">
        <v>60</v>
      </c>
      <c r="I13" s="24" t="s">
        <v>229</v>
      </c>
      <c r="J13" s="24" t="s">
        <v>62</v>
      </c>
      <c r="K13" s="24" t="str">
        <f>IF(ISBLANK(Base_Accidentes[[#This Row],[Tipo de Accidente]])," ",Base_Accidentes[[#This Row],[Tipo de Accidente]])</f>
        <v>Acc. No Incapacitante</v>
      </c>
      <c r="L13" s="49">
        <v>45300</v>
      </c>
      <c r="M13" s="47">
        <f>_xlfn.ISOWEEKNUM(Base_Accidentes[[#This Row],[Fecha
(XX/XX/2024)]])</f>
        <v>2</v>
      </c>
      <c r="N13" s="23">
        <f>DAY(Base_Accidentes[[#This Row],[Fecha
(XX/XX/2024)]])</f>
        <v>9</v>
      </c>
      <c r="O13" s="23">
        <f>MONTH(Base_Accidentes[[#This Row],[Fecha
(XX/XX/2024)]])</f>
        <v>1</v>
      </c>
      <c r="P13" s="23">
        <f>YEAR(Base_Accidentes[[#This Row],[Fecha
(XX/XX/2024)]])</f>
        <v>2024</v>
      </c>
      <c r="Q13" s="48">
        <v>0.3263888888888889</v>
      </c>
      <c r="R13" s="24" t="s">
        <v>63</v>
      </c>
      <c r="S13" s="24" t="s">
        <v>167</v>
      </c>
      <c r="T13" s="24" t="s">
        <v>168</v>
      </c>
      <c r="U13" s="24" t="s">
        <v>230</v>
      </c>
      <c r="V13" s="24" t="s">
        <v>231</v>
      </c>
      <c r="W13" s="24" t="s">
        <v>232</v>
      </c>
      <c r="X13" s="24" t="s">
        <v>68</v>
      </c>
      <c r="Y13" s="24">
        <v>34</v>
      </c>
      <c r="Z13" s="24" t="s">
        <v>172</v>
      </c>
      <c r="AA13" s="49">
        <v>45293</v>
      </c>
      <c r="AB13" s="51" t="s">
        <v>233</v>
      </c>
      <c r="AC13" s="24" t="s">
        <v>234</v>
      </c>
      <c r="AD13" s="24" t="s">
        <v>72</v>
      </c>
      <c r="AE13" s="24" t="s">
        <v>235</v>
      </c>
      <c r="AF13" s="24" t="s">
        <v>236</v>
      </c>
      <c r="AG13" s="24" t="s">
        <v>237</v>
      </c>
      <c r="AH13" s="24" t="s">
        <v>238</v>
      </c>
      <c r="AI13" s="24">
        <v>0</v>
      </c>
      <c r="AJ13" s="24">
        <v>0</v>
      </c>
      <c r="AK13" s="24">
        <v>0</v>
      </c>
      <c r="AL13" s="24" t="s">
        <v>239</v>
      </c>
      <c r="AM13" s="24">
        <v>0</v>
      </c>
      <c r="AN13" s="23" t="s">
        <v>240</v>
      </c>
      <c r="AO13" s="23" t="s">
        <v>241</v>
      </c>
      <c r="AP13" s="23" t="s">
        <v>92</v>
      </c>
      <c r="AQ13" s="27" t="str">
        <f>+Base_Accidentes[[#This Row],[Tipo de Accidente]]</f>
        <v>Acc. No Incapacitante</v>
      </c>
      <c r="AR13" s="23" cm="1">
        <f t="array" aca="1" ref="AR13" ca="1">+Base_Accidentes[Población]</f>
        <v>0</v>
      </c>
      <c r="AS13" s="23"/>
      <c r="AT13" s="23"/>
    </row>
    <row r="14" spans="1:57" ht="60" hidden="1" x14ac:dyDescent="0.3">
      <c r="A14" s="45">
        <v>13</v>
      </c>
      <c r="B14" s="24" t="s">
        <v>129</v>
      </c>
      <c r="C14" s="24" t="s">
        <v>1</v>
      </c>
      <c r="D14" s="24" t="s">
        <v>162</v>
      </c>
      <c r="E14" s="24" t="s">
        <v>163</v>
      </c>
      <c r="F14" s="24" t="s">
        <v>164</v>
      </c>
      <c r="G14" s="24" t="s">
        <v>242</v>
      </c>
      <c r="H14" s="24" t="s">
        <v>60</v>
      </c>
      <c r="I14" s="24" t="s">
        <v>243</v>
      </c>
      <c r="J14" s="24" t="s">
        <v>62</v>
      </c>
      <c r="K14" s="24" t="str">
        <f>IF(ISBLANK(Base_Accidentes[[#This Row],[Tipo de Accidente]])," ",Base_Accidentes[[#This Row],[Tipo de Accidente]])</f>
        <v>Acc. No Incapacitante</v>
      </c>
      <c r="L14" s="49">
        <v>45310</v>
      </c>
      <c r="M14" s="47">
        <f>_xlfn.ISOWEEKNUM(Base_Accidentes[[#This Row],[Fecha
(XX/XX/2024)]])</f>
        <v>3</v>
      </c>
      <c r="N14" s="23">
        <f>DAY(Base_Accidentes[[#This Row],[Fecha
(XX/XX/2024)]])</f>
        <v>19</v>
      </c>
      <c r="O14" s="23">
        <f>MONTH(Base_Accidentes[[#This Row],[Fecha
(XX/XX/2024)]])</f>
        <v>1</v>
      </c>
      <c r="P14" s="23">
        <f>YEAR(Base_Accidentes[[#This Row],[Fecha
(XX/XX/2024)]])</f>
        <v>2024</v>
      </c>
      <c r="Q14" s="48">
        <v>0.25</v>
      </c>
      <c r="R14" s="24" t="s">
        <v>63</v>
      </c>
      <c r="S14" s="24" t="s">
        <v>167</v>
      </c>
      <c r="T14" s="24" t="s">
        <v>168</v>
      </c>
      <c r="U14" s="24" t="s">
        <v>244</v>
      </c>
      <c r="V14" s="24" t="s">
        <v>245</v>
      </c>
      <c r="W14" s="24" t="s">
        <v>246</v>
      </c>
      <c r="X14" s="24" t="s">
        <v>68</v>
      </c>
      <c r="Y14" s="24">
        <v>25</v>
      </c>
      <c r="Z14" s="24" t="s">
        <v>172</v>
      </c>
      <c r="AA14" s="49">
        <v>45071</v>
      </c>
      <c r="AB14" s="24" t="s">
        <v>247</v>
      </c>
      <c r="AC14" s="24" t="s">
        <v>234</v>
      </c>
      <c r="AD14" s="24" t="s">
        <v>248</v>
      </c>
      <c r="AE14" s="24" t="s">
        <v>249</v>
      </c>
      <c r="AF14" s="24" t="s">
        <v>250</v>
      </c>
      <c r="AG14" s="24" t="s">
        <v>251</v>
      </c>
      <c r="AH14" s="24" t="s">
        <v>238</v>
      </c>
      <c r="AI14" s="24">
        <v>0</v>
      </c>
      <c r="AJ14" s="24">
        <v>0</v>
      </c>
      <c r="AK14" s="24">
        <v>0</v>
      </c>
      <c r="AL14" s="24" t="s">
        <v>78</v>
      </c>
      <c r="AM14" s="24">
        <v>8</v>
      </c>
      <c r="AN14" s="23" t="s">
        <v>177</v>
      </c>
      <c r="AO14" s="23" t="s">
        <v>241</v>
      </c>
      <c r="AP14" s="23" t="s">
        <v>92</v>
      </c>
      <c r="AQ14" s="27" t="str">
        <f>+Base_Accidentes[[#This Row],[Tipo de Accidente]]</f>
        <v>Acc. No Incapacitante</v>
      </c>
      <c r="AR14" s="23" cm="1">
        <f t="array" aca="1" ref="AR14" ca="1">+Base_Accidentes[Población]</f>
        <v>0</v>
      </c>
      <c r="AS14" s="23"/>
      <c r="AT14" s="23"/>
    </row>
    <row r="15" spans="1:57" ht="48" hidden="1" x14ac:dyDescent="0.3">
      <c r="A15" s="45">
        <v>14</v>
      </c>
      <c r="B15" s="24" t="s">
        <v>129</v>
      </c>
      <c r="C15" s="24" t="s">
        <v>1</v>
      </c>
      <c r="D15" s="24" t="s">
        <v>162</v>
      </c>
      <c r="E15" s="24" t="s">
        <v>163</v>
      </c>
      <c r="F15" s="24" t="s">
        <v>164</v>
      </c>
      <c r="G15" s="24" t="s">
        <v>252</v>
      </c>
      <c r="H15" s="24" t="s">
        <v>60</v>
      </c>
      <c r="I15" s="24" t="s">
        <v>253</v>
      </c>
      <c r="J15" s="24" t="s">
        <v>62</v>
      </c>
      <c r="K15" s="24" t="str">
        <f>IF(ISBLANK(Base_Accidentes[[#This Row],[Tipo de Accidente]])," ",Base_Accidentes[[#This Row],[Tipo de Accidente]])</f>
        <v>Acc. No Incapacitante</v>
      </c>
      <c r="L15" s="49">
        <v>45322</v>
      </c>
      <c r="M15" s="47">
        <f>_xlfn.ISOWEEKNUM(Base_Accidentes[[#This Row],[Fecha
(XX/XX/2024)]])</f>
        <v>5</v>
      </c>
      <c r="N15" s="23">
        <f>DAY(Base_Accidentes[[#This Row],[Fecha
(XX/XX/2024)]])</f>
        <v>31</v>
      </c>
      <c r="O15" s="23">
        <f>MONTH(Base_Accidentes[[#This Row],[Fecha
(XX/XX/2024)]])</f>
        <v>1</v>
      </c>
      <c r="P15" s="23">
        <f>YEAR(Base_Accidentes[[#This Row],[Fecha
(XX/XX/2024)]])</f>
        <v>2024</v>
      </c>
      <c r="Q15" s="48">
        <v>0.57986111111111105</v>
      </c>
      <c r="R15" s="24" t="s">
        <v>63</v>
      </c>
      <c r="S15" s="24" t="s">
        <v>167</v>
      </c>
      <c r="T15" s="24" t="s">
        <v>168</v>
      </c>
      <c r="U15" s="24" t="s">
        <v>254</v>
      </c>
      <c r="V15" s="24" t="s">
        <v>255</v>
      </c>
      <c r="W15" s="24" t="s">
        <v>256</v>
      </c>
      <c r="X15" s="24" t="s">
        <v>98</v>
      </c>
      <c r="Y15" s="24">
        <v>26</v>
      </c>
      <c r="Z15" s="24" t="s">
        <v>257</v>
      </c>
      <c r="AA15" s="49">
        <v>44637</v>
      </c>
      <c r="AB15" s="24" t="s">
        <v>258</v>
      </c>
      <c r="AC15" s="24" t="s">
        <v>234</v>
      </c>
      <c r="AD15" s="24" t="s">
        <v>259</v>
      </c>
      <c r="AE15" s="24" t="s">
        <v>260</v>
      </c>
      <c r="AF15" s="24" t="s">
        <v>261</v>
      </c>
      <c r="AG15" s="24" t="s">
        <v>262</v>
      </c>
      <c r="AH15" s="24" t="s">
        <v>262</v>
      </c>
      <c r="AI15" s="24">
        <v>0</v>
      </c>
      <c r="AJ15" s="24">
        <v>0</v>
      </c>
      <c r="AK15" s="24">
        <v>0</v>
      </c>
      <c r="AL15" s="24" t="s">
        <v>78</v>
      </c>
      <c r="AM15" s="24">
        <v>22</v>
      </c>
      <c r="AN15" s="23" t="s">
        <v>190</v>
      </c>
      <c r="AO15" s="23" t="s">
        <v>241</v>
      </c>
      <c r="AP15" s="23" t="s">
        <v>92</v>
      </c>
      <c r="AQ15" s="27" t="str">
        <f>+Base_Accidentes[[#This Row],[Tipo de Accidente]]</f>
        <v>Acc. No Incapacitante</v>
      </c>
      <c r="AR15" s="23" cm="1">
        <f t="array" aca="1" ref="AR15" ca="1">+Base_Accidentes[Población]</f>
        <v>0</v>
      </c>
      <c r="AS15" s="23"/>
      <c r="AT15" s="23"/>
    </row>
    <row r="16" spans="1:57" ht="60" hidden="1" x14ac:dyDescent="0.3">
      <c r="A16" s="45">
        <v>15</v>
      </c>
      <c r="B16" s="24" t="s">
        <v>129</v>
      </c>
      <c r="C16" s="24" t="s">
        <v>1</v>
      </c>
      <c r="D16" s="24" t="s">
        <v>162</v>
      </c>
      <c r="E16" s="24" t="s">
        <v>163</v>
      </c>
      <c r="F16" s="24" t="s">
        <v>164</v>
      </c>
      <c r="G16" s="24" t="s">
        <v>242</v>
      </c>
      <c r="H16" s="24" t="s">
        <v>60</v>
      </c>
      <c r="I16" s="24" t="s">
        <v>263</v>
      </c>
      <c r="J16" s="24" t="s">
        <v>62</v>
      </c>
      <c r="K16" s="24" t="str">
        <f>IF(ISBLANK(Base_Accidentes[[#This Row],[Tipo de Accidente]])," ",Base_Accidentes[[#This Row],[Tipo de Accidente]])</f>
        <v>Acc. No Incapacitante</v>
      </c>
      <c r="L16" s="49">
        <v>45325</v>
      </c>
      <c r="M16" s="47">
        <f>_xlfn.ISOWEEKNUM(Base_Accidentes[[#This Row],[Fecha
(XX/XX/2024)]])</f>
        <v>5</v>
      </c>
      <c r="N16" s="23">
        <f>DAY(Base_Accidentes[[#This Row],[Fecha
(XX/XX/2024)]])</f>
        <v>3</v>
      </c>
      <c r="O16" s="23">
        <f>MONTH(Base_Accidentes[[#This Row],[Fecha
(XX/XX/2024)]])</f>
        <v>2</v>
      </c>
      <c r="P16" s="23">
        <f>YEAR(Base_Accidentes[[#This Row],[Fecha
(XX/XX/2024)]])</f>
        <v>2024</v>
      </c>
      <c r="Q16" s="48">
        <v>0.51041666666666663</v>
      </c>
      <c r="R16" s="24" t="s">
        <v>63</v>
      </c>
      <c r="S16" s="24" t="s">
        <v>167</v>
      </c>
      <c r="T16" s="24" t="s">
        <v>168</v>
      </c>
      <c r="U16" s="24" t="s">
        <v>264</v>
      </c>
      <c r="V16" s="24" t="s">
        <v>85</v>
      </c>
      <c r="W16" s="24" t="s">
        <v>265</v>
      </c>
      <c r="X16" s="24" t="s">
        <v>98</v>
      </c>
      <c r="Y16" s="24">
        <v>22</v>
      </c>
      <c r="Z16" s="24" t="s">
        <v>172</v>
      </c>
      <c r="AA16" s="49">
        <v>45296</v>
      </c>
      <c r="AB16" s="24" t="s">
        <v>266</v>
      </c>
      <c r="AC16" s="24" t="s">
        <v>267</v>
      </c>
      <c r="AD16" s="24" t="s">
        <v>268</v>
      </c>
      <c r="AE16" s="24" t="s">
        <v>122</v>
      </c>
      <c r="AF16" s="24" t="s">
        <v>269</v>
      </c>
      <c r="AG16" s="24" t="s">
        <v>270</v>
      </c>
      <c r="AH16" s="24" t="s">
        <v>145</v>
      </c>
      <c r="AI16" s="24">
        <v>0</v>
      </c>
      <c r="AJ16" s="24">
        <v>0</v>
      </c>
      <c r="AK16" s="24">
        <v>0</v>
      </c>
      <c r="AL16" s="24" t="s">
        <v>78</v>
      </c>
      <c r="AM16" s="24">
        <v>0</v>
      </c>
      <c r="AN16" s="23" t="s">
        <v>240</v>
      </c>
      <c r="AO16" s="23" t="s">
        <v>271</v>
      </c>
      <c r="AP16" s="23" t="s">
        <v>92</v>
      </c>
      <c r="AQ16" s="27" t="str">
        <f>+Base_Accidentes[[#This Row],[Tipo de Accidente]]</f>
        <v>Acc. No Incapacitante</v>
      </c>
      <c r="AR16" s="23" cm="1">
        <f t="array" aca="1" ref="AR16" ca="1">+Base_Accidentes[Población]</f>
        <v>0</v>
      </c>
      <c r="AS16" s="23"/>
      <c r="AT16" s="23"/>
    </row>
    <row r="17" spans="1:46" ht="36.6" hidden="1" customHeight="1" x14ac:dyDescent="0.3">
      <c r="A17" s="45">
        <v>16</v>
      </c>
      <c r="B17" s="24" t="s">
        <v>129</v>
      </c>
      <c r="C17" s="24" t="s">
        <v>1</v>
      </c>
      <c r="D17" s="24" t="s">
        <v>162</v>
      </c>
      <c r="E17" s="24" t="s">
        <v>163</v>
      </c>
      <c r="F17" s="24" t="s">
        <v>164</v>
      </c>
      <c r="G17" s="24" t="s">
        <v>242</v>
      </c>
      <c r="H17" s="24" t="s">
        <v>272</v>
      </c>
      <c r="I17" s="24" t="s">
        <v>273</v>
      </c>
      <c r="J17" s="24" t="s">
        <v>62</v>
      </c>
      <c r="K17" s="24" t="str">
        <f>IF(ISBLANK(Base_Accidentes[[#This Row],[Tipo de Accidente]])," ",Base_Accidentes[[#This Row],[Tipo de Accidente]])</f>
        <v>Acc. No Incapacitante</v>
      </c>
      <c r="L17" s="49">
        <v>45332</v>
      </c>
      <c r="M17" s="47">
        <f>_xlfn.ISOWEEKNUM(Base_Accidentes[[#This Row],[Fecha
(XX/XX/2024)]])</f>
        <v>6</v>
      </c>
      <c r="N17" s="23">
        <f>DAY(Base_Accidentes[[#This Row],[Fecha
(XX/XX/2024)]])</f>
        <v>10</v>
      </c>
      <c r="O17" s="23">
        <f>MONTH(Base_Accidentes[[#This Row],[Fecha
(XX/XX/2024)]])</f>
        <v>2</v>
      </c>
      <c r="P17" s="23">
        <f>YEAR(Base_Accidentes[[#This Row],[Fecha
(XX/XX/2024)]])</f>
        <v>2024</v>
      </c>
      <c r="Q17" s="48">
        <v>0.44097222222222227</v>
      </c>
      <c r="R17" s="24" t="s">
        <v>63</v>
      </c>
      <c r="S17" s="24" t="s">
        <v>274</v>
      </c>
      <c r="T17" s="24" t="s">
        <v>275</v>
      </c>
      <c r="U17" s="24" t="s">
        <v>276</v>
      </c>
      <c r="V17" s="24" t="s">
        <v>277</v>
      </c>
      <c r="W17" s="24" t="s">
        <v>278</v>
      </c>
      <c r="X17" s="24" t="s">
        <v>68</v>
      </c>
      <c r="Y17" s="24" t="s">
        <v>129</v>
      </c>
      <c r="Z17" s="24" t="s">
        <v>279</v>
      </c>
      <c r="AA17" s="49" t="s">
        <v>129</v>
      </c>
      <c r="AB17" s="24" t="s">
        <v>280</v>
      </c>
      <c r="AC17" s="24" t="s">
        <v>281</v>
      </c>
      <c r="AD17" s="24" t="s">
        <v>282</v>
      </c>
      <c r="AE17" s="24" t="s">
        <v>103</v>
      </c>
      <c r="AF17" s="24" t="s">
        <v>283</v>
      </c>
      <c r="AG17" s="24" t="s">
        <v>284</v>
      </c>
      <c r="AH17" s="24" t="s">
        <v>145</v>
      </c>
      <c r="AI17" s="24">
        <v>0</v>
      </c>
      <c r="AJ17" s="24">
        <v>0</v>
      </c>
      <c r="AK17" s="24">
        <v>0</v>
      </c>
      <c r="AL17" s="24" t="s">
        <v>78</v>
      </c>
      <c r="AM17" s="24"/>
      <c r="AN17" s="23"/>
      <c r="AO17" s="23" t="s">
        <v>285</v>
      </c>
      <c r="AP17" s="23" t="s">
        <v>92</v>
      </c>
      <c r="AQ17" s="27" t="str">
        <f>+Base_Accidentes[[#This Row],[Tipo de Accidente]]</f>
        <v>Acc. No Incapacitante</v>
      </c>
      <c r="AR17" s="23" cm="1">
        <f t="array" aca="1" ref="AR17" ca="1">+Base_Accidentes[Población]</f>
        <v>0</v>
      </c>
      <c r="AS17" s="23"/>
      <c r="AT17" s="23"/>
    </row>
    <row r="18" spans="1:46" ht="48" hidden="1" x14ac:dyDescent="0.3">
      <c r="A18" s="45">
        <v>17</v>
      </c>
      <c r="B18" s="24" t="s">
        <v>129</v>
      </c>
      <c r="C18" s="24" t="s">
        <v>1</v>
      </c>
      <c r="D18" s="24" t="s">
        <v>162</v>
      </c>
      <c r="E18" s="24" t="s">
        <v>163</v>
      </c>
      <c r="F18" s="24" t="s">
        <v>164</v>
      </c>
      <c r="G18" s="24" t="s">
        <v>242</v>
      </c>
      <c r="H18" s="24" t="s">
        <v>60</v>
      </c>
      <c r="I18" s="24" t="s">
        <v>286</v>
      </c>
      <c r="J18" s="24" t="s">
        <v>62</v>
      </c>
      <c r="K18" s="24" t="str">
        <f>IF(ISBLANK(Base_Accidentes[[#This Row],[Tipo de Accidente]])," ",Base_Accidentes[[#This Row],[Tipo de Accidente]])</f>
        <v>Acc. No Incapacitante</v>
      </c>
      <c r="L18" s="49">
        <v>45335</v>
      </c>
      <c r="M18" s="47">
        <f>_xlfn.ISOWEEKNUM(Base_Accidentes[[#This Row],[Fecha
(XX/XX/2024)]])</f>
        <v>7</v>
      </c>
      <c r="N18" s="23">
        <f>DAY(Base_Accidentes[[#This Row],[Fecha
(XX/XX/2024)]])</f>
        <v>13</v>
      </c>
      <c r="O18" s="23">
        <f>MONTH(Base_Accidentes[[#This Row],[Fecha
(XX/XX/2024)]])</f>
        <v>2</v>
      </c>
      <c r="P18" s="23">
        <f>YEAR(Base_Accidentes[[#This Row],[Fecha
(XX/XX/2024)]])</f>
        <v>2024</v>
      </c>
      <c r="Q18" s="48">
        <v>0.38541666666666669</v>
      </c>
      <c r="R18" s="24" t="s">
        <v>135</v>
      </c>
      <c r="S18" s="24" t="s">
        <v>274</v>
      </c>
      <c r="T18" s="24" t="s">
        <v>275</v>
      </c>
      <c r="U18" s="24" t="s">
        <v>287</v>
      </c>
      <c r="V18" s="24" t="s">
        <v>288</v>
      </c>
      <c r="W18" s="24" t="s">
        <v>289</v>
      </c>
      <c r="X18" s="24" t="s">
        <v>98</v>
      </c>
      <c r="Y18" s="24" t="s">
        <v>129</v>
      </c>
      <c r="Z18" s="24" t="s">
        <v>290</v>
      </c>
      <c r="AA18" s="49" t="s">
        <v>129</v>
      </c>
      <c r="AB18" s="24" t="s">
        <v>291</v>
      </c>
      <c r="AC18" s="24" t="s">
        <v>292</v>
      </c>
      <c r="AD18" s="24" t="s">
        <v>248</v>
      </c>
      <c r="AE18" s="24" t="s">
        <v>249</v>
      </c>
      <c r="AF18" s="24" t="s">
        <v>293</v>
      </c>
      <c r="AG18" s="24" t="s">
        <v>251</v>
      </c>
      <c r="AH18" s="24" t="s">
        <v>294</v>
      </c>
      <c r="AI18" s="24">
        <v>0</v>
      </c>
      <c r="AJ18" s="24">
        <v>0</v>
      </c>
      <c r="AK18" s="24">
        <v>0</v>
      </c>
      <c r="AL18" s="24" t="s">
        <v>78</v>
      </c>
      <c r="AM18" s="24"/>
      <c r="AN18" s="23"/>
      <c r="AO18" s="23" t="s">
        <v>295</v>
      </c>
      <c r="AP18" s="23" t="s">
        <v>92</v>
      </c>
      <c r="AQ18" s="27" t="str">
        <f>+Base_Accidentes[[#This Row],[Tipo de Accidente]]</f>
        <v>Acc. No Incapacitante</v>
      </c>
      <c r="AR18" s="23" cm="1">
        <f t="array" aca="1" ref="AR18" ca="1">+Base_Accidentes[Población]</f>
        <v>0</v>
      </c>
      <c r="AS18" s="23"/>
      <c r="AT18" s="23"/>
    </row>
    <row r="19" spans="1:46" ht="48" hidden="1" x14ac:dyDescent="0.3">
      <c r="A19" s="45">
        <v>18</v>
      </c>
      <c r="B19" s="24" t="s">
        <v>129</v>
      </c>
      <c r="C19" s="24" t="s">
        <v>1</v>
      </c>
      <c r="D19" s="24" t="s">
        <v>162</v>
      </c>
      <c r="E19" s="24" t="s">
        <v>163</v>
      </c>
      <c r="F19" s="24" t="s">
        <v>164</v>
      </c>
      <c r="G19" s="24" t="s">
        <v>242</v>
      </c>
      <c r="H19" s="24" t="s">
        <v>60</v>
      </c>
      <c r="I19" s="24" t="s">
        <v>296</v>
      </c>
      <c r="J19" s="24" t="s">
        <v>62</v>
      </c>
      <c r="K19" s="24" t="str">
        <f>IF(ISBLANK(Base_Accidentes[[#This Row],[Tipo de Accidente]])," ",Base_Accidentes[[#This Row],[Tipo de Accidente]])</f>
        <v>Acc. No Incapacitante</v>
      </c>
      <c r="L19" s="49">
        <v>45335</v>
      </c>
      <c r="M19" s="47">
        <f>_xlfn.ISOWEEKNUM(Base_Accidentes[[#This Row],[Fecha
(XX/XX/2024)]])</f>
        <v>7</v>
      </c>
      <c r="N19" s="23">
        <f>DAY(Base_Accidentes[[#This Row],[Fecha
(XX/XX/2024)]])</f>
        <v>13</v>
      </c>
      <c r="O19" s="23">
        <f>MONTH(Base_Accidentes[[#This Row],[Fecha
(XX/XX/2024)]])</f>
        <v>2</v>
      </c>
      <c r="P19" s="23">
        <f>YEAR(Base_Accidentes[[#This Row],[Fecha
(XX/XX/2024)]])</f>
        <v>2024</v>
      </c>
      <c r="Q19" s="48" t="s">
        <v>129</v>
      </c>
      <c r="R19" s="24" t="s">
        <v>129</v>
      </c>
      <c r="S19" s="24" t="s">
        <v>9</v>
      </c>
      <c r="T19" s="24" t="s">
        <v>168</v>
      </c>
      <c r="U19" s="24" t="s">
        <v>297</v>
      </c>
      <c r="V19" s="24" t="s">
        <v>298</v>
      </c>
      <c r="W19" s="24" t="s">
        <v>299</v>
      </c>
      <c r="X19" s="24" t="s">
        <v>68</v>
      </c>
      <c r="Y19" s="24" t="s">
        <v>129</v>
      </c>
      <c r="Z19" s="24" t="s">
        <v>172</v>
      </c>
      <c r="AA19" s="49" t="s">
        <v>129</v>
      </c>
      <c r="AB19" s="24" t="s">
        <v>300</v>
      </c>
      <c r="AC19" s="24" t="s">
        <v>281</v>
      </c>
      <c r="AD19" s="24" t="s">
        <v>102</v>
      </c>
      <c r="AE19" s="24" t="s">
        <v>103</v>
      </c>
      <c r="AF19" s="24" t="s">
        <v>301</v>
      </c>
      <c r="AG19" s="24" t="s">
        <v>284</v>
      </c>
      <c r="AH19" s="24" t="s">
        <v>145</v>
      </c>
      <c r="AI19" s="24">
        <v>0</v>
      </c>
      <c r="AJ19" s="24">
        <v>0</v>
      </c>
      <c r="AK19" s="24">
        <v>0</v>
      </c>
      <c r="AL19" s="24" t="s">
        <v>78</v>
      </c>
      <c r="AM19" s="24"/>
      <c r="AN19" s="23"/>
      <c r="AO19" s="23" t="s">
        <v>285</v>
      </c>
      <c r="AP19" s="23" t="s">
        <v>92</v>
      </c>
      <c r="AQ19" s="27" t="str">
        <f>+Base_Accidentes[[#This Row],[Tipo de Accidente]]</f>
        <v>Acc. No Incapacitante</v>
      </c>
      <c r="AR19" s="23" cm="1">
        <f t="array" aca="1" ref="AR19" ca="1">+Base_Accidentes[Población]</f>
        <v>0</v>
      </c>
      <c r="AS19" s="23"/>
      <c r="AT19" s="23"/>
    </row>
    <row r="20" spans="1:46" ht="48" hidden="1" x14ac:dyDescent="0.3">
      <c r="A20" s="45">
        <v>19</v>
      </c>
      <c r="B20" s="24" t="s">
        <v>129</v>
      </c>
      <c r="C20" s="24" t="s">
        <v>1</v>
      </c>
      <c r="D20" s="24" t="s">
        <v>162</v>
      </c>
      <c r="E20" s="24" t="s">
        <v>163</v>
      </c>
      <c r="F20" s="24" t="s">
        <v>164</v>
      </c>
      <c r="G20" s="24" t="s">
        <v>242</v>
      </c>
      <c r="H20" s="24" t="s">
        <v>60</v>
      </c>
      <c r="I20" s="24" t="s">
        <v>302</v>
      </c>
      <c r="J20" s="24" t="s">
        <v>62</v>
      </c>
      <c r="K20" s="24" t="str">
        <f>IF(ISBLANK(Base_Accidentes[[#This Row],[Tipo de Accidente]])," ",Base_Accidentes[[#This Row],[Tipo de Accidente]])</f>
        <v>Acc. No Incapacitante</v>
      </c>
      <c r="L20" s="49">
        <v>45381</v>
      </c>
      <c r="M20" s="47">
        <f>_xlfn.ISOWEEKNUM(Base_Accidentes[[#This Row],[Fecha
(XX/XX/2024)]])</f>
        <v>13</v>
      </c>
      <c r="N20" s="23">
        <f>DAY(Base_Accidentes[[#This Row],[Fecha
(XX/XX/2024)]])</f>
        <v>30</v>
      </c>
      <c r="O20" s="23">
        <f>MONTH(Base_Accidentes[[#This Row],[Fecha
(XX/XX/2024)]])</f>
        <v>3</v>
      </c>
      <c r="P20" s="23">
        <f>YEAR(Base_Accidentes[[#This Row],[Fecha
(XX/XX/2024)]])</f>
        <v>2024</v>
      </c>
      <c r="Q20" s="48">
        <v>0.91666666666666663</v>
      </c>
      <c r="R20" s="24" t="s">
        <v>135</v>
      </c>
      <c r="S20" s="24" t="s">
        <v>167</v>
      </c>
      <c r="T20" s="24" t="s">
        <v>168</v>
      </c>
      <c r="U20" s="24" t="s">
        <v>303</v>
      </c>
      <c r="V20" s="24" t="s">
        <v>304</v>
      </c>
      <c r="W20" s="24" t="s">
        <v>305</v>
      </c>
      <c r="X20" s="24" t="s">
        <v>98</v>
      </c>
      <c r="Y20" s="24">
        <v>25</v>
      </c>
      <c r="Z20" s="24" t="s">
        <v>172</v>
      </c>
      <c r="AA20" s="49">
        <v>45413</v>
      </c>
      <c r="AB20" s="24" t="s">
        <v>306</v>
      </c>
      <c r="AC20" s="24" t="s">
        <v>174</v>
      </c>
      <c r="AD20" s="24" t="s">
        <v>102</v>
      </c>
      <c r="AE20" s="24" t="s">
        <v>103</v>
      </c>
      <c r="AF20" s="24" t="s">
        <v>307</v>
      </c>
      <c r="AG20" s="24" t="s">
        <v>308</v>
      </c>
      <c r="AH20" s="24" t="s">
        <v>76</v>
      </c>
      <c r="AI20" s="24">
        <v>0</v>
      </c>
      <c r="AJ20" s="24">
        <v>0</v>
      </c>
      <c r="AK20" s="24">
        <v>0</v>
      </c>
      <c r="AL20" s="24" t="s">
        <v>78</v>
      </c>
      <c r="AM20" s="23">
        <v>10</v>
      </c>
      <c r="AN20" s="23" t="s">
        <v>177</v>
      </c>
      <c r="AO20" s="23" t="s">
        <v>309</v>
      </c>
      <c r="AP20" s="23" t="s">
        <v>92</v>
      </c>
      <c r="AQ20" s="27" t="str">
        <f>+Base_Accidentes[[#This Row],[Tipo de Accidente]]</f>
        <v>Acc. No Incapacitante</v>
      </c>
      <c r="AR20" s="23" cm="1">
        <f t="array" aca="1" ref="AR20" ca="1">+Base_Accidentes[Población]</f>
        <v>0</v>
      </c>
      <c r="AS20" s="23"/>
      <c r="AT20" s="23"/>
    </row>
    <row r="21" spans="1:46" ht="24" hidden="1" x14ac:dyDescent="0.3">
      <c r="A21" s="45">
        <v>20</v>
      </c>
      <c r="B21" s="24" t="s">
        <v>129</v>
      </c>
      <c r="C21" s="24" t="s">
        <v>1</v>
      </c>
      <c r="D21" s="24" t="s">
        <v>162</v>
      </c>
      <c r="E21" s="24" t="s">
        <v>310</v>
      </c>
      <c r="F21" s="24" t="s">
        <v>164</v>
      </c>
      <c r="G21" s="24" t="s">
        <v>311</v>
      </c>
      <c r="H21" s="24" t="s">
        <v>312</v>
      </c>
      <c r="I21" s="24" t="s">
        <v>312</v>
      </c>
      <c r="J21" s="24" t="s">
        <v>62</v>
      </c>
      <c r="K21" s="24" t="str">
        <f>IF(ISBLANK(Base_Accidentes[[#This Row],[Tipo de Accidente]])," ",Base_Accidentes[[#This Row],[Tipo de Accidente]])</f>
        <v>Acc. No Incapacitante</v>
      </c>
      <c r="L21" s="49">
        <v>45299</v>
      </c>
      <c r="M21" s="47">
        <f>_xlfn.ISOWEEKNUM(Base_Accidentes[[#This Row],[Fecha
(XX/XX/2024)]])</f>
        <v>2</v>
      </c>
      <c r="N21" s="23">
        <f>DAY(Base_Accidentes[[#This Row],[Fecha
(XX/XX/2024)]])</f>
        <v>8</v>
      </c>
      <c r="O21" s="23">
        <f>MONTH(Base_Accidentes[[#This Row],[Fecha
(XX/XX/2024)]])</f>
        <v>1</v>
      </c>
      <c r="P21" s="23">
        <f>YEAR(Base_Accidentes[[#This Row],[Fecha
(XX/XX/2024)]])</f>
        <v>2024</v>
      </c>
      <c r="Q21" s="48">
        <v>0.9375</v>
      </c>
      <c r="R21" s="24" t="s">
        <v>135</v>
      </c>
      <c r="S21" s="24" t="s">
        <v>167</v>
      </c>
      <c r="T21" s="24" t="s">
        <v>313</v>
      </c>
      <c r="U21" s="24" t="s">
        <v>314</v>
      </c>
      <c r="V21" s="24" t="s">
        <v>315</v>
      </c>
      <c r="W21" s="24" t="s">
        <v>316</v>
      </c>
      <c r="X21" s="24" t="s">
        <v>98</v>
      </c>
      <c r="Y21" s="24">
        <v>29</v>
      </c>
      <c r="Z21" s="24" t="s">
        <v>317</v>
      </c>
      <c r="AA21" s="49">
        <v>45292</v>
      </c>
      <c r="AB21" s="24" t="s">
        <v>318</v>
      </c>
      <c r="AC21" s="24" t="s">
        <v>101</v>
      </c>
      <c r="AD21" s="24" t="s">
        <v>319</v>
      </c>
      <c r="AE21" s="24" t="s">
        <v>103</v>
      </c>
      <c r="AF21" s="24" t="s">
        <v>320</v>
      </c>
      <c r="AG21" s="24" t="s">
        <v>321</v>
      </c>
      <c r="AH21" s="24" t="s">
        <v>145</v>
      </c>
      <c r="AI21" s="24">
        <v>0</v>
      </c>
      <c r="AJ21" s="24">
        <v>0</v>
      </c>
      <c r="AK21" s="24">
        <v>0</v>
      </c>
      <c r="AL21" s="24" t="s">
        <v>78</v>
      </c>
      <c r="AM21" s="24">
        <v>0.23</v>
      </c>
      <c r="AN21" s="23" t="s">
        <v>240</v>
      </c>
      <c r="AO21" s="23" t="s">
        <v>309</v>
      </c>
      <c r="AP21" s="23" t="s">
        <v>92</v>
      </c>
      <c r="AQ21" s="27" t="str">
        <f>+Base_Accidentes[[#This Row],[Tipo de Accidente]]</f>
        <v>Acc. No Incapacitante</v>
      </c>
      <c r="AR21" s="23" cm="1">
        <f t="array" aca="1" ref="AR21" ca="1">+Base_Accidentes[Población]</f>
        <v>0</v>
      </c>
      <c r="AS21" s="23"/>
      <c r="AT21" s="23"/>
    </row>
    <row r="22" spans="1:46" ht="72" x14ac:dyDescent="0.3">
      <c r="A22" s="45">
        <v>21</v>
      </c>
      <c r="B22" s="24" t="s">
        <v>129</v>
      </c>
      <c r="C22" s="24" t="s">
        <v>1</v>
      </c>
      <c r="D22" s="24" t="s">
        <v>56</v>
      </c>
      <c r="E22" s="24" t="s">
        <v>322</v>
      </c>
      <c r="F22" s="24" t="s">
        <v>323</v>
      </c>
      <c r="G22" s="24" t="s">
        <v>324</v>
      </c>
      <c r="H22" s="24" t="s">
        <v>324</v>
      </c>
      <c r="I22" s="24" t="s">
        <v>325</v>
      </c>
      <c r="J22" s="24" t="s">
        <v>113</v>
      </c>
      <c r="K22" s="24" t="str">
        <f>IF(ISBLANK(Base_Accidentes[[#This Row],[Tipo de Accidente]])," ",Base_Accidentes[[#This Row],[Tipo de Accidente]])</f>
        <v>Acc. Incapacitante</v>
      </c>
      <c r="L22" s="49">
        <v>45308</v>
      </c>
      <c r="M22" s="47">
        <f>_xlfn.ISOWEEKNUM(Base_Accidentes[[#This Row],[Fecha
(XX/XX/2024)]])</f>
        <v>3</v>
      </c>
      <c r="N22" s="23">
        <f>DAY(Base_Accidentes[[#This Row],[Fecha
(XX/XX/2024)]])</f>
        <v>17</v>
      </c>
      <c r="O22" s="23">
        <f>MONTH(Base_Accidentes[[#This Row],[Fecha
(XX/XX/2024)]])</f>
        <v>1</v>
      </c>
      <c r="P22" s="23">
        <f>YEAR(Base_Accidentes[[#This Row],[Fecha
(XX/XX/2024)]])</f>
        <v>2024</v>
      </c>
      <c r="Q22" s="48">
        <v>0.3611111111111111</v>
      </c>
      <c r="R22" s="24" t="s">
        <v>63</v>
      </c>
      <c r="S22" s="24" t="s">
        <v>9</v>
      </c>
      <c r="T22" s="24" t="s">
        <v>326</v>
      </c>
      <c r="U22" s="24" t="s">
        <v>327</v>
      </c>
      <c r="V22" s="24" t="s">
        <v>328</v>
      </c>
      <c r="W22" s="24" t="s">
        <v>329</v>
      </c>
      <c r="X22" s="24" t="s">
        <v>68</v>
      </c>
      <c r="Y22" s="24">
        <v>33</v>
      </c>
      <c r="Z22" s="24" t="s">
        <v>330</v>
      </c>
      <c r="AA22" s="49" t="s">
        <v>129</v>
      </c>
      <c r="AB22" s="24" t="s">
        <v>331</v>
      </c>
      <c r="AC22" s="24" t="s">
        <v>267</v>
      </c>
      <c r="AD22" s="24" t="s">
        <v>332</v>
      </c>
      <c r="AE22" s="24" t="s">
        <v>333</v>
      </c>
      <c r="AF22" s="24" t="s">
        <v>129</v>
      </c>
      <c r="AG22" s="24"/>
      <c r="AH22" s="24" t="s">
        <v>145</v>
      </c>
      <c r="AI22" s="24">
        <v>16</v>
      </c>
      <c r="AJ22" s="24">
        <v>0</v>
      </c>
      <c r="AK22" s="24">
        <v>16</v>
      </c>
      <c r="AL22" s="24"/>
      <c r="AM22" s="24">
        <v>60</v>
      </c>
      <c r="AN22" s="23" t="s">
        <v>190</v>
      </c>
      <c r="AO22" s="24"/>
      <c r="AP22" s="23"/>
      <c r="AQ22" s="27" t="str">
        <f>+Base_Accidentes[[#This Row],[Tipo de Accidente]]</f>
        <v>Acc. Incapacitante</v>
      </c>
      <c r="AR22" s="23" cm="1">
        <f t="array" aca="1" ref="AR22" ca="1">+Base_Accidentes[Población]</f>
        <v>0</v>
      </c>
      <c r="AS22" s="23" t="s">
        <v>128</v>
      </c>
      <c r="AT22" s="23"/>
    </row>
    <row r="23" spans="1:46" ht="96" hidden="1" x14ac:dyDescent="0.3">
      <c r="A23" s="45">
        <v>22</v>
      </c>
      <c r="B23" s="24" t="s">
        <v>129</v>
      </c>
      <c r="C23" s="24" t="s">
        <v>334</v>
      </c>
      <c r="D23" s="24" t="s">
        <v>180</v>
      </c>
      <c r="E23" s="24" t="s">
        <v>335</v>
      </c>
      <c r="F23" s="24" t="s">
        <v>182</v>
      </c>
      <c r="G23" s="24" t="s">
        <v>336</v>
      </c>
      <c r="H23" s="24" t="s">
        <v>337</v>
      </c>
      <c r="I23" s="24" t="s">
        <v>338</v>
      </c>
      <c r="J23" s="24" t="s">
        <v>113</v>
      </c>
      <c r="K23" s="24" t="str">
        <f>IF(ISBLANK(Base_Accidentes[[#This Row],[Tipo de Accidente]])," ",Base_Accidentes[[#This Row],[Tipo de Accidente]])</f>
        <v>Acc. Incapacitante</v>
      </c>
      <c r="L23" s="49">
        <v>45308</v>
      </c>
      <c r="M23" s="47">
        <f>_xlfn.ISOWEEKNUM(Base_Accidentes[[#This Row],[Fecha
(XX/XX/2024)]])</f>
        <v>3</v>
      </c>
      <c r="N23" s="23">
        <f>DAY(Base_Accidentes[[#This Row],[Fecha
(XX/XX/2024)]])</f>
        <v>17</v>
      </c>
      <c r="O23" s="23">
        <f>MONTH(Base_Accidentes[[#This Row],[Fecha
(XX/XX/2024)]])</f>
        <v>1</v>
      </c>
      <c r="P23" s="23">
        <f>YEAR(Base_Accidentes[[#This Row],[Fecha
(XX/XX/2024)]])</f>
        <v>2024</v>
      </c>
      <c r="Q23" s="48">
        <v>0.60416666666666663</v>
      </c>
      <c r="R23" s="24" t="s">
        <v>63</v>
      </c>
      <c r="S23" s="24" t="s">
        <v>9</v>
      </c>
      <c r="T23" s="24" t="s">
        <v>339</v>
      </c>
      <c r="U23" s="24" t="s">
        <v>340</v>
      </c>
      <c r="V23" s="24" t="s">
        <v>341</v>
      </c>
      <c r="W23" s="24" t="s">
        <v>342</v>
      </c>
      <c r="X23" s="24" t="s">
        <v>68</v>
      </c>
      <c r="Y23" s="24">
        <v>30</v>
      </c>
      <c r="Z23" s="24" t="s">
        <v>343</v>
      </c>
      <c r="AA23" s="49" t="s">
        <v>129</v>
      </c>
      <c r="AB23" s="24" t="s">
        <v>344</v>
      </c>
      <c r="AC23" s="24" t="s">
        <v>267</v>
      </c>
      <c r="AD23" s="24" t="s">
        <v>345</v>
      </c>
      <c r="AE23" s="24" t="s">
        <v>235</v>
      </c>
      <c r="AF23" s="24" t="s">
        <v>129</v>
      </c>
      <c r="AG23" s="24" t="s">
        <v>346</v>
      </c>
      <c r="AH23" s="24" t="s">
        <v>76</v>
      </c>
      <c r="AI23" s="24">
        <v>3</v>
      </c>
      <c r="AJ23" s="24">
        <v>0</v>
      </c>
      <c r="AK23" s="24">
        <v>3</v>
      </c>
      <c r="AL23" s="24"/>
      <c r="AM23" s="24"/>
      <c r="AN23" s="23" t="s">
        <v>146</v>
      </c>
      <c r="AO23" s="23"/>
      <c r="AP23" s="23"/>
      <c r="AQ23" s="27" t="str">
        <f>+Base_Accidentes[[#This Row],[Tipo de Accidente]]</f>
        <v>Acc. Incapacitante</v>
      </c>
      <c r="AR23" s="23" cm="1">
        <f t="array" aca="1" ref="AR23" ca="1">+Base_Accidentes[Población]</f>
        <v>0</v>
      </c>
      <c r="AS23" s="23" t="s">
        <v>128</v>
      </c>
      <c r="AT23" s="23"/>
    </row>
    <row r="24" spans="1:46" ht="39.75" hidden="1" customHeight="1" x14ac:dyDescent="0.3">
      <c r="A24" s="45">
        <v>8</v>
      </c>
      <c r="B24" s="24" t="s">
        <v>347</v>
      </c>
      <c r="C24" s="24" t="s">
        <v>1</v>
      </c>
      <c r="D24" s="24" t="s">
        <v>56</v>
      </c>
      <c r="E24" s="24" t="s">
        <v>57</v>
      </c>
      <c r="F24" s="24" t="s">
        <v>58</v>
      </c>
      <c r="G24" s="24" t="s">
        <v>59</v>
      </c>
      <c r="H24" s="24" t="s">
        <v>60</v>
      </c>
      <c r="I24" s="24" t="s">
        <v>94</v>
      </c>
      <c r="J24" s="24" t="s">
        <v>113</v>
      </c>
      <c r="K24" s="24" t="str">
        <f>IF(ISBLANK(Base_Accidentes[[#This Row],[Tipo de Accidente]])," ",Base_Accidentes[[#This Row],[Tipo de Accidente]])</f>
        <v>Acc. Incapacitante</v>
      </c>
      <c r="L24" s="49">
        <v>45324</v>
      </c>
      <c r="M24" s="47">
        <f>_xlfn.ISOWEEKNUM(Base_Accidentes[[#This Row],[Fecha
(XX/XX/2024)]])</f>
        <v>5</v>
      </c>
      <c r="N24" s="23">
        <f>DAY(Base_Accidentes[[#This Row],[Fecha
(XX/XX/2024)]])</f>
        <v>2</v>
      </c>
      <c r="O24" s="23">
        <f>MONTH(Base_Accidentes[[#This Row],[Fecha
(XX/XX/2024)]])</f>
        <v>2</v>
      </c>
      <c r="P24" s="23">
        <f>YEAR(Base_Accidentes[[#This Row],[Fecha
(XX/XX/2024)]])</f>
        <v>2024</v>
      </c>
      <c r="Q24" s="48">
        <v>0.64861111111111114</v>
      </c>
      <c r="R24" s="24" t="s">
        <v>63</v>
      </c>
      <c r="S24" s="24" t="s">
        <v>10</v>
      </c>
      <c r="T24" s="24" t="s">
        <v>114</v>
      </c>
      <c r="U24" s="24" t="s">
        <v>348</v>
      </c>
      <c r="V24" s="24" t="s">
        <v>349</v>
      </c>
      <c r="W24" s="24" t="s">
        <v>350</v>
      </c>
      <c r="X24" s="24" t="s">
        <v>98</v>
      </c>
      <c r="Y24" s="24">
        <v>25</v>
      </c>
      <c r="Z24" s="24" t="s">
        <v>172</v>
      </c>
      <c r="AA24" s="49">
        <v>45315</v>
      </c>
      <c r="AB24" s="24" t="s">
        <v>351</v>
      </c>
      <c r="AC24" s="24" t="s">
        <v>281</v>
      </c>
      <c r="AD24" s="24" t="s">
        <v>102</v>
      </c>
      <c r="AE24" s="24" t="s">
        <v>103</v>
      </c>
      <c r="AF24" s="24" t="s">
        <v>352</v>
      </c>
      <c r="AG24" s="24" t="s">
        <v>353</v>
      </c>
      <c r="AH24" s="24" t="s">
        <v>145</v>
      </c>
      <c r="AI24" s="24">
        <v>30</v>
      </c>
      <c r="AJ24" s="24">
        <v>0</v>
      </c>
      <c r="AK24" s="24">
        <v>30</v>
      </c>
      <c r="AL24" s="24" t="s">
        <v>354</v>
      </c>
      <c r="AM24" s="24">
        <v>0</v>
      </c>
      <c r="AN24" s="23" t="s">
        <v>240</v>
      </c>
      <c r="AO24" s="24" t="s">
        <v>355</v>
      </c>
      <c r="AP24" s="23" t="s">
        <v>81</v>
      </c>
      <c r="AQ24" s="27" t="str">
        <f>+Base_Accidentes[[#This Row],[Tipo de Accidente]]</f>
        <v>Acc. Incapacitante</v>
      </c>
      <c r="AR24" s="23" cm="1">
        <f t="array" aca="1" ref="AR24" ca="1">+Base_Accidentes[Población]</f>
        <v>0</v>
      </c>
      <c r="AS24" s="23" t="s">
        <v>128</v>
      </c>
      <c r="AT24" s="23"/>
    </row>
    <row r="25" spans="1:46" ht="60" hidden="1" x14ac:dyDescent="0.3">
      <c r="A25" s="45">
        <v>43</v>
      </c>
      <c r="B25" s="24" t="s">
        <v>129</v>
      </c>
      <c r="C25" s="24" t="s">
        <v>1</v>
      </c>
      <c r="D25" s="24" t="s">
        <v>356</v>
      </c>
      <c r="E25" s="24" t="s">
        <v>357</v>
      </c>
      <c r="F25" s="24" t="s">
        <v>358</v>
      </c>
      <c r="G25" s="24" t="s">
        <v>359</v>
      </c>
      <c r="H25" s="24" t="s">
        <v>360</v>
      </c>
      <c r="I25" s="24" t="s">
        <v>361</v>
      </c>
      <c r="J25" s="24" t="s">
        <v>113</v>
      </c>
      <c r="K25" s="24" t="str">
        <f>IF(ISBLANK(Base_Accidentes[[#This Row],[Tipo de Accidente]])," ",Base_Accidentes[[#This Row],[Tipo de Accidente]])</f>
        <v>Acc. Incapacitante</v>
      </c>
      <c r="L25" s="49">
        <v>45324</v>
      </c>
      <c r="M25" s="47">
        <f>_xlfn.ISOWEEKNUM(Base_Accidentes[[#This Row],[Fecha
(XX/XX/2024)]])</f>
        <v>5</v>
      </c>
      <c r="N25" s="23">
        <f>DAY(Base_Accidentes[[#This Row],[Fecha
(XX/XX/2024)]])</f>
        <v>2</v>
      </c>
      <c r="O25" s="23">
        <f>MONTH(Base_Accidentes[[#This Row],[Fecha
(XX/XX/2024)]])</f>
        <v>2</v>
      </c>
      <c r="P25" s="23">
        <f>YEAR(Base_Accidentes[[#This Row],[Fecha
(XX/XX/2024)]])</f>
        <v>2024</v>
      </c>
      <c r="Q25" s="48">
        <v>0.35208333333333336</v>
      </c>
      <c r="R25" s="24" t="s">
        <v>63</v>
      </c>
      <c r="S25" s="24" t="s">
        <v>274</v>
      </c>
      <c r="T25" s="24" t="s">
        <v>362</v>
      </c>
      <c r="U25" s="24" t="s">
        <v>363</v>
      </c>
      <c r="V25" s="24" t="s">
        <v>364</v>
      </c>
      <c r="W25" s="24" t="s">
        <v>365</v>
      </c>
      <c r="X25" s="24" t="s">
        <v>98</v>
      </c>
      <c r="Y25" s="24">
        <v>42</v>
      </c>
      <c r="Z25" s="24" t="s">
        <v>366</v>
      </c>
      <c r="AA25" s="49" t="s">
        <v>129</v>
      </c>
      <c r="AB25" s="53" t="s">
        <v>367</v>
      </c>
      <c r="AC25" s="24" t="s">
        <v>120</v>
      </c>
      <c r="AD25" s="24" t="s">
        <v>368</v>
      </c>
      <c r="AE25" s="24" t="s">
        <v>142</v>
      </c>
      <c r="AF25" s="24" t="s">
        <v>369</v>
      </c>
      <c r="AG25" s="24" t="s">
        <v>370</v>
      </c>
      <c r="AH25" s="24" t="s">
        <v>145</v>
      </c>
      <c r="AI25" s="24">
        <v>8</v>
      </c>
      <c r="AJ25" s="24">
        <v>0</v>
      </c>
      <c r="AK25" s="24">
        <v>8</v>
      </c>
      <c r="AL25" s="24" t="s">
        <v>239</v>
      </c>
      <c r="AM25" s="24">
        <v>31</v>
      </c>
      <c r="AN25" s="23" t="s">
        <v>190</v>
      </c>
      <c r="AO25" s="23" t="s">
        <v>371</v>
      </c>
      <c r="AP25" s="23" t="s">
        <v>92</v>
      </c>
      <c r="AQ25" s="27" t="str">
        <f>+Base_Accidentes[[#This Row],[Tipo de Accidente]]</f>
        <v>Acc. Incapacitante</v>
      </c>
      <c r="AR25" s="23" cm="1">
        <f t="array" aca="1" ref="AR25" ca="1">+Base_Accidentes[Población]</f>
        <v>0</v>
      </c>
      <c r="AS25" s="23" t="s">
        <v>128</v>
      </c>
      <c r="AT25" s="23"/>
    </row>
    <row r="26" spans="1:46" ht="24" x14ac:dyDescent="0.3">
      <c r="A26" s="45">
        <v>25</v>
      </c>
      <c r="B26" s="24" t="s">
        <v>129</v>
      </c>
      <c r="C26" s="24" t="s">
        <v>1</v>
      </c>
      <c r="D26" s="24" t="s">
        <v>56</v>
      </c>
      <c r="E26" s="24" t="s">
        <v>57</v>
      </c>
      <c r="F26" s="24" t="s">
        <v>323</v>
      </c>
      <c r="G26" s="24" t="s">
        <v>372</v>
      </c>
      <c r="H26" s="24" t="s">
        <v>360</v>
      </c>
      <c r="I26" s="24" t="s">
        <v>373</v>
      </c>
      <c r="J26" s="24" t="s">
        <v>62</v>
      </c>
      <c r="K26" s="24" t="str">
        <f>IF(ISBLANK(Base_Accidentes[[#This Row],[Tipo de Accidente]])," ",Base_Accidentes[[#This Row],[Tipo de Accidente]])</f>
        <v>Acc. No Incapacitante</v>
      </c>
      <c r="L26" s="49">
        <v>45340</v>
      </c>
      <c r="M26" s="47">
        <f>_xlfn.ISOWEEKNUM(Base_Accidentes[[#This Row],[Fecha
(XX/XX/2024)]])</f>
        <v>7</v>
      </c>
      <c r="N26" s="23">
        <f>DAY(Base_Accidentes[[#This Row],[Fecha
(XX/XX/2024)]])</f>
        <v>18</v>
      </c>
      <c r="O26" s="23">
        <f>MONTH(Base_Accidentes[[#This Row],[Fecha
(XX/XX/2024)]])</f>
        <v>2</v>
      </c>
      <c r="P26" s="23">
        <f>YEAR(Base_Accidentes[[#This Row],[Fecha
(XX/XX/2024)]])</f>
        <v>2024</v>
      </c>
      <c r="Q26" s="48">
        <v>0.71180555555555558</v>
      </c>
      <c r="R26" s="24" t="s">
        <v>84</v>
      </c>
      <c r="S26" s="24" t="s">
        <v>374</v>
      </c>
      <c r="T26" s="24" t="s">
        <v>375</v>
      </c>
      <c r="U26" s="24" t="s">
        <v>376</v>
      </c>
      <c r="V26" s="24" t="s">
        <v>377</v>
      </c>
      <c r="W26" s="24" t="s">
        <v>378</v>
      </c>
      <c r="X26" s="24" t="s">
        <v>68</v>
      </c>
      <c r="Y26" s="24" t="s">
        <v>129</v>
      </c>
      <c r="Z26" s="24" t="s">
        <v>379</v>
      </c>
      <c r="AA26" s="49" t="s">
        <v>129</v>
      </c>
      <c r="AB26" s="24" t="s">
        <v>129</v>
      </c>
      <c r="AC26" s="24" t="s">
        <v>201</v>
      </c>
      <c r="AD26" s="24" t="s">
        <v>102</v>
      </c>
      <c r="AE26" s="24" t="s">
        <v>103</v>
      </c>
      <c r="AF26" s="24" t="s">
        <v>380</v>
      </c>
      <c r="AG26" s="24" t="s">
        <v>75</v>
      </c>
      <c r="AH26" s="24" t="s">
        <v>76</v>
      </c>
      <c r="AI26" s="24">
        <v>0</v>
      </c>
      <c r="AJ26" s="24">
        <v>0</v>
      </c>
      <c r="AK26" s="24">
        <v>0</v>
      </c>
      <c r="AL26" s="24" t="s">
        <v>78</v>
      </c>
      <c r="AM26" s="24"/>
      <c r="AN26" s="23"/>
      <c r="AO26" s="23" t="s">
        <v>381</v>
      </c>
      <c r="AP26" s="23" t="s">
        <v>81</v>
      </c>
      <c r="AQ26" s="27" t="str">
        <f>+Base_Accidentes[[#This Row],[Tipo de Accidente]]</f>
        <v>Acc. No Incapacitante</v>
      </c>
      <c r="AR26" s="23" cm="1">
        <f t="array" aca="1" ref="AR26" ca="1">+Base_Accidentes[Población]</f>
        <v>0</v>
      </c>
      <c r="AS26" s="23"/>
      <c r="AT26" s="23"/>
    </row>
    <row r="27" spans="1:46" ht="36" hidden="1" x14ac:dyDescent="0.3">
      <c r="A27" s="45">
        <v>10</v>
      </c>
      <c r="B27" s="24" t="s">
        <v>382</v>
      </c>
      <c r="C27" s="24" t="s">
        <v>1</v>
      </c>
      <c r="D27" s="24" t="s">
        <v>56</v>
      </c>
      <c r="E27" s="24" t="s">
        <v>57</v>
      </c>
      <c r="F27" s="24" t="s">
        <v>58</v>
      </c>
      <c r="G27" s="24" t="s">
        <v>59</v>
      </c>
      <c r="H27" s="24" t="s">
        <v>60</v>
      </c>
      <c r="I27" s="24" t="s">
        <v>383</v>
      </c>
      <c r="J27" s="24" t="s">
        <v>113</v>
      </c>
      <c r="K27" s="24" t="str">
        <f>IF(ISBLANK(Base_Accidentes[[#This Row],[Tipo de Accidente]])," ",Base_Accidentes[[#This Row],[Tipo de Accidente]])</f>
        <v>Acc. Incapacitante</v>
      </c>
      <c r="L27" s="49">
        <v>45328</v>
      </c>
      <c r="M27" s="47">
        <f>_xlfn.ISOWEEKNUM(Base_Accidentes[[#This Row],[Fecha
(XX/XX/2024)]])</f>
        <v>6</v>
      </c>
      <c r="N27" s="23">
        <f>DAY(Base_Accidentes[[#This Row],[Fecha
(XX/XX/2024)]])</f>
        <v>6</v>
      </c>
      <c r="O27" s="23">
        <f>MONTH(Base_Accidentes[[#This Row],[Fecha
(XX/XX/2024)]])</f>
        <v>2</v>
      </c>
      <c r="P27" s="23">
        <f>YEAR(Base_Accidentes[[#This Row],[Fecha
(XX/XX/2024)]])</f>
        <v>2024</v>
      </c>
      <c r="Q27" s="48">
        <v>0.27777777777777779</v>
      </c>
      <c r="R27" s="24" t="s">
        <v>63</v>
      </c>
      <c r="S27" s="24" t="s">
        <v>10</v>
      </c>
      <c r="T27" s="24" t="s">
        <v>114</v>
      </c>
      <c r="U27" s="24" t="s">
        <v>384</v>
      </c>
      <c r="V27" s="24" t="s">
        <v>385</v>
      </c>
      <c r="W27" s="24" t="s">
        <v>386</v>
      </c>
      <c r="X27" s="24" t="s">
        <v>68</v>
      </c>
      <c r="Y27" s="24" t="s">
        <v>129</v>
      </c>
      <c r="Z27" s="24" t="s">
        <v>172</v>
      </c>
      <c r="AA27" s="49" t="s">
        <v>129</v>
      </c>
      <c r="AB27" s="24" t="s">
        <v>387</v>
      </c>
      <c r="AC27" s="24" t="s">
        <v>201</v>
      </c>
      <c r="AD27" s="24" t="s">
        <v>102</v>
      </c>
      <c r="AE27" s="24" t="s">
        <v>103</v>
      </c>
      <c r="AF27" s="24" t="s">
        <v>388</v>
      </c>
      <c r="AG27" s="24" t="s">
        <v>389</v>
      </c>
      <c r="AH27" s="24" t="s">
        <v>76</v>
      </c>
      <c r="AI27" s="24">
        <v>2</v>
      </c>
      <c r="AJ27" s="24">
        <v>0</v>
      </c>
      <c r="AK27" s="24">
        <v>2</v>
      </c>
      <c r="AL27" s="24" t="s">
        <v>354</v>
      </c>
      <c r="AM27" s="24">
        <v>62</v>
      </c>
      <c r="AN27" s="23" t="s">
        <v>146</v>
      </c>
      <c r="AO27" s="24" t="s">
        <v>178</v>
      </c>
      <c r="AP27" s="23" t="s">
        <v>81</v>
      </c>
      <c r="AQ27" s="27" t="str">
        <f>+Base_Accidentes[[#This Row],[Tipo de Accidente]]</f>
        <v>Acc. Incapacitante</v>
      </c>
      <c r="AR27" s="23" cm="1">
        <f t="array" aca="1" ref="AR27" ca="1">+Base_Accidentes[Población]</f>
        <v>0</v>
      </c>
      <c r="AS27" s="23" t="s">
        <v>128</v>
      </c>
      <c r="AT27" s="23"/>
    </row>
    <row r="28" spans="1:46" ht="84" x14ac:dyDescent="0.3">
      <c r="A28" s="45">
        <v>26</v>
      </c>
      <c r="B28" s="24" t="s">
        <v>129</v>
      </c>
      <c r="C28" s="24" t="s">
        <v>1</v>
      </c>
      <c r="D28" s="24" t="s">
        <v>56</v>
      </c>
      <c r="E28" s="24" t="s">
        <v>390</v>
      </c>
      <c r="F28" s="24" t="s">
        <v>323</v>
      </c>
      <c r="G28" s="24" t="s">
        <v>391</v>
      </c>
      <c r="H28" s="24" t="s">
        <v>324</v>
      </c>
      <c r="I28" s="24" t="s">
        <v>392</v>
      </c>
      <c r="J28" s="24" t="s">
        <v>113</v>
      </c>
      <c r="K28" s="24" t="str">
        <f>IF(ISBLANK(Base_Accidentes[[#This Row],[Tipo de Accidente]])," ",Base_Accidentes[[#This Row],[Tipo de Accidente]])</f>
        <v>Acc. Incapacitante</v>
      </c>
      <c r="L28" s="49">
        <v>45341</v>
      </c>
      <c r="M28" s="47">
        <f>_xlfn.ISOWEEKNUM(Base_Accidentes[[#This Row],[Fecha
(XX/XX/2024)]])</f>
        <v>8</v>
      </c>
      <c r="N28" s="23">
        <f>DAY(Base_Accidentes[[#This Row],[Fecha
(XX/XX/2024)]])</f>
        <v>19</v>
      </c>
      <c r="O28" s="23">
        <f>MONTH(Base_Accidentes[[#This Row],[Fecha
(XX/XX/2024)]])</f>
        <v>2</v>
      </c>
      <c r="P28" s="23">
        <f>YEAR(Base_Accidentes[[#This Row],[Fecha
(XX/XX/2024)]])</f>
        <v>2024</v>
      </c>
      <c r="Q28" s="48">
        <v>0.47916666666666669</v>
      </c>
      <c r="R28" s="24" t="s">
        <v>63</v>
      </c>
      <c r="S28" s="24" t="s">
        <v>393</v>
      </c>
      <c r="T28" s="24" t="s">
        <v>394</v>
      </c>
      <c r="U28" s="24" t="s">
        <v>395</v>
      </c>
      <c r="V28" s="24" t="s">
        <v>277</v>
      </c>
      <c r="W28" s="24" t="s">
        <v>396</v>
      </c>
      <c r="X28" s="24" t="s">
        <v>68</v>
      </c>
      <c r="Y28" s="24">
        <v>30</v>
      </c>
      <c r="Z28" s="24" t="s">
        <v>397</v>
      </c>
      <c r="AA28" s="49" t="s">
        <v>129</v>
      </c>
      <c r="AB28" s="24" t="s">
        <v>398</v>
      </c>
      <c r="AC28" s="24" t="s">
        <v>281</v>
      </c>
      <c r="AD28" s="24" t="s">
        <v>102</v>
      </c>
      <c r="AE28" s="24" t="s">
        <v>103</v>
      </c>
      <c r="AF28" s="24" t="s">
        <v>399</v>
      </c>
      <c r="AG28" s="24" t="s">
        <v>400</v>
      </c>
      <c r="AH28" s="24" t="s">
        <v>224</v>
      </c>
      <c r="AI28" s="24">
        <v>7</v>
      </c>
      <c r="AJ28" s="24">
        <v>0</v>
      </c>
      <c r="AK28" s="24">
        <v>7</v>
      </c>
      <c r="AL28" s="24" t="s">
        <v>78</v>
      </c>
      <c r="AM28" s="24">
        <v>2</v>
      </c>
      <c r="AN28" s="23" t="s">
        <v>401</v>
      </c>
      <c r="AO28" s="24" t="s">
        <v>402</v>
      </c>
      <c r="AP28" s="23" t="s">
        <v>403</v>
      </c>
      <c r="AQ28" s="27" t="str">
        <f>+Base_Accidentes[[#This Row],[Tipo de Accidente]]</f>
        <v>Acc. Incapacitante</v>
      </c>
      <c r="AR28" s="23" cm="1">
        <f t="array" aca="1" ref="AR28" ca="1">+Base_Accidentes[Población]</f>
        <v>0</v>
      </c>
      <c r="AS28" s="23" t="s">
        <v>128</v>
      </c>
      <c r="AT28" s="23"/>
    </row>
    <row r="29" spans="1:46" ht="36" hidden="1" x14ac:dyDescent="0.3">
      <c r="A29" s="45">
        <v>28</v>
      </c>
      <c r="B29" s="24" t="s">
        <v>129</v>
      </c>
      <c r="C29" s="24" t="s">
        <v>130</v>
      </c>
      <c r="D29" s="24" t="s">
        <v>131</v>
      </c>
      <c r="E29" s="24"/>
      <c r="F29" s="24" t="s">
        <v>132</v>
      </c>
      <c r="G29" s="24" t="s">
        <v>133</v>
      </c>
      <c r="H29" s="24" t="s">
        <v>312</v>
      </c>
      <c r="I29" s="24" t="s">
        <v>404</v>
      </c>
      <c r="J29" s="24" t="s">
        <v>62</v>
      </c>
      <c r="K29" s="24" t="str">
        <f>IF(ISBLANK(Base_Accidentes[[#This Row],[Tipo de Accidente]])," ",Base_Accidentes[[#This Row],[Tipo de Accidente]])</f>
        <v>Acc. No Incapacitante</v>
      </c>
      <c r="L29" s="49">
        <v>45331</v>
      </c>
      <c r="M29" s="47">
        <f>_xlfn.ISOWEEKNUM(Base_Accidentes[[#This Row],[Fecha
(XX/XX/2024)]])</f>
        <v>6</v>
      </c>
      <c r="N29" s="23">
        <f>DAY(Base_Accidentes[[#This Row],[Fecha
(XX/XX/2024)]])</f>
        <v>9</v>
      </c>
      <c r="O29" s="23">
        <f>MONTH(Base_Accidentes[[#This Row],[Fecha
(XX/XX/2024)]])</f>
        <v>2</v>
      </c>
      <c r="P29" s="23">
        <f>YEAR(Base_Accidentes[[#This Row],[Fecha
(XX/XX/2024)]])</f>
        <v>2024</v>
      </c>
      <c r="Q29" s="48">
        <v>0.27083333333333331</v>
      </c>
      <c r="R29" s="24" t="s">
        <v>63</v>
      </c>
      <c r="S29" s="24" t="s">
        <v>10</v>
      </c>
      <c r="T29" s="24" t="s">
        <v>64</v>
      </c>
      <c r="U29" s="24" t="s">
        <v>405</v>
      </c>
      <c r="V29" s="24" t="s">
        <v>406</v>
      </c>
      <c r="W29" s="24" t="s">
        <v>407</v>
      </c>
      <c r="X29" s="24" t="s">
        <v>68</v>
      </c>
      <c r="Y29" s="24">
        <v>32</v>
      </c>
      <c r="Z29" s="24" t="s">
        <v>408</v>
      </c>
      <c r="AA29" s="49">
        <v>41883</v>
      </c>
      <c r="AB29" s="24" t="s">
        <v>409</v>
      </c>
      <c r="AC29" s="24" t="s">
        <v>120</v>
      </c>
      <c r="AD29" s="24" t="s">
        <v>102</v>
      </c>
      <c r="AE29" s="24" t="s">
        <v>103</v>
      </c>
      <c r="AF29" s="24" t="s">
        <v>410</v>
      </c>
      <c r="AG29" s="24" t="s">
        <v>411</v>
      </c>
      <c r="AH29" s="24" t="s">
        <v>125</v>
      </c>
      <c r="AI29" s="24">
        <v>0</v>
      </c>
      <c r="AJ29" s="24">
        <v>0</v>
      </c>
      <c r="AK29" s="24">
        <v>0</v>
      </c>
      <c r="AL29" s="24" t="s">
        <v>78</v>
      </c>
      <c r="AM29" s="24">
        <v>114</v>
      </c>
      <c r="AN29" s="23" t="s">
        <v>146</v>
      </c>
      <c r="AO29" s="23" t="s">
        <v>412</v>
      </c>
      <c r="AP29" s="23" t="s">
        <v>81</v>
      </c>
      <c r="AQ29" s="27" t="str">
        <f>+Base_Accidentes[[#This Row],[Tipo de Accidente]]</f>
        <v>Acc. No Incapacitante</v>
      </c>
      <c r="AR29" s="23" cm="1">
        <f t="array" aca="1" ref="AR29" ca="1">+Base_Accidentes[Población]</f>
        <v>0</v>
      </c>
      <c r="AS29" s="23"/>
      <c r="AT29" s="23"/>
    </row>
    <row r="30" spans="1:46" ht="48" hidden="1" customHeight="1" x14ac:dyDescent="0.3">
      <c r="A30" s="45">
        <v>29</v>
      </c>
      <c r="B30" s="24" t="s">
        <v>129</v>
      </c>
      <c r="C30" s="24" t="s">
        <v>130</v>
      </c>
      <c r="D30" s="24" t="s">
        <v>131</v>
      </c>
      <c r="E30" s="24"/>
      <c r="F30" s="24" t="s">
        <v>148</v>
      </c>
      <c r="G30" s="24" t="s">
        <v>149</v>
      </c>
      <c r="H30" s="24" t="s">
        <v>312</v>
      </c>
      <c r="I30" s="24" t="s">
        <v>413</v>
      </c>
      <c r="J30" s="24" t="s">
        <v>62</v>
      </c>
      <c r="K30" s="24" t="str">
        <f>IF(ISBLANK(Base_Accidentes[[#This Row],[Tipo de Accidente]])," ",Base_Accidentes[[#This Row],[Tipo de Accidente]])</f>
        <v>Acc. No Incapacitante</v>
      </c>
      <c r="L30" s="49">
        <v>45349</v>
      </c>
      <c r="M30" s="47">
        <f>_xlfn.ISOWEEKNUM(Base_Accidentes[[#This Row],[Fecha
(XX/XX/2024)]])</f>
        <v>9</v>
      </c>
      <c r="N30" s="23">
        <f>DAY(Base_Accidentes[[#This Row],[Fecha
(XX/XX/2024)]])</f>
        <v>27</v>
      </c>
      <c r="O30" s="23">
        <f>MONTH(Base_Accidentes[[#This Row],[Fecha
(XX/XX/2024)]])</f>
        <v>2</v>
      </c>
      <c r="P30" s="23">
        <f>YEAR(Base_Accidentes[[#This Row],[Fecha
(XX/XX/2024)]])</f>
        <v>2024</v>
      </c>
      <c r="Q30" s="48">
        <v>0.55555555555555558</v>
      </c>
      <c r="R30" s="24" t="s">
        <v>63</v>
      </c>
      <c r="S30" s="24" t="s">
        <v>10</v>
      </c>
      <c r="T30" s="24" t="s">
        <v>64</v>
      </c>
      <c r="U30" s="24" t="s">
        <v>414</v>
      </c>
      <c r="V30" s="24" t="s">
        <v>415</v>
      </c>
      <c r="W30" s="24" t="s">
        <v>416</v>
      </c>
      <c r="X30" s="24" t="s">
        <v>68</v>
      </c>
      <c r="Y30" s="24">
        <v>48</v>
      </c>
      <c r="Z30" s="24" t="s">
        <v>417</v>
      </c>
      <c r="AA30" s="49">
        <v>45294</v>
      </c>
      <c r="AB30" s="24" t="s">
        <v>418</v>
      </c>
      <c r="AC30" s="24" t="s">
        <v>419</v>
      </c>
      <c r="AD30" s="24" t="s">
        <v>129</v>
      </c>
      <c r="AE30" s="24" t="s">
        <v>103</v>
      </c>
      <c r="AF30" s="24" t="s">
        <v>420</v>
      </c>
      <c r="AG30" s="24" t="s">
        <v>421</v>
      </c>
      <c r="AH30" s="24"/>
      <c r="AI30" s="24"/>
      <c r="AJ30" s="24"/>
      <c r="AK30" s="24"/>
      <c r="AL30" s="24" t="s">
        <v>78</v>
      </c>
      <c r="AM30" s="24">
        <v>40</v>
      </c>
      <c r="AN30" s="23" t="s">
        <v>190</v>
      </c>
      <c r="AO30" s="23"/>
      <c r="AP30" s="23" t="s">
        <v>422</v>
      </c>
      <c r="AQ30" s="27" t="str">
        <f>+Base_Accidentes[[#This Row],[Tipo de Accidente]]</f>
        <v>Acc. No Incapacitante</v>
      </c>
      <c r="AR30" s="23" cm="1">
        <f t="array" aca="1" ref="AR30" ca="1">+Base_Accidentes[Población]</f>
        <v>0</v>
      </c>
      <c r="AS30" s="23"/>
      <c r="AT30" s="23"/>
    </row>
    <row r="31" spans="1:46" ht="36" hidden="1" x14ac:dyDescent="0.3">
      <c r="A31" s="45">
        <v>27</v>
      </c>
      <c r="B31" s="24" t="s">
        <v>129</v>
      </c>
      <c r="C31" s="24" t="s">
        <v>334</v>
      </c>
      <c r="D31" s="24" t="s">
        <v>180</v>
      </c>
      <c r="E31" s="24" t="s">
        <v>335</v>
      </c>
      <c r="F31" s="24" t="s">
        <v>182</v>
      </c>
      <c r="G31" s="24" t="s">
        <v>336</v>
      </c>
      <c r="H31" s="24" t="s">
        <v>337</v>
      </c>
      <c r="I31" s="24" t="s">
        <v>338</v>
      </c>
      <c r="J31" s="24" t="s">
        <v>113</v>
      </c>
      <c r="K31" s="24" t="str">
        <f>IF(ISBLANK(Base_Accidentes[[#This Row],[Tipo de Accidente]])," ",Base_Accidentes[[#This Row],[Tipo de Accidente]])</f>
        <v>Acc. Incapacitante</v>
      </c>
      <c r="L31" s="49">
        <v>45349</v>
      </c>
      <c r="M31" s="47">
        <f>_xlfn.ISOWEEKNUM(Base_Accidentes[[#This Row],[Fecha
(XX/XX/2024)]])</f>
        <v>9</v>
      </c>
      <c r="N31" s="23">
        <f>DAY(Base_Accidentes[[#This Row],[Fecha
(XX/XX/2024)]])</f>
        <v>27</v>
      </c>
      <c r="O31" s="23">
        <f>MONTH(Base_Accidentes[[#This Row],[Fecha
(XX/XX/2024)]])</f>
        <v>2</v>
      </c>
      <c r="P31" s="23">
        <f>YEAR(Base_Accidentes[[#This Row],[Fecha
(XX/XX/2024)]])</f>
        <v>2024</v>
      </c>
      <c r="Q31" s="48">
        <v>0.39583333333333331</v>
      </c>
      <c r="R31" s="24" t="s">
        <v>63</v>
      </c>
      <c r="S31" s="24" t="s">
        <v>9</v>
      </c>
      <c r="T31" s="24" t="s">
        <v>423</v>
      </c>
      <c r="U31" s="24" t="s">
        <v>129</v>
      </c>
      <c r="V31" s="24" t="s">
        <v>129</v>
      </c>
      <c r="W31" s="24" t="s">
        <v>129</v>
      </c>
      <c r="X31" s="24" t="s">
        <v>68</v>
      </c>
      <c r="Y31" s="24">
        <v>55</v>
      </c>
      <c r="Z31" s="24" t="s">
        <v>424</v>
      </c>
      <c r="AA31" s="49" t="s">
        <v>129</v>
      </c>
      <c r="AB31" s="24" t="s">
        <v>425</v>
      </c>
      <c r="AC31" s="24" t="s">
        <v>101</v>
      </c>
      <c r="AD31" s="24" t="s">
        <v>426</v>
      </c>
      <c r="AE31" s="24" t="s">
        <v>103</v>
      </c>
      <c r="AF31" s="24" t="s">
        <v>129</v>
      </c>
      <c r="AG31" s="24" t="s">
        <v>427</v>
      </c>
      <c r="AH31" s="24" t="s">
        <v>224</v>
      </c>
      <c r="AI31" s="24">
        <v>30</v>
      </c>
      <c r="AJ31" s="24">
        <v>0</v>
      </c>
      <c r="AK31" s="24">
        <v>30</v>
      </c>
      <c r="AL31" s="24"/>
      <c r="AM31" s="24"/>
      <c r="AN31" s="23" t="s">
        <v>401</v>
      </c>
      <c r="AO31" s="23"/>
      <c r="AP31" s="23"/>
      <c r="AQ31" s="27" t="str">
        <f>+Base_Accidentes[[#This Row],[Tipo de Accidente]]</f>
        <v>Acc. Incapacitante</v>
      </c>
      <c r="AR31" s="23" cm="1">
        <f t="array" aca="1" ref="AR31" ca="1">+Base_Accidentes[Población]</f>
        <v>0</v>
      </c>
      <c r="AS31" s="23" t="s">
        <v>128</v>
      </c>
      <c r="AT31" s="23"/>
    </row>
    <row r="32" spans="1:46" ht="36" hidden="1" x14ac:dyDescent="0.3">
      <c r="A32" s="45">
        <v>31</v>
      </c>
      <c r="B32" s="24" t="s">
        <v>129</v>
      </c>
      <c r="C32" s="24" t="s">
        <v>1</v>
      </c>
      <c r="D32" s="24" t="s">
        <v>162</v>
      </c>
      <c r="E32" s="24" t="s">
        <v>163</v>
      </c>
      <c r="F32" s="24" t="s">
        <v>164</v>
      </c>
      <c r="G32" s="24" t="s">
        <v>428</v>
      </c>
      <c r="H32" s="24" t="s">
        <v>60</v>
      </c>
      <c r="I32" s="24" t="s">
        <v>429</v>
      </c>
      <c r="J32" s="24" t="s">
        <v>62</v>
      </c>
      <c r="K32" s="24" t="str">
        <f>IF(ISBLANK(Base_Accidentes[[#This Row],[Tipo de Accidente]])," ",Base_Accidentes[[#This Row],[Tipo de Accidente]])</f>
        <v>Acc. No Incapacitante</v>
      </c>
      <c r="L32" s="49">
        <v>45299</v>
      </c>
      <c r="M32" s="47">
        <f>_xlfn.ISOWEEKNUM(Base_Accidentes[[#This Row],[Fecha
(XX/XX/2024)]])</f>
        <v>2</v>
      </c>
      <c r="N32" s="23">
        <f>DAY(Base_Accidentes[[#This Row],[Fecha
(XX/XX/2024)]])</f>
        <v>8</v>
      </c>
      <c r="O32" s="23">
        <f>MONTH(Base_Accidentes[[#This Row],[Fecha
(XX/XX/2024)]])</f>
        <v>1</v>
      </c>
      <c r="P32" s="23">
        <f>YEAR(Base_Accidentes[[#This Row],[Fecha
(XX/XX/2024)]])</f>
        <v>2024</v>
      </c>
      <c r="Q32" s="48">
        <v>0.57291666666666663</v>
      </c>
      <c r="R32" s="24" t="s">
        <v>63</v>
      </c>
      <c r="S32" s="24" t="s">
        <v>167</v>
      </c>
      <c r="T32" s="24" t="s">
        <v>168</v>
      </c>
      <c r="U32" s="24" t="s">
        <v>430</v>
      </c>
      <c r="V32" s="24" t="s">
        <v>431</v>
      </c>
      <c r="W32" s="24" t="s">
        <v>432</v>
      </c>
      <c r="X32" s="24" t="s">
        <v>68</v>
      </c>
      <c r="Y32" s="24">
        <v>24</v>
      </c>
      <c r="Z32" s="24" t="s">
        <v>172</v>
      </c>
      <c r="AA32" s="49">
        <v>45279</v>
      </c>
      <c r="AB32" s="24" t="s">
        <v>433</v>
      </c>
      <c r="AC32" s="24" t="s">
        <v>101</v>
      </c>
      <c r="AD32" s="24" t="s">
        <v>434</v>
      </c>
      <c r="AE32" s="24" t="s">
        <v>435</v>
      </c>
      <c r="AF32" s="24" t="s">
        <v>436</v>
      </c>
      <c r="AG32" s="24" t="s">
        <v>321</v>
      </c>
      <c r="AH32" s="24" t="s">
        <v>145</v>
      </c>
      <c r="AI32" s="24">
        <v>0</v>
      </c>
      <c r="AJ32" s="24">
        <v>0</v>
      </c>
      <c r="AK32" s="24">
        <v>0</v>
      </c>
      <c r="AL32" s="24" t="s">
        <v>78</v>
      </c>
      <c r="AM32" s="24">
        <v>0.6</v>
      </c>
      <c r="AN32" s="23" t="s">
        <v>240</v>
      </c>
      <c r="AO32" s="23" t="s">
        <v>437</v>
      </c>
      <c r="AP32" s="23" t="s">
        <v>92</v>
      </c>
      <c r="AQ32" s="27" t="str">
        <f>+Base_Accidentes[[#This Row],[Tipo de Accidente]]</f>
        <v>Acc. No Incapacitante</v>
      </c>
      <c r="AR32" s="23" cm="1">
        <f t="array" aca="1" ref="AR32" ca="1">+Base_Accidentes[Población]</f>
        <v>0</v>
      </c>
      <c r="AS32" s="23"/>
      <c r="AT32" s="23"/>
    </row>
    <row r="33" spans="1:46" ht="36" hidden="1" x14ac:dyDescent="0.3">
      <c r="A33" s="45">
        <v>32</v>
      </c>
      <c r="B33" s="24" t="s">
        <v>129</v>
      </c>
      <c r="C33" s="24" t="s">
        <v>1</v>
      </c>
      <c r="D33" s="24" t="s">
        <v>162</v>
      </c>
      <c r="E33" s="24" t="s">
        <v>163</v>
      </c>
      <c r="F33" s="24" t="s">
        <v>164</v>
      </c>
      <c r="G33" s="24" t="s">
        <v>428</v>
      </c>
      <c r="H33" s="24" t="s">
        <v>60</v>
      </c>
      <c r="I33" s="24" t="s">
        <v>438</v>
      </c>
      <c r="J33" s="24" t="s">
        <v>62</v>
      </c>
      <c r="K33" s="24" t="str">
        <f>IF(ISBLANK(Base_Accidentes[[#This Row],[Tipo de Accidente]])," ",Base_Accidentes[[#This Row],[Tipo de Accidente]])</f>
        <v>Acc. No Incapacitante</v>
      </c>
      <c r="L33" s="49">
        <v>45313</v>
      </c>
      <c r="M33" s="47">
        <f>_xlfn.ISOWEEKNUM(Base_Accidentes[[#This Row],[Fecha
(XX/XX/2024)]])</f>
        <v>4</v>
      </c>
      <c r="N33" s="23">
        <f>DAY(Base_Accidentes[[#This Row],[Fecha
(XX/XX/2024)]])</f>
        <v>22</v>
      </c>
      <c r="O33" s="23">
        <f>MONTH(Base_Accidentes[[#This Row],[Fecha
(XX/XX/2024)]])</f>
        <v>1</v>
      </c>
      <c r="P33" s="23">
        <f>YEAR(Base_Accidentes[[#This Row],[Fecha
(XX/XX/2024)]])</f>
        <v>2024</v>
      </c>
      <c r="Q33" s="48">
        <v>0.74305555555555547</v>
      </c>
      <c r="R33" s="24" t="s">
        <v>135</v>
      </c>
      <c r="S33" s="24" t="s">
        <v>167</v>
      </c>
      <c r="T33" s="24" t="s">
        <v>168</v>
      </c>
      <c r="U33" s="24" t="s">
        <v>439</v>
      </c>
      <c r="V33" s="24" t="s">
        <v>440</v>
      </c>
      <c r="W33" s="24" t="s">
        <v>441</v>
      </c>
      <c r="X33" s="24" t="s">
        <v>68</v>
      </c>
      <c r="Y33" s="24">
        <v>35</v>
      </c>
      <c r="Z33" s="24" t="s">
        <v>172</v>
      </c>
      <c r="AA33" s="49">
        <v>45307</v>
      </c>
      <c r="AB33" s="24" t="s">
        <v>442</v>
      </c>
      <c r="AC33" s="24" t="s">
        <v>101</v>
      </c>
      <c r="AD33" s="24" t="s">
        <v>443</v>
      </c>
      <c r="AE33" s="24" t="s">
        <v>435</v>
      </c>
      <c r="AF33" s="24" t="s">
        <v>436</v>
      </c>
      <c r="AG33" s="24" t="s">
        <v>321</v>
      </c>
      <c r="AH33" s="24" t="s">
        <v>145</v>
      </c>
      <c r="AI33" s="24">
        <v>0</v>
      </c>
      <c r="AJ33" s="24">
        <v>0</v>
      </c>
      <c r="AK33" s="24">
        <v>0</v>
      </c>
      <c r="AL33" s="24" t="s">
        <v>239</v>
      </c>
      <c r="AM33" s="24">
        <v>0.2</v>
      </c>
      <c r="AN33" s="23" t="s">
        <v>240</v>
      </c>
      <c r="AO33" s="23" t="s">
        <v>437</v>
      </c>
      <c r="AP33" s="23" t="s">
        <v>92</v>
      </c>
      <c r="AQ33" s="27" t="str">
        <f>+Base_Accidentes[[#This Row],[Tipo de Accidente]]</f>
        <v>Acc. No Incapacitante</v>
      </c>
      <c r="AR33" s="23" cm="1">
        <f t="array" aca="1" ref="AR33" ca="1">+Base_Accidentes[Población]</f>
        <v>0</v>
      </c>
      <c r="AS33" s="23"/>
      <c r="AT33" s="23"/>
    </row>
    <row r="34" spans="1:46" ht="36" hidden="1" x14ac:dyDescent="0.3">
      <c r="A34" s="45">
        <v>33</v>
      </c>
      <c r="B34" s="24" t="s">
        <v>129</v>
      </c>
      <c r="C34" s="24" t="s">
        <v>1</v>
      </c>
      <c r="D34" s="24" t="s">
        <v>162</v>
      </c>
      <c r="E34" s="24" t="s">
        <v>163</v>
      </c>
      <c r="F34" s="24" t="s">
        <v>164</v>
      </c>
      <c r="G34" s="24" t="s">
        <v>428</v>
      </c>
      <c r="H34" s="24" t="s">
        <v>60</v>
      </c>
      <c r="I34" s="24" t="s">
        <v>429</v>
      </c>
      <c r="J34" s="24" t="s">
        <v>62</v>
      </c>
      <c r="K34" s="24" t="str">
        <f>IF(ISBLANK(Base_Accidentes[[#This Row],[Tipo de Accidente]])," ",Base_Accidentes[[#This Row],[Tipo de Accidente]])</f>
        <v>Acc. No Incapacitante</v>
      </c>
      <c r="L34" s="49">
        <v>45317</v>
      </c>
      <c r="M34" s="47">
        <f>_xlfn.ISOWEEKNUM(Base_Accidentes[[#This Row],[Fecha
(XX/XX/2024)]])</f>
        <v>4</v>
      </c>
      <c r="N34" s="23">
        <f>DAY(Base_Accidentes[[#This Row],[Fecha
(XX/XX/2024)]])</f>
        <v>26</v>
      </c>
      <c r="O34" s="23">
        <f>MONTH(Base_Accidentes[[#This Row],[Fecha
(XX/XX/2024)]])</f>
        <v>1</v>
      </c>
      <c r="P34" s="23">
        <f>YEAR(Base_Accidentes[[#This Row],[Fecha
(XX/XX/2024)]])</f>
        <v>2024</v>
      </c>
      <c r="Q34" s="48">
        <v>0.66388888888888886</v>
      </c>
      <c r="R34" s="24" t="s">
        <v>63</v>
      </c>
      <c r="S34" s="24" t="s">
        <v>167</v>
      </c>
      <c r="T34" s="24" t="s">
        <v>168</v>
      </c>
      <c r="U34" s="24" t="s">
        <v>444</v>
      </c>
      <c r="V34" s="24" t="s">
        <v>445</v>
      </c>
      <c r="W34" s="24" t="s">
        <v>446</v>
      </c>
      <c r="X34" s="24" t="s">
        <v>68</v>
      </c>
      <c r="Y34" s="24">
        <v>25</v>
      </c>
      <c r="Z34" s="24" t="s">
        <v>172</v>
      </c>
      <c r="AA34" s="49">
        <v>45111</v>
      </c>
      <c r="AB34" s="24" t="s">
        <v>447</v>
      </c>
      <c r="AC34" s="24" t="s">
        <v>101</v>
      </c>
      <c r="AD34" s="24" t="s">
        <v>141</v>
      </c>
      <c r="AE34" s="24" t="s">
        <v>142</v>
      </c>
      <c r="AF34" s="24" t="s">
        <v>448</v>
      </c>
      <c r="AG34" s="24" t="s">
        <v>321</v>
      </c>
      <c r="AH34" s="24" t="s">
        <v>145</v>
      </c>
      <c r="AI34" s="24">
        <v>0</v>
      </c>
      <c r="AJ34" s="24">
        <v>0</v>
      </c>
      <c r="AK34" s="24">
        <v>0</v>
      </c>
      <c r="AL34" s="24" t="s">
        <v>78</v>
      </c>
      <c r="AM34" s="24">
        <v>6</v>
      </c>
      <c r="AN34" s="23" t="s">
        <v>177</v>
      </c>
      <c r="AO34" s="23" t="s">
        <v>437</v>
      </c>
      <c r="AP34" s="23" t="s">
        <v>92</v>
      </c>
      <c r="AQ34" s="27" t="str">
        <f>+Base_Accidentes[[#This Row],[Tipo de Accidente]]</f>
        <v>Acc. No Incapacitante</v>
      </c>
      <c r="AR34" s="23" cm="1">
        <f t="array" aca="1" ref="AR34" ca="1">+Base_Accidentes[Población]</f>
        <v>0</v>
      </c>
      <c r="AS34" s="23"/>
      <c r="AT34" s="23"/>
    </row>
    <row r="35" spans="1:46" ht="24" hidden="1" x14ac:dyDescent="0.3">
      <c r="A35" s="45">
        <v>34</v>
      </c>
      <c r="B35" s="24" t="s">
        <v>129</v>
      </c>
      <c r="C35" s="24" t="s">
        <v>1</v>
      </c>
      <c r="D35" s="24" t="s">
        <v>162</v>
      </c>
      <c r="E35" s="24" t="s">
        <v>163</v>
      </c>
      <c r="F35" s="24" t="s">
        <v>164</v>
      </c>
      <c r="G35" s="24" t="s">
        <v>428</v>
      </c>
      <c r="H35" s="24" t="s">
        <v>60</v>
      </c>
      <c r="I35" s="24" t="s">
        <v>438</v>
      </c>
      <c r="J35" s="24" t="s">
        <v>62</v>
      </c>
      <c r="K35" s="24" t="str">
        <f>IF(ISBLANK(Base_Accidentes[[#This Row],[Tipo de Accidente]])," ",Base_Accidentes[[#This Row],[Tipo de Accidente]])</f>
        <v>Acc. No Incapacitante</v>
      </c>
      <c r="L35" s="49">
        <v>45322</v>
      </c>
      <c r="M35" s="47">
        <f>_xlfn.ISOWEEKNUM(Base_Accidentes[[#This Row],[Fecha
(XX/XX/2024)]])</f>
        <v>5</v>
      </c>
      <c r="N35" s="23">
        <f>DAY(Base_Accidentes[[#This Row],[Fecha
(XX/XX/2024)]])</f>
        <v>31</v>
      </c>
      <c r="O35" s="23">
        <f>MONTH(Base_Accidentes[[#This Row],[Fecha
(XX/XX/2024)]])</f>
        <v>1</v>
      </c>
      <c r="P35" s="23">
        <f>YEAR(Base_Accidentes[[#This Row],[Fecha
(XX/XX/2024)]])</f>
        <v>2024</v>
      </c>
      <c r="Q35" s="48">
        <v>0.28680555555555554</v>
      </c>
      <c r="R35" s="24" t="s">
        <v>63</v>
      </c>
      <c r="S35" s="24" t="s">
        <v>10</v>
      </c>
      <c r="T35" s="24" t="s">
        <v>164</v>
      </c>
      <c r="U35" s="24" t="s">
        <v>449</v>
      </c>
      <c r="V35" s="24" t="s">
        <v>450</v>
      </c>
      <c r="W35" s="24" t="s">
        <v>451</v>
      </c>
      <c r="X35" s="24" t="s">
        <v>68</v>
      </c>
      <c r="Y35" s="24">
        <v>35</v>
      </c>
      <c r="Z35" s="24" t="s">
        <v>172</v>
      </c>
      <c r="AA35" s="49">
        <v>44230</v>
      </c>
      <c r="AB35" s="24" t="s">
        <v>452</v>
      </c>
      <c r="AC35" s="24" t="s">
        <v>281</v>
      </c>
      <c r="AD35" s="24" t="s">
        <v>453</v>
      </c>
      <c r="AE35" s="24" t="s">
        <v>103</v>
      </c>
      <c r="AF35" s="24" t="s">
        <v>454</v>
      </c>
      <c r="AG35" s="24" t="s">
        <v>321</v>
      </c>
      <c r="AH35" s="24" t="s">
        <v>145</v>
      </c>
      <c r="AI35" s="24">
        <v>0</v>
      </c>
      <c r="AJ35" s="24">
        <v>0</v>
      </c>
      <c r="AK35" s="24">
        <v>0</v>
      </c>
      <c r="AL35" s="24" t="s">
        <v>78</v>
      </c>
      <c r="AM35" s="24">
        <v>36</v>
      </c>
      <c r="AN35" s="23" t="s">
        <v>190</v>
      </c>
      <c r="AO35" s="23" t="s">
        <v>455</v>
      </c>
      <c r="AP35" s="23" t="s">
        <v>81</v>
      </c>
      <c r="AQ35" s="27" t="str">
        <f>+Base_Accidentes[[#This Row],[Tipo de Accidente]]</f>
        <v>Acc. No Incapacitante</v>
      </c>
      <c r="AR35" s="23" cm="1">
        <f t="array" aca="1" ref="AR35" ca="1">+Base_Accidentes[Población]</f>
        <v>0</v>
      </c>
      <c r="AS35" s="23"/>
      <c r="AT35" s="23"/>
    </row>
    <row r="36" spans="1:46" ht="36" hidden="1" x14ac:dyDescent="0.3">
      <c r="A36" s="45">
        <v>35</v>
      </c>
      <c r="B36" s="24" t="s">
        <v>129</v>
      </c>
      <c r="C36" s="24" t="s">
        <v>1</v>
      </c>
      <c r="D36" s="24" t="s">
        <v>162</v>
      </c>
      <c r="E36" s="24" t="s">
        <v>163</v>
      </c>
      <c r="F36" s="24" t="s">
        <v>164</v>
      </c>
      <c r="G36" s="24" t="s">
        <v>428</v>
      </c>
      <c r="H36" s="24" t="s">
        <v>60</v>
      </c>
      <c r="I36" s="24" t="s">
        <v>438</v>
      </c>
      <c r="J36" s="24" t="s">
        <v>62</v>
      </c>
      <c r="K36" s="24" t="str">
        <f>IF(ISBLANK(Base_Accidentes[[#This Row],[Tipo de Accidente]])," ",Base_Accidentes[[#This Row],[Tipo de Accidente]])</f>
        <v>Acc. No Incapacitante</v>
      </c>
      <c r="L36" s="49">
        <v>45323</v>
      </c>
      <c r="M36" s="47">
        <f>_xlfn.ISOWEEKNUM(Base_Accidentes[[#This Row],[Fecha
(XX/XX/2024)]])</f>
        <v>5</v>
      </c>
      <c r="N36" s="23">
        <f>DAY(Base_Accidentes[[#This Row],[Fecha
(XX/XX/2024)]])</f>
        <v>1</v>
      </c>
      <c r="O36" s="23">
        <f>MONTH(Base_Accidentes[[#This Row],[Fecha
(XX/XX/2024)]])</f>
        <v>2</v>
      </c>
      <c r="P36" s="23">
        <f>YEAR(Base_Accidentes[[#This Row],[Fecha
(XX/XX/2024)]])</f>
        <v>2024</v>
      </c>
      <c r="Q36" s="48">
        <v>0.22708333333333333</v>
      </c>
      <c r="R36" s="24" t="s">
        <v>63</v>
      </c>
      <c r="S36" s="24" t="s">
        <v>167</v>
      </c>
      <c r="T36" s="24" t="s">
        <v>168</v>
      </c>
      <c r="U36" s="24" t="s">
        <v>456</v>
      </c>
      <c r="V36" s="24" t="s">
        <v>457</v>
      </c>
      <c r="W36" s="24" t="s">
        <v>458</v>
      </c>
      <c r="X36" s="24" t="s">
        <v>68</v>
      </c>
      <c r="Y36" s="24">
        <v>23</v>
      </c>
      <c r="Z36" s="24" t="s">
        <v>172</v>
      </c>
      <c r="AA36" s="49">
        <v>45177</v>
      </c>
      <c r="AB36" s="24" t="s">
        <v>459</v>
      </c>
      <c r="AC36" s="24" t="s">
        <v>71</v>
      </c>
      <c r="AD36" s="24" t="s">
        <v>460</v>
      </c>
      <c r="AE36" s="24" t="s">
        <v>103</v>
      </c>
      <c r="AF36" s="24" t="s">
        <v>461</v>
      </c>
      <c r="AG36" s="24" t="s">
        <v>321</v>
      </c>
      <c r="AH36" s="24" t="s">
        <v>145</v>
      </c>
      <c r="AI36" s="24">
        <v>0</v>
      </c>
      <c r="AJ36" s="24">
        <v>0</v>
      </c>
      <c r="AK36" s="24">
        <v>0</v>
      </c>
      <c r="AL36" s="24" t="s">
        <v>78</v>
      </c>
      <c r="AM36" s="24">
        <v>5</v>
      </c>
      <c r="AN36" s="23" t="s">
        <v>105</v>
      </c>
      <c r="AO36" s="23"/>
      <c r="AP36" s="23" t="s">
        <v>92</v>
      </c>
      <c r="AQ36" s="27" t="str">
        <f>+Base_Accidentes[[#This Row],[Tipo de Accidente]]</f>
        <v>Acc. No Incapacitante</v>
      </c>
      <c r="AR36" s="23" cm="1">
        <f t="array" aca="1" ref="AR36" ca="1">+Base_Accidentes[Población]</f>
        <v>0</v>
      </c>
      <c r="AS36" s="23"/>
      <c r="AT36" s="23"/>
    </row>
    <row r="37" spans="1:46" ht="36" hidden="1" x14ac:dyDescent="0.3">
      <c r="A37" s="45">
        <v>36</v>
      </c>
      <c r="B37" s="24" t="s">
        <v>129</v>
      </c>
      <c r="C37" s="24" t="s">
        <v>1</v>
      </c>
      <c r="D37" s="24" t="s">
        <v>162</v>
      </c>
      <c r="E37" s="24" t="s">
        <v>163</v>
      </c>
      <c r="F37" s="24" t="s">
        <v>164</v>
      </c>
      <c r="G37" s="24" t="s">
        <v>428</v>
      </c>
      <c r="H37" s="24" t="s">
        <v>60</v>
      </c>
      <c r="I37" s="24" t="s">
        <v>438</v>
      </c>
      <c r="J37" s="24" t="s">
        <v>62</v>
      </c>
      <c r="K37" s="24" t="str">
        <f>IF(ISBLANK(Base_Accidentes[[#This Row],[Tipo de Accidente]])," ",Base_Accidentes[[#This Row],[Tipo de Accidente]])</f>
        <v>Acc. No Incapacitante</v>
      </c>
      <c r="L37" s="49">
        <v>45325</v>
      </c>
      <c r="M37" s="47">
        <f>_xlfn.ISOWEEKNUM(Base_Accidentes[[#This Row],[Fecha
(XX/XX/2024)]])</f>
        <v>5</v>
      </c>
      <c r="N37" s="23">
        <f>DAY(Base_Accidentes[[#This Row],[Fecha
(XX/XX/2024)]])</f>
        <v>3</v>
      </c>
      <c r="O37" s="23">
        <f>MONTH(Base_Accidentes[[#This Row],[Fecha
(XX/XX/2024)]])</f>
        <v>2</v>
      </c>
      <c r="P37" s="23">
        <f>YEAR(Base_Accidentes[[#This Row],[Fecha
(XX/XX/2024)]])</f>
        <v>2024</v>
      </c>
      <c r="Q37" s="48">
        <v>0.18055555555555555</v>
      </c>
      <c r="R37" s="24" t="s">
        <v>63</v>
      </c>
      <c r="S37" s="24" t="s">
        <v>167</v>
      </c>
      <c r="T37" s="24" t="s">
        <v>168</v>
      </c>
      <c r="U37" s="24" t="s">
        <v>462</v>
      </c>
      <c r="V37" s="24" t="s">
        <v>463</v>
      </c>
      <c r="W37" s="24" t="s">
        <v>464</v>
      </c>
      <c r="X37" s="24" t="s">
        <v>68</v>
      </c>
      <c r="Y37" s="24">
        <v>39</v>
      </c>
      <c r="Z37" s="24" t="s">
        <v>172</v>
      </c>
      <c r="AA37" s="49">
        <v>45300</v>
      </c>
      <c r="AB37" s="24" t="s">
        <v>465</v>
      </c>
      <c r="AC37" s="24" t="s">
        <v>71</v>
      </c>
      <c r="AD37" s="24" t="s">
        <v>466</v>
      </c>
      <c r="AE37" s="24" t="s">
        <v>73</v>
      </c>
      <c r="AF37" s="24" t="s">
        <v>467</v>
      </c>
      <c r="AG37" s="24" t="s">
        <v>321</v>
      </c>
      <c r="AH37" s="24" t="s">
        <v>145</v>
      </c>
      <c r="AI37" s="24">
        <v>0</v>
      </c>
      <c r="AJ37" s="24">
        <v>0</v>
      </c>
      <c r="AK37" s="24">
        <v>0</v>
      </c>
      <c r="AL37" s="24" t="s">
        <v>78</v>
      </c>
      <c r="AM37" s="24">
        <v>1</v>
      </c>
      <c r="AN37" s="23" t="s">
        <v>401</v>
      </c>
      <c r="AO37" s="23" t="s">
        <v>468</v>
      </c>
      <c r="AP37" s="23" t="s">
        <v>92</v>
      </c>
      <c r="AQ37" s="27" t="str">
        <f>+Base_Accidentes[[#This Row],[Tipo de Accidente]]</f>
        <v>Acc. No Incapacitante</v>
      </c>
      <c r="AR37" s="23" cm="1">
        <f t="array" aca="1" ref="AR37" ca="1">+Base_Accidentes[Población]</f>
        <v>0</v>
      </c>
      <c r="AS37" s="23"/>
      <c r="AT37" s="23"/>
    </row>
    <row r="38" spans="1:46" ht="24" hidden="1" x14ac:dyDescent="0.3">
      <c r="A38" s="45">
        <v>37</v>
      </c>
      <c r="B38" s="24" t="s">
        <v>129</v>
      </c>
      <c r="C38" s="24" t="s">
        <v>1</v>
      </c>
      <c r="D38" s="24" t="s">
        <v>162</v>
      </c>
      <c r="E38" s="24" t="s">
        <v>163</v>
      </c>
      <c r="F38" s="24" t="s">
        <v>164</v>
      </c>
      <c r="G38" s="24" t="s">
        <v>428</v>
      </c>
      <c r="H38" s="24" t="s">
        <v>60</v>
      </c>
      <c r="I38" s="24" t="s">
        <v>438</v>
      </c>
      <c r="J38" s="24" t="s">
        <v>62</v>
      </c>
      <c r="K38" s="24" t="str">
        <f>IF(ISBLANK(Base_Accidentes[[#This Row],[Tipo de Accidente]])," ",Base_Accidentes[[#This Row],[Tipo de Accidente]])</f>
        <v>Acc. No Incapacitante</v>
      </c>
      <c r="L38" s="49">
        <v>45331</v>
      </c>
      <c r="M38" s="47">
        <f>_xlfn.ISOWEEKNUM(Base_Accidentes[[#This Row],[Fecha
(XX/XX/2024)]])</f>
        <v>6</v>
      </c>
      <c r="N38" s="23">
        <f>DAY(Base_Accidentes[[#This Row],[Fecha
(XX/XX/2024)]])</f>
        <v>9</v>
      </c>
      <c r="O38" s="23">
        <f>MONTH(Base_Accidentes[[#This Row],[Fecha
(XX/XX/2024)]])</f>
        <v>2</v>
      </c>
      <c r="P38" s="23">
        <f>YEAR(Base_Accidentes[[#This Row],[Fecha
(XX/XX/2024)]])</f>
        <v>2024</v>
      </c>
      <c r="Q38" s="48">
        <v>0.62708333333333333</v>
      </c>
      <c r="R38" s="24" t="s">
        <v>63</v>
      </c>
      <c r="S38" s="24" t="s">
        <v>167</v>
      </c>
      <c r="T38" s="24" t="s">
        <v>168</v>
      </c>
      <c r="U38" s="24" t="s">
        <v>469</v>
      </c>
      <c r="V38" s="24" t="s">
        <v>470</v>
      </c>
      <c r="W38" s="24" t="s">
        <v>471</v>
      </c>
      <c r="X38" s="24" t="s">
        <v>68</v>
      </c>
      <c r="Y38" s="24">
        <v>30</v>
      </c>
      <c r="Z38" s="24" t="s">
        <v>172</v>
      </c>
      <c r="AA38" s="49">
        <v>45294</v>
      </c>
      <c r="AB38" s="24" t="s">
        <v>472</v>
      </c>
      <c r="AC38" s="24" t="s">
        <v>71</v>
      </c>
      <c r="AD38" s="24" t="s">
        <v>473</v>
      </c>
      <c r="AE38" s="24" t="s">
        <v>103</v>
      </c>
      <c r="AF38" s="24" t="s">
        <v>461</v>
      </c>
      <c r="AG38" s="24" t="s">
        <v>321</v>
      </c>
      <c r="AH38" s="24" t="s">
        <v>145</v>
      </c>
      <c r="AI38" s="24">
        <v>0</v>
      </c>
      <c r="AJ38" s="24">
        <v>0</v>
      </c>
      <c r="AK38" s="24">
        <v>0</v>
      </c>
      <c r="AL38" s="24" t="s">
        <v>78</v>
      </c>
      <c r="AM38" s="24">
        <v>1</v>
      </c>
      <c r="AN38" s="23" t="s">
        <v>401</v>
      </c>
      <c r="AO38" s="23" t="s">
        <v>474</v>
      </c>
      <c r="AP38" s="23" t="s">
        <v>92</v>
      </c>
      <c r="AQ38" s="27" t="str">
        <f>+Base_Accidentes[[#This Row],[Tipo de Accidente]]</f>
        <v>Acc. No Incapacitante</v>
      </c>
      <c r="AR38" s="23" cm="1">
        <f t="array" aca="1" ref="AR38" ca="1">+Base_Accidentes[Población]</f>
        <v>0</v>
      </c>
      <c r="AS38" s="23"/>
      <c r="AT38" s="23"/>
    </row>
    <row r="39" spans="1:46" ht="24" hidden="1" x14ac:dyDescent="0.3">
      <c r="A39" s="45">
        <v>38</v>
      </c>
      <c r="B39" s="24" t="s">
        <v>129</v>
      </c>
      <c r="C39" s="24" t="s">
        <v>1</v>
      </c>
      <c r="D39" s="24" t="s">
        <v>162</v>
      </c>
      <c r="E39" s="24" t="s">
        <v>163</v>
      </c>
      <c r="F39" s="24" t="s">
        <v>164</v>
      </c>
      <c r="G39" s="24" t="s">
        <v>428</v>
      </c>
      <c r="H39" s="24" t="s">
        <v>60</v>
      </c>
      <c r="I39" s="24" t="s">
        <v>475</v>
      </c>
      <c r="J39" s="24" t="s">
        <v>62</v>
      </c>
      <c r="K39" s="24" t="str">
        <f>IF(ISBLANK(Base_Accidentes[[#This Row],[Tipo de Accidente]])," ",Base_Accidentes[[#This Row],[Tipo de Accidente]])</f>
        <v>Acc. No Incapacitante</v>
      </c>
      <c r="L39" s="49">
        <v>45336</v>
      </c>
      <c r="M39" s="47">
        <f>_xlfn.ISOWEEKNUM(Base_Accidentes[[#This Row],[Fecha
(XX/XX/2024)]])</f>
        <v>7</v>
      </c>
      <c r="N39" s="23">
        <f>DAY(Base_Accidentes[[#This Row],[Fecha
(XX/XX/2024)]])</f>
        <v>14</v>
      </c>
      <c r="O39" s="23">
        <f>MONTH(Base_Accidentes[[#This Row],[Fecha
(XX/XX/2024)]])</f>
        <v>2</v>
      </c>
      <c r="P39" s="23">
        <f>YEAR(Base_Accidentes[[#This Row],[Fecha
(XX/XX/2024)]])</f>
        <v>2024</v>
      </c>
      <c r="Q39" s="48">
        <v>0.51736111111111105</v>
      </c>
      <c r="R39" s="24" t="s">
        <v>63</v>
      </c>
      <c r="S39" s="24" t="s">
        <v>167</v>
      </c>
      <c r="T39" s="24" t="s">
        <v>168</v>
      </c>
      <c r="U39" s="24" t="s">
        <v>476</v>
      </c>
      <c r="V39" s="24" t="s">
        <v>477</v>
      </c>
      <c r="W39" s="24" t="s">
        <v>478</v>
      </c>
      <c r="X39" s="24" t="s">
        <v>68</v>
      </c>
      <c r="Y39" s="24">
        <v>29</v>
      </c>
      <c r="Z39" s="24" t="s">
        <v>172</v>
      </c>
      <c r="AA39" s="49">
        <v>45307</v>
      </c>
      <c r="AB39" s="24" t="s">
        <v>479</v>
      </c>
      <c r="AC39" s="24" t="s">
        <v>201</v>
      </c>
      <c r="AD39" s="24" t="s">
        <v>129</v>
      </c>
      <c r="AE39" s="24" t="s">
        <v>103</v>
      </c>
      <c r="AF39" s="24" t="s">
        <v>480</v>
      </c>
      <c r="AG39" s="24" t="s">
        <v>481</v>
      </c>
      <c r="AH39" s="24" t="s">
        <v>76</v>
      </c>
      <c r="AI39" s="24">
        <v>0</v>
      </c>
      <c r="AJ39" s="24">
        <v>0</v>
      </c>
      <c r="AK39" s="24">
        <v>0</v>
      </c>
      <c r="AL39" s="24" t="s">
        <v>78</v>
      </c>
      <c r="AM39" s="24">
        <v>1</v>
      </c>
      <c r="AN39" s="23" t="s">
        <v>401</v>
      </c>
      <c r="AO39" s="23" t="s">
        <v>482</v>
      </c>
      <c r="AP39" s="23" t="s">
        <v>92</v>
      </c>
      <c r="AQ39" s="27" t="str">
        <f>+Base_Accidentes[[#This Row],[Tipo de Accidente]]</f>
        <v>Acc. No Incapacitante</v>
      </c>
      <c r="AR39" s="23" cm="1">
        <f t="array" aca="1" ref="AR39" ca="1">+Base_Accidentes[Población]</f>
        <v>0</v>
      </c>
      <c r="AS39" s="23"/>
      <c r="AT39" s="23"/>
    </row>
    <row r="40" spans="1:46" ht="48" hidden="1" x14ac:dyDescent="0.3">
      <c r="A40" s="45">
        <v>39</v>
      </c>
      <c r="B40" s="24" t="s">
        <v>129</v>
      </c>
      <c r="C40" s="24" t="s">
        <v>1</v>
      </c>
      <c r="D40" s="24" t="s">
        <v>162</v>
      </c>
      <c r="E40" s="24" t="s">
        <v>163</v>
      </c>
      <c r="F40" s="24" t="s">
        <v>164</v>
      </c>
      <c r="G40" s="24" t="s">
        <v>428</v>
      </c>
      <c r="H40" s="24" t="s">
        <v>60</v>
      </c>
      <c r="I40" s="24" t="s">
        <v>475</v>
      </c>
      <c r="J40" s="24" t="s">
        <v>62</v>
      </c>
      <c r="K40" s="24" t="str">
        <f>IF(ISBLANK(Base_Accidentes[[#This Row],[Tipo de Accidente]])," ",Base_Accidentes[[#This Row],[Tipo de Accidente]])</f>
        <v>Acc. No Incapacitante</v>
      </c>
      <c r="L40" s="49">
        <v>45342</v>
      </c>
      <c r="M40" s="47">
        <f>_xlfn.ISOWEEKNUM(Base_Accidentes[[#This Row],[Fecha
(XX/XX/2024)]])</f>
        <v>8</v>
      </c>
      <c r="N40" s="23">
        <f>DAY(Base_Accidentes[[#This Row],[Fecha
(XX/XX/2024)]])</f>
        <v>20</v>
      </c>
      <c r="O40" s="23">
        <f>MONTH(Base_Accidentes[[#This Row],[Fecha
(XX/XX/2024)]])</f>
        <v>2</v>
      </c>
      <c r="P40" s="23">
        <f>YEAR(Base_Accidentes[[#This Row],[Fecha
(XX/XX/2024)]])</f>
        <v>2024</v>
      </c>
      <c r="Q40" s="48">
        <v>0.53125</v>
      </c>
      <c r="R40" s="24" t="s">
        <v>63</v>
      </c>
      <c r="S40" s="24" t="s">
        <v>167</v>
      </c>
      <c r="T40" s="24" t="s">
        <v>168</v>
      </c>
      <c r="U40" s="24" t="s">
        <v>483</v>
      </c>
      <c r="V40" s="24" t="s">
        <v>484</v>
      </c>
      <c r="W40" s="24" t="s">
        <v>485</v>
      </c>
      <c r="X40" s="24" t="s">
        <v>98</v>
      </c>
      <c r="Y40" s="24">
        <v>23</v>
      </c>
      <c r="Z40" s="24" t="s">
        <v>172</v>
      </c>
      <c r="AA40" s="49">
        <v>45341</v>
      </c>
      <c r="AB40" s="24" t="s">
        <v>486</v>
      </c>
      <c r="AC40" s="24" t="s">
        <v>71</v>
      </c>
      <c r="AD40" s="24" t="s">
        <v>487</v>
      </c>
      <c r="AE40" s="24" t="s">
        <v>142</v>
      </c>
      <c r="AF40" s="24" t="s">
        <v>488</v>
      </c>
      <c r="AG40" s="24" t="s">
        <v>321</v>
      </c>
      <c r="AH40" s="24" t="s">
        <v>145</v>
      </c>
      <c r="AI40" s="24">
        <v>0</v>
      </c>
      <c r="AJ40" s="24">
        <v>0</v>
      </c>
      <c r="AK40" s="24">
        <v>0</v>
      </c>
      <c r="AL40" s="24" t="s">
        <v>78</v>
      </c>
      <c r="AM40" s="24">
        <v>0</v>
      </c>
      <c r="AN40" s="23" t="s">
        <v>240</v>
      </c>
      <c r="AO40" s="23" t="s">
        <v>489</v>
      </c>
      <c r="AP40" s="23" t="s">
        <v>92</v>
      </c>
      <c r="AQ40" s="27" t="str">
        <f>+Base_Accidentes[[#This Row],[Tipo de Accidente]]</f>
        <v>Acc. No Incapacitante</v>
      </c>
      <c r="AR40" s="23" cm="1">
        <f t="array" aca="1" ref="AR40" ca="1">+Base_Accidentes[Población]</f>
        <v>0</v>
      </c>
      <c r="AS40" s="23"/>
      <c r="AT40" s="23"/>
    </row>
    <row r="41" spans="1:46" ht="36" hidden="1" x14ac:dyDescent="0.3">
      <c r="A41" s="45">
        <v>40</v>
      </c>
      <c r="B41" s="24" t="s">
        <v>129</v>
      </c>
      <c r="C41" s="24" t="s">
        <v>1</v>
      </c>
      <c r="D41" s="24" t="s">
        <v>162</v>
      </c>
      <c r="E41" s="24" t="s">
        <v>163</v>
      </c>
      <c r="F41" s="24" t="s">
        <v>164</v>
      </c>
      <c r="G41" s="24" t="s">
        <v>428</v>
      </c>
      <c r="H41" s="24" t="s">
        <v>60</v>
      </c>
      <c r="I41" s="24" t="s">
        <v>490</v>
      </c>
      <c r="J41" s="24" t="s">
        <v>62</v>
      </c>
      <c r="K41" s="24" t="str">
        <f>IF(ISBLANK(Base_Accidentes[[#This Row],[Tipo de Accidente]])," ",Base_Accidentes[[#This Row],[Tipo de Accidente]])</f>
        <v>Acc. No Incapacitante</v>
      </c>
      <c r="L41" s="49">
        <v>45344</v>
      </c>
      <c r="M41" s="47">
        <f>_xlfn.ISOWEEKNUM(Base_Accidentes[[#This Row],[Fecha
(XX/XX/2024)]])</f>
        <v>8</v>
      </c>
      <c r="N41" s="23">
        <f>DAY(Base_Accidentes[[#This Row],[Fecha
(XX/XX/2024)]])</f>
        <v>22</v>
      </c>
      <c r="O41" s="23">
        <f>MONTH(Base_Accidentes[[#This Row],[Fecha
(XX/XX/2024)]])</f>
        <v>2</v>
      </c>
      <c r="P41" s="23">
        <f>YEAR(Base_Accidentes[[#This Row],[Fecha
(XX/XX/2024)]])</f>
        <v>2024</v>
      </c>
      <c r="Q41" s="48">
        <v>0.93055555555555547</v>
      </c>
      <c r="R41" s="24" t="s">
        <v>63</v>
      </c>
      <c r="S41" s="24" t="s">
        <v>167</v>
      </c>
      <c r="T41" s="24" t="s">
        <v>168</v>
      </c>
      <c r="U41" s="24" t="s">
        <v>491</v>
      </c>
      <c r="V41" s="24" t="s">
        <v>492</v>
      </c>
      <c r="W41" s="24" t="s">
        <v>493</v>
      </c>
      <c r="X41" s="24" t="s">
        <v>68</v>
      </c>
      <c r="Y41" s="24">
        <v>25</v>
      </c>
      <c r="Z41" s="24" t="s">
        <v>172</v>
      </c>
      <c r="AA41" s="52">
        <v>45292</v>
      </c>
      <c r="AB41" s="24" t="s">
        <v>494</v>
      </c>
      <c r="AC41" s="24" t="s">
        <v>281</v>
      </c>
      <c r="AD41" s="24" t="s">
        <v>495</v>
      </c>
      <c r="AE41" s="24" t="s">
        <v>103</v>
      </c>
      <c r="AF41" s="24" t="s">
        <v>496</v>
      </c>
      <c r="AG41" s="24" t="s">
        <v>321</v>
      </c>
      <c r="AH41" s="24" t="s">
        <v>145</v>
      </c>
      <c r="AI41" s="24">
        <v>0</v>
      </c>
      <c r="AJ41" s="24">
        <v>0</v>
      </c>
      <c r="AK41" s="24">
        <v>0</v>
      </c>
      <c r="AL41" s="24" t="s">
        <v>78</v>
      </c>
      <c r="AM41" s="24"/>
      <c r="AN41" s="23"/>
      <c r="AO41" s="23" t="s">
        <v>497</v>
      </c>
      <c r="AP41" s="23" t="s">
        <v>92</v>
      </c>
      <c r="AQ41" s="27" t="str">
        <f>+Base_Accidentes[[#This Row],[Tipo de Accidente]]</f>
        <v>Acc. No Incapacitante</v>
      </c>
      <c r="AR41" s="23" cm="1">
        <f t="array" aca="1" ref="AR41" ca="1">+Base_Accidentes[Población]</f>
        <v>0</v>
      </c>
      <c r="AS41" s="23"/>
      <c r="AT41" s="23"/>
    </row>
    <row r="42" spans="1:46" ht="34.5" customHeight="1" x14ac:dyDescent="0.3">
      <c r="A42" s="45">
        <v>41</v>
      </c>
      <c r="B42" s="24" t="s">
        <v>129</v>
      </c>
      <c r="C42" s="24" t="s">
        <v>1</v>
      </c>
      <c r="D42" s="24" t="s">
        <v>56</v>
      </c>
      <c r="E42" s="24" t="s">
        <v>57</v>
      </c>
      <c r="F42" s="24" t="s">
        <v>323</v>
      </c>
      <c r="G42" s="24" t="s">
        <v>498</v>
      </c>
      <c r="H42" s="24" t="s">
        <v>324</v>
      </c>
      <c r="I42" s="24" t="s">
        <v>499</v>
      </c>
      <c r="J42" s="24" t="s">
        <v>62</v>
      </c>
      <c r="K42" s="24" t="str">
        <f>IF(ISBLANK(Base_Accidentes[[#This Row],[Tipo de Accidente]])," ",Base_Accidentes[[#This Row],[Tipo de Accidente]])</f>
        <v>Acc. No Incapacitante</v>
      </c>
      <c r="L42" s="49">
        <v>45346</v>
      </c>
      <c r="M42" s="47">
        <f>_xlfn.ISOWEEKNUM(Base_Accidentes[[#This Row],[Fecha
(XX/XX/2024)]])</f>
        <v>8</v>
      </c>
      <c r="N42" s="23">
        <f>DAY(Base_Accidentes[[#This Row],[Fecha
(XX/XX/2024)]])</f>
        <v>24</v>
      </c>
      <c r="O42" s="23">
        <f>MONTH(Base_Accidentes[[#This Row],[Fecha
(XX/XX/2024)]])</f>
        <v>2</v>
      </c>
      <c r="P42" s="23">
        <f>YEAR(Base_Accidentes[[#This Row],[Fecha
(XX/XX/2024)]])</f>
        <v>2024</v>
      </c>
      <c r="Q42" s="48">
        <v>0.41666666666666669</v>
      </c>
      <c r="R42" s="24" t="s">
        <v>63</v>
      </c>
      <c r="S42" s="24" t="s">
        <v>274</v>
      </c>
      <c r="T42" s="24" t="s">
        <v>275</v>
      </c>
      <c r="U42" s="24" t="s">
        <v>500</v>
      </c>
      <c r="V42" s="24" t="s">
        <v>501</v>
      </c>
      <c r="W42" s="24" t="s">
        <v>451</v>
      </c>
      <c r="X42" s="24" t="s">
        <v>68</v>
      </c>
      <c r="Y42" s="24">
        <v>44</v>
      </c>
      <c r="Z42" s="24" t="s">
        <v>366</v>
      </c>
      <c r="AA42" s="49" t="s">
        <v>129</v>
      </c>
      <c r="AB42" s="24" t="s">
        <v>502</v>
      </c>
      <c r="AC42" s="24" t="s">
        <v>234</v>
      </c>
      <c r="AD42" s="24" t="s">
        <v>248</v>
      </c>
      <c r="AE42" s="24" t="s">
        <v>249</v>
      </c>
      <c r="AF42" s="24" t="s">
        <v>503</v>
      </c>
      <c r="AG42" s="24" t="s">
        <v>504</v>
      </c>
      <c r="AH42" s="24" t="s">
        <v>505</v>
      </c>
      <c r="AI42" s="24">
        <v>0</v>
      </c>
      <c r="AJ42" s="24">
        <v>0</v>
      </c>
      <c r="AK42" s="24">
        <v>0</v>
      </c>
      <c r="AL42" s="24" t="s">
        <v>78</v>
      </c>
      <c r="AM42" s="24">
        <v>88</v>
      </c>
      <c r="AN42" s="23" t="s">
        <v>146</v>
      </c>
      <c r="AO42" s="23" t="s">
        <v>506</v>
      </c>
      <c r="AP42" s="23" t="s">
        <v>403</v>
      </c>
      <c r="AQ42" s="27" t="str">
        <f>+Base_Accidentes[[#This Row],[Tipo de Accidente]]</f>
        <v>Acc. No Incapacitante</v>
      </c>
      <c r="AR42" s="23" cm="1">
        <f t="array" aca="1" ref="AR42" ca="1">+Base_Accidentes[Población]</f>
        <v>0</v>
      </c>
      <c r="AS42" s="23"/>
      <c r="AT42" s="23"/>
    </row>
    <row r="43" spans="1:46" ht="34.5" customHeight="1" x14ac:dyDescent="0.3">
      <c r="A43" s="45">
        <v>42</v>
      </c>
      <c r="B43" s="24" t="s">
        <v>129</v>
      </c>
      <c r="C43" s="24" t="s">
        <v>1</v>
      </c>
      <c r="D43" s="24" t="s">
        <v>56</v>
      </c>
      <c r="E43" s="24" t="s">
        <v>57</v>
      </c>
      <c r="F43" s="24" t="s">
        <v>323</v>
      </c>
      <c r="G43" s="24" t="s">
        <v>498</v>
      </c>
      <c r="H43" s="24" t="s">
        <v>324</v>
      </c>
      <c r="I43" s="24" t="s">
        <v>507</v>
      </c>
      <c r="J43" s="24" t="s">
        <v>62</v>
      </c>
      <c r="K43" s="24" t="str">
        <f>IF(ISBLANK(Base_Accidentes[[#This Row],[Tipo de Accidente]])," ",Base_Accidentes[[#This Row],[Tipo de Accidente]])</f>
        <v>Acc. No Incapacitante</v>
      </c>
      <c r="L43" s="49">
        <v>45349</v>
      </c>
      <c r="M43" s="47">
        <f>_xlfn.ISOWEEKNUM(Base_Accidentes[[#This Row],[Fecha
(XX/XX/2024)]])</f>
        <v>9</v>
      </c>
      <c r="N43" s="23">
        <f>DAY(Base_Accidentes[[#This Row],[Fecha
(XX/XX/2024)]])</f>
        <v>27</v>
      </c>
      <c r="O43" s="23">
        <f>MONTH(Base_Accidentes[[#This Row],[Fecha
(XX/XX/2024)]])</f>
        <v>2</v>
      </c>
      <c r="P43" s="23">
        <f>YEAR(Base_Accidentes[[#This Row],[Fecha
(XX/XX/2024)]])</f>
        <v>2024</v>
      </c>
      <c r="Q43" s="48">
        <v>0.69444444444444442</v>
      </c>
      <c r="R43" s="24" t="s">
        <v>63</v>
      </c>
      <c r="S43" s="24" t="s">
        <v>274</v>
      </c>
      <c r="T43" s="24" t="s">
        <v>275</v>
      </c>
      <c r="U43" s="24" t="s">
        <v>508</v>
      </c>
      <c r="V43" s="24" t="s">
        <v>509</v>
      </c>
      <c r="W43" s="24" t="s">
        <v>510</v>
      </c>
      <c r="X43" s="24" t="s">
        <v>68</v>
      </c>
      <c r="Y43" s="24">
        <v>24</v>
      </c>
      <c r="Z43" s="24" t="s">
        <v>366</v>
      </c>
      <c r="AA43" s="49" t="s">
        <v>129</v>
      </c>
      <c r="AB43" s="24" t="s">
        <v>511</v>
      </c>
      <c r="AC43" s="24" t="s">
        <v>512</v>
      </c>
      <c r="AD43" s="24" t="s">
        <v>513</v>
      </c>
      <c r="AE43" s="24" t="s">
        <v>103</v>
      </c>
      <c r="AF43" s="24" t="s">
        <v>514</v>
      </c>
      <c r="AG43" s="24" t="s">
        <v>515</v>
      </c>
      <c r="AH43" s="24" t="s">
        <v>76</v>
      </c>
      <c r="AI43" s="24">
        <v>0</v>
      </c>
      <c r="AJ43" s="24">
        <v>0</v>
      </c>
      <c r="AK43" s="24">
        <v>0</v>
      </c>
      <c r="AL43" s="24" t="s">
        <v>78</v>
      </c>
      <c r="AM43" s="24">
        <v>33</v>
      </c>
      <c r="AN43" s="23" t="s">
        <v>190</v>
      </c>
      <c r="AO43" s="23" t="s">
        <v>402</v>
      </c>
      <c r="AP43" s="23" t="s">
        <v>403</v>
      </c>
      <c r="AQ43" s="27" t="str">
        <f>+Base_Accidentes[[#This Row],[Tipo de Accidente]]</f>
        <v>Acc. No Incapacitante</v>
      </c>
      <c r="AR43" s="23" cm="1">
        <f t="array" aca="1" ref="AR43" ca="1">+Base_Accidentes[Población]</f>
        <v>0</v>
      </c>
      <c r="AS43" s="23"/>
      <c r="AT43" s="23"/>
    </row>
    <row r="44" spans="1:46" ht="34.5" hidden="1" customHeight="1" x14ac:dyDescent="0.3">
      <c r="A44" s="45">
        <v>30</v>
      </c>
      <c r="B44" s="24" t="s">
        <v>516</v>
      </c>
      <c r="C44" s="24" t="s">
        <v>1</v>
      </c>
      <c r="D44" s="24" t="s">
        <v>162</v>
      </c>
      <c r="E44" s="24" t="s">
        <v>163</v>
      </c>
      <c r="F44" s="24" t="s">
        <v>164</v>
      </c>
      <c r="G44" s="24" t="s">
        <v>428</v>
      </c>
      <c r="H44" s="24" t="s">
        <v>60</v>
      </c>
      <c r="I44" s="24" t="s">
        <v>517</v>
      </c>
      <c r="J44" s="24" t="s">
        <v>113</v>
      </c>
      <c r="K44" s="24" t="str">
        <f>IF(ISBLANK(Base_Accidentes[[#This Row],[Tipo de Accidente]])," ",Base_Accidentes[[#This Row],[Tipo de Accidente]])</f>
        <v>Acc. Incapacitante</v>
      </c>
      <c r="L44" s="49">
        <v>45350</v>
      </c>
      <c r="M44" s="47">
        <f>_xlfn.ISOWEEKNUM(Base_Accidentes[[#This Row],[Fecha
(XX/XX/2024)]])</f>
        <v>9</v>
      </c>
      <c r="N44" s="23">
        <f>DAY(Base_Accidentes[[#This Row],[Fecha
(XX/XX/2024)]])</f>
        <v>28</v>
      </c>
      <c r="O44" s="23">
        <f>MONTH(Base_Accidentes[[#This Row],[Fecha
(XX/XX/2024)]])</f>
        <v>2</v>
      </c>
      <c r="P44" s="23">
        <f>YEAR(Base_Accidentes[[#This Row],[Fecha
(XX/XX/2024)]])</f>
        <v>2024</v>
      </c>
      <c r="Q44" s="48">
        <v>0.79236111111111107</v>
      </c>
      <c r="R44" s="24" t="s">
        <v>63</v>
      </c>
      <c r="S44" s="24" t="s">
        <v>167</v>
      </c>
      <c r="T44" s="24" t="s">
        <v>168</v>
      </c>
      <c r="U44" s="24" t="s">
        <v>518</v>
      </c>
      <c r="V44" s="24" t="s">
        <v>519</v>
      </c>
      <c r="W44" s="24" t="s">
        <v>520</v>
      </c>
      <c r="X44" s="24" t="s">
        <v>68</v>
      </c>
      <c r="Y44" s="24">
        <v>34</v>
      </c>
      <c r="Z44" s="24" t="s">
        <v>172</v>
      </c>
      <c r="AA44" s="49">
        <v>45147</v>
      </c>
      <c r="AB44" s="24" t="s">
        <v>521</v>
      </c>
      <c r="AC44" s="24" t="s">
        <v>101</v>
      </c>
      <c r="AD44" s="24" t="s">
        <v>522</v>
      </c>
      <c r="AE44" s="24" t="s">
        <v>103</v>
      </c>
      <c r="AF44" s="24" t="s">
        <v>523</v>
      </c>
      <c r="AG44" s="24" t="s">
        <v>524</v>
      </c>
      <c r="AH44" s="24" t="s">
        <v>224</v>
      </c>
      <c r="AI44" s="24">
        <v>31</v>
      </c>
      <c r="AJ44" s="24">
        <v>0</v>
      </c>
      <c r="AK44" s="24">
        <v>31</v>
      </c>
      <c r="AL44" s="24" t="s">
        <v>78</v>
      </c>
      <c r="AM44" s="24">
        <v>7</v>
      </c>
      <c r="AN44" s="23" t="s">
        <v>177</v>
      </c>
      <c r="AO44" s="23" t="s">
        <v>402</v>
      </c>
      <c r="AP44" s="23" t="s">
        <v>92</v>
      </c>
      <c r="AQ44" s="27" t="str">
        <f>+Base_Accidentes[[#This Row],[Tipo de Accidente]]</f>
        <v>Acc. Incapacitante</v>
      </c>
      <c r="AR44" s="23" cm="1">
        <f t="array" aca="1" ref="AR44" ca="1">+Base_Accidentes[Población]</f>
        <v>0</v>
      </c>
      <c r="AS44" s="23" t="s">
        <v>128</v>
      </c>
      <c r="AT44" s="23"/>
    </row>
    <row r="45" spans="1:46" ht="34.5" hidden="1" customHeight="1" x14ac:dyDescent="0.3">
      <c r="A45" s="45">
        <v>44</v>
      </c>
      <c r="B45" s="24" t="s">
        <v>129</v>
      </c>
      <c r="C45" s="24" t="s">
        <v>1</v>
      </c>
      <c r="D45" s="24" t="s">
        <v>356</v>
      </c>
      <c r="E45" s="24" t="s">
        <v>357</v>
      </c>
      <c r="F45" s="24" t="s">
        <v>323</v>
      </c>
      <c r="G45" s="24" t="s">
        <v>359</v>
      </c>
      <c r="H45" s="24" t="s">
        <v>360</v>
      </c>
      <c r="I45" s="24" t="s">
        <v>525</v>
      </c>
      <c r="J45" s="24" t="s">
        <v>62</v>
      </c>
      <c r="K45" s="24" t="str">
        <f>IF(ISBLANK(Base_Accidentes[[#This Row],[Tipo de Accidente]])," ",Base_Accidentes[[#This Row],[Tipo de Accidente]])</f>
        <v>Acc. No Incapacitante</v>
      </c>
      <c r="L45" s="49">
        <v>45343</v>
      </c>
      <c r="M45" s="47">
        <f>_xlfn.ISOWEEKNUM(Base_Accidentes[[#This Row],[Fecha
(XX/XX/2024)]])</f>
        <v>8</v>
      </c>
      <c r="N45" s="23">
        <f>DAY(Base_Accidentes[[#This Row],[Fecha
(XX/XX/2024)]])</f>
        <v>21</v>
      </c>
      <c r="O45" s="23">
        <f>MONTH(Base_Accidentes[[#This Row],[Fecha
(XX/XX/2024)]])</f>
        <v>2</v>
      </c>
      <c r="P45" s="23">
        <f>YEAR(Base_Accidentes[[#This Row],[Fecha
(XX/XX/2024)]])</f>
        <v>2024</v>
      </c>
      <c r="Q45" s="48">
        <v>0.39583333333333331</v>
      </c>
      <c r="R45" s="24" t="s">
        <v>63</v>
      </c>
      <c r="S45" s="24" t="s">
        <v>274</v>
      </c>
      <c r="T45" s="24" t="s">
        <v>362</v>
      </c>
      <c r="U45" s="24" t="s">
        <v>526</v>
      </c>
      <c r="V45" s="24" t="s">
        <v>527</v>
      </c>
      <c r="W45" s="24" t="s">
        <v>528</v>
      </c>
      <c r="X45" s="24" t="s">
        <v>98</v>
      </c>
      <c r="Y45" s="24">
        <v>35</v>
      </c>
      <c r="Z45" s="24" t="s">
        <v>366</v>
      </c>
      <c r="AA45" s="49" t="s">
        <v>129</v>
      </c>
      <c r="AB45" s="53" t="s">
        <v>529</v>
      </c>
      <c r="AC45" s="24" t="s">
        <v>234</v>
      </c>
      <c r="AD45" s="24" t="s">
        <v>141</v>
      </c>
      <c r="AE45" s="24" t="s">
        <v>142</v>
      </c>
      <c r="AF45" s="24" t="s">
        <v>530</v>
      </c>
      <c r="AG45" s="24" t="s">
        <v>531</v>
      </c>
      <c r="AH45" s="24" t="s">
        <v>532</v>
      </c>
      <c r="AI45" s="24">
        <v>0</v>
      </c>
      <c r="AJ45" s="24">
        <v>0</v>
      </c>
      <c r="AK45" s="24">
        <v>0</v>
      </c>
      <c r="AL45" s="24" t="s">
        <v>78</v>
      </c>
      <c r="AM45" s="24">
        <v>27</v>
      </c>
      <c r="AN45" s="23" t="s">
        <v>240</v>
      </c>
      <c r="AO45" s="23" t="s">
        <v>533</v>
      </c>
      <c r="AP45" s="23" t="s">
        <v>92</v>
      </c>
      <c r="AQ45" s="27" t="str">
        <f>+Base_Accidentes[[#This Row],[Tipo de Accidente]]</f>
        <v>Acc. No Incapacitante</v>
      </c>
      <c r="AR45" s="23" cm="1">
        <f t="array" aca="1" ref="AR45" ca="1">+Base_Accidentes[Población]</f>
        <v>0</v>
      </c>
      <c r="AS45" s="23"/>
      <c r="AT45" s="23"/>
    </row>
    <row r="46" spans="1:46" ht="34.5" hidden="1" customHeight="1" x14ac:dyDescent="0.3">
      <c r="A46" s="45">
        <v>45</v>
      </c>
      <c r="B46" s="24" t="s">
        <v>534</v>
      </c>
      <c r="C46" s="24" t="s">
        <v>1</v>
      </c>
      <c r="D46" s="24" t="s">
        <v>56</v>
      </c>
      <c r="E46" s="24" t="s">
        <v>57</v>
      </c>
      <c r="F46" s="24" t="s">
        <v>204</v>
      </c>
      <c r="G46" s="24" t="s">
        <v>205</v>
      </c>
      <c r="H46" s="24" t="s">
        <v>60</v>
      </c>
      <c r="I46" s="24" t="s">
        <v>535</v>
      </c>
      <c r="J46" s="24" t="s">
        <v>113</v>
      </c>
      <c r="K46" s="24" t="str">
        <f>IF(ISBLANK(Base_Accidentes[[#This Row],[Tipo de Accidente]])," ",Base_Accidentes[[#This Row],[Tipo de Accidente]])</f>
        <v>Acc. Incapacitante</v>
      </c>
      <c r="L46" s="49">
        <v>45367</v>
      </c>
      <c r="M46" s="47">
        <f>_xlfn.ISOWEEKNUM(Base_Accidentes[[#This Row],[Fecha
(XX/XX/2024)]])</f>
        <v>11</v>
      </c>
      <c r="N46" s="23">
        <f>DAY(Base_Accidentes[[#This Row],[Fecha
(XX/XX/2024)]])</f>
        <v>16</v>
      </c>
      <c r="O46" s="23">
        <f>MONTH(Base_Accidentes[[#This Row],[Fecha
(XX/XX/2024)]])</f>
        <v>3</v>
      </c>
      <c r="P46" s="23">
        <f>YEAR(Base_Accidentes[[#This Row],[Fecha
(XX/XX/2024)]])</f>
        <v>2024</v>
      </c>
      <c r="Q46" s="48">
        <v>6.9444444444444448E-2</v>
      </c>
      <c r="R46" s="24" t="s">
        <v>135</v>
      </c>
      <c r="S46" s="24" t="s">
        <v>10</v>
      </c>
      <c r="T46" s="24" t="s">
        <v>114</v>
      </c>
      <c r="U46" s="24" t="s">
        <v>536</v>
      </c>
      <c r="V46" s="24" t="s">
        <v>537</v>
      </c>
      <c r="W46" s="24" t="s">
        <v>538</v>
      </c>
      <c r="X46" s="24" t="s">
        <v>68</v>
      </c>
      <c r="Y46" s="24">
        <v>22</v>
      </c>
      <c r="Z46" s="24" t="s">
        <v>539</v>
      </c>
      <c r="AA46" s="49">
        <v>45358</v>
      </c>
      <c r="AB46" s="24" t="s">
        <v>540</v>
      </c>
      <c r="AC46" s="24" t="s">
        <v>71</v>
      </c>
      <c r="AD46" s="24" t="s">
        <v>541</v>
      </c>
      <c r="AE46" s="24" t="s">
        <v>103</v>
      </c>
      <c r="AF46" s="24" t="s">
        <v>542</v>
      </c>
      <c r="AG46" s="24" t="s">
        <v>543</v>
      </c>
      <c r="AH46" s="24" t="s">
        <v>145</v>
      </c>
      <c r="AI46" s="24">
        <v>7</v>
      </c>
      <c r="AJ46" s="24">
        <v>0</v>
      </c>
      <c r="AK46" s="24">
        <v>7</v>
      </c>
      <c r="AL46" s="24" t="s">
        <v>78</v>
      </c>
      <c r="AM46" s="24" t="s">
        <v>544</v>
      </c>
      <c r="AN46" s="23" t="s">
        <v>240</v>
      </c>
      <c r="AO46" s="24" t="s">
        <v>545</v>
      </c>
      <c r="AP46" s="23" t="s">
        <v>546</v>
      </c>
      <c r="AQ46" s="27" t="str">
        <f>+Base_Accidentes[[#This Row],[Tipo de Accidente]]</f>
        <v>Acc. Incapacitante</v>
      </c>
      <c r="AR46" s="23" cm="1">
        <f t="array" aca="1" ref="AR46" ca="1">+Base_Accidentes[Población]</f>
        <v>0</v>
      </c>
      <c r="AS46" s="23" t="s">
        <v>128</v>
      </c>
      <c r="AT46" s="23"/>
    </row>
    <row r="47" spans="1:46" ht="60" hidden="1" x14ac:dyDescent="0.3">
      <c r="A47" s="45">
        <v>46</v>
      </c>
      <c r="B47" s="24" t="s">
        <v>129</v>
      </c>
      <c r="C47" s="24" t="s">
        <v>1</v>
      </c>
      <c r="D47" s="24" t="s">
        <v>162</v>
      </c>
      <c r="E47" s="24" t="s">
        <v>163</v>
      </c>
      <c r="F47" s="24" t="s">
        <v>164</v>
      </c>
      <c r="G47" s="24" t="s">
        <v>428</v>
      </c>
      <c r="H47" s="24" t="s">
        <v>60</v>
      </c>
      <c r="I47" s="24" t="s">
        <v>438</v>
      </c>
      <c r="J47" s="24" t="s">
        <v>62</v>
      </c>
      <c r="K47" s="24" t="str">
        <f>IF(ISBLANK(Base_Accidentes[[#This Row],[Tipo de Accidente]])," ",Base_Accidentes[[#This Row],[Tipo de Accidente]])</f>
        <v>Acc. No Incapacitante</v>
      </c>
      <c r="L47" s="49">
        <v>45345</v>
      </c>
      <c r="M47" s="47">
        <f>_xlfn.ISOWEEKNUM(Base_Accidentes[[#This Row],[Fecha
(XX/XX/2024)]])</f>
        <v>8</v>
      </c>
      <c r="N47" s="23">
        <f>DAY(Base_Accidentes[[#This Row],[Fecha
(XX/XX/2024)]])</f>
        <v>23</v>
      </c>
      <c r="O47" s="23">
        <f>MONTH(Base_Accidentes[[#This Row],[Fecha
(XX/XX/2024)]])</f>
        <v>2</v>
      </c>
      <c r="P47" s="23">
        <f>YEAR(Base_Accidentes[[#This Row],[Fecha
(XX/XX/2024)]])</f>
        <v>2024</v>
      </c>
      <c r="Q47" s="48">
        <v>0.43333333333333335</v>
      </c>
      <c r="R47" s="24" t="s">
        <v>63</v>
      </c>
      <c r="S47" s="24" t="s">
        <v>167</v>
      </c>
      <c r="T47" s="24" t="s">
        <v>168</v>
      </c>
      <c r="U47" s="24" t="s">
        <v>462</v>
      </c>
      <c r="V47" s="24" t="s">
        <v>463</v>
      </c>
      <c r="W47" s="24" t="s">
        <v>464</v>
      </c>
      <c r="X47" s="24" t="s">
        <v>68</v>
      </c>
      <c r="Y47" s="24">
        <v>39</v>
      </c>
      <c r="Z47" s="24" t="s">
        <v>172</v>
      </c>
      <c r="AA47" s="49">
        <v>45300</v>
      </c>
      <c r="AB47" s="24" t="s">
        <v>547</v>
      </c>
      <c r="AC47" s="24" t="s">
        <v>281</v>
      </c>
      <c r="AD47" s="24" t="s">
        <v>495</v>
      </c>
      <c r="AE47" s="24" t="s">
        <v>103</v>
      </c>
      <c r="AF47" s="24" t="s">
        <v>548</v>
      </c>
      <c r="AG47" s="24" t="s">
        <v>321</v>
      </c>
      <c r="AH47" s="24" t="s">
        <v>145</v>
      </c>
      <c r="AI47" s="24">
        <v>0</v>
      </c>
      <c r="AJ47" s="24">
        <v>0</v>
      </c>
      <c r="AK47" s="24">
        <v>0</v>
      </c>
      <c r="AL47" s="24" t="s">
        <v>78</v>
      </c>
      <c r="AM47" s="24">
        <v>1</v>
      </c>
      <c r="AN47" s="23" t="s">
        <v>240</v>
      </c>
      <c r="AO47" s="23" t="s">
        <v>549</v>
      </c>
      <c r="AP47" s="23" t="s">
        <v>92</v>
      </c>
      <c r="AQ47" s="27" t="str">
        <f>+Base_Accidentes[[#This Row],[Tipo de Accidente]]</f>
        <v>Acc. No Incapacitante</v>
      </c>
      <c r="AR47" s="23" cm="1">
        <f t="array" aca="1" ref="AR47" ca="1">+Base_Accidentes[Población]</f>
        <v>0</v>
      </c>
      <c r="AS47" s="23"/>
      <c r="AT47" s="23"/>
    </row>
    <row r="48" spans="1:46" ht="24" hidden="1" x14ac:dyDescent="0.3">
      <c r="A48" s="45">
        <v>47</v>
      </c>
      <c r="B48" s="24" t="s">
        <v>129</v>
      </c>
      <c r="C48" s="24" t="s">
        <v>1</v>
      </c>
      <c r="D48" s="24" t="s">
        <v>162</v>
      </c>
      <c r="E48" s="24" t="s">
        <v>163</v>
      </c>
      <c r="F48" s="24" t="s">
        <v>164</v>
      </c>
      <c r="G48" s="24" t="s">
        <v>428</v>
      </c>
      <c r="H48" s="24" t="s">
        <v>60</v>
      </c>
      <c r="I48" s="24" t="s">
        <v>438</v>
      </c>
      <c r="J48" s="24" t="s">
        <v>62</v>
      </c>
      <c r="K48" s="24" t="str">
        <f>IF(ISBLANK(Base_Accidentes[[#This Row],[Tipo de Accidente]])," ",Base_Accidentes[[#This Row],[Tipo de Accidente]])</f>
        <v>Acc. No Incapacitante</v>
      </c>
      <c r="L48" s="49">
        <v>45358</v>
      </c>
      <c r="M48" s="47">
        <f>_xlfn.ISOWEEKNUM(Base_Accidentes[[#This Row],[Fecha
(XX/XX/2024)]])</f>
        <v>10</v>
      </c>
      <c r="N48" s="23">
        <f>DAY(Base_Accidentes[[#This Row],[Fecha
(XX/XX/2024)]])</f>
        <v>7</v>
      </c>
      <c r="O48" s="23">
        <f>MONTH(Base_Accidentes[[#This Row],[Fecha
(XX/XX/2024)]])</f>
        <v>3</v>
      </c>
      <c r="P48" s="23">
        <f>YEAR(Base_Accidentes[[#This Row],[Fecha
(XX/XX/2024)]])</f>
        <v>2024</v>
      </c>
      <c r="Q48" s="48">
        <v>0.16527777777777777</v>
      </c>
      <c r="R48" s="24" t="s">
        <v>135</v>
      </c>
      <c r="S48" s="24" t="s">
        <v>167</v>
      </c>
      <c r="T48" s="24" t="s">
        <v>168</v>
      </c>
      <c r="U48" s="24" t="s">
        <v>550</v>
      </c>
      <c r="V48" s="24" t="s">
        <v>551</v>
      </c>
      <c r="W48" s="24" t="s">
        <v>552</v>
      </c>
      <c r="X48" s="24" t="s">
        <v>68</v>
      </c>
      <c r="Y48" s="24">
        <v>27</v>
      </c>
      <c r="Z48" s="24" t="s">
        <v>172</v>
      </c>
      <c r="AA48" s="49">
        <v>45302</v>
      </c>
      <c r="AB48" s="24" t="s">
        <v>553</v>
      </c>
      <c r="AC48" s="24" t="s">
        <v>71</v>
      </c>
      <c r="AD48" s="24" t="s">
        <v>495</v>
      </c>
      <c r="AE48" s="24" t="s">
        <v>103</v>
      </c>
      <c r="AF48" s="24" t="s">
        <v>554</v>
      </c>
      <c r="AG48" s="24" t="s">
        <v>555</v>
      </c>
      <c r="AH48" s="24" t="s">
        <v>145</v>
      </c>
      <c r="AI48" s="24">
        <v>0</v>
      </c>
      <c r="AJ48" s="24">
        <v>0</v>
      </c>
      <c r="AK48" s="24">
        <v>0</v>
      </c>
      <c r="AL48" s="24" t="s">
        <v>78</v>
      </c>
      <c r="AM48" s="24">
        <v>2</v>
      </c>
      <c r="AN48" s="23" t="s">
        <v>401</v>
      </c>
      <c r="AO48" s="23" t="s">
        <v>556</v>
      </c>
      <c r="AP48" s="23" t="s">
        <v>92</v>
      </c>
      <c r="AQ48" s="27" t="str">
        <f>+Base_Accidentes[[#This Row],[Tipo de Accidente]]</f>
        <v>Acc. No Incapacitante</v>
      </c>
      <c r="AR48" s="23" cm="1">
        <f t="array" aca="1" ref="AR48" ca="1">+Base_Accidentes[Población]</f>
        <v>0</v>
      </c>
      <c r="AS48" s="23"/>
      <c r="AT48" s="23"/>
    </row>
    <row r="49" spans="1:46" ht="48" hidden="1" customHeight="1" x14ac:dyDescent="0.3">
      <c r="A49" s="45">
        <v>48</v>
      </c>
      <c r="B49" s="24" t="s">
        <v>129</v>
      </c>
      <c r="C49" s="24" t="s">
        <v>1</v>
      </c>
      <c r="D49" s="24" t="s">
        <v>162</v>
      </c>
      <c r="E49" s="24" t="s">
        <v>163</v>
      </c>
      <c r="F49" s="24" t="s">
        <v>164</v>
      </c>
      <c r="G49" s="24" t="s">
        <v>428</v>
      </c>
      <c r="H49" s="24" t="s">
        <v>60</v>
      </c>
      <c r="I49" s="24" t="s">
        <v>438</v>
      </c>
      <c r="J49" s="24" t="s">
        <v>62</v>
      </c>
      <c r="K49" s="24" t="str">
        <f>IF(ISBLANK(Base_Accidentes[[#This Row],[Tipo de Accidente]])," ",Base_Accidentes[[#This Row],[Tipo de Accidente]])</f>
        <v>Acc. No Incapacitante</v>
      </c>
      <c r="L49" s="49">
        <v>45358</v>
      </c>
      <c r="M49" s="47">
        <f>_xlfn.ISOWEEKNUM(Base_Accidentes[[#This Row],[Fecha
(XX/XX/2024)]])</f>
        <v>10</v>
      </c>
      <c r="N49" s="23">
        <f>DAY(Base_Accidentes[[#This Row],[Fecha
(XX/XX/2024)]])</f>
        <v>7</v>
      </c>
      <c r="O49" s="23">
        <f>MONTH(Base_Accidentes[[#This Row],[Fecha
(XX/XX/2024)]])</f>
        <v>3</v>
      </c>
      <c r="P49" s="23">
        <f>YEAR(Base_Accidentes[[#This Row],[Fecha
(XX/XX/2024)]])</f>
        <v>2024</v>
      </c>
      <c r="Q49" s="48">
        <v>0.3125</v>
      </c>
      <c r="R49" s="24" t="s">
        <v>63</v>
      </c>
      <c r="S49" s="24" t="s">
        <v>167</v>
      </c>
      <c r="T49" s="24" t="s">
        <v>168</v>
      </c>
      <c r="U49" s="24" t="s">
        <v>557</v>
      </c>
      <c r="V49" s="24" t="s">
        <v>558</v>
      </c>
      <c r="W49" s="24" t="s">
        <v>559</v>
      </c>
      <c r="X49" s="24" t="s">
        <v>68</v>
      </c>
      <c r="Y49" s="24">
        <v>26</v>
      </c>
      <c r="Z49" s="24" t="s">
        <v>172</v>
      </c>
      <c r="AA49" s="49">
        <v>45341</v>
      </c>
      <c r="AB49" s="24" t="s">
        <v>560</v>
      </c>
      <c r="AC49" s="24" t="s">
        <v>234</v>
      </c>
      <c r="AD49" s="24" t="s">
        <v>561</v>
      </c>
      <c r="AE49" s="24" t="s">
        <v>235</v>
      </c>
      <c r="AF49" s="24" t="s">
        <v>548</v>
      </c>
      <c r="AG49" s="24" t="s">
        <v>562</v>
      </c>
      <c r="AH49" s="24" t="s">
        <v>532</v>
      </c>
      <c r="AI49" s="24">
        <v>0</v>
      </c>
      <c r="AJ49" s="24">
        <v>0</v>
      </c>
      <c r="AK49" s="24">
        <v>0</v>
      </c>
      <c r="AL49" s="24" t="s">
        <v>78</v>
      </c>
      <c r="AM49" s="24">
        <v>1</v>
      </c>
      <c r="AN49" s="23" t="s">
        <v>240</v>
      </c>
      <c r="AO49" s="23" t="s">
        <v>563</v>
      </c>
      <c r="AP49" s="23" t="s">
        <v>92</v>
      </c>
      <c r="AQ49" s="27" t="str">
        <f>+Base_Accidentes[[#This Row],[Tipo de Accidente]]</f>
        <v>Acc. No Incapacitante</v>
      </c>
      <c r="AR49" s="23" cm="1">
        <f t="array" aca="1" ref="AR49" ca="1">+Base_Accidentes[Población]</f>
        <v>0</v>
      </c>
      <c r="AS49" s="23"/>
      <c r="AT49" s="23"/>
    </row>
    <row r="50" spans="1:46" ht="36" hidden="1" x14ac:dyDescent="0.3">
      <c r="A50" s="45">
        <v>49</v>
      </c>
      <c r="B50" s="24" t="s">
        <v>129</v>
      </c>
      <c r="C50" s="24" t="s">
        <v>1</v>
      </c>
      <c r="D50" s="24" t="s">
        <v>162</v>
      </c>
      <c r="E50" s="24" t="s">
        <v>163</v>
      </c>
      <c r="F50" s="24" t="s">
        <v>164</v>
      </c>
      <c r="G50" s="24" t="s">
        <v>428</v>
      </c>
      <c r="H50" s="24" t="s">
        <v>60</v>
      </c>
      <c r="I50" s="24" t="s">
        <v>438</v>
      </c>
      <c r="J50" s="24" t="s">
        <v>62</v>
      </c>
      <c r="K50" s="24" t="str">
        <f>IF(ISBLANK(Base_Accidentes[[#This Row],[Tipo de Accidente]])," ",Base_Accidentes[[#This Row],[Tipo de Accidente]])</f>
        <v>Acc. No Incapacitante</v>
      </c>
      <c r="L50" s="49">
        <v>45362</v>
      </c>
      <c r="M50" s="47">
        <f>_xlfn.ISOWEEKNUM(Base_Accidentes[[#This Row],[Fecha
(XX/XX/2024)]])</f>
        <v>11</v>
      </c>
      <c r="N50" s="23">
        <f>DAY(Base_Accidentes[[#This Row],[Fecha
(XX/XX/2024)]])</f>
        <v>11</v>
      </c>
      <c r="O50" s="23">
        <f>MONTH(Base_Accidentes[[#This Row],[Fecha
(XX/XX/2024)]])</f>
        <v>3</v>
      </c>
      <c r="P50" s="23">
        <f>YEAR(Base_Accidentes[[#This Row],[Fecha
(XX/XX/2024)]])</f>
        <v>2024</v>
      </c>
      <c r="Q50" s="48">
        <v>0.84375</v>
      </c>
      <c r="R50" s="24" t="s">
        <v>135</v>
      </c>
      <c r="S50" s="24" t="s">
        <v>167</v>
      </c>
      <c r="T50" s="24" t="s">
        <v>168</v>
      </c>
      <c r="U50" s="24" t="s">
        <v>564</v>
      </c>
      <c r="V50" s="24" t="s">
        <v>565</v>
      </c>
      <c r="W50" s="24" t="s">
        <v>566</v>
      </c>
      <c r="X50" s="24" t="s">
        <v>68</v>
      </c>
      <c r="Y50" s="24">
        <v>22</v>
      </c>
      <c r="Z50" s="24" t="s">
        <v>172</v>
      </c>
      <c r="AA50" s="49">
        <v>45062</v>
      </c>
      <c r="AB50" s="24" t="s">
        <v>567</v>
      </c>
      <c r="AC50" s="24" t="s">
        <v>101</v>
      </c>
      <c r="AD50" s="24" t="s">
        <v>568</v>
      </c>
      <c r="AE50" s="24" t="s">
        <v>103</v>
      </c>
      <c r="AF50" s="24" t="s">
        <v>569</v>
      </c>
      <c r="AG50" s="24" t="s">
        <v>555</v>
      </c>
      <c r="AH50" s="24" t="s">
        <v>145</v>
      </c>
      <c r="AI50" s="24">
        <v>0</v>
      </c>
      <c r="AJ50" s="24">
        <v>0</v>
      </c>
      <c r="AK50" s="24">
        <v>0</v>
      </c>
      <c r="AL50" s="24" t="s">
        <v>78</v>
      </c>
      <c r="AM50" s="24">
        <v>10</v>
      </c>
      <c r="AN50" s="23" t="s">
        <v>177</v>
      </c>
      <c r="AO50" s="23" t="s">
        <v>570</v>
      </c>
      <c r="AP50" s="23" t="s">
        <v>92</v>
      </c>
      <c r="AQ50" s="27" t="str">
        <f>+Base_Accidentes[[#This Row],[Tipo de Accidente]]</f>
        <v>Acc. No Incapacitante</v>
      </c>
      <c r="AR50" s="23" cm="1">
        <f t="array" aca="1" ref="AR50" ca="1">+Base_Accidentes[Población]</f>
        <v>0</v>
      </c>
      <c r="AS50" s="23"/>
      <c r="AT50" s="23"/>
    </row>
    <row r="51" spans="1:46" ht="48" hidden="1" x14ac:dyDescent="0.3">
      <c r="A51" s="45">
        <v>50</v>
      </c>
      <c r="B51" s="24" t="s">
        <v>129</v>
      </c>
      <c r="C51" s="24" t="s">
        <v>1</v>
      </c>
      <c r="D51" s="24" t="s">
        <v>162</v>
      </c>
      <c r="E51" s="24" t="s">
        <v>163</v>
      </c>
      <c r="F51" s="24" t="s">
        <v>164</v>
      </c>
      <c r="G51" s="24" t="s">
        <v>428</v>
      </c>
      <c r="H51" s="24" t="s">
        <v>60</v>
      </c>
      <c r="I51" s="24" t="s">
        <v>438</v>
      </c>
      <c r="J51" s="24" t="s">
        <v>62</v>
      </c>
      <c r="K51" s="24" t="str">
        <f>IF(ISBLANK(Base_Accidentes[[#This Row],[Tipo de Accidente]])," ",Base_Accidentes[[#This Row],[Tipo de Accidente]])</f>
        <v>Acc. No Incapacitante</v>
      </c>
      <c r="L51" s="49">
        <v>45364</v>
      </c>
      <c r="M51" s="47">
        <f>_xlfn.ISOWEEKNUM(Base_Accidentes[[#This Row],[Fecha
(XX/XX/2024)]])</f>
        <v>11</v>
      </c>
      <c r="N51" s="23">
        <f>DAY(Base_Accidentes[[#This Row],[Fecha
(XX/XX/2024)]])</f>
        <v>13</v>
      </c>
      <c r="O51" s="23">
        <f>MONTH(Base_Accidentes[[#This Row],[Fecha
(XX/XX/2024)]])</f>
        <v>3</v>
      </c>
      <c r="P51" s="23">
        <f>YEAR(Base_Accidentes[[#This Row],[Fecha
(XX/XX/2024)]])</f>
        <v>2024</v>
      </c>
      <c r="Q51" s="48">
        <v>0.18263888888888888</v>
      </c>
      <c r="R51" s="24" t="s">
        <v>135</v>
      </c>
      <c r="S51" s="24" t="s">
        <v>167</v>
      </c>
      <c r="T51" s="24" t="s">
        <v>168</v>
      </c>
      <c r="U51" s="24" t="s">
        <v>571</v>
      </c>
      <c r="V51" s="24" t="s">
        <v>572</v>
      </c>
      <c r="W51" s="24" t="s">
        <v>573</v>
      </c>
      <c r="X51" s="24" t="s">
        <v>68</v>
      </c>
      <c r="Y51" s="24">
        <v>29</v>
      </c>
      <c r="Z51" s="24" t="s">
        <v>172</v>
      </c>
      <c r="AA51" s="49">
        <v>45189</v>
      </c>
      <c r="AB51" s="24" t="s">
        <v>574</v>
      </c>
      <c r="AC51" s="24" t="s">
        <v>575</v>
      </c>
      <c r="AD51" s="24" t="s">
        <v>248</v>
      </c>
      <c r="AE51" s="24" t="s">
        <v>249</v>
      </c>
      <c r="AF51" s="24" t="s">
        <v>576</v>
      </c>
      <c r="AG51" s="24" t="s">
        <v>577</v>
      </c>
      <c r="AH51" s="24" t="s">
        <v>294</v>
      </c>
      <c r="AI51" s="24">
        <v>0</v>
      </c>
      <c r="AJ51" s="24">
        <v>0</v>
      </c>
      <c r="AK51" s="24">
        <v>0</v>
      </c>
      <c r="AL51" s="24" t="s">
        <v>78</v>
      </c>
      <c r="AM51" s="24">
        <v>5</v>
      </c>
      <c r="AN51" s="23" t="s">
        <v>105</v>
      </c>
      <c r="AO51" s="23" t="s">
        <v>563</v>
      </c>
      <c r="AP51" s="23" t="s">
        <v>92</v>
      </c>
      <c r="AQ51" s="27" t="str">
        <f>+Base_Accidentes[[#This Row],[Tipo de Accidente]]</f>
        <v>Acc. No Incapacitante</v>
      </c>
      <c r="AR51" s="23" cm="1">
        <f t="array" aca="1" ref="AR51" ca="1">+Base_Accidentes[Población]</f>
        <v>0</v>
      </c>
      <c r="AS51" s="23"/>
      <c r="AT51" s="23"/>
    </row>
    <row r="52" spans="1:46" ht="36" hidden="1" x14ac:dyDescent="0.3">
      <c r="A52" s="45">
        <v>51</v>
      </c>
      <c r="B52" s="24" t="s">
        <v>578</v>
      </c>
      <c r="C52" s="24" t="s">
        <v>1</v>
      </c>
      <c r="D52" s="24" t="s">
        <v>162</v>
      </c>
      <c r="E52" s="24" t="s">
        <v>163</v>
      </c>
      <c r="F52" s="24" t="s">
        <v>164</v>
      </c>
      <c r="G52" s="24" t="s">
        <v>428</v>
      </c>
      <c r="H52" s="24" t="s">
        <v>60</v>
      </c>
      <c r="I52" s="24" t="s">
        <v>438</v>
      </c>
      <c r="J52" s="24" t="s">
        <v>113</v>
      </c>
      <c r="K52" s="24" t="str">
        <f>IF(ISBLANK(Base_Accidentes[[#This Row],[Tipo de Accidente]])," ",Base_Accidentes[[#This Row],[Tipo de Accidente]])</f>
        <v>Acc. Incapacitante</v>
      </c>
      <c r="L52" s="49">
        <v>45366</v>
      </c>
      <c r="M52" s="47">
        <f>_xlfn.ISOWEEKNUM(Base_Accidentes[[#This Row],[Fecha
(XX/XX/2024)]])</f>
        <v>11</v>
      </c>
      <c r="N52" s="23">
        <f>DAY(Base_Accidentes[[#This Row],[Fecha
(XX/XX/2024)]])</f>
        <v>15</v>
      </c>
      <c r="O52" s="23">
        <f>MONTH(Base_Accidentes[[#This Row],[Fecha
(XX/XX/2024)]])</f>
        <v>3</v>
      </c>
      <c r="P52" s="23">
        <f>YEAR(Base_Accidentes[[#This Row],[Fecha
(XX/XX/2024)]])</f>
        <v>2024</v>
      </c>
      <c r="Q52" s="48">
        <v>0.40972222222222221</v>
      </c>
      <c r="R52" s="24" t="s">
        <v>63</v>
      </c>
      <c r="S52" s="24" t="s">
        <v>167</v>
      </c>
      <c r="T52" s="24" t="s">
        <v>168</v>
      </c>
      <c r="U52" s="24" t="s">
        <v>462</v>
      </c>
      <c r="V52" s="24" t="s">
        <v>463</v>
      </c>
      <c r="W52" s="24" t="s">
        <v>464</v>
      </c>
      <c r="X52" s="24" t="s">
        <v>68</v>
      </c>
      <c r="Y52" s="24">
        <v>32</v>
      </c>
      <c r="Z52" s="24" t="s">
        <v>172</v>
      </c>
      <c r="AA52" s="49">
        <v>45300</v>
      </c>
      <c r="AB52" s="24" t="s">
        <v>579</v>
      </c>
      <c r="AC52" s="24" t="s">
        <v>120</v>
      </c>
      <c r="AD52" s="24" t="s">
        <v>580</v>
      </c>
      <c r="AE52" s="24" t="s">
        <v>122</v>
      </c>
      <c r="AF52" s="24" t="s">
        <v>581</v>
      </c>
      <c r="AG52" s="24" t="s">
        <v>582</v>
      </c>
      <c r="AH52" s="24" t="s">
        <v>145</v>
      </c>
      <c r="AI52" s="24">
        <v>19</v>
      </c>
      <c r="AJ52" s="24">
        <v>0</v>
      </c>
      <c r="AK52" s="24">
        <v>19</v>
      </c>
      <c r="AL52" s="24" t="s">
        <v>78</v>
      </c>
      <c r="AM52" s="24">
        <v>2</v>
      </c>
      <c r="AN52" s="23" t="s">
        <v>401</v>
      </c>
      <c r="AO52" s="23" t="s">
        <v>583</v>
      </c>
      <c r="AP52" s="23" t="s">
        <v>92</v>
      </c>
      <c r="AQ52" s="27" t="str">
        <f>+Base_Accidentes[[#This Row],[Tipo de Accidente]]</f>
        <v>Acc. Incapacitante</v>
      </c>
      <c r="AR52" s="23" cm="1">
        <f t="array" aca="1" ref="AR52" ca="1">+Base_Accidentes[Población]</f>
        <v>0</v>
      </c>
      <c r="AS52" s="23" t="s">
        <v>128</v>
      </c>
      <c r="AT52" s="23"/>
    </row>
    <row r="53" spans="1:46" ht="34.5" hidden="1" customHeight="1" x14ac:dyDescent="0.3">
      <c r="A53" s="45">
        <v>55</v>
      </c>
      <c r="B53" s="24" t="s">
        <v>584</v>
      </c>
      <c r="C53" s="24" t="s">
        <v>1</v>
      </c>
      <c r="D53" s="24" t="s">
        <v>162</v>
      </c>
      <c r="E53" s="24" t="s">
        <v>227</v>
      </c>
      <c r="F53" s="24" t="s">
        <v>164</v>
      </c>
      <c r="G53" s="24" t="s">
        <v>228</v>
      </c>
      <c r="H53" s="24" t="s">
        <v>585</v>
      </c>
      <c r="I53" s="24" t="s">
        <v>586</v>
      </c>
      <c r="J53" s="24" t="s">
        <v>113</v>
      </c>
      <c r="K53" s="24" t="str">
        <f>IF(ISBLANK(Base_Accidentes[[#This Row],[Tipo de Accidente]])," ",Base_Accidentes[[#This Row],[Tipo de Accidente]])</f>
        <v>Acc. Incapacitante</v>
      </c>
      <c r="L53" s="49">
        <v>45372</v>
      </c>
      <c r="M53" s="47">
        <f>_xlfn.ISOWEEKNUM(Base_Accidentes[[#This Row],[Fecha
(XX/XX/2024)]])</f>
        <v>12</v>
      </c>
      <c r="N53" s="23">
        <f>DAY(Base_Accidentes[[#This Row],[Fecha
(XX/XX/2024)]])</f>
        <v>21</v>
      </c>
      <c r="O53" s="23">
        <f>MONTH(Base_Accidentes[[#This Row],[Fecha
(XX/XX/2024)]])</f>
        <v>3</v>
      </c>
      <c r="P53" s="23">
        <f>YEAR(Base_Accidentes[[#This Row],[Fecha
(XX/XX/2024)]])</f>
        <v>2024</v>
      </c>
      <c r="Q53" s="48">
        <v>0.36458333333333331</v>
      </c>
      <c r="R53" s="24" t="s">
        <v>587</v>
      </c>
      <c r="S53" s="24" t="s">
        <v>167</v>
      </c>
      <c r="T53" s="24" t="s">
        <v>588</v>
      </c>
      <c r="U53" s="24" t="s">
        <v>589</v>
      </c>
      <c r="V53" s="24" t="s">
        <v>590</v>
      </c>
      <c r="W53" s="24" t="s">
        <v>591</v>
      </c>
      <c r="X53" s="24" t="s">
        <v>98</v>
      </c>
      <c r="Y53" s="24">
        <v>35</v>
      </c>
      <c r="Z53" s="24" t="s">
        <v>592</v>
      </c>
      <c r="AA53" s="49">
        <v>43838</v>
      </c>
      <c r="AB53" s="24" t="s">
        <v>593</v>
      </c>
      <c r="AC53" s="24" t="s">
        <v>101</v>
      </c>
      <c r="AD53" s="24" t="s">
        <v>594</v>
      </c>
      <c r="AE53" s="24" t="s">
        <v>435</v>
      </c>
      <c r="AF53" s="24" t="s">
        <v>595</v>
      </c>
      <c r="AG53" s="24" t="s">
        <v>596</v>
      </c>
      <c r="AH53" s="24" t="s">
        <v>224</v>
      </c>
      <c r="AI53" s="24">
        <v>180</v>
      </c>
      <c r="AJ53" s="24">
        <v>0</v>
      </c>
      <c r="AK53" s="24">
        <v>180</v>
      </c>
      <c r="AL53" s="24" t="s">
        <v>354</v>
      </c>
      <c r="AM53" s="24">
        <v>48</v>
      </c>
      <c r="AN53" s="23" t="s">
        <v>190</v>
      </c>
      <c r="AO53" s="23" t="s">
        <v>597</v>
      </c>
      <c r="AP53" s="23" t="s">
        <v>598</v>
      </c>
      <c r="AQ53" s="66" t="str">
        <f>+Base_Accidentes[[#This Row],[Tipo de Accidente]]</f>
        <v>Acc. Incapacitante</v>
      </c>
      <c r="AR53" s="23" cm="1">
        <f t="array" aca="1" ref="AR53" ca="1">+Base_Accidentes[Población]</f>
        <v>0</v>
      </c>
      <c r="AS53" s="23" t="s">
        <v>128</v>
      </c>
      <c r="AT53" s="23" t="s">
        <v>128</v>
      </c>
    </row>
    <row r="54" spans="1:46" ht="72" hidden="1" x14ac:dyDescent="0.3">
      <c r="A54" s="45">
        <v>53</v>
      </c>
      <c r="B54" s="24" t="s">
        <v>129</v>
      </c>
      <c r="C54" s="24" t="s">
        <v>1</v>
      </c>
      <c r="D54" s="24" t="s">
        <v>162</v>
      </c>
      <c r="E54" s="24" t="s">
        <v>163</v>
      </c>
      <c r="F54" s="24" t="s">
        <v>164</v>
      </c>
      <c r="G54" s="24" t="s">
        <v>428</v>
      </c>
      <c r="H54" s="24" t="s">
        <v>60</v>
      </c>
      <c r="I54" s="24" t="s">
        <v>438</v>
      </c>
      <c r="J54" s="24" t="s">
        <v>62</v>
      </c>
      <c r="K54" s="24" t="str">
        <f>IF(ISBLANK(Base_Accidentes[[#This Row],[Tipo de Accidente]])," ",Base_Accidentes[[#This Row],[Tipo de Accidente]])</f>
        <v>Acc. No Incapacitante</v>
      </c>
      <c r="L54" s="49">
        <v>45364</v>
      </c>
      <c r="M54" s="47">
        <f>_xlfn.ISOWEEKNUM(Base_Accidentes[[#This Row],[Fecha
(XX/XX/2024)]])</f>
        <v>11</v>
      </c>
      <c r="N54" s="23">
        <f>DAY(Base_Accidentes[[#This Row],[Fecha
(XX/XX/2024)]])</f>
        <v>13</v>
      </c>
      <c r="O54" s="23">
        <f>MONTH(Base_Accidentes[[#This Row],[Fecha
(XX/XX/2024)]])</f>
        <v>3</v>
      </c>
      <c r="P54" s="23">
        <f>YEAR(Base_Accidentes[[#This Row],[Fecha
(XX/XX/2024)]])</f>
        <v>2024</v>
      </c>
      <c r="Q54" s="48">
        <v>0.67708333333333337</v>
      </c>
      <c r="R54" s="24" t="s">
        <v>63</v>
      </c>
      <c r="S54" s="24" t="s">
        <v>167</v>
      </c>
      <c r="T54" s="24" t="s">
        <v>168</v>
      </c>
      <c r="U54" s="24" t="s">
        <v>599</v>
      </c>
      <c r="V54" s="24" t="s">
        <v>600</v>
      </c>
      <c r="W54" s="24" t="s">
        <v>601</v>
      </c>
      <c r="X54" s="24" t="s">
        <v>68</v>
      </c>
      <c r="Y54" s="24">
        <v>33</v>
      </c>
      <c r="Z54" s="24" t="s">
        <v>172</v>
      </c>
      <c r="AA54" s="49">
        <v>44839</v>
      </c>
      <c r="AB54" s="24" t="s">
        <v>602</v>
      </c>
      <c r="AC54" s="24" t="s">
        <v>281</v>
      </c>
      <c r="AD54" s="24" t="s">
        <v>495</v>
      </c>
      <c r="AE54" s="24" t="s">
        <v>103</v>
      </c>
      <c r="AF54" s="24" t="s">
        <v>603</v>
      </c>
      <c r="AG54" s="24" t="s">
        <v>321</v>
      </c>
      <c r="AH54" s="24" t="s">
        <v>145</v>
      </c>
      <c r="AI54" s="24">
        <v>0</v>
      </c>
      <c r="AJ54" s="24">
        <v>0</v>
      </c>
      <c r="AK54" s="24">
        <v>0</v>
      </c>
      <c r="AL54" s="24" t="s">
        <v>78</v>
      </c>
      <c r="AM54" s="24">
        <v>17</v>
      </c>
      <c r="AN54" s="23" t="s">
        <v>190</v>
      </c>
      <c r="AO54" s="23" t="s">
        <v>604</v>
      </c>
      <c r="AP54" s="27" t="s">
        <v>92</v>
      </c>
      <c r="AQ54" s="67" t="str">
        <f>+Base_Accidentes[[#This Row],[Tipo de Accidente]]</f>
        <v>Acc. No Incapacitante</v>
      </c>
      <c r="AR54" s="23" cm="1">
        <f t="array" aca="1" ref="AR54" ca="1">+Base_Accidentes[Población]</f>
        <v>0</v>
      </c>
      <c r="AS54" s="23"/>
      <c r="AT54" s="23"/>
    </row>
    <row r="55" spans="1:46" ht="48" hidden="1" customHeight="1" x14ac:dyDescent="0.3">
      <c r="A55" s="45">
        <v>54</v>
      </c>
      <c r="B55" s="24" t="s">
        <v>129</v>
      </c>
      <c r="C55" s="24" t="s">
        <v>1</v>
      </c>
      <c r="D55" s="24" t="s">
        <v>162</v>
      </c>
      <c r="E55" s="24" t="s">
        <v>163</v>
      </c>
      <c r="F55" s="24" t="s">
        <v>164</v>
      </c>
      <c r="G55" s="24" t="s">
        <v>428</v>
      </c>
      <c r="H55" s="24" t="s">
        <v>60</v>
      </c>
      <c r="I55" s="24" t="s">
        <v>475</v>
      </c>
      <c r="J55" s="24" t="s">
        <v>62</v>
      </c>
      <c r="K55" s="24" t="str">
        <f>IF(ISBLANK(Base_Accidentes[[#This Row],[Tipo de Accidente]])," ",Base_Accidentes[[#This Row],[Tipo de Accidente]])</f>
        <v>Acc. No Incapacitante</v>
      </c>
      <c r="L55" s="49">
        <v>45370</v>
      </c>
      <c r="M55" s="47">
        <f>_xlfn.ISOWEEKNUM(Base_Accidentes[[#This Row],[Fecha
(XX/XX/2024)]])</f>
        <v>12</v>
      </c>
      <c r="N55" s="23">
        <f>DAY(Base_Accidentes[[#This Row],[Fecha
(XX/XX/2024)]])</f>
        <v>19</v>
      </c>
      <c r="O55" s="23">
        <f>MONTH(Base_Accidentes[[#This Row],[Fecha
(XX/XX/2024)]])</f>
        <v>3</v>
      </c>
      <c r="P55" s="23">
        <f>YEAR(Base_Accidentes[[#This Row],[Fecha
(XX/XX/2024)]])</f>
        <v>2024</v>
      </c>
      <c r="Q55" s="48">
        <v>0.90277777777777779</v>
      </c>
      <c r="R55" s="24" t="s">
        <v>135</v>
      </c>
      <c r="S55" s="24" t="s">
        <v>167</v>
      </c>
      <c r="T55" s="24" t="s">
        <v>168</v>
      </c>
      <c r="U55" s="24" t="s">
        <v>605</v>
      </c>
      <c r="V55" s="24" t="s">
        <v>606</v>
      </c>
      <c r="W55" s="24" t="s">
        <v>607</v>
      </c>
      <c r="X55" s="24" t="s">
        <v>68</v>
      </c>
      <c r="Y55" s="24">
        <v>42</v>
      </c>
      <c r="Z55" s="24" t="s">
        <v>172</v>
      </c>
      <c r="AA55" s="49">
        <v>45300</v>
      </c>
      <c r="AB55" s="24" t="s">
        <v>608</v>
      </c>
      <c r="AC55" s="24" t="s">
        <v>575</v>
      </c>
      <c r="AD55" s="24" t="s">
        <v>248</v>
      </c>
      <c r="AE55" s="24" t="s">
        <v>249</v>
      </c>
      <c r="AF55" s="24" t="s">
        <v>609</v>
      </c>
      <c r="AG55" s="24" t="s">
        <v>610</v>
      </c>
      <c r="AH55" s="24" t="s">
        <v>294</v>
      </c>
      <c r="AI55" s="24">
        <v>0</v>
      </c>
      <c r="AJ55" s="24">
        <v>0</v>
      </c>
      <c r="AK55" s="24">
        <v>0</v>
      </c>
      <c r="AL55" s="24" t="s">
        <v>78</v>
      </c>
      <c r="AM55" s="24">
        <v>2</v>
      </c>
      <c r="AN55" s="23" t="s">
        <v>401</v>
      </c>
      <c r="AO55" s="23" t="s">
        <v>611</v>
      </c>
      <c r="AP55" s="23" t="s">
        <v>92</v>
      </c>
      <c r="AQ55" s="63" t="str">
        <f>+Base_Accidentes[[#This Row],[Tipo de Accidente]]</f>
        <v>Acc. No Incapacitante</v>
      </c>
      <c r="AR55" s="23" cm="1">
        <f t="array" aca="1" ref="AR55" ca="1">+Base_Accidentes[Población]</f>
        <v>0</v>
      </c>
      <c r="AS55" s="23"/>
      <c r="AT55" s="23"/>
    </row>
    <row r="56" spans="1:46" ht="81" hidden="1" customHeight="1" x14ac:dyDescent="0.3">
      <c r="A56" s="45">
        <v>52</v>
      </c>
      <c r="B56" s="24" t="s">
        <v>612</v>
      </c>
      <c r="C56" s="24" t="s">
        <v>1</v>
      </c>
      <c r="D56" s="24" t="s">
        <v>56</v>
      </c>
      <c r="E56" s="24" t="s">
        <v>57</v>
      </c>
      <c r="F56" s="24" t="s">
        <v>58</v>
      </c>
      <c r="G56" s="31" t="s">
        <v>59</v>
      </c>
      <c r="H56" s="24" t="s">
        <v>60</v>
      </c>
      <c r="I56" s="24" t="s">
        <v>613</v>
      </c>
      <c r="J56" s="24" t="s">
        <v>113</v>
      </c>
      <c r="K56" s="24" t="str">
        <f>IF(ISBLANK(Base_Accidentes[[#This Row],[Tipo de Accidente]])," ",Base_Accidentes[[#This Row],[Tipo de Accidente]])</f>
        <v>Acc. Incapacitante</v>
      </c>
      <c r="L56" s="49">
        <v>45378</v>
      </c>
      <c r="M56" s="47">
        <f>_xlfn.ISOWEEKNUM(Base_Accidentes[[#This Row],[Fecha
(XX/XX/2024)]])</f>
        <v>13</v>
      </c>
      <c r="N56" s="23">
        <f>DAY(Base_Accidentes[[#This Row],[Fecha
(XX/XX/2024)]])</f>
        <v>27</v>
      </c>
      <c r="O56" s="23">
        <f>MONTH(Base_Accidentes[[#This Row],[Fecha
(XX/XX/2024)]])</f>
        <v>3</v>
      </c>
      <c r="P56" s="23">
        <f>YEAR(Base_Accidentes[[#This Row],[Fecha
(XX/XX/2024)]])</f>
        <v>2024</v>
      </c>
      <c r="Q56" s="48">
        <v>0.72916666666666663</v>
      </c>
      <c r="R56" s="24" t="s">
        <v>84</v>
      </c>
      <c r="S56" s="24" t="s">
        <v>10</v>
      </c>
      <c r="T56" s="24" t="s">
        <v>114</v>
      </c>
      <c r="U56" s="24" t="s">
        <v>614</v>
      </c>
      <c r="V56" s="24" t="s">
        <v>615</v>
      </c>
      <c r="W56" s="24" t="s">
        <v>616</v>
      </c>
      <c r="X56" s="24" t="s">
        <v>68</v>
      </c>
      <c r="Y56" s="24">
        <v>39</v>
      </c>
      <c r="Z56" s="24" t="s">
        <v>172</v>
      </c>
      <c r="AA56" s="49">
        <v>39142</v>
      </c>
      <c r="AB56" s="24" t="s">
        <v>617</v>
      </c>
      <c r="AC56" s="24" t="s">
        <v>71</v>
      </c>
      <c r="AD56" s="24" t="s">
        <v>72</v>
      </c>
      <c r="AE56" s="24" t="s">
        <v>73</v>
      </c>
      <c r="AF56" s="24" t="s">
        <v>618</v>
      </c>
      <c r="AG56" s="24" t="s">
        <v>619</v>
      </c>
      <c r="AH56" s="24" t="s">
        <v>76</v>
      </c>
      <c r="AI56" s="24">
        <v>8</v>
      </c>
      <c r="AJ56" s="24">
        <v>0</v>
      </c>
      <c r="AK56" s="24">
        <v>8</v>
      </c>
      <c r="AL56" s="24" t="s">
        <v>354</v>
      </c>
      <c r="AM56" s="24">
        <v>204</v>
      </c>
      <c r="AN56" s="23" t="s">
        <v>79</v>
      </c>
      <c r="AO56" s="24" t="s">
        <v>620</v>
      </c>
      <c r="AP56" s="23" t="s">
        <v>81</v>
      </c>
      <c r="AQ56" s="27" t="str">
        <f>+Base_Accidentes[[#This Row],[Tipo de Accidente]]</f>
        <v>Acc. Incapacitante</v>
      </c>
      <c r="AR56" s="23" cm="1">
        <f t="array" aca="1" ref="AR56" ca="1">+Base_Accidentes[Población]</f>
        <v>0</v>
      </c>
      <c r="AS56" s="23" t="s">
        <v>128</v>
      </c>
      <c r="AT56" s="23"/>
    </row>
    <row r="57" spans="1:46" ht="34.5" hidden="1" customHeight="1" x14ac:dyDescent="0.3">
      <c r="A57" s="45">
        <v>56</v>
      </c>
      <c r="B57" s="24" t="s">
        <v>129</v>
      </c>
      <c r="C57" s="24" t="s">
        <v>130</v>
      </c>
      <c r="D57" s="24" t="s">
        <v>131</v>
      </c>
      <c r="E57" s="24"/>
      <c r="F57" s="24" t="s">
        <v>132</v>
      </c>
      <c r="G57" s="24" t="s">
        <v>133</v>
      </c>
      <c r="H57" s="24" t="s">
        <v>60</v>
      </c>
      <c r="I57" s="24" t="s">
        <v>621</v>
      </c>
      <c r="J57" s="24" t="s">
        <v>62</v>
      </c>
      <c r="K57" s="24" t="str">
        <f>IF(ISBLANK(Base_Accidentes[[#This Row],[Tipo de Accidente]])," ",Base_Accidentes[[#This Row],[Tipo de Accidente]])</f>
        <v>Acc. No Incapacitante</v>
      </c>
      <c r="L57" s="49">
        <v>45377</v>
      </c>
      <c r="M57" s="47">
        <f>_xlfn.ISOWEEKNUM(Base_Accidentes[[#This Row],[Fecha
(XX/XX/2024)]])</f>
        <v>13</v>
      </c>
      <c r="N57" s="23">
        <f>DAY(Base_Accidentes[[#This Row],[Fecha
(XX/XX/2024)]])</f>
        <v>26</v>
      </c>
      <c r="O57" s="23">
        <f>MONTH(Base_Accidentes[[#This Row],[Fecha
(XX/XX/2024)]])</f>
        <v>3</v>
      </c>
      <c r="P57" s="23">
        <f>YEAR(Base_Accidentes[[#This Row],[Fecha
(XX/XX/2024)]])</f>
        <v>2024</v>
      </c>
      <c r="Q57" s="48">
        <v>0.3125</v>
      </c>
      <c r="R57" s="24" t="s">
        <v>63</v>
      </c>
      <c r="S57" s="24" t="s">
        <v>10</v>
      </c>
      <c r="T57" s="24" t="s">
        <v>64</v>
      </c>
      <c r="U57" s="24" t="s">
        <v>622</v>
      </c>
      <c r="V57" s="24" t="s">
        <v>623</v>
      </c>
      <c r="W57" s="24" t="s">
        <v>624</v>
      </c>
      <c r="X57" s="24" t="s">
        <v>68</v>
      </c>
      <c r="Y57" s="24">
        <v>56</v>
      </c>
      <c r="Z57" s="24" t="s">
        <v>625</v>
      </c>
      <c r="AA57" s="49">
        <v>36192</v>
      </c>
      <c r="AB57" s="24" t="s">
        <v>626</v>
      </c>
      <c r="AC57" s="24" t="s">
        <v>101</v>
      </c>
      <c r="AD57" s="24" t="s">
        <v>102</v>
      </c>
      <c r="AE57" s="24" t="s">
        <v>103</v>
      </c>
      <c r="AF57" s="24" t="s">
        <v>627</v>
      </c>
      <c r="AG57" s="24" t="s">
        <v>628</v>
      </c>
      <c r="AH57" s="24" t="s">
        <v>76</v>
      </c>
      <c r="AI57" s="24">
        <v>0</v>
      </c>
      <c r="AJ57" s="24">
        <v>0</v>
      </c>
      <c r="AK57" s="24">
        <v>0</v>
      </c>
      <c r="AL57" s="24" t="s">
        <v>78</v>
      </c>
      <c r="AM57" s="24">
        <v>306</v>
      </c>
      <c r="AN57" s="23" t="s">
        <v>146</v>
      </c>
      <c r="AO57" s="24" t="s">
        <v>629</v>
      </c>
      <c r="AP57" s="23" t="s">
        <v>81</v>
      </c>
      <c r="AQ57" s="66" t="str">
        <f>+Base_Accidentes[[#This Row],[Tipo de Accidente]]</f>
        <v>Acc. No Incapacitante</v>
      </c>
      <c r="AR57" s="23" cm="1">
        <f t="array" aca="1" ref="AR57" ca="1">+Base_Accidentes[Población]</f>
        <v>0</v>
      </c>
      <c r="AS57" s="23"/>
      <c r="AT57" s="23"/>
    </row>
    <row r="58" spans="1:46" ht="34.5" hidden="1" customHeight="1" x14ac:dyDescent="0.3">
      <c r="A58" s="45">
        <v>57</v>
      </c>
      <c r="B58" s="24" t="s">
        <v>129</v>
      </c>
      <c r="C58" s="24" t="s">
        <v>130</v>
      </c>
      <c r="D58" s="24" t="s">
        <v>131</v>
      </c>
      <c r="E58" s="24"/>
      <c r="F58" s="24" t="s">
        <v>132</v>
      </c>
      <c r="G58" s="24" t="s">
        <v>133</v>
      </c>
      <c r="H58" s="24" t="s">
        <v>312</v>
      </c>
      <c r="I58" s="24" t="s">
        <v>404</v>
      </c>
      <c r="J58" s="24" t="s">
        <v>62</v>
      </c>
      <c r="K58" s="24" t="str">
        <f>IF(ISBLANK(Base_Accidentes[[#This Row],[Tipo de Accidente]])," ",Base_Accidentes[[#This Row],[Tipo de Accidente]])</f>
        <v>Acc. No Incapacitante</v>
      </c>
      <c r="L58" s="49">
        <v>45381</v>
      </c>
      <c r="M58" s="47">
        <f>_xlfn.ISOWEEKNUM(Base_Accidentes[[#This Row],[Fecha
(XX/XX/2024)]])</f>
        <v>13</v>
      </c>
      <c r="N58" s="23">
        <f>DAY(Base_Accidentes[[#This Row],[Fecha
(XX/XX/2024)]])</f>
        <v>30</v>
      </c>
      <c r="O58" s="23">
        <f>MONTH(Base_Accidentes[[#This Row],[Fecha
(XX/XX/2024)]])</f>
        <v>3</v>
      </c>
      <c r="P58" s="23">
        <f>YEAR(Base_Accidentes[[#This Row],[Fecha
(XX/XX/2024)]])</f>
        <v>2024</v>
      </c>
      <c r="Q58" s="48">
        <v>0.48958333333333331</v>
      </c>
      <c r="R58" s="24" t="s">
        <v>63</v>
      </c>
      <c r="S58" s="24" t="s">
        <v>9</v>
      </c>
      <c r="T58" s="24" t="s">
        <v>630</v>
      </c>
      <c r="U58" s="24" t="s">
        <v>377</v>
      </c>
      <c r="V58" s="24" t="s">
        <v>631</v>
      </c>
      <c r="W58" s="24" t="s">
        <v>632</v>
      </c>
      <c r="X58" s="24" t="s">
        <v>68</v>
      </c>
      <c r="Y58" s="24">
        <v>25</v>
      </c>
      <c r="Z58" s="24" t="s">
        <v>633</v>
      </c>
      <c r="AA58" s="49">
        <v>44972</v>
      </c>
      <c r="AB58" s="24" t="s">
        <v>634</v>
      </c>
      <c r="AC58" s="24" t="s">
        <v>101</v>
      </c>
      <c r="AD58" s="24" t="s">
        <v>102</v>
      </c>
      <c r="AE58" s="24" t="s">
        <v>103</v>
      </c>
      <c r="AF58" s="24" t="s">
        <v>635</v>
      </c>
      <c r="AG58" s="24" t="s">
        <v>636</v>
      </c>
      <c r="AH58" s="24" t="s">
        <v>125</v>
      </c>
      <c r="AI58" s="24">
        <v>0</v>
      </c>
      <c r="AJ58" s="24">
        <v>0</v>
      </c>
      <c r="AK58" s="24">
        <v>0</v>
      </c>
      <c r="AL58" s="24" t="s">
        <v>78</v>
      </c>
      <c r="AM58" s="24">
        <v>13</v>
      </c>
      <c r="AN58" s="23" t="s">
        <v>146</v>
      </c>
      <c r="AO58" s="23" t="s">
        <v>637</v>
      </c>
      <c r="AP58" s="27" t="s">
        <v>546</v>
      </c>
      <c r="AQ58" s="67" t="str">
        <f>+Base_Accidentes[[#This Row],[Tipo de Accidente]]</f>
        <v>Acc. No Incapacitante</v>
      </c>
      <c r="AR58" s="23" cm="1">
        <f t="array" aca="1" ref="AR58" ca="1">+Base_Accidentes[Población]</f>
        <v>0</v>
      </c>
      <c r="AS58" s="23"/>
      <c r="AT58" s="23"/>
    </row>
    <row r="59" spans="1:46" ht="34.5" customHeight="1" x14ac:dyDescent="0.3">
      <c r="A59" s="45">
        <v>58</v>
      </c>
      <c r="B59" s="24" t="s">
        <v>638</v>
      </c>
      <c r="C59" s="24" t="s">
        <v>1</v>
      </c>
      <c r="D59" s="24" t="s">
        <v>56</v>
      </c>
      <c r="E59" s="51" t="s">
        <v>109</v>
      </c>
      <c r="F59" s="24" t="s">
        <v>110</v>
      </c>
      <c r="G59" s="24" t="s">
        <v>111</v>
      </c>
      <c r="H59" s="24" t="s">
        <v>60</v>
      </c>
      <c r="I59" s="24" t="s">
        <v>639</v>
      </c>
      <c r="J59" s="24" t="s">
        <v>62</v>
      </c>
      <c r="K59" s="24" t="str">
        <f>IF(ISBLANK(Base_Accidentes[[#This Row],[Tipo de Accidente]])," ",Base_Accidentes[[#This Row],[Tipo de Accidente]])</f>
        <v>Acc. No Incapacitante</v>
      </c>
      <c r="L59" s="49">
        <v>45388</v>
      </c>
      <c r="M59" s="47">
        <f>_xlfn.ISOWEEKNUM(Base_Accidentes[[#This Row],[Fecha
(XX/XX/2024)]])</f>
        <v>14</v>
      </c>
      <c r="N59" s="23">
        <f>DAY(Base_Accidentes[[#This Row],[Fecha
(XX/XX/2024)]])</f>
        <v>6</v>
      </c>
      <c r="O59" s="23">
        <f>MONTH(Base_Accidentes[[#This Row],[Fecha
(XX/XX/2024)]])</f>
        <v>4</v>
      </c>
      <c r="P59" s="23">
        <f>YEAR(Base_Accidentes[[#This Row],[Fecha
(XX/XX/2024)]])</f>
        <v>2024</v>
      </c>
      <c r="Q59" s="48">
        <v>0.3125</v>
      </c>
      <c r="R59" s="24" t="s">
        <v>63</v>
      </c>
      <c r="S59" s="24" t="s">
        <v>11</v>
      </c>
      <c r="T59" s="24" t="s">
        <v>11</v>
      </c>
      <c r="U59" s="24" t="s">
        <v>95</v>
      </c>
      <c r="V59" s="24" t="s">
        <v>96</v>
      </c>
      <c r="W59" s="24" t="s">
        <v>97</v>
      </c>
      <c r="X59" s="24" t="s">
        <v>98</v>
      </c>
      <c r="Y59" s="24">
        <v>19</v>
      </c>
      <c r="Z59" s="24" t="s">
        <v>99</v>
      </c>
      <c r="AA59" s="49">
        <v>45141</v>
      </c>
      <c r="AB59" s="24" t="s">
        <v>640</v>
      </c>
      <c r="AC59" s="24" t="s">
        <v>234</v>
      </c>
      <c r="AD59" s="24" t="s">
        <v>641</v>
      </c>
      <c r="AE59" s="24" t="s">
        <v>249</v>
      </c>
      <c r="AF59" s="24" t="s">
        <v>642</v>
      </c>
      <c r="AG59" s="24" t="s">
        <v>643</v>
      </c>
      <c r="AH59" s="24" t="s">
        <v>505</v>
      </c>
      <c r="AI59" s="24">
        <v>0</v>
      </c>
      <c r="AJ59" s="24">
        <v>0</v>
      </c>
      <c r="AK59" s="24">
        <v>0</v>
      </c>
      <c r="AL59" s="24" t="s">
        <v>78</v>
      </c>
      <c r="AM59" s="24">
        <v>2</v>
      </c>
      <c r="AN59" s="23" t="s">
        <v>401</v>
      </c>
      <c r="AO59" s="24" t="s">
        <v>644</v>
      </c>
      <c r="AP59" s="23" t="s">
        <v>107</v>
      </c>
      <c r="AQ59" s="63" t="str">
        <f>+Base_Accidentes[[#This Row],[Tipo de Accidente]]</f>
        <v>Acc. No Incapacitante</v>
      </c>
      <c r="AR59" s="23" cm="1">
        <f t="array" aca="1" ref="AR59" ca="1">+Base_Accidentes[Población]</f>
        <v>0</v>
      </c>
      <c r="AS59" s="23"/>
      <c r="AT59" s="23"/>
    </row>
    <row r="60" spans="1:46" s="89" customFormat="1" ht="34.5" hidden="1" customHeight="1" x14ac:dyDescent="0.3">
      <c r="A60" s="45">
        <v>74</v>
      </c>
      <c r="B60" s="24" t="s">
        <v>129</v>
      </c>
      <c r="C60" s="24" t="s">
        <v>130</v>
      </c>
      <c r="D60" s="24" t="s">
        <v>131</v>
      </c>
      <c r="E60" s="51"/>
      <c r="F60" s="24" t="s">
        <v>192</v>
      </c>
      <c r="G60" s="24" t="s">
        <v>193</v>
      </c>
      <c r="H60" s="24" t="s">
        <v>60</v>
      </c>
      <c r="I60" s="24" t="s">
        <v>645</v>
      </c>
      <c r="J60" s="24" t="s">
        <v>113</v>
      </c>
      <c r="K60" s="24" t="str">
        <f>IF(ISBLANK(Base_Accidentes[[#This Row],[Tipo de Accidente]])," ",Base_Accidentes[[#This Row],[Tipo de Accidente]])</f>
        <v>Acc. Incapacitante</v>
      </c>
      <c r="L60" s="49">
        <v>45387</v>
      </c>
      <c r="M60" s="47">
        <f>_xlfn.ISOWEEKNUM(Base_Accidentes[[#This Row],[Fecha
(XX/XX/2024)]])</f>
        <v>14</v>
      </c>
      <c r="N60" s="23">
        <f>DAY(Base_Accidentes[[#This Row],[Fecha
(XX/XX/2024)]])</f>
        <v>5</v>
      </c>
      <c r="O60" s="23">
        <f>MONTH(Base_Accidentes[[#This Row],[Fecha
(XX/XX/2024)]])</f>
        <v>4</v>
      </c>
      <c r="P60" s="23">
        <f>YEAR(Base_Accidentes[[#This Row],[Fecha
(XX/XX/2024)]])</f>
        <v>2024</v>
      </c>
      <c r="Q60" s="48">
        <v>0.67708333333333337</v>
      </c>
      <c r="R60" s="24" t="s">
        <v>84</v>
      </c>
      <c r="S60" s="24" t="s">
        <v>10</v>
      </c>
      <c r="T60" s="24" t="s">
        <v>114</v>
      </c>
      <c r="U60" s="24" t="s">
        <v>646</v>
      </c>
      <c r="V60" s="24" t="s">
        <v>647</v>
      </c>
      <c r="W60" s="24" t="s">
        <v>648</v>
      </c>
      <c r="X60" s="24" t="s">
        <v>68</v>
      </c>
      <c r="Y60" s="24">
        <v>53</v>
      </c>
      <c r="Z60" s="24" t="s">
        <v>649</v>
      </c>
      <c r="AA60" s="49">
        <v>35852</v>
      </c>
      <c r="AB60" s="24" t="s">
        <v>650</v>
      </c>
      <c r="AC60" s="24" t="s">
        <v>419</v>
      </c>
      <c r="AD60" s="24" t="s">
        <v>651</v>
      </c>
      <c r="AE60" s="24" t="s">
        <v>157</v>
      </c>
      <c r="AF60" s="24" t="s">
        <v>652</v>
      </c>
      <c r="AG60" s="24" t="s">
        <v>653</v>
      </c>
      <c r="AH60" s="24" t="s">
        <v>654</v>
      </c>
      <c r="AI60" s="24">
        <v>15</v>
      </c>
      <c r="AJ60" s="24">
        <v>0</v>
      </c>
      <c r="AK60" s="24">
        <v>15</v>
      </c>
      <c r="AL60" s="24" t="s">
        <v>78</v>
      </c>
      <c r="AM60" s="24">
        <v>312</v>
      </c>
      <c r="AN60" s="23" t="s">
        <v>79</v>
      </c>
      <c r="AO60" s="24" t="s">
        <v>655</v>
      </c>
      <c r="AP60" s="23" t="s">
        <v>546</v>
      </c>
      <c r="AQ60" s="27" t="str">
        <f>+Base_Accidentes[[#This Row],[Tipo de Accidente]]</f>
        <v>Acc. Incapacitante</v>
      </c>
      <c r="AR60" s="23" cm="1">
        <f t="array" aca="1" ref="AR60" ca="1">+Base_Accidentes[Población]</f>
        <v>0</v>
      </c>
      <c r="AS60" s="23" t="s">
        <v>128</v>
      </c>
      <c r="AT60" s="23"/>
    </row>
    <row r="61" spans="1:46" ht="34.5" hidden="1" customHeight="1" x14ac:dyDescent="0.3">
      <c r="A61" s="45">
        <v>60</v>
      </c>
      <c r="B61" s="24" t="s">
        <v>656</v>
      </c>
      <c r="C61" s="24" t="s">
        <v>1</v>
      </c>
      <c r="D61" s="24" t="s">
        <v>56</v>
      </c>
      <c r="E61" s="24" t="s">
        <v>57</v>
      </c>
      <c r="F61" s="24" t="s">
        <v>204</v>
      </c>
      <c r="G61" s="24" t="s">
        <v>205</v>
      </c>
      <c r="H61" s="24" t="s">
        <v>60</v>
      </c>
      <c r="I61" s="24" t="s">
        <v>613</v>
      </c>
      <c r="J61" s="24" t="s">
        <v>62</v>
      </c>
      <c r="K61" s="24" t="str">
        <f>IF(ISBLANK(Base_Accidentes[[#This Row],[Tipo de Accidente]])," ",Base_Accidentes[[#This Row],[Tipo de Accidente]])</f>
        <v>Acc. No Incapacitante</v>
      </c>
      <c r="L61" s="49">
        <v>45394</v>
      </c>
      <c r="M61" s="47">
        <f>_xlfn.ISOWEEKNUM(Base_Accidentes[[#This Row],[Fecha
(XX/XX/2024)]])</f>
        <v>15</v>
      </c>
      <c r="N61" s="23">
        <f>DAY(Base_Accidentes[[#This Row],[Fecha
(XX/XX/2024)]])</f>
        <v>12</v>
      </c>
      <c r="O61" s="23">
        <f>MONTH(Base_Accidentes[[#This Row],[Fecha
(XX/XX/2024)]])</f>
        <v>4</v>
      </c>
      <c r="P61" s="23">
        <f>YEAR(Base_Accidentes[[#This Row],[Fecha
(XX/XX/2024)]])</f>
        <v>2024</v>
      </c>
      <c r="Q61" s="48">
        <v>0.54166666666666663</v>
      </c>
      <c r="R61" s="24" t="s">
        <v>587</v>
      </c>
      <c r="S61" s="24" t="s">
        <v>10</v>
      </c>
      <c r="T61" s="24" t="s">
        <v>64</v>
      </c>
      <c r="U61" s="24" t="s">
        <v>657</v>
      </c>
      <c r="V61" s="24" t="s">
        <v>658</v>
      </c>
      <c r="W61" s="24" t="s">
        <v>659</v>
      </c>
      <c r="X61" s="24" t="s">
        <v>68</v>
      </c>
      <c r="Y61" s="24">
        <v>24</v>
      </c>
      <c r="Z61" s="24" t="s">
        <v>539</v>
      </c>
      <c r="AA61" s="49">
        <v>45391</v>
      </c>
      <c r="AB61" s="24" t="s">
        <v>660</v>
      </c>
      <c r="AC61" s="24" t="s">
        <v>234</v>
      </c>
      <c r="AD61" s="24" t="s">
        <v>661</v>
      </c>
      <c r="AE61" s="24" t="s">
        <v>249</v>
      </c>
      <c r="AF61" s="24" t="s">
        <v>662</v>
      </c>
      <c r="AG61" s="24" t="s">
        <v>663</v>
      </c>
      <c r="AH61" s="24" t="s">
        <v>294</v>
      </c>
      <c r="AI61" s="24">
        <v>0</v>
      </c>
      <c r="AJ61" s="24">
        <v>0</v>
      </c>
      <c r="AK61" s="24">
        <v>0</v>
      </c>
      <c r="AL61" s="24" t="s">
        <v>78</v>
      </c>
      <c r="AM61" s="24" t="s">
        <v>664</v>
      </c>
      <c r="AN61" s="23" t="s">
        <v>240</v>
      </c>
      <c r="AO61" s="23" t="s">
        <v>665</v>
      </c>
      <c r="AP61" s="23" t="s">
        <v>546</v>
      </c>
      <c r="AQ61" s="27" t="str">
        <f>+Base_Accidentes[[#This Row],[Tipo de Accidente]]</f>
        <v>Acc. No Incapacitante</v>
      </c>
      <c r="AR61" s="23" cm="1">
        <f t="array" aca="1" ref="AR61" ca="1">+Base_Accidentes[Población]</f>
        <v>0</v>
      </c>
      <c r="AS61" s="23"/>
      <c r="AT61" s="23"/>
    </row>
    <row r="62" spans="1:46" ht="24" hidden="1" x14ac:dyDescent="0.3">
      <c r="A62" s="45">
        <v>61</v>
      </c>
      <c r="B62" s="24" t="s">
        <v>129</v>
      </c>
      <c r="C62" s="24" t="s">
        <v>1</v>
      </c>
      <c r="D62" s="24" t="s">
        <v>162</v>
      </c>
      <c r="E62" s="24" t="s">
        <v>163</v>
      </c>
      <c r="F62" s="24" t="s">
        <v>164</v>
      </c>
      <c r="G62" s="24" t="s">
        <v>428</v>
      </c>
      <c r="H62" s="24" t="s">
        <v>60</v>
      </c>
      <c r="I62" s="24" t="s">
        <v>438</v>
      </c>
      <c r="J62" s="24" t="s">
        <v>62</v>
      </c>
      <c r="K62" s="24" t="str">
        <f>IF(ISBLANK(Base_Accidentes[[#This Row],[Tipo de Accidente]])," ",Base_Accidentes[[#This Row],[Tipo de Accidente]])</f>
        <v>Acc. No Incapacitante</v>
      </c>
      <c r="L62" s="49">
        <v>45370</v>
      </c>
      <c r="M62" s="47">
        <f>_xlfn.ISOWEEKNUM(Base_Accidentes[[#This Row],[Fecha
(XX/XX/2024)]])</f>
        <v>12</v>
      </c>
      <c r="N62" s="23">
        <f>DAY(Base_Accidentes[[#This Row],[Fecha
(XX/XX/2024)]])</f>
        <v>19</v>
      </c>
      <c r="O62" s="23">
        <f>MONTH(Base_Accidentes[[#This Row],[Fecha
(XX/XX/2024)]])</f>
        <v>3</v>
      </c>
      <c r="P62" s="23">
        <f>YEAR(Base_Accidentes[[#This Row],[Fecha
(XX/XX/2024)]])</f>
        <v>2024</v>
      </c>
      <c r="Q62" s="48">
        <v>0.99097222222222225</v>
      </c>
      <c r="R62" s="24" t="s">
        <v>135</v>
      </c>
      <c r="S62" s="24" t="s">
        <v>167</v>
      </c>
      <c r="T62" s="24" t="s">
        <v>168</v>
      </c>
      <c r="U62" s="24" t="s">
        <v>666</v>
      </c>
      <c r="V62" s="24" t="s">
        <v>666</v>
      </c>
      <c r="W62" s="24" t="s">
        <v>667</v>
      </c>
      <c r="X62" s="24" t="s">
        <v>68</v>
      </c>
      <c r="Y62" s="24">
        <v>45</v>
      </c>
      <c r="Z62" s="24" t="s">
        <v>172</v>
      </c>
      <c r="AA62" s="49">
        <v>45302</v>
      </c>
      <c r="AB62" s="24" t="s">
        <v>668</v>
      </c>
      <c r="AC62" s="24" t="s">
        <v>101</v>
      </c>
      <c r="AD62" s="24" t="s">
        <v>495</v>
      </c>
      <c r="AE62" s="24" t="s">
        <v>103</v>
      </c>
      <c r="AF62" s="24" t="s">
        <v>554</v>
      </c>
      <c r="AG62" s="24" t="s">
        <v>321</v>
      </c>
      <c r="AH62" s="24" t="s">
        <v>145</v>
      </c>
      <c r="AI62" s="24">
        <v>0</v>
      </c>
      <c r="AJ62" s="24">
        <v>0</v>
      </c>
      <c r="AK62" s="24">
        <v>0</v>
      </c>
      <c r="AL62" s="24" t="s">
        <v>78</v>
      </c>
      <c r="AM62" s="24">
        <v>2</v>
      </c>
      <c r="AN62" s="23" t="s">
        <v>401</v>
      </c>
      <c r="AO62" s="23" t="s">
        <v>669</v>
      </c>
      <c r="AP62" s="23" t="s">
        <v>92</v>
      </c>
      <c r="AQ62" s="27" t="str">
        <f>+Base_Accidentes[[#This Row],[Tipo de Accidente]]</f>
        <v>Acc. No Incapacitante</v>
      </c>
      <c r="AR62" s="23" cm="1">
        <f t="array" aca="1" ref="AR62" ca="1">+Base_Accidentes[Población]</f>
        <v>0</v>
      </c>
      <c r="AS62" s="23"/>
      <c r="AT62" s="23"/>
    </row>
    <row r="63" spans="1:46" ht="34.5" hidden="1" customHeight="1" x14ac:dyDescent="0.3">
      <c r="A63" s="45">
        <v>62</v>
      </c>
      <c r="B63" s="24" t="s">
        <v>129</v>
      </c>
      <c r="C63" s="24" t="s">
        <v>1</v>
      </c>
      <c r="D63" s="24" t="s">
        <v>162</v>
      </c>
      <c r="E63" s="24" t="s">
        <v>227</v>
      </c>
      <c r="F63" s="24" t="s">
        <v>164</v>
      </c>
      <c r="G63" s="24" t="s">
        <v>228</v>
      </c>
      <c r="H63" s="24" t="s">
        <v>60</v>
      </c>
      <c r="I63" s="24" t="s">
        <v>517</v>
      </c>
      <c r="J63" s="24" t="s">
        <v>62</v>
      </c>
      <c r="K63" s="24" t="str">
        <f>IF(ISBLANK(Base_Accidentes[[#This Row],[Tipo de Accidente]])," ",Base_Accidentes[[#This Row],[Tipo de Accidente]])</f>
        <v>Acc. No Incapacitante</v>
      </c>
      <c r="L63" s="49">
        <v>45383</v>
      </c>
      <c r="M63" s="47">
        <f>_xlfn.ISOWEEKNUM(Base_Accidentes[[#This Row],[Fecha
(XX/XX/2024)]])</f>
        <v>14</v>
      </c>
      <c r="N63" s="23">
        <f>DAY(Base_Accidentes[[#This Row],[Fecha
(XX/XX/2024)]])</f>
        <v>1</v>
      </c>
      <c r="O63" s="23">
        <f>MONTH(Base_Accidentes[[#This Row],[Fecha
(XX/XX/2024)]])</f>
        <v>4</v>
      </c>
      <c r="P63" s="23">
        <f>YEAR(Base_Accidentes[[#This Row],[Fecha
(XX/XX/2024)]])</f>
        <v>2024</v>
      </c>
      <c r="Q63" s="48">
        <v>0.625</v>
      </c>
      <c r="R63" s="24" t="s">
        <v>587</v>
      </c>
      <c r="S63" s="24" t="s">
        <v>167</v>
      </c>
      <c r="T63" s="24" t="s">
        <v>168</v>
      </c>
      <c r="U63" s="24" t="s">
        <v>670</v>
      </c>
      <c r="V63" s="24" t="s">
        <v>536</v>
      </c>
      <c r="W63" s="24" t="s">
        <v>671</v>
      </c>
      <c r="X63" s="24" t="s">
        <v>68</v>
      </c>
      <c r="Y63" s="24">
        <v>41</v>
      </c>
      <c r="Z63" s="24" t="s">
        <v>172</v>
      </c>
      <c r="AA63" s="49">
        <v>45342</v>
      </c>
      <c r="AB63" s="24" t="s">
        <v>672</v>
      </c>
      <c r="AC63" s="24" t="s">
        <v>101</v>
      </c>
      <c r="AD63" s="24" t="s">
        <v>673</v>
      </c>
      <c r="AE63" s="24" t="s">
        <v>103</v>
      </c>
      <c r="AF63" s="24" t="s">
        <v>674</v>
      </c>
      <c r="AG63" s="24" t="s">
        <v>321</v>
      </c>
      <c r="AH63" s="24" t="s">
        <v>145</v>
      </c>
      <c r="AI63" s="24">
        <v>0</v>
      </c>
      <c r="AJ63" s="24">
        <v>0</v>
      </c>
      <c r="AK63" s="24">
        <v>0</v>
      </c>
      <c r="AL63" s="24" t="s">
        <v>78</v>
      </c>
      <c r="AM63" s="24">
        <v>1</v>
      </c>
      <c r="AN63" s="23" t="s">
        <v>401</v>
      </c>
      <c r="AO63" s="23" t="s">
        <v>675</v>
      </c>
      <c r="AP63" s="23" t="s">
        <v>92</v>
      </c>
      <c r="AQ63" s="27" t="str">
        <f>+Base_Accidentes[[#This Row],[Tipo de Accidente]]</f>
        <v>Acc. No Incapacitante</v>
      </c>
      <c r="AR63" s="23" cm="1">
        <f t="array" aca="1" ref="AR63" ca="1">+Base_Accidentes[Población]</f>
        <v>0</v>
      </c>
      <c r="AS63" s="23"/>
      <c r="AT63" s="23"/>
    </row>
    <row r="64" spans="1:46" ht="34.5" hidden="1" customHeight="1" x14ac:dyDescent="0.3">
      <c r="A64" s="45">
        <v>63</v>
      </c>
      <c r="B64" s="24" t="s">
        <v>129</v>
      </c>
      <c r="C64" s="24" t="s">
        <v>1</v>
      </c>
      <c r="D64" s="24" t="s">
        <v>356</v>
      </c>
      <c r="E64" s="24" t="s">
        <v>676</v>
      </c>
      <c r="F64" s="24" t="s">
        <v>358</v>
      </c>
      <c r="G64" s="24" t="s">
        <v>677</v>
      </c>
      <c r="H64" s="24" t="s">
        <v>360</v>
      </c>
      <c r="I64" s="24" t="s">
        <v>60</v>
      </c>
      <c r="J64" s="24" t="s">
        <v>62</v>
      </c>
      <c r="K64" s="24" t="str">
        <f>IF(ISBLANK(Base_Accidentes[[#This Row],[Tipo de Accidente]])," ",Base_Accidentes[[#This Row],[Tipo de Accidente]])</f>
        <v>Acc. No Incapacitante</v>
      </c>
      <c r="L64" s="49">
        <v>45384</v>
      </c>
      <c r="M64" s="47">
        <f>_xlfn.ISOWEEKNUM(Base_Accidentes[[#This Row],[Fecha
(XX/XX/2024)]])</f>
        <v>14</v>
      </c>
      <c r="N64" s="23">
        <f>DAY(Base_Accidentes[[#This Row],[Fecha
(XX/XX/2024)]])</f>
        <v>2</v>
      </c>
      <c r="O64" s="23">
        <f>MONTH(Base_Accidentes[[#This Row],[Fecha
(XX/XX/2024)]])</f>
        <v>4</v>
      </c>
      <c r="P64" s="23">
        <f>YEAR(Base_Accidentes[[#This Row],[Fecha
(XX/XX/2024)]])</f>
        <v>2024</v>
      </c>
      <c r="Q64" s="48">
        <v>0.59027777777777779</v>
      </c>
      <c r="R64" s="24" t="s">
        <v>587</v>
      </c>
      <c r="S64" s="24" t="s">
        <v>274</v>
      </c>
      <c r="T64" s="24" t="s">
        <v>275</v>
      </c>
      <c r="U64" s="24" t="s">
        <v>678</v>
      </c>
      <c r="V64" s="24" t="s">
        <v>679</v>
      </c>
      <c r="W64" s="24" t="s">
        <v>680</v>
      </c>
      <c r="X64" s="24" t="s">
        <v>98</v>
      </c>
      <c r="Y64" s="24">
        <v>35</v>
      </c>
      <c r="Z64" s="24" t="s">
        <v>366</v>
      </c>
      <c r="AA64" s="49">
        <v>45005</v>
      </c>
      <c r="AB64" s="53" t="s">
        <v>681</v>
      </c>
      <c r="AC64" s="24" t="s">
        <v>682</v>
      </c>
      <c r="AD64" s="24" t="s">
        <v>683</v>
      </c>
      <c r="AE64" s="24" t="s">
        <v>142</v>
      </c>
      <c r="AF64" s="24" t="s">
        <v>684</v>
      </c>
      <c r="AG64" s="24" t="s">
        <v>685</v>
      </c>
      <c r="AH64" s="24" t="s">
        <v>686</v>
      </c>
      <c r="AI64" s="24">
        <v>0</v>
      </c>
      <c r="AJ64" s="24">
        <v>0</v>
      </c>
      <c r="AK64" s="24">
        <v>0</v>
      </c>
      <c r="AL64" s="24" t="s">
        <v>78</v>
      </c>
      <c r="AM64" s="24">
        <v>1</v>
      </c>
      <c r="AN64" s="23" t="s">
        <v>177</v>
      </c>
      <c r="AO64" s="24" t="s">
        <v>687</v>
      </c>
      <c r="AP64" s="23" t="s">
        <v>92</v>
      </c>
      <c r="AQ64" s="27" t="str">
        <f>+Base_Accidentes[[#This Row],[Tipo de Accidente]]</f>
        <v>Acc. No Incapacitante</v>
      </c>
      <c r="AR64" s="23" cm="1">
        <f t="array" aca="1" ref="AR64" ca="1">+Base_Accidentes[Población]</f>
        <v>0</v>
      </c>
      <c r="AS64" s="23"/>
      <c r="AT64" s="23"/>
    </row>
    <row r="65" spans="1:46" ht="36" hidden="1" x14ac:dyDescent="0.3">
      <c r="A65" s="45">
        <v>64</v>
      </c>
      <c r="B65" s="24" t="s">
        <v>129</v>
      </c>
      <c r="C65" s="24" t="s">
        <v>1</v>
      </c>
      <c r="D65" s="24" t="s">
        <v>162</v>
      </c>
      <c r="E65" s="24" t="s">
        <v>163</v>
      </c>
      <c r="F65" s="24" t="s">
        <v>164</v>
      </c>
      <c r="G65" s="24" t="s">
        <v>428</v>
      </c>
      <c r="H65" s="24" t="s">
        <v>60</v>
      </c>
      <c r="I65" s="24" t="s">
        <v>438</v>
      </c>
      <c r="J65" s="24" t="s">
        <v>62</v>
      </c>
      <c r="K65" s="24" t="str">
        <f>IF(ISBLANK(Base_Accidentes[[#This Row],[Tipo de Accidente]])," ",Base_Accidentes[[#This Row],[Tipo de Accidente]])</f>
        <v>Acc. No Incapacitante</v>
      </c>
      <c r="L65" s="49">
        <v>45385</v>
      </c>
      <c r="M65" s="47">
        <f>_xlfn.ISOWEEKNUM(Base_Accidentes[[#This Row],[Fecha
(XX/XX/2024)]])</f>
        <v>14</v>
      </c>
      <c r="N65" s="23">
        <f>DAY(Base_Accidentes[[#This Row],[Fecha
(XX/XX/2024)]])</f>
        <v>3</v>
      </c>
      <c r="O65" s="23">
        <f>MONTH(Base_Accidentes[[#This Row],[Fecha
(XX/XX/2024)]])</f>
        <v>4</v>
      </c>
      <c r="P65" s="23">
        <f>YEAR(Base_Accidentes[[#This Row],[Fecha
(XX/XX/2024)]])</f>
        <v>2024</v>
      </c>
      <c r="Q65" s="48">
        <v>0.72291666666666665</v>
      </c>
      <c r="R65" s="24" t="s">
        <v>587</v>
      </c>
      <c r="S65" s="24" t="s">
        <v>167</v>
      </c>
      <c r="T65" s="24" t="s">
        <v>168</v>
      </c>
      <c r="U65" s="24" t="s">
        <v>688</v>
      </c>
      <c r="V65" s="24" t="s">
        <v>689</v>
      </c>
      <c r="W65" s="24" t="s">
        <v>690</v>
      </c>
      <c r="X65" s="24" t="s">
        <v>68</v>
      </c>
      <c r="Y65" s="24">
        <v>36</v>
      </c>
      <c r="Z65" s="24" t="s">
        <v>172</v>
      </c>
      <c r="AA65" s="49">
        <v>45243</v>
      </c>
      <c r="AB65" s="24" t="s">
        <v>608</v>
      </c>
      <c r="AC65" s="24" t="s">
        <v>101</v>
      </c>
      <c r="AD65" s="24" t="s">
        <v>691</v>
      </c>
      <c r="AE65" s="24" t="s">
        <v>435</v>
      </c>
      <c r="AF65" s="24" t="s">
        <v>461</v>
      </c>
      <c r="AG65" s="24" t="s">
        <v>321</v>
      </c>
      <c r="AH65" s="24" t="s">
        <v>145</v>
      </c>
      <c r="AI65" s="24">
        <v>0</v>
      </c>
      <c r="AJ65" s="24">
        <v>0</v>
      </c>
      <c r="AK65" s="24">
        <v>0</v>
      </c>
      <c r="AL65" s="24" t="s">
        <v>78</v>
      </c>
      <c r="AM65" s="24">
        <v>5</v>
      </c>
      <c r="AN65" s="23" t="s">
        <v>105</v>
      </c>
      <c r="AO65" s="23" t="s">
        <v>692</v>
      </c>
      <c r="AP65" s="23" t="s">
        <v>92</v>
      </c>
      <c r="AQ65" s="27" t="str">
        <f>+Base_Accidentes[[#This Row],[Tipo de Accidente]]</f>
        <v>Acc. No Incapacitante</v>
      </c>
      <c r="AR65" s="23" cm="1">
        <f t="array" aca="1" ref="AR65" ca="1">+Base_Accidentes[Población]</f>
        <v>0</v>
      </c>
      <c r="AS65" s="23"/>
      <c r="AT65" s="23"/>
    </row>
    <row r="66" spans="1:46" ht="36" hidden="1" x14ac:dyDescent="0.3">
      <c r="A66" s="45">
        <v>65</v>
      </c>
      <c r="B66" s="24" t="s">
        <v>129</v>
      </c>
      <c r="C66" s="24" t="s">
        <v>1</v>
      </c>
      <c r="D66" s="24" t="s">
        <v>162</v>
      </c>
      <c r="E66" s="24" t="s">
        <v>163</v>
      </c>
      <c r="F66" s="24" t="s">
        <v>164</v>
      </c>
      <c r="G66" s="24" t="s">
        <v>428</v>
      </c>
      <c r="H66" s="24" t="s">
        <v>60</v>
      </c>
      <c r="I66" s="24" t="s">
        <v>438</v>
      </c>
      <c r="J66" s="24" t="s">
        <v>62</v>
      </c>
      <c r="K66" s="24" t="str">
        <f>IF(ISBLANK(Base_Accidentes[[#This Row],[Tipo de Accidente]])," ",Base_Accidentes[[#This Row],[Tipo de Accidente]])</f>
        <v>Acc. No Incapacitante</v>
      </c>
      <c r="L66" s="49">
        <v>45391</v>
      </c>
      <c r="M66" s="47">
        <f>_xlfn.ISOWEEKNUM(Base_Accidentes[[#This Row],[Fecha
(XX/XX/2024)]])</f>
        <v>15</v>
      </c>
      <c r="N66" s="23">
        <f>DAY(Base_Accidentes[[#This Row],[Fecha
(XX/XX/2024)]])</f>
        <v>9</v>
      </c>
      <c r="O66" s="23">
        <f>MONTH(Base_Accidentes[[#This Row],[Fecha
(XX/XX/2024)]])</f>
        <v>4</v>
      </c>
      <c r="P66" s="23">
        <f>YEAR(Base_Accidentes[[#This Row],[Fecha
(XX/XX/2024)]])</f>
        <v>2024</v>
      </c>
      <c r="Q66" s="48">
        <v>0.96875</v>
      </c>
      <c r="R66" s="24" t="s">
        <v>135</v>
      </c>
      <c r="S66" s="24" t="s">
        <v>167</v>
      </c>
      <c r="T66" s="24" t="s">
        <v>168</v>
      </c>
      <c r="U66" s="24" t="s">
        <v>693</v>
      </c>
      <c r="V66" s="24" t="s">
        <v>694</v>
      </c>
      <c r="W66" s="24" t="s">
        <v>695</v>
      </c>
      <c r="X66" s="24" t="s">
        <v>68</v>
      </c>
      <c r="Y66" s="24">
        <v>24</v>
      </c>
      <c r="Z66" s="24" t="s">
        <v>172</v>
      </c>
      <c r="AA66" s="49">
        <v>45245</v>
      </c>
      <c r="AB66" s="24" t="s">
        <v>696</v>
      </c>
      <c r="AC66" s="24" t="s">
        <v>71</v>
      </c>
      <c r="AD66" s="24" t="s">
        <v>697</v>
      </c>
      <c r="AE66" s="24" t="s">
        <v>103</v>
      </c>
      <c r="AF66" s="24" t="s">
        <v>698</v>
      </c>
      <c r="AG66" s="24" t="s">
        <v>321</v>
      </c>
      <c r="AH66" s="24" t="s">
        <v>145</v>
      </c>
      <c r="AI66" s="24">
        <v>0</v>
      </c>
      <c r="AJ66" s="24">
        <v>0</v>
      </c>
      <c r="AK66" s="24">
        <v>0</v>
      </c>
      <c r="AL66" s="24" t="s">
        <v>78</v>
      </c>
      <c r="AM66" s="24">
        <v>5</v>
      </c>
      <c r="AN66" s="23" t="s">
        <v>105</v>
      </c>
      <c r="AO66" s="23" t="s">
        <v>699</v>
      </c>
      <c r="AP66" s="23" t="s">
        <v>92</v>
      </c>
      <c r="AQ66" s="27" t="str">
        <f>+Base_Accidentes[[#This Row],[Tipo de Accidente]]</f>
        <v>Acc. No Incapacitante</v>
      </c>
      <c r="AR66" s="23" cm="1">
        <f t="array" aca="1" ref="AR66" ca="1">+Base_Accidentes[Población]</f>
        <v>0</v>
      </c>
      <c r="AS66" s="23"/>
      <c r="AT66" s="23"/>
    </row>
    <row r="67" spans="1:46" ht="24" hidden="1" x14ac:dyDescent="0.3">
      <c r="A67" s="45">
        <v>66</v>
      </c>
      <c r="B67" s="24" t="s">
        <v>129</v>
      </c>
      <c r="C67" s="24" t="s">
        <v>1</v>
      </c>
      <c r="D67" s="24" t="s">
        <v>162</v>
      </c>
      <c r="E67" s="24" t="s">
        <v>163</v>
      </c>
      <c r="F67" s="24" t="s">
        <v>164</v>
      </c>
      <c r="G67" s="24" t="s">
        <v>428</v>
      </c>
      <c r="H67" s="24" t="s">
        <v>60</v>
      </c>
      <c r="I67" s="24" t="s">
        <v>438</v>
      </c>
      <c r="J67" s="24" t="s">
        <v>62</v>
      </c>
      <c r="K67" s="24" t="str">
        <f>IF(ISBLANK(Base_Accidentes[[#This Row],[Tipo de Accidente]])," ",Base_Accidentes[[#This Row],[Tipo de Accidente]])</f>
        <v>Acc. No Incapacitante</v>
      </c>
      <c r="L67" s="49">
        <v>45396</v>
      </c>
      <c r="M67" s="47">
        <f>_xlfn.ISOWEEKNUM(Base_Accidentes[[#This Row],[Fecha
(XX/XX/2024)]])</f>
        <v>15</v>
      </c>
      <c r="N67" s="23">
        <f>DAY(Base_Accidentes[[#This Row],[Fecha
(XX/XX/2024)]])</f>
        <v>14</v>
      </c>
      <c r="O67" s="23">
        <f>MONTH(Base_Accidentes[[#This Row],[Fecha
(XX/XX/2024)]])</f>
        <v>4</v>
      </c>
      <c r="P67" s="23">
        <f>YEAR(Base_Accidentes[[#This Row],[Fecha
(XX/XX/2024)]])</f>
        <v>2024</v>
      </c>
      <c r="Q67" s="48">
        <v>0.59375</v>
      </c>
      <c r="R67" s="24" t="s">
        <v>587</v>
      </c>
      <c r="S67" s="24" t="s">
        <v>167</v>
      </c>
      <c r="T67" s="24" t="s">
        <v>168</v>
      </c>
      <c r="U67" s="24" t="s">
        <v>700</v>
      </c>
      <c r="V67" s="24" t="s">
        <v>701</v>
      </c>
      <c r="W67" s="24" t="s">
        <v>702</v>
      </c>
      <c r="X67" s="24" t="s">
        <v>98</v>
      </c>
      <c r="Y67" s="24">
        <v>37</v>
      </c>
      <c r="Z67" s="24" t="s">
        <v>172</v>
      </c>
      <c r="AA67" s="49">
        <v>44957</v>
      </c>
      <c r="AB67" s="24" t="s">
        <v>703</v>
      </c>
      <c r="AC67" s="24" t="s">
        <v>201</v>
      </c>
      <c r="AD67" s="24" t="s">
        <v>673</v>
      </c>
      <c r="AE67" s="24" t="s">
        <v>103</v>
      </c>
      <c r="AF67" s="24" t="s">
        <v>704</v>
      </c>
      <c r="AG67" s="24" t="s">
        <v>481</v>
      </c>
      <c r="AH67" s="24" t="s">
        <v>76</v>
      </c>
      <c r="AI67" s="24">
        <v>0</v>
      </c>
      <c r="AJ67" s="24">
        <v>0</v>
      </c>
      <c r="AK67" s="24">
        <v>0</v>
      </c>
      <c r="AL67" s="24" t="s">
        <v>78</v>
      </c>
      <c r="AM67" s="24">
        <v>2</v>
      </c>
      <c r="AN67" s="23" t="s">
        <v>401</v>
      </c>
      <c r="AO67" s="23" t="s">
        <v>705</v>
      </c>
      <c r="AP67" s="23" t="s">
        <v>92</v>
      </c>
      <c r="AQ67" s="27" t="str">
        <f>+Base_Accidentes[[#This Row],[Tipo de Accidente]]</f>
        <v>Acc. No Incapacitante</v>
      </c>
      <c r="AR67" s="23" cm="1">
        <f t="array" aca="1" ref="AR67" ca="1">+Base_Accidentes[Población]</f>
        <v>0</v>
      </c>
      <c r="AS67" s="23"/>
      <c r="AT67" s="23"/>
    </row>
    <row r="68" spans="1:46" ht="119.25" hidden="1" customHeight="1" x14ac:dyDescent="0.3">
      <c r="A68" s="45">
        <v>87</v>
      </c>
      <c r="B68" s="24" t="s">
        <v>129</v>
      </c>
      <c r="C68" s="24" t="s">
        <v>1</v>
      </c>
      <c r="D68" s="24" t="s">
        <v>56</v>
      </c>
      <c r="E68" s="23" t="s">
        <v>706</v>
      </c>
      <c r="F68" s="24" t="s">
        <v>707</v>
      </c>
      <c r="G68" s="24" t="s">
        <v>706</v>
      </c>
      <c r="H68" s="24" t="s">
        <v>60</v>
      </c>
      <c r="I68" s="24" t="s">
        <v>708</v>
      </c>
      <c r="J68" s="24" t="s">
        <v>113</v>
      </c>
      <c r="K68" s="24" t="str">
        <f>IF(ISBLANK(Base_Accidentes[[#This Row],[Tipo de Accidente]])," ",Base_Accidentes[[#This Row],[Tipo de Accidente]])</f>
        <v>Acc. Incapacitante</v>
      </c>
      <c r="L68" s="49">
        <v>45386</v>
      </c>
      <c r="M68" s="47">
        <f>_xlfn.ISOWEEKNUM(Base_Accidentes[[#This Row],[Fecha
(XX/XX/2024)]])</f>
        <v>14</v>
      </c>
      <c r="N68" s="23">
        <f>DAY(Base_Accidentes[[#This Row],[Fecha
(XX/XX/2024)]])</f>
        <v>4</v>
      </c>
      <c r="O68" s="23">
        <f>MONTH(Base_Accidentes[[#This Row],[Fecha
(XX/XX/2024)]])</f>
        <v>4</v>
      </c>
      <c r="P68" s="23">
        <f>YEAR(Base_Accidentes[[#This Row],[Fecha
(XX/XX/2024)]])</f>
        <v>2024</v>
      </c>
      <c r="Q68" s="48">
        <v>0.33333333333333331</v>
      </c>
      <c r="R68" s="23" t="s">
        <v>587</v>
      </c>
      <c r="S68" s="24" t="s">
        <v>10</v>
      </c>
      <c r="T68" s="24" t="s">
        <v>114</v>
      </c>
      <c r="U68" s="24" t="s">
        <v>709</v>
      </c>
      <c r="V68" s="24" t="s">
        <v>710</v>
      </c>
      <c r="W68" s="24" t="s">
        <v>711</v>
      </c>
      <c r="X68" s="24" t="s">
        <v>68</v>
      </c>
      <c r="Y68" s="24">
        <v>62</v>
      </c>
      <c r="Z68" s="24" t="s">
        <v>712</v>
      </c>
      <c r="AA68" s="49" t="s">
        <v>129</v>
      </c>
      <c r="AB68" s="24" t="s">
        <v>713</v>
      </c>
      <c r="AC68" s="24" t="s">
        <v>281</v>
      </c>
      <c r="AD68" s="24" t="s">
        <v>188</v>
      </c>
      <c r="AE68" s="24" t="s">
        <v>103</v>
      </c>
      <c r="AF68" s="24" t="s">
        <v>714</v>
      </c>
      <c r="AG68" s="24" t="s">
        <v>224</v>
      </c>
      <c r="AH68" s="24" t="s">
        <v>224</v>
      </c>
      <c r="AI68" s="24">
        <v>120</v>
      </c>
      <c r="AJ68" s="24">
        <v>0</v>
      </c>
      <c r="AK68" s="24">
        <v>120</v>
      </c>
      <c r="AL68" s="24" t="s">
        <v>78</v>
      </c>
      <c r="AM68" s="24">
        <f>21*12</f>
        <v>252</v>
      </c>
      <c r="AN68" s="23" t="s">
        <v>79</v>
      </c>
      <c r="AO68" s="24" t="s">
        <v>715</v>
      </c>
      <c r="AP68" s="23" t="s">
        <v>598</v>
      </c>
      <c r="AQ68" s="27" t="str">
        <f>+Base_Accidentes[[#This Row],[Tipo de Accidente]]</f>
        <v>Acc. Incapacitante</v>
      </c>
      <c r="AR68" s="23" cm="1">
        <f t="array" aca="1" ref="AR68" ca="1">+Base_Accidentes[Población]</f>
        <v>0</v>
      </c>
      <c r="AS68" s="23" t="s">
        <v>128</v>
      </c>
      <c r="AT68" s="23"/>
    </row>
    <row r="69" spans="1:46" ht="34.5" hidden="1" customHeight="1" x14ac:dyDescent="0.3">
      <c r="A69" s="45">
        <v>68</v>
      </c>
      <c r="B69" s="24" t="s">
        <v>129</v>
      </c>
      <c r="C69" s="24" t="s">
        <v>1</v>
      </c>
      <c r="D69" s="24" t="s">
        <v>356</v>
      </c>
      <c r="E69" s="24" t="s">
        <v>676</v>
      </c>
      <c r="F69" s="24" t="s">
        <v>358</v>
      </c>
      <c r="G69" s="24" t="s">
        <v>677</v>
      </c>
      <c r="H69" s="24" t="s">
        <v>60</v>
      </c>
      <c r="I69" s="24" t="s">
        <v>716</v>
      </c>
      <c r="J69" s="24" t="s">
        <v>62</v>
      </c>
      <c r="K69" s="24" t="str">
        <f>IF(ISBLANK(Base_Accidentes[[#This Row],[Tipo de Accidente]])," ",Base_Accidentes[[#This Row],[Tipo de Accidente]])</f>
        <v>Acc. No Incapacitante</v>
      </c>
      <c r="L69" s="49">
        <v>45398</v>
      </c>
      <c r="M69" s="47">
        <f>_xlfn.ISOWEEKNUM(Base_Accidentes[[#This Row],[Fecha
(XX/XX/2024)]])</f>
        <v>16</v>
      </c>
      <c r="N69" s="23">
        <f>DAY(Base_Accidentes[[#This Row],[Fecha
(XX/XX/2024)]])</f>
        <v>16</v>
      </c>
      <c r="O69" s="23">
        <f>MONTH(Base_Accidentes[[#This Row],[Fecha
(XX/XX/2024)]])</f>
        <v>4</v>
      </c>
      <c r="P69" s="23">
        <f>YEAR(Base_Accidentes[[#This Row],[Fecha
(XX/XX/2024)]])</f>
        <v>2024</v>
      </c>
      <c r="Q69" s="48">
        <v>0.27083333333333331</v>
      </c>
      <c r="R69" s="24" t="s">
        <v>587</v>
      </c>
      <c r="S69" s="24" t="s">
        <v>10</v>
      </c>
      <c r="T69" s="24" t="s">
        <v>717</v>
      </c>
      <c r="U69" s="24" t="s">
        <v>718</v>
      </c>
      <c r="V69" s="24" t="s">
        <v>719</v>
      </c>
      <c r="W69" s="24" t="s">
        <v>299</v>
      </c>
      <c r="X69" s="24" t="s">
        <v>68</v>
      </c>
      <c r="Y69" s="24">
        <v>33</v>
      </c>
      <c r="Z69" s="24" t="s">
        <v>720</v>
      </c>
      <c r="AA69" s="49">
        <v>42644</v>
      </c>
      <c r="AB69" s="53" t="s">
        <v>721</v>
      </c>
      <c r="AC69" s="24" t="s">
        <v>419</v>
      </c>
      <c r="AD69" s="24" t="s">
        <v>722</v>
      </c>
      <c r="AE69" s="24" t="s">
        <v>333</v>
      </c>
      <c r="AF69" s="24" t="s">
        <v>723</v>
      </c>
      <c r="AG69" s="24" t="s">
        <v>724</v>
      </c>
      <c r="AH69" s="24" t="s">
        <v>654</v>
      </c>
      <c r="AI69" s="24">
        <v>0</v>
      </c>
      <c r="AJ69" s="24">
        <v>0</v>
      </c>
      <c r="AK69" s="24">
        <v>0</v>
      </c>
      <c r="AL69" s="24" t="s">
        <v>78</v>
      </c>
      <c r="AM69" s="24">
        <v>96</v>
      </c>
      <c r="AN69" s="23" t="s">
        <v>146</v>
      </c>
      <c r="AO69" s="24" t="s">
        <v>725</v>
      </c>
      <c r="AP69" s="23" t="s">
        <v>598</v>
      </c>
      <c r="AQ69" s="27" t="str">
        <f>+Base_Accidentes[[#This Row],[Tipo de Accidente]]</f>
        <v>Acc. No Incapacitante</v>
      </c>
      <c r="AR69" s="23" cm="1">
        <f t="array" aca="1" ref="AR69" ca="1">+Base_Accidentes[Población]</f>
        <v>0</v>
      </c>
      <c r="AS69" s="23"/>
      <c r="AT69" s="23"/>
    </row>
    <row r="70" spans="1:46" ht="34.5" hidden="1" customHeight="1" x14ac:dyDescent="0.3">
      <c r="A70" s="45">
        <v>69</v>
      </c>
      <c r="B70" s="24" t="s">
        <v>726</v>
      </c>
      <c r="C70" s="23" t="s">
        <v>1</v>
      </c>
      <c r="D70" s="23" t="s">
        <v>56</v>
      </c>
      <c r="E70" s="51" t="s">
        <v>109</v>
      </c>
      <c r="F70" s="23" t="s">
        <v>110</v>
      </c>
      <c r="G70" s="24" t="s">
        <v>111</v>
      </c>
      <c r="H70" s="24" t="s">
        <v>60</v>
      </c>
      <c r="I70" s="24" t="s">
        <v>639</v>
      </c>
      <c r="J70" s="24" t="s">
        <v>62</v>
      </c>
      <c r="K70" s="24" t="str">
        <f>IF(ISBLANK(Base_Accidentes[[#This Row],[Tipo de Accidente]])," ",Base_Accidentes[[#This Row],[Tipo de Accidente]])</f>
        <v>Acc. No Incapacitante</v>
      </c>
      <c r="L70" s="49">
        <v>45399</v>
      </c>
      <c r="M70" s="47">
        <f>_xlfn.ISOWEEKNUM(Base_Accidentes[[#This Row],[Fecha
(XX/XX/2024)]])</f>
        <v>16</v>
      </c>
      <c r="N70" s="23">
        <f>DAY(Base_Accidentes[[#This Row],[Fecha
(XX/XX/2024)]])</f>
        <v>17</v>
      </c>
      <c r="O70" s="23">
        <f>MONTH(Base_Accidentes[[#This Row],[Fecha
(XX/XX/2024)]])</f>
        <v>4</v>
      </c>
      <c r="P70" s="23">
        <f>YEAR(Base_Accidentes[[#This Row],[Fecha
(XX/XX/2024)]])</f>
        <v>2024</v>
      </c>
      <c r="Q70" s="48">
        <v>0.3125</v>
      </c>
      <c r="R70" s="24" t="s">
        <v>587</v>
      </c>
      <c r="S70" s="24" t="s">
        <v>10</v>
      </c>
      <c r="T70" s="24" t="s">
        <v>64</v>
      </c>
      <c r="U70" s="24" t="s">
        <v>254</v>
      </c>
      <c r="V70" s="24" t="s">
        <v>727</v>
      </c>
      <c r="W70" s="24" t="s">
        <v>728</v>
      </c>
      <c r="X70" s="24" t="s">
        <v>98</v>
      </c>
      <c r="Y70" s="24">
        <v>51</v>
      </c>
      <c r="Z70" s="24" t="s">
        <v>729</v>
      </c>
      <c r="AA70" s="49">
        <v>37949</v>
      </c>
      <c r="AB70" s="24" t="s">
        <v>730</v>
      </c>
      <c r="AC70" s="24" t="s">
        <v>101</v>
      </c>
      <c r="AD70" s="24" t="s">
        <v>731</v>
      </c>
      <c r="AE70" s="24" t="s">
        <v>333</v>
      </c>
      <c r="AF70" s="24" t="s">
        <v>732</v>
      </c>
      <c r="AG70" s="24" t="s">
        <v>733</v>
      </c>
      <c r="AH70" s="24" t="s">
        <v>145</v>
      </c>
      <c r="AI70" s="24">
        <v>0</v>
      </c>
      <c r="AJ70" s="24">
        <v>0</v>
      </c>
      <c r="AK70" s="24">
        <v>0</v>
      </c>
      <c r="AL70" s="24" t="s">
        <v>78</v>
      </c>
      <c r="AM70" s="24">
        <v>31</v>
      </c>
      <c r="AN70" s="23" t="s">
        <v>190</v>
      </c>
      <c r="AO70" s="24" t="s">
        <v>734</v>
      </c>
      <c r="AP70" s="23" t="s">
        <v>81</v>
      </c>
      <c r="AQ70" s="27" t="str">
        <f>+Base_Accidentes[[#This Row],[Tipo de Accidente]]</f>
        <v>Acc. No Incapacitante</v>
      </c>
      <c r="AR70" s="23" cm="1">
        <f t="array" aca="1" ref="AR70" ca="1">+Base_Accidentes[Población]</f>
        <v>0</v>
      </c>
      <c r="AS70" s="23"/>
      <c r="AT70" s="23"/>
    </row>
    <row r="71" spans="1:46" ht="34.5" hidden="1" customHeight="1" x14ac:dyDescent="0.3">
      <c r="A71" s="45">
        <v>70</v>
      </c>
      <c r="B71" s="24" t="s">
        <v>129</v>
      </c>
      <c r="C71" s="24" t="s">
        <v>1</v>
      </c>
      <c r="D71" s="24" t="s">
        <v>356</v>
      </c>
      <c r="E71" s="24" t="s">
        <v>735</v>
      </c>
      <c r="F71" s="24" t="s">
        <v>736</v>
      </c>
      <c r="G71" s="24" t="s">
        <v>737</v>
      </c>
      <c r="H71" s="24" t="s">
        <v>60</v>
      </c>
      <c r="I71" s="24" t="s">
        <v>738</v>
      </c>
      <c r="J71" s="24" t="s">
        <v>62</v>
      </c>
      <c r="K71" s="24" t="str">
        <f>IF(ISBLANK(Base_Accidentes[[#This Row],[Tipo de Accidente]])," ",Base_Accidentes[[#This Row],[Tipo de Accidente]])</f>
        <v>Acc. No Incapacitante</v>
      </c>
      <c r="L71" s="49">
        <v>45402</v>
      </c>
      <c r="M71" s="47">
        <f>_xlfn.ISOWEEKNUM(Base_Accidentes[[#This Row],[Fecha
(XX/XX/2024)]])</f>
        <v>16</v>
      </c>
      <c r="N71" s="23">
        <f>DAY(Base_Accidentes[[#This Row],[Fecha
(XX/XX/2024)]])</f>
        <v>20</v>
      </c>
      <c r="O71" s="23">
        <f>MONTH(Base_Accidentes[[#This Row],[Fecha
(XX/XX/2024)]])</f>
        <v>4</v>
      </c>
      <c r="P71" s="23">
        <f>YEAR(Base_Accidentes[[#This Row],[Fecha
(XX/XX/2024)]])</f>
        <v>2024</v>
      </c>
      <c r="Q71" s="48">
        <v>0.89583333333333337</v>
      </c>
      <c r="R71" s="24" t="s">
        <v>135</v>
      </c>
      <c r="S71" s="24" t="s">
        <v>274</v>
      </c>
      <c r="T71" s="24" t="s">
        <v>739</v>
      </c>
      <c r="U71" s="24" t="s">
        <v>444</v>
      </c>
      <c r="V71" s="24" t="s">
        <v>740</v>
      </c>
      <c r="W71" s="24" t="s">
        <v>741</v>
      </c>
      <c r="X71" s="24" t="s">
        <v>68</v>
      </c>
      <c r="Y71" s="24">
        <v>23</v>
      </c>
      <c r="Z71" s="24" t="s">
        <v>742</v>
      </c>
      <c r="AA71" s="49">
        <v>45404</v>
      </c>
      <c r="AB71" s="53" t="s">
        <v>743</v>
      </c>
      <c r="AC71" s="24" t="s">
        <v>744</v>
      </c>
      <c r="AD71" s="24" t="s">
        <v>745</v>
      </c>
      <c r="AE71" s="24" t="s">
        <v>142</v>
      </c>
      <c r="AF71" s="24" t="s">
        <v>746</v>
      </c>
      <c r="AG71" s="24" t="s">
        <v>747</v>
      </c>
      <c r="AH71" s="24" t="s">
        <v>686</v>
      </c>
      <c r="AI71" s="24">
        <v>0</v>
      </c>
      <c r="AJ71" s="24">
        <v>0</v>
      </c>
      <c r="AK71" s="24">
        <v>0</v>
      </c>
      <c r="AL71" s="24" t="s">
        <v>78</v>
      </c>
      <c r="AM71" s="24">
        <v>24</v>
      </c>
      <c r="AN71" s="23" t="s">
        <v>240</v>
      </c>
      <c r="AO71" s="23" t="s">
        <v>748</v>
      </c>
      <c r="AP71" s="23" t="s">
        <v>92</v>
      </c>
      <c r="AQ71" s="27" t="str">
        <f>+Base_Accidentes[[#This Row],[Tipo de Accidente]]</f>
        <v>Acc. No Incapacitante</v>
      </c>
      <c r="AR71" s="23" cm="1">
        <f t="array" aca="1" ref="AR71" ca="1">+Base_Accidentes[Población]</f>
        <v>0</v>
      </c>
      <c r="AS71" s="23"/>
      <c r="AT71" s="23"/>
    </row>
    <row r="72" spans="1:46" ht="34.5" hidden="1" customHeight="1" x14ac:dyDescent="0.3">
      <c r="A72" s="45">
        <v>71</v>
      </c>
      <c r="B72" s="24" t="s">
        <v>129</v>
      </c>
      <c r="C72" s="24" t="s">
        <v>1</v>
      </c>
      <c r="D72" s="24" t="s">
        <v>56</v>
      </c>
      <c r="E72" s="24" t="s">
        <v>57</v>
      </c>
      <c r="F72" s="24" t="s">
        <v>58</v>
      </c>
      <c r="G72" s="24" t="s">
        <v>59</v>
      </c>
      <c r="H72" s="24" t="s">
        <v>60</v>
      </c>
      <c r="I72" s="24" t="s">
        <v>749</v>
      </c>
      <c r="J72" s="24" t="s">
        <v>62</v>
      </c>
      <c r="K72" s="24" t="str">
        <f>IF(ISBLANK(Base_Accidentes[[#This Row],[Tipo de Accidente]])," ",Base_Accidentes[[#This Row],[Tipo de Accidente]])</f>
        <v>Acc. No Incapacitante</v>
      </c>
      <c r="L72" s="49">
        <v>45407</v>
      </c>
      <c r="M72" s="47">
        <f>_xlfn.ISOWEEKNUM(Base_Accidentes[[#This Row],[Fecha
(XX/XX/2024)]])</f>
        <v>17</v>
      </c>
      <c r="N72" s="23">
        <f>DAY(Base_Accidentes[[#This Row],[Fecha
(XX/XX/2024)]])</f>
        <v>25</v>
      </c>
      <c r="O72" s="23">
        <f>MONTH(Base_Accidentes[[#This Row],[Fecha
(XX/XX/2024)]])</f>
        <v>4</v>
      </c>
      <c r="P72" s="23">
        <f>YEAR(Base_Accidentes[[#This Row],[Fecha
(XX/XX/2024)]])</f>
        <v>2024</v>
      </c>
      <c r="Q72" s="48">
        <v>0.94236111111111109</v>
      </c>
      <c r="R72" s="24" t="s">
        <v>84</v>
      </c>
      <c r="S72" s="24" t="s">
        <v>10</v>
      </c>
      <c r="T72" s="24" t="s">
        <v>64</v>
      </c>
      <c r="U72" s="24" t="s">
        <v>750</v>
      </c>
      <c r="V72" s="24" t="s">
        <v>751</v>
      </c>
      <c r="W72" s="24" t="s">
        <v>752</v>
      </c>
      <c r="X72" s="24" t="s">
        <v>68</v>
      </c>
      <c r="Y72" s="24">
        <v>57</v>
      </c>
      <c r="Z72" s="23" t="s">
        <v>753</v>
      </c>
      <c r="AA72" s="49">
        <v>34974</v>
      </c>
      <c r="AB72" s="24" t="s">
        <v>754</v>
      </c>
      <c r="AC72" s="24" t="s">
        <v>755</v>
      </c>
      <c r="AD72" s="24" t="s">
        <v>157</v>
      </c>
      <c r="AE72" s="24" t="s">
        <v>157</v>
      </c>
      <c r="AF72" s="24" t="s">
        <v>756</v>
      </c>
      <c r="AG72" s="24" t="s">
        <v>757</v>
      </c>
      <c r="AH72" s="24" t="s">
        <v>145</v>
      </c>
      <c r="AI72" s="24">
        <v>0</v>
      </c>
      <c r="AJ72" s="24">
        <v>0</v>
      </c>
      <c r="AK72" s="24">
        <v>0</v>
      </c>
      <c r="AL72" s="24" t="s">
        <v>78</v>
      </c>
      <c r="AM72" s="24">
        <v>348</v>
      </c>
      <c r="AN72" s="23" t="s">
        <v>79</v>
      </c>
      <c r="AO72" s="23" t="s">
        <v>758</v>
      </c>
      <c r="AP72" s="23" t="s">
        <v>598</v>
      </c>
      <c r="AQ72" s="27" t="str">
        <f>+Base_Accidentes[[#This Row],[Tipo de Accidente]]</f>
        <v>Acc. No Incapacitante</v>
      </c>
      <c r="AR72" s="23" cm="1">
        <f t="array" aca="1" ref="AR72" ca="1">+Base_Accidentes[Población]</f>
        <v>0</v>
      </c>
      <c r="AS72" s="23"/>
      <c r="AT72" s="23"/>
    </row>
    <row r="73" spans="1:46" ht="34.5" hidden="1" customHeight="1" x14ac:dyDescent="0.3">
      <c r="A73" s="45">
        <v>72</v>
      </c>
      <c r="B73" s="24" t="s">
        <v>129</v>
      </c>
      <c r="C73" s="24" t="s">
        <v>1</v>
      </c>
      <c r="D73" s="24" t="s">
        <v>56</v>
      </c>
      <c r="E73" s="24" t="s">
        <v>322</v>
      </c>
      <c r="F73" s="24" t="s">
        <v>759</v>
      </c>
      <c r="G73" s="24" t="s">
        <v>322</v>
      </c>
      <c r="H73" s="24" t="s">
        <v>184</v>
      </c>
      <c r="I73" s="24" t="s">
        <v>184</v>
      </c>
      <c r="J73" s="24" t="s">
        <v>62</v>
      </c>
      <c r="K73" s="24" t="str">
        <f>IF(ISBLANK(Base_Accidentes[[#This Row],[Tipo de Accidente]])," ",Base_Accidentes[[#This Row],[Tipo de Accidente]])</f>
        <v>Acc. No Incapacitante</v>
      </c>
      <c r="L73" s="49">
        <v>45412</v>
      </c>
      <c r="M73" s="47">
        <f>_xlfn.ISOWEEKNUM(Base_Accidentes[[#This Row],[Fecha
(XX/XX/2024)]])</f>
        <v>18</v>
      </c>
      <c r="N73" s="23">
        <f>DAY(Base_Accidentes[[#This Row],[Fecha
(XX/XX/2024)]])</f>
        <v>30</v>
      </c>
      <c r="O73" s="23">
        <f>MONTH(Base_Accidentes[[#This Row],[Fecha
(XX/XX/2024)]])</f>
        <v>4</v>
      </c>
      <c r="P73" s="23">
        <f>YEAR(Base_Accidentes[[#This Row],[Fecha
(XX/XX/2024)]])</f>
        <v>2024</v>
      </c>
      <c r="Q73" s="48">
        <v>0.42708333333333331</v>
      </c>
      <c r="R73" s="24" t="s">
        <v>587</v>
      </c>
      <c r="S73" s="24" t="s">
        <v>10</v>
      </c>
      <c r="T73" s="24" t="s">
        <v>64</v>
      </c>
      <c r="U73" s="24" t="s">
        <v>760</v>
      </c>
      <c r="V73" s="24" t="s">
        <v>761</v>
      </c>
      <c r="W73" s="24" t="s">
        <v>762</v>
      </c>
      <c r="X73" s="24" t="s">
        <v>68</v>
      </c>
      <c r="Y73" s="24">
        <v>24</v>
      </c>
      <c r="Z73" s="23" t="s">
        <v>763</v>
      </c>
      <c r="AA73" s="49">
        <v>45412</v>
      </c>
      <c r="AB73" s="24" t="s">
        <v>764</v>
      </c>
      <c r="AC73" s="24" t="s">
        <v>575</v>
      </c>
      <c r="AD73" s="24" t="s">
        <v>249</v>
      </c>
      <c r="AE73" s="24" t="s">
        <v>249</v>
      </c>
      <c r="AF73" s="24" t="s">
        <v>756</v>
      </c>
      <c r="AG73" s="24" t="s">
        <v>765</v>
      </c>
      <c r="AH73" s="24" t="s">
        <v>294</v>
      </c>
      <c r="AI73" s="24">
        <v>0</v>
      </c>
      <c r="AJ73" s="24">
        <v>0</v>
      </c>
      <c r="AK73" s="24">
        <v>0</v>
      </c>
      <c r="AL73" s="24" t="s">
        <v>78</v>
      </c>
      <c r="AM73" s="24">
        <v>7</v>
      </c>
      <c r="AN73" s="23" t="s">
        <v>177</v>
      </c>
      <c r="AO73" s="23" t="s">
        <v>766</v>
      </c>
      <c r="AP73" s="23" t="s">
        <v>598</v>
      </c>
      <c r="AQ73" s="27" t="str">
        <f>+Base_Accidentes[[#This Row],[Tipo de Accidente]]</f>
        <v>Acc. No Incapacitante</v>
      </c>
      <c r="AR73" s="23" cm="1">
        <f t="array" aca="1" ref="AR73" ca="1">+Base_Accidentes[Población]</f>
        <v>0</v>
      </c>
      <c r="AS73" s="23"/>
      <c r="AT73" s="23"/>
    </row>
    <row r="74" spans="1:46" ht="25.5" hidden="1" customHeight="1" x14ac:dyDescent="0.3">
      <c r="A74" s="45">
        <v>73</v>
      </c>
      <c r="B74" s="24" t="s">
        <v>767</v>
      </c>
      <c r="C74" s="24" t="s">
        <v>1</v>
      </c>
      <c r="D74" s="24" t="s">
        <v>56</v>
      </c>
      <c r="E74" s="24" t="s">
        <v>768</v>
      </c>
      <c r="F74" s="24" t="s">
        <v>323</v>
      </c>
      <c r="G74" s="24" t="s">
        <v>769</v>
      </c>
      <c r="H74" s="24" t="s">
        <v>312</v>
      </c>
      <c r="I74" s="24" t="s">
        <v>312</v>
      </c>
      <c r="J74" s="24" t="s">
        <v>62</v>
      </c>
      <c r="K74" s="24" t="str">
        <f>IF(ISBLANK(Base_Accidentes[[#This Row],[Tipo de Accidente]])," ",Base_Accidentes[[#This Row],[Tipo de Accidente]])</f>
        <v>Acc. No Incapacitante</v>
      </c>
      <c r="L74" s="49">
        <v>45366</v>
      </c>
      <c r="M74" s="47">
        <f>_xlfn.ISOWEEKNUM(Base_Accidentes[[#This Row],[Fecha
(XX/XX/2024)]])</f>
        <v>11</v>
      </c>
      <c r="N74" s="23">
        <f>DAY(Base_Accidentes[[#This Row],[Fecha
(XX/XX/2024)]])</f>
        <v>15</v>
      </c>
      <c r="O74" s="23">
        <f>MONTH(Base_Accidentes[[#This Row],[Fecha
(XX/XX/2024)]])</f>
        <v>3</v>
      </c>
      <c r="P74" s="23">
        <f>YEAR(Base_Accidentes[[#This Row],[Fecha
(XX/XX/2024)]])</f>
        <v>2024</v>
      </c>
      <c r="Q74" s="48">
        <v>0.97916666666666663</v>
      </c>
      <c r="R74" s="24" t="s">
        <v>135</v>
      </c>
      <c r="S74" s="24" t="s">
        <v>10</v>
      </c>
      <c r="T74" s="24" t="s">
        <v>64</v>
      </c>
      <c r="U74" s="24" t="s">
        <v>770</v>
      </c>
      <c r="V74" s="24" t="s">
        <v>771</v>
      </c>
      <c r="W74" s="24" t="s">
        <v>772</v>
      </c>
      <c r="X74" s="24" t="s">
        <v>68</v>
      </c>
      <c r="Y74" s="24" t="s">
        <v>129</v>
      </c>
      <c r="Z74" s="23" t="s">
        <v>129</v>
      </c>
      <c r="AA74" s="49" t="s">
        <v>129</v>
      </c>
      <c r="AB74" s="24" t="s">
        <v>773</v>
      </c>
      <c r="AC74" s="24" t="s">
        <v>234</v>
      </c>
      <c r="AD74" s="24" t="s">
        <v>774</v>
      </c>
      <c r="AE74" s="24" t="s">
        <v>249</v>
      </c>
      <c r="AF74" s="24" t="s">
        <v>775</v>
      </c>
      <c r="AG74" s="24" t="s">
        <v>776</v>
      </c>
      <c r="AH74" s="24" t="s">
        <v>294</v>
      </c>
      <c r="AI74" s="24">
        <v>0</v>
      </c>
      <c r="AJ74" s="24"/>
      <c r="AK74" s="24"/>
      <c r="AL74" s="26" t="s">
        <v>777</v>
      </c>
      <c r="AM74" s="26">
        <v>15</v>
      </c>
      <c r="AN74" s="26" t="s">
        <v>190</v>
      </c>
      <c r="AO74" s="23" t="s">
        <v>778</v>
      </c>
      <c r="AP74" s="31" t="s">
        <v>779</v>
      </c>
      <c r="AQ74" s="27" t="str">
        <f>+Base_Accidentes[[#This Row],[Tipo de Accidente]]</f>
        <v>Acc. No Incapacitante</v>
      </c>
      <c r="AR74" s="23" cm="1">
        <f t="array" aca="1" ref="AR74" ca="1">+Base_Accidentes[Población]</f>
        <v>0</v>
      </c>
      <c r="AS74" s="26" t="s">
        <v>780</v>
      </c>
      <c r="AT74" s="23"/>
    </row>
    <row r="75" spans="1:46" ht="34.5" hidden="1" customHeight="1" x14ac:dyDescent="0.3">
      <c r="A75" s="45">
        <v>59</v>
      </c>
      <c r="B75" s="24" t="s">
        <v>781</v>
      </c>
      <c r="C75" s="24" t="s">
        <v>1</v>
      </c>
      <c r="D75" s="24" t="s">
        <v>162</v>
      </c>
      <c r="E75" s="24" t="s">
        <v>227</v>
      </c>
      <c r="F75" s="24" t="s">
        <v>164</v>
      </c>
      <c r="G75" s="24" t="s">
        <v>228</v>
      </c>
      <c r="H75" s="24" t="s">
        <v>60</v>
      </c>
      <c r="I75" s="24" t="s">
        <v>782</v>
      </c>
      <c r="J75" s="24" t="s">
        <v>113</v>
      </c>
      <c r="K75" s="24" t="str">
        <f>IF(ISBLANK(Base_Accidentes[[#This Row],[Tipo de Accidente]])," ",Base_Accidentes[[#This Row],[Tipo de Accidente]])</f>
        <v>Acc. Incapacitante</v>
      </c>
      <c r="L75" s="49">
        <v>45391</v>
      </c>
      <c r="M75" s="47">
        <f>_xlfn.ISOWEEKNUM(Base_Accidentes[[#This Row],[Fecha
(XX/XX/2024)]])</f>
        <v>15</v>
      </c>
      <c r="N75" s="23">
        <f>DAY(Base_Accidentes[[#This Row],[Fecha
(XX/XX/2024)]])</f>
        <v>9</v>
      </c>
      <c r="O75" s="23">
        <f>MONTH(Base_Accidentes[[#This Row],[Fecha
(XX/XX/2024)]])</f>
        <v>4</v>
      </c>
      <c r="P75" s="23">
        <f>YEAR(Base_Accidentes[[#This Row],[Fecha
(XX/XX/2024)]])</f>
        <v>2024</v>
      </c>
      <c r="Q75" s="48">
        <v>0.35416666666666669</v>
      </c>
      <c r="R75" s="24" t="s">
        <v>587</v>
      </c>
      <c r="S75" s="24" t="s">
        <v>167</v>
      </c>
      <c r="T75" s="24" t="s">
        <v>168</v>
      </c>
      <c r="U75" s="24" t="s">
        <v>783</v>
      </c>
      <c r="V75" s="24" t="s">
        <v>784</v>
      </c>
      <c r="W75" s="24" t="s">
        <v>785</v>
      </c>
      <c r="X75" s="24" t="s">
        <v>68</v>
      </c>
      <c r="Y75" s="24">
        <v>27</v>
      </c>
      <c r="Z75" s="24" t="s">
        <v>172</v>
      </c>
      <c r="AA75" s="49">
        <v>45352</v>
      </c>
      <c r="AB75" s="24" t="s">
        <v>786</v>
      </c>
      <c r="AC75" s="24" t="s">
        <v>101</v>
      </c>
      <c r="AD75" s="24" t="s">
        <v>443</v>
      </c>
      <c r="AE75" s="24" t="s">
        <v>435</v>
      </c>
      <c r="AF75" s="24" t="s">
        <v>787</v>
      </c>
      <c r="AG75" s="24" t="s">
        <v>788</v>
      </c>
      <c r="AH75" s="24" t="s">
        <v>125</v>
      </c>
      <c r="AI75" s="24">
        <v>4</v>
      </c>
      <c r="AJ75" s="24">
        <v>0</v>
      </c>
      <c r="AK75" s="24">
        <v>4</v>
      </c>
      <c r="AL75" s="24" t="s">
        <v>789</v>
      </c>
      <c r="AM75" s="24">
        <v>1</v>
      </c>
      <c r="AN75" s="23" t="s">
        <v>401</v>
      </c>
      <c r="AO75" s="23" t="s">
        <v>790</v>
      </c>
      <c r="AP75" s="23" t="s">
        <v>92</v>
      </c>
      <c r="AQ75" s="27" t="str">
        <f>+Base_Accidentes[[#This Row],[Tipo de Accidente]]</f>
        <v>Acc. Incapacitante</v>
      </c>
      <c r="AR75" s="23" cm="1">
        <f t="array" aca="1" ref="AR75" ca="1">+Base_Accidentes[Población]</f>
        <v>0</v>
      </c>
      <c r="AS75" s="23" t="s">
        <v>128</v>
      </c>
      <c r="AT75" s="85"/>
    </row>
    <row r="76" spans="1:46" ht="34.5" hidden="1" customHeight="1" x14ac:dyDescent="0.3">
      <c r="A76" s="45">
        <v>75</v>
      </c>
      <c r="B76" s="24" t="s">
        <v>129</v>
      </c>
      <c r="C76" s="24" t="s">
        <v>130</v>
      </c>
      <c r="D76" s="24" t="s">
        <v>131</v>
      </c>
      <c r="E76" s="51"/>
      <c r="F76" s="24" t="s">
        <v>148</v>
      </c>
      <c r="G76" s="24" t="s">
        <v>149</v>
      </c>
      <c r="H76" s="24" t="s">
        <v>60</v>
      </c>
      <c r="I76" s="24" t="s">
        <v>791</v>
      </c>
      <c r="J76" s="24" t="s">
        <v>62</v>
      </c>
      <c r="K76" s="24" t="str">
        <f>IF(ISBLANK(Base_Accidentes[[#This Row],[Tipo de Accidente]])," ",Base_Accidentes[[#This Row],[Tipo de Accidente]])</f>
        <v>Acc. No Incapacitante</v>
      </c>
      <c r="L76" s="49">
        <v>45395</v>
      </c>
      <c r="M76" s="47">
        <f>_xlfn.ISOWEEKNUM(Base_Accidentes[[#This Row],[Fecha
(XX/XX/2024)]])</f>
        <v>15</v>
      </c>
      <c r="N76" s="23">
        <f>DAY(Base_Accidentes[[#This Row],[Fecha
(XX/XX/2024)]])</f>
        <v>13</v>
      </c>
      <c r="O76" s="23">
        <f>MONTH(Base_Accidentes[[#This Row],[Fecha
(XX/XX/2024)]])</f>
        <v>4</v>
      </c>
      <c r="P76" s="23">
        <f>YEAR(Base_Accidentes[[#This Row],[Fecha
(XX/XX/2024)]])</f>
        <v>2024</v>
      </c>
      <c r="Q76" s="48">
        <v>0.39583333333333331</v>
      </c>
      <c r="R76" s="24" t="s">
        <v>63</v>
      </c>
      <c r="S76" s="24" t="s">
        <v>9</v>
      </c>
      <c r="T76" s="24" t="s">
        <v>792</v>
      </c>
      <c r="U76" s="24" t="s">
        <v>793</v>
      </c>
      <c r="V76" s="24" t="s">
        <v>794</v>
      </c>
      <c r="W76" s="24" t="s">
        <v>795</v>
      </c>
      <c r="X76" s="24" t="s">
        <v>68</v>
      </c>
      <c r="Y76" s="24">
        <v>26</v>
      </c>
      <c r="Z76" s="24" t="s">
        <v>796</v>
      </c>
      <c r="AA76" s="49">
        <v>44971</v>
      </c>
      <c r="AB76" s="24" t="s">
        <v>797</v>
      </c>
      <c r="AC76" s="24" t="s">
        <v>71</v>
      </c>
      <c r="AD76" s="24" t="s">
        <v>798</v>
      </c>
      <c r="AE76" s="24" t="s">
        <v>157</v>
      </c>
      <c r="AF76" s="24" t="s">
        <v>799</v>
      </c>
      <c r="AG76" s="24" t="s">
        <v>800</v>
      </c>
      <c r="AH76" s="24" t="s">
        <v>145</v>
      </c>
      <c r="AI76" s="24">
        <v>0</v>
      </c>
      <c r="AJ76" s="24">
        <v>0</v>
      </c>
      <c r="AK76" s="24">
        <v>0</v>
      </c>
      <c r="AL76" s="24" t="s">
        <v>78</v>
      </c>
      <c r="AM76" s="24">
        <v>12</v>
      </c>
      <c r="AN76" s="23" t="s">
        <v>177</v>
      </c>
      <c r="AO76" s="23" t="s">
        <v>801</v>
      </c>
      <c r="AP76" s="23" t="s">
        <v>92</v>
      </c>
      <c r="AQ76" s="27" t="str">
        <f>+Base_Accidentes[[#This Row],[Tipo de Accidente]]</f>
        <v>Acc. No Incapacitante</v>
      </c>
      <c r="AR76" s="23" cm="1">
        <f t="array" aca="1" ref="AR76" ca="1">+Base_Accidentes[Población]</f>
        <v>0</v>
      </c>
      <c r="AS76" s="23"/>
      <c r="AT76" s="23"/>
    </row>
    <row r="77" spans="1:46" ht="34.5" hidden="1" customHeight="1" x14ac:dyDescent="0.3">
      <c r="A77" s="45">
        <v>76</v>
      </c>
      <c r="B77" s="24" t="s">
        <v>129</v>
      </c>
      <c r="C77" s="24" t="s">
        <v>130</v>
      </c>
      <c r="D77" s="24" t="s">
        <v>131</v>
      </c>
      <c r="E77" s="51"/>
      <c r="F77" s="24" t="s">
        <v>148</v>
      </c>
      <c r="G77" s="24" t="s">
        <v>149</v>
      </c>
      <c r="H77" s="24" t="s">
        <v>60</v>
      </c>
      <c r="I77" s="24" t="s">
        <v>802</v>
      </c>
      <c r="J77" s="24" t="s">
        <v>62</v>
      </c>
      <c r="K77" s="24" t="str">
        <f>IF(ISBLANK(Base_Accidentes[[#This Row],[Tipo de Accidente]])," ",Base_Accidentes[[#This Row],[Tipo de Accidente]])</f>
        <v>Acc. No Incapacitante</v>
      </c>
      <c r="L77" s="49">
        <v>45406</v>
      </c>
      <c r="M77" s="47">
        <f>_xlfn.ISOWEEKNUM(Base_Accidentes[[#This Row],[Fecha
(XX/XX/2024)]])</f>
        <v>17</v>
      </c>
      <c r="N77" s="23">
        <f>DAY(Base_Accidentes[[#This Row],[Fecha
(XX/XX/2024)]])</f>
        <v>24</v>
      </c>
      <c r="O77" s="23">
        <f>MONTH(Base_Accidentes[[#This Row],[Fecha
(XX/XX/2024)]])</f>
        <v>4</v>
      </c>
      <c r="P77" s="23">
        <f>YEAR(Base_Accidentes[[#This Row],[Fecha
(XX/XX/2024)]])</f>
        <v>2024</v>
      </c>
      <c r="Q77" s="48">
        <v>0.52083333333333337</v>
      </c>
      <c r="R77" s="24" t="s">
        <v>63</v>
      </c>
      <c r="S77" s="24" t="s">
        <v>9</v>
      </c>
      <c r="T77" s="24" t="s">
        <v>803</v>
      </c>
      <c r="U77" s="24" t="s">
        <v>804</v>
      </c>
      <c r="V77" s="24" t="s">
        <v>457</v>
      </c>
      <c r="W77" s="24" t="s">
        <v>805</v>
      </c>
      <c r="X77" s="24" t="s">
        <v>68</v>
      </c>
      <c r="Y77" s="24">
        <v>40</v>
      </c>
      <c r="Z77" s="24" t="s">
        <v>796</v>
      </c>
      <c r="AA77" s="49">
        <v>44769</v>
      </c>
      <c r="AB77" s="24" t="s">
        <v>806</v>
      </c>
      <c r="AC77" s="24" t="s">
        <v>101</v>
      </c>
      <c r="AD77" s="24" t="s">
        <v>807</v>
      </c>
      <c r="AE77" s="24" t="s">
        <v>103</v>
      </c>
      <c r="AF77" s="24" t="s">
        <v>808</v>
      </c>
      <c r="AG77" s="24" t="s">
        <v>809</v>
      </c>
      <c r="AH77" s="24" t="s">
        <v>145</v>
      </c>
      <c r="AI77" s="24">
        <v>0</v>
      </c>
      <c r="AJ77" s="24">
        <v>0</v>
      </c>
      <c r="AK77" s="24">
        <v>0</v>
      </c>
      <c r="AL77" s="24" t="s">
        <v>78</v>
      </c>
      <c r="AM77" s="24">
        <v>12</v>
      </c>
      <c r="AN77" s="23" t="s">
        <v>177</v>
      </c>
      <c r="AO77" s="23" t="s">
        <v>810</v>
      </c>
      <c r="AP77" s="23" t="s">
        <v>92</v>
      </c>
      <c r="AQ77" s="27" t="str">
        <f>+Base_Accidentes[[#This Row],[Tipo de Accidente]]</f>
        <v>Acc. No Incapacitante</v>
      </c>
      <c r="AR77" s="23" cm="1">
        <f t="array" aca="1" ref="AR77" ca="1">+Base_Accidentes[Población]</f>
        <v>0</v>
      </c>
      <c r="AS77" s="23"/>
      <c r="AT77" s="23"/>
    </row>
    <row r="78" spans="1:46" ht="34.5" hidden="1" customHeight="1" x14ac:dyDescent="0.3">
      <c r="A78" s="45">
        <v>77</v>
      </c>
      <c r="B78" s="24" t="s">
        <v>129</v>
      </c>
      <c r="C78" s="24" t="s">
        <v>130</v>
      </c>
      <c r="D78" s="24" t="s">
        <v>131</v>
      </c>
      <c r="E78" s="51"/>
      <c r="F78" s="24" t="s">
        <v>323</v>
      </c>
      <c r="G78" s="24" t="s">
        <v>811</v>
      </c>
      <c r="H78" s="24" t="s">
        <v>60</v>
      </c>
      <c r="I78" s="24" t="s">
        <v>812</v>
      </c>
      <c r="J78" s="24" t="s">
        <v>62</v>
      </c>
      <c r="K78" s="24" t="str">
        <f>IF(ISBLANK(Base_Accidentes[[#This Row],[Tipo de Accidente]])," ",Base_Accidentes[[#This Row],[Tipo de Accidente]])</f>
        <v>Acc. No Incapacitante</v>
      </c>
      <c r="L78" s="49">
        <v>45408</v>
      </c>
      <c r="M78" s="47">
        <f>_xlfn.ISOWEEKNUM(Base_Accidentes[[#This Row],[Fecha
(XX/XX/2024)]])</f>
        <v>17</v>
      </c>
      <c r="N78" s="23">
        <f>DAY(Base_Accidentes[[#This Row],[Fecha
(XX/XX/2024)]])</f>
        <v>26</v>
      </c>
      <c r="O78" s="23">
        <f>MONTH(Base_Accidentes[[#This Row],[Fecha
(XX/XX/2024)]])</f>
        <v>4</v>
      </c>
      <c r="P78" s="23">
        <f>YEAR(Base_Accidentes[[#This Row],[Fecha
(XX/XX/2024)]])</f>
        <v>2024</v>
      </c>
      <c r="Q78" s="48">
        <v>0.22916666666666666</v>
      </c>
      <c r="R78" s="24" t="s">
        <v>63</v>
      </c>
      <c r="S78" s="24" t="s">
        <v>9</v>
      </c>
      <c r="T78" s="24" t="s">
        <v>813</v>
      </c>
      <c r="U78" s="24" t="s">
        <v>814</v>
      </c>
      <c r="V78" s="24" t="s">
        <v>815</v>
      </c>
      <c r="W78" s="24" t="s">
        <v>816</v>
      </c>
      <c r="X78" s="24" t="s">
        <v>68</v>
      </c>
      <c r="Y78" s="24">
        <v>28</v>
      </c>
      <c r="Z78" s="24" t="s">
        <v>539</v>
      </c>
      <c r="AA78" s="49">
        <v>45405</v>
      </c>
      <c r="AB78" s="24" t="s">
        <v>817</v>
      </c>
      <c r="AC78" s="24" t="s">
        <v>71</v>
      </c>
      <c r="AD78" s="24" t="s">
        <v>818</v>
      </c>
      <c r="AE78" s="24" t="s">
        <v>235</v>
      </c>
      <c r="AF78" s="24" t="s">
        <v>819</v>
      </c>
      <c r="AG78" s="24" t="s">
        <v>820</v>
      </c>
      <c r="AH78" s="24" t="s">
        <v>76</v>
      </c>
      <c r="AI78" s="24">
        <v>0</v>
      </c>
      <c r="AJ78" s="24">
        <v>0</v>
      </c>
      <c r="AK78" s="24">
        <v>0</v>
      </c>
      <c r="AL78" s="24" t="s">
        <v>78</v>
      </c>
      <c r="AM78" s="24">
        <v>18</v>
      </c>
      <c r="AN78" s="23" t="s">
        <v>190</v>
      </c>
      <c r="AO78" s="24" t="s">
        <v>821</v>
      </c>
      <c r="AP78" s="23" t="s">
        <v>92</v>
      </c>
      <c r="AQ78" s="27" t="str">
        <f>+Base_Accidentes[[#This Row],[Tipo de Accidente]]</f>
        <v>Acc. No Incapacitante</v>
      </c>
      <c r="AR78" s="23" cm="1">
        <f t="array" aca="1" ref="AR78" ca="1">+Base_Accidentes[Población]</f>
        <v>0</v>
      </c>
      <c r="AS78" s="23"/>
      <c r="AT78" s="23"/>
    </row>
    <row r="79" spans="1:46" ht="48" hidden="1" x14ac:dyDescent="0.3">
      <c r="A79" s="45">
        <v>78</v>
      </c>
      <c r="B79" s="24" t="s">
        <v>129</v>
      </c>
      <c r="C79" s="24" t="s">
        <v>1</v>
      </c>
      <c r="D79" s="24" t="s">
        <v>162</v>
      </c>
      <c r="E79" s="24" t="s">
        <v>163</v>
      </c>
      <c r="F79" s="24" t="s">
        <v>164</v>
      </c>
      <c r="G79" s="24" t="s">
        <v>428</v>
      </c>
      <c r="H79" s="24" t="s">
        <v>60</v>
      </c>
      <c r="I79" s="24" t="s">
        <v>475</v>
      </c>
      <c r="J79" s="24" t="s">
        <v>62</v>
      </c>
      <c r="K79" s="24" t="str">
        <f>IF(ISBLANK(Base_Accidentes[[#This Row],[Tipo de Accidente]])," ",Base_Accidentes[[#This Row],[Tipo de Accidente]])</f>
        <v>Acc. No Incapacitante</v>
      </c>
      <c r="L79" s="49">
        <v>45399</v>
      </c>
      <c r="M79" s="47">
        <f>_xlfn.ISOWEEKNUM(Base_Accidentes[[#This Row],[Fecha
(XX/XX/2024)]])</f>
        <v>16</v>
      </c>
      <c r="N79" s="23">
        <f>DAY(Base_Accidentes[[#This Row],[Fecha
(XX/XX/2024)]])</f>
        <v>17</v>
      </c>
      <c r="O79" s="23">
        <f>MONTH(Base_Accidentes[[#This Row],[Fecha
(XX/XX/2024)]])</f>
        <v>4</v>
      </c>
      <c r="P79" s="23">
        <f>YEAR(Base_Accidentes[[#This Row],[Fecha
(XX/XX/2024)]])</f>
        <v>2024</v>
      </c>
      <c r="Q79" s="48">
        <v>0.77986111111111112</v>
      </c>
      <c r="R79" s="24" t="s">
        <v>587</v>
      </c>
      <c r="S79" s="24" t="s">
        <v>167</v>
      </c>
      <c r="T79" s="24" t="s">
        <v>168</v>
      </c>
      <c r="U79" s="24" t="s">
        <v>822</v>
      </c>
      <c r="V79" s="24" t="s">
        <v>823</v>
      </c>
      <c r="W79" s="24" t="s">
        <v>824</v>
      </c>
      <c r="X79" s="24" t="s">
        <v>98</v>
      </c>
      <c r="Y79" s="24">
        <v>38</v>
      </c>
      <c r="Z79" s="24" t="s">
        <v>172</v>
      </c>
      <c r="AA79" s="49">
        <v>45251</v>
      </c>
      <c r="AB79" s="24" t="s">
        <v>825</v>
      </c>
      <c r="AC79" s="24" t="s">
        <v>826</v>
      </c>
      <c r="AD79" s="24" t="s">
        <v>827</v>
      </c>
      <c r="AE79" s="24" t="s">
        <v>142</v>
      </c>
      <c r="AF79" s="24" t="s">
        <v>828</v>
      </c>
      <c r="AG79" s="24" t="s">
        <v>321</v>
      </c>
      <c r="AH79" s="24" t="s">
        <v>145</v>
      </c>
      <c r="AI79" s="24">
        <v>0</v>
      </c>
      <c r="AJ79" s="24">
        <v>0</v>
      </c>
      <c r="AK79" s="24">
        <v>0</v>
      </c>
      <c r="AL79" s="24" t="s">
        <v>78</v>
      </c>
      <c r="AM79" s="24">
        <v>5</v>
      </c>
      <c r="AN79" s="23" t="s">
        <v>105</v>
      </c>
      <c r="AO79" s="23" t="s">
        <v>829</v>
      </c>
      <c r="AP79" s="23" t="s">
        <v>92</v>
      </c>
      <c r="AQ79" s="27" t="str">
        <f>+Base_Accidentes[[#This Row],[Tipo de Accidente]]</f>
        <v>Acc. No Incapacitante</v>
      </c>
      <c r="AR79" s="23" cm="1">
        <f t="array" aca="1" ref="AR79" ca="1">+Base_Accidentes[Población]</f>
        <v>0</v>
      </c>
      <c r="AS79" s="23"/>
      <c r="AT79" s="23"/>
    </row>
    <row r="80" spans="1:46" ht="48" hidden="1" x14ac:dyDescent="0.3">
      <c r="A80" s="45">
        <v>79</v>
      </c>
      <c r="B80" s="24" t="s">
        <v>129</v>
      </c>
      <c r="C80" s="24" t="s">
        <v>1</v>
      </c>
      <c r="D80" s="24" t="s">
        <v>162</v>
      </c>
      <c r="E80" s="24" t="s">
        <v>163</v>
      </c>
      <c r="F80" s="24" t="s">
        <v>164</v>
      </c>
      <c r="G80" s="24" t="s">
        <v>428</v>
      </c>
      <c r="H80" s="24" t="s">
        <v>60</v>
      </c>
      <c r="I80" s="24" t="s">
        <v>438</v>
      </c>
      <c r="J80" s="24" t="s">
        <v>62</v>
      </c>
      <c r="K80" s="24" t="str">
        <f>IF(ISBLANK(Base_Accidentes[[#This Row],[Tipo de Accidente]])," ",Base_Accidentes[[#This Row],[Tipo de Accidente]])</f>
        <v>Acc. No Incapacitante</v>
      </c>
      <c r="L80" s="49">
        <v>45404</v>
      </c>
      <c r="M80" s="47">
        <f>_xlfn.ISOWEEKNUM(Base_Accidentes[[#This Row],[Fecha
(XX/XX/2024)]])</f>
        <v>17</v>
      </c>
      <c r="N80" s="23">
        <f>DAY(Base_Accidentes[[#This Row],[Fecha
(XX/XX/2024)]])</f>
        <v>22</v>
      </c>
      <c r="O80" s="23">
        <f>MONTH(Base_Accidentes[[#This Row],[Fecha
(XX/XX/2024)]])</f>
        <v>4</v>
      </c>
      <c r="P80" s="23">
        <f>YEAR(Base_Accidentes[[#This Row],[Fecha
(XX/XX/2024)]])</f>
        <v>2024</v>
      </c>
      <c r="Q80" s="48">
        <v>0.70833333333333337</v>
      </c>
      <c r="R80" s="24" t="s">
        <v>587</v>
      </c>
      <c r="S80" s="24" t="s">
        <v>167</v>
      </c>
      <c r="T80" s="24" t="s">
        <v>168</v>
      </c>
      <c r="U80" s="24" t="s">
        <v>830</v>
      </c>
      <c r="V80" s="24" t="s">
        <v>831</v>
      </c>
      <c r="W80" s="24" t="s">
        <v>832</v>
      </c>
      <c r="X80" s="24" t="s">
        <v>68</v>
      </c>
      <c r="Y80" s="24">
        <v>25</v>
      </c>
      <c r="Z80" s="24" t="s">
        <v>172</v>
      </c>
      <c r="AA80" s="49">
        <v>45091</v>
      </c>
      <c r="AB80" s="24" t="s">
        <v>833</v>
      </c>
      <c r="AC80" s="24" t="s">
        <v>101</v>
      </c>
      <c r="AD80" s="24" t="s">
        <v>834</v>
      </c>
      <c r="AE80" s="24" t="s">
        <v>435</v>
      </c>
      <c r="AF80" s="24" t="s">
        <v>704</v>
      </c>
      <c r="AG80" s="24" t="s">
        <v>321</v>
      </c>
      <c r="AH80" s="24" t="s">
        <v>321</v>
      </c>
      <c r="AI80" s="24">
        <v>0</v>
      </c>
      <c r="AJ80" s="24">
        <v>0</v>
      </c>
      <c r="AK80" s="24">
        <v>0</v>
      </c>
      <c r="AL80" s="24" t="s">
        <v>78</v>
      </c>
      <c r="AM80" s="24">
        <v>10</v>
      </c>
      <c r="AN80" s="23" t="s">
        <v>177</v>
      </c>
      <c r="AO80" s="23" t="s">
        <v>669</v>
      </c>
      <c r="AP80" s="23" t="s">
        <v>92</v>
      </c>
      <c r="AQ80" s="27" t="str">
        <f>+Base_Accidentes[[#This Row],[Tipo de Accidente]]</f>
        <v>Acc. No Incapacitante</v>
      </c>
      <c r="AR80" s="23" cm="1">
        <f t="array" aca="1" ref="AR80" ca="1">+Base_Accidentes[Población]</f>
        <v>0</v>
      </c>
      <c r="AS80" s="23"/>
      <c r="AT80" s="23"/>
    </row>
    <row r="81" spans="1:46" ht="84" hidden="1" x14ac:dyDescent="0.3">
      <c r="A81" s="45">
        <v>80</v>
      </c>
      <c r="B81" s="24" t="s">
        <v>129</v>
      </c>
      <c r="C81" s="24" t="s">
        <v>1</v>
      </c>
      <c r="D81" s="24" t="s">
        <v>162</v>
      </c>
      <c r="E81" s="24" t="s">
        <v>163</v>
      </c>
      <c r="F81" s="24" t="s">
        <v>164</v>
      </c>
      <c r="G81" s="24" t="s">
        <v>428</v>
      </c>
      <c r="H81" s="24" t="s">
        <v>60</v>
      </c>
      <c r="I81" s="24" t="s">
        <v>475</v>
      </c>
      <c r="J81" s="24" t="s">
        <v>62</v>
      </c>
      <c r="K81" s="24" t="str">
        <f>IF(ISBLANK(Base_Accidentes[[#This Row],[Tipo de Accidente]])," ",Base_Accidentes[[#This Row],[Tipo de Accidente]])</f>
        <v>Acc. No Incapacitante</v>
      </c>
      <c r="L81" s="49">
        <v>45404</v>
      </c>
      <c r="M81" s="47">
        <f>_xlfn.ISOWEEKNUM(Base_Accidentes[[#This Row],[Fecha
(XX/XX/2024)]])</f>
        <v>17</v>
      </c>
      <c r="N81" s="23">
        <f>DAY(Base_Accidentes[[#This Row],[Fecha
(XX/XX/2024)]])</f>
        <v>22</v>
      </c>
      <c r="O81" s="23">
        <f>MONTH(Base_Accidentes[[#This Row],[Fecha
(XX/XX/2024)]])</f>
        <v>4</v>
      </c>
      <c r="P81" s="23">
        <f>YEAR(Base_Accidentes[[#This Row],[Fecha
(XX/XX/2024)]])</f>
        <v>2024</v>
      </c>
      <c r="Q81" s="48">
        <v>0.79722222222222228</v>
      </c>
      <c r="R81" s="24" t="s">
        <v>135</v>
      </c>
      <c r="S81" s="24" t="s">
        <v>167</v>
      </c>
      <c r="T81" s="24" t="s">
        <v>168</v>
      </c>
      <c r="U81" s="24" t="s">
        <v>835</v>
      </c>
      <c r="V81" s="24" t="s">
        <v>836</v>
      </c>
      <c r="W81" s="24" t="s">
        <v>837</v>
      </c>
      <c r="X81" s="24" t="s">
        <v>98</v>
      </c>
      <c r="Y81" s="24">
        <v>47</v>
      </c>
      <c r="Z81" s="24" t="s">
        <v>172</v>
      </c>
      <c r="AA81" s="49">
        <v>45034</v>
      </c>
      <c r="AB81" s="24" t="s">
        <v>838</v>
      </c>
      <c r="AC81" s="24" t="s">
        <v>71</v>
      </c>
      <c r="AD81" s="24" t="s">
        <v>72</v>
      </c>
      <c r="AE81" s="24" t="s">
        <v>73</v>
      </c>
      <c r="AF81" s="24" t="s">
        <v>839</v>
      </c>
      <c r="AG81" s="24" t="s">
        <v>321</v>
      </c>
      <c r="AH81" s="24" t="s">
        <v>321</v>
      </c>
      <c r="AI81" s="24">
        <v>0</v>
      </c>
      <c r="AJ81" s="24">
        <v>0</v>
      </c>
      <c r="AK81" s="24">
        <v>0</v>
      </c>
      <c r="AL81" s="24" t="s">
        <v>78</v>
      </c>
      <c r="AM81" s="24">
        <v>0</v>
      </c>
      <c r="AN81" s="23" t="s">
        <v>240</v>
      </c>
      <c r="AO81" s="23" t="s">
        <v>840</v>
      </c>
      <c r="AP81" s="23" t="s">
        <v>92</v>
      </c>
      <c r="AQ81" s="27" t="str">
        <f>+Base_Accidentes[[#This Row],[Tipo de Accidente]]</f>
        <v>Acc. No Incapacitante</v>
      </c>
      <c r="AR81" s="23" cm="1">
        <f t="array" aca="1" ref="AR81" ca="1">+Base_Accidentes[Población]</f>
        <v>0</v>
      </c>
      <c r="AS81" s="23"/>
      <c r="AT81" s="23"/>
    </row>
    <row r="82" spans="1:46" ht="48" hidden="1" x14ac:dyDescent="0.3">
      <c r="A82" s="45">
        <v>81</v>
      </c>
      <c r="B82" s="24" t="s">
        <v>129</v>
      </c>
      <c r="C82" s="24" t="s">
        <v>1</v>
      </c>
      <c r="D82" s="24" t="s">
        <v>162</v>
      </c>
      <c r="E82" s="24" t="s">
        <v>163</v>
      </c>
      <c r="F82" s="24" t="s">
        <v>164</v>
      </c>
      <c r="G82" s="24" t="s">
        <v>428</v>
      </c>
      <c r="H82" s="24" t="s">
        <v>60</v>
      </c>
      <c r="I82" s="24" t="s">
        <v>475</v>
      </c>
      <c r="J82" s="24" t="s">
        <v>62</v>
      </c>
      <c r="K82" s="24" t="str">
        <f>IF(ISBLANK(Base_Accidentes[[#This Row],[Tipo de Accidente]])," ",Base_Accidentes[[#This Row],[Tipo de Accidente]])</f>
        <v>Acc. No Incapacitante</v>
      </c>
      <c r="L82" s="49">
        <v>45407</v>
      </c>
      <c r="M82" s="47">
        <f>_xlfn.ISOWEEKNUM(Base_Accidentes[[#This Row],[Fecha
(XX/XX/2024)]])</f>
        <v>17</v>
      </c>
      <c r="N82" s="23">
        <f>DAY(Base_Accidentes[[#This Row],[Fecha
(XX/XX/2024)]])</f>
        <v>25</v>
      </c>
      <c r="O82" s="23">
        <f>MONTH(Base_Accidentes[[#This Row],[Fecha
(XX/XX/2024)]])</f>
        <v>4</v>
      </c>
      <c r="P82" s="23">
        <f>YEAR(Base_Accidentes[[#This Row],[Fecha
(XX/XX/2024)]])</f>
        <v>2024</v>
      </c>
      <c r="Q82" s="48">
        <v>0.83333333333333337</v>
      </c>
      <c r="R82" s="24" t="s">
        <v>135</v>
      </c>
      <c r="S82" s="24" t="s">
        <v>167</v>
      </c>
      <c r="T82" s="24" t="s">
        <v>168</v>
      </c>
      <c r="U82" s="24" t="s">
        <v>457</v>
      </c>
      <c r="V82" s="24" t="s">
        <v>841</v>
      </c>
      <c r="W82" s="24" t="s">
        <v>842</v>
      </c>
      <c r="X82" s="24" t="s">
        <v>68</v>
      </c>
      <c r="Y82" s="24">
        <v>44</v>
      </c>
      <c r="Z82" s="24" t="s">
        <v>172</v>
      </c>
      <c r="AA82" s="49">
        <v>44859</v>
      </c>
      <c r="AB82" s="24" t="s">
        <v>843</v>
      </c>
      <c r="AC82" s="24" t="s">
        <v>101</v>
      </c>
      <c r="AD82" s="24" t="s">
        <v>434</v>
      </c>
      <c r="AE82" s="24" t="s">
        <v>435</v>
      </c>
      <c r="AF82" s="24" t="s">
        <v>844</v>
      </c>
      <c r="AG82" s="24" t="s">
        <v>321</v>
      </c>
      <c r="AH82" s="24" t="s">
        <v>321</v>
      </c>
      <c r="AI82" s="24">
        <v>0</v>
      </c>
      <c r="AJ82" s="24">
        <v>0</v>
      </c>
      <c r="AK82" s="24">
        <v>0</v>
      </c>
      <c r="AL82" s="24" t="s">
        <v>78</v>
      </c>
      <c r="AM82" s="24">
        <v>18</v>
      </c>
      <c r="AN82" s="23" t="s">
        <v>190</v>
      </c>
      <c r="AO82" s="23" t="s">
        <v>845</v>
      </c>
      <c r="AP82" s="23" t="s">
        <v>92</v>
      </c>
      <c r="AQ82" s="27" t="str">
        <f>+Base_Accidentes[[#This Row],[Tipo de Accidente]]</f>
        <v>Acc. No Incapacitante</v>
      </c>
      <c r="AR82" s="23" cm="1">
        <f t="array" aca="1" ref="AR82" ca="1">+Base_Accidentes[Población]</f>
        <v>0</v>
      </c>
      <c r="AS82" s="23"/>
      <c r="AT82" s="23"/>
    </row>
    <row r="83" spans="1:46" s="89" customFormat="1" ht="60" x14ac:dyDescent="0.3">
      <c r="A83" s="45">
        <v>67</v>
      </c>
      <c r="B83" s="24" t="s">
        <v>846</v>
      </c>
      <c r="C83" s="24" t="s">
        <v>1</v>
      </c>
      <c r="D83" s="24" t="s">
        <v>56</v>
      </c>
      <c r="E83" s="24" t="s">
        <v>390</v>
      </c>
      <c r="F83" s="24" t="s">
        <v>323</v>
      </c>
      <c r="G83" s="24" t="s">
        <v>847</v>
      </c>
      <c r="H83" s="24" t="s">
        <v>360</v>
      </c>
      <c r="I83" s="24" t="s">
        <v>848</v>
      </c>
      <c r="J83" s="24" t="s">
        <v>113</v>
      </c>
      <c r="K83" s="24" t="str">
        <f>IF(ISBLANK(Base_Accidentes[[#This Row],[Tipo de Accidente]])," ",Base_Accidentes[[#This Row],[Tipo de Accidente]])</f>
        <v>Acc. Incapacitante</v>
      </c>
      <c r="L83" s="49">
        <v>45391</v>
      </c>
      <c r="M83" s="47">
        <f>_xlfn.ISOWEEKNUM(Base_Accidentes[[#This Row],[Fecha
(XX/XX/2024)]])</f>
        <v>15</v>
      </c>
      <c r="N83" s="23">
        <f>DAY(Base_Accidentes[[#This Row],[Fecha
(XX/XX/2024)]])</f>
        <v>9</v>
      </c>
      <c r="O83" s="23">
        <f>MONTH(Base_Accidentes[[#This Row],[Fecha
(XX/XX/2024)]])</f>
        <v>4</v>
      </c>
      <c r="P83" s="23">
        <f>YEAR(Base_Accidentes[[#This Row],[Fecha
(XX/XX/2024)]])</f>
        <v>2024</v>
      </c>
      <c r="Q83" s="48">
        <v>0.54166666666666663</v>
      </c>
      <c r="R83" s="24" t="s">
        <v>587</v>
      </c>
      <c r="S83" s="24" t="s">
        <v>374</v>
      </c>
      <c r="T83" s="24" t="s">
        <v>849</v>
      </c>
      <c r="U83" s="24" t="s">
        <v>850</v>
      </c>
      <c r="V83" s="24" t="s">
        <v>851</v>
      </c>
      <c r="W83" s="24" t="s">
        <v>852</v>
      </c>
      <c r="X83" s="24" t="s">
        <v>98</v>
      </c>
      <c r="Y83" s="24">
        <v>40</v>
      </c>
      <c r="Z83" s="24" t="s">
        <v>853</v>
      </c>
      <c r="AA83" s="49" t="s">
        <v>129</v>
      </c>
      <c r="AB83" s="24" t="s">
        <v>854</v>
      </c>
      <c r="AC83" s="24" t="s">
        <v>682</v>
      </c>
      <c r="AD83" s="24" t="s">
        <v>443</v>
      </c>
      <c r="AE83" s="24" t="s">
        <v>435</v>
      </c>
      <c r="AF83" s="24" t="s">
        <v>855</v>
      </c>
      <c r="AG83" s="24" t="s">
        <v>856</v>
      </c>
      <c r="AH83" s="24" t="s">
        <v>686</v>
      </c>
      <c r="AI83" s="24">
        <v>20</v>
      </c>
      <c r="AJ83" s="24">
        <v>0</v>
      </c>
      <c r="AK83" s="24">
        <v>20</v>
      </c>
      <c r="AL83" s="24" t="s">
        <v>354</v>
      </c>
      <c r="AM83" s="24">
        <v>115</v>
      </c>
      <c r="AN83" s="23" t="s">
        <v>177</v>
      </c>
      <c r="AO83" s="24" t="s">
        <v>748</v>
      </c>
      <c r="AP83" s="23"/>
      <c r="AQ83" s="27" t="str">
        <f>+Base_Accidentes[[#This Row],[Tipo de Accidente]]</f>
        <v>Acc. Incapacitante</v>
      </c>
      <c r="AR83" s="23" cm="1">
        <f t="array" aca="1" ref="AR83" ca="1">+Base_Accidentes[Población]</f>
        <v>0</v>
      </c>
      <c r="AS83" s="23" t="s">
        <v>128</v>
      </c>
      <c r="AT83" s="23"/>
    </row>
    <row r="84" spans="1:46" ht="36" hidden="1" x14ac:dyDescent="0.3">
      <c r="A84" s="45">
        <v>83</v>
      </c>
      <c r="B84" s="24" t="s">
        <v>129</v>
      </c>
      <c r="C84" s="24" t="s">
        <v>1</v>
      </c>
      <c r="D84" s="24" t="s">
        <v>162</v>
      </c>
      <c r="E84" s="24" t="s">
        <v>163</v>
      </c>
      <c r="F84" s="24" t="s">
        <v>164</v>
      </c>
      <c r="G84" s="24" t="s">
        <v>428</v>
      </c>
      <c r="H84" s="24" t="s">
        <v>60</v>
      </c>
      <c r="I84" s="24" t="s">
        <v>857</v>
      </c>
      <c r="J84" s="24" t="s">
        <v>62</v>
      </c>
      <c r="K84" s="24" t="str">
        <f>IF(ISBLANK(Base_Accidentes[[#This Row],[Tipo de Accidente]])," ",Base_Accidentes[[#This Row],[Tipo de Accidente]])</f>
        <v>Acc. No Incapacitante</v>
      </c>
      <c r="L84" s="49">
        <v>45409</v>
      </c>
      <c r="M84" s="47">
        <f>_xlfn.ISOWEEKNUM(Base_Accidentes[[#This Row],[Fecha
(XX/XX/2024)]])</f>
        <v>17</v>
      </c>
      <c r="N84" s="23">
        <f>DAY(Base_Accidentes[[#This Row],[Fecha
(XX/XX/2024)]])</f>
        <v>27</v>
      </c>
      <c r="O84" s="23">
        <f>MONTH(Base_Accidentes[[#This Row],[Fecha
(XX/XX/2024)]])</f>
        <v>4</v>
      </c>
      <c r="P84" s="23">
        <f>YEAR(Base_Accidentes[[#This Row],[Fecha
(XX/XX/2024)]])</f>
        <v>2024</v>
      </c>
      <c r="Q84" s="48">
        <v>0.93472222222222223</v>
      </c>
      <c r="R84" s="23" t="s">
        <v>135</v>
      </c>
      <c r="S84" s="24" t="s">
        <v>167</v>
      </c>
      <c r="T84" s="24" t="s">
        <v>168</v>
      </c>
      <c r="U84" s="24" t="s">
        <v>858</v>
      </c>
      <c r="V84" s="24" t="s">
        <v>859</v>
      </c>
      <c r="W84" s="24" t="s">
        <v>860</v>
      </c>
      <c r="X84" s="24" t="s">
        <v>68</v>
      </c>
      <c r="Y84" s="24">
        <v>43</v>
      </c>
      <c r="Z84" s="24" t="s">
        <v>172</v>
      </c>
      <c r="AA84" s="49">
        <v>45394</v>
      </c>
      <c r="AB84" s="24" t="s">
        <v>861</v>
      </c>
      <c r="AC84" s="24" t="s">
        <v>826</v>
      </c>
      <c r="AD84" s="24" t="s">
        <v>862</v>
      </c>
      <c r="AE84" s="24" t="s">
        <v>435</v>
      </c>
      <c r="AF84" s="24" t="s">
        <v>863</v>
      </c>
      <c r="AG84" s="24" t="s">
        <v>321</v>
      </c>
      <c r="AH84" s="24" t="s">
        <v>145</v>
      </c>
      <c r="AI84" s="24">
        <v>0</v>
      </c>
      <c r="AJ84" s="24">
        <v>0</v>
      </c>
      <c r="AK84" s="24">
        <v>0</v>
      </c>
      <c r="AL84" s="24" t="s">
        <v>78</v>
      </c>
      <c r="AM84" s="24">
        <v>1</v>
      </c>
      <c r="AN84" s="23" t="s">
        <v>401</v>
      </c>
      <c r="AO84" s="23" t="s">
        <v>864</v>
      </c>
      <c r="AP84" s="23" t="s">
        <v>92</v>
      </c>
      <c r="AQ84" s="27" t="str">
        <f>+Base_Accidentes[[#This Row],[Tipo de Accidente]]</f>
        <v>Acc. No Incapacitante</v>
      </c>
      <c r="AR84" s="23" cm="1">
        <f t="array" aca="1" ref="AR84" ca="1">+Base_Accidentes[Población]</f>
        <v>0</v>
      </c>
      <c r="AS84" s="23"/>
      <c r="AT84" s="23"/>
    </row>
    <row r="85" spans="1:46" ht="34.5" hidden="1" customHeight="1" x14ac:dyDescent="0.3">
      <c r="A85" s="45">
        <v>84</v>
      </c>
      <c r="B85" s="24" t="s">
        <v>129</v>
      </c>
      <c r="C85" s="24" t="s">
        <v>1</v>
      </c>
      <c r="D85" s="23" t="s">
        <v>162</v>
      </c>
      <c r="E85" s="24" t="s">
        <v>227</v>
      </c>
      <c r="F85" s="24" t="s">
        <v>164</v>
      </c>
      <c r="G85" s="24" t="s">
        <v>228</v>
      </c>
      <c r="H85" s="24" t="s">
        <v>60</v>
      </c>
      <c r="I85" s="24" t="s">
        <v>865</v>
      </c>
      <c r="J85" s="24" t="s">
        <v>62</v>
      </c>
      <c r="K85" s="24" t="str">
        <f>IF(ISBLANK(Base_Accidentes[[#This Row],[Tipo de Accidente]])," ",Base_Accidentes[[#This Row],[Tipo de Accidente]])</f>
        <v>Acc. No Incapacitante</v>
      </c>
      <c r="L85" s="49">
        <v>45411</v>
      </c>
      <c r="M85" s="47">
        <f>_xlfn.ISOWEEKNUM(Base_Accidentes[[#This Row],[Fecha
(XX/XX/2024)]])</f>
        <v>18</v>
      </c>
      <c r="N85" s="23">
        <f>DAY(Base_Accidentes[[#This Row],[Fecha
(XX/XX/2024)]])</f>
        <v>29</v>
      </c>
      <c r="O85" s="23">
        <f>MONTH(Base_Accidentes[[#This Row],[Fecha
(XX/XX/2024)]])</f>
        <v>4</v>
      </c>
      <c r="P85" s="23">
        <f>YEAR(Base_Accidentes[[#This Row],[Fecha
(XX/XX/2024)]])</f>
        <v>2024</v>
      </c>
      <c r="Q85" s="48">
        <v>0.52083333333333337</v>
      </c>
      <c r="R85" s="23" t="s">
        <v>587</v>
      </c>
      <c r="S85" s="24" t="s">
        <v>167</v>
      </c>
      <c r="T85" s="24" t="s">
        <v>168</v>
      </c>
      <c r="U85" s="24" t="s">
        <v>866</v>
      </c>
      <c r="V85" s="24" t="s">
        <v>867</v>
      </c>
      <c r="W85" s="24" t="s">
        <v>868</v>
      </c>
      <c r="X85" s="24" t="s">
        <v>68</v>
      </c>
      <c r="Y85" s="24">
        <v>33</v>
      </c>
      <c r="Z85" s="24" t="s">
        <v>172</v>
      </c>
      <c r="AA85" s="49">
        <v>45329</v>
      </c>
      <c r="AB85" s="24" t="s">
        <v>869</v>
      </c>
      <c r="AC85" s="24" t="s">
        <v>870</v>
      </c>
      <c r="AD85" s="24" t="s">
        <v>871</v>
      </c>
      <c r="AE85" s="24" t="s">
        <v>103</v>
      </c>
      <c r="AF85" s="24" t="s">
        <v>872</v>
      </c>
      <c r="AG85" s="24" t="s">
        <v>873</v>
      </c>
      <c r="AH85" s="24" t="s">
        <v>874</v>
      </c>
      <c r="AI85" s="24">
        <v>0</v>
      </c>
      <c r="AJ85" s="24">
        <v>0</v>
      </c>
      <c r="AK85" s="24">
        <v>0</v>
      </c>
      <c r="AL85" s="24" t="s">
        <v>78</v>
      </c>
      <c r="AM85" s="24">
        <v>2</v>
      </c>
      <c r="AN85" s="23" t="s">
        <v>401</v>
      </c>
      <c r="AO85" s="23" t="s">
        <v>875</v>
      </c>
      <c r="AP85" s="23" t="s">
        <v>92</v>
      </c>
      <c r="AQ85" s="27" t="str">
        <f>+Base_Accidentes[[#This Row],[Tipo de Accidente]]</f>
        <v>Acc. No Incapacitante</v>
      </c>
      <c r="AR85" s="23" cm="1">
        <f t="array" aca="1" ref="AR85" ca="1">+Base_Accidentes[Población]</f>
        <v>0</v>
      </c>
      <c r="AS85" s="23"/>
      <c r="AT85" s="23"/>
    </row>
    <row r="86" spans="1:46" ht="36" hidden="1" x14ac:dyDescent="0.3">
      <c r="A86" s="45">
        <v>85</v>
      </c>
      <c r="B86" s="24" t="s">
        <v>129</v>
      </c>
      <c r="C86" s="24" t="s">
        <v>1</v>
      </c>
      <c r="D86" s="24" t="s">
        <v>162</v>
      </c>
      <c r="E86" s="24" t="s">
        <v>163</v>
      </c>
      <c r="F86" s="24" t="s">
        <v>164</v>
      </c>
      <c r="G86" s="24" t="s">
        <v>428</v>
      </c>
      <c r="H86" s="24" t="s">
        <v>60</v>
      </c>
      <c r="I86" s="24" t="s">
        <v>438</v>
      </c>
      <c r="J86" s="24" t="s">
        <v>62</v>
      </c>
      <c r="K86" s="24" t="str">
        <f>IF(ISBLANK(Base_Accidentes[[#This Row],[Tipo de Accidente]])," ",Base_Accidentes[[#This Row],[Tipo de Accidente]])</f>
        <v>Acc. No Incapacitante</v>
      </c>
      <c r="L86" s="49">
        <v>45414</v>
      </c>
      <c r="M86" s="47">
        <f>_xlfn.ISOWEEKNUM(Base_Accidentes[[#This Row],[Fecha
(XX/XX/2024)]])</f>
        <v>18</v>
      </c>
      <c r="N86" s="23">
        <f>DAY(Base_Accidentes[[#This Row],[Fecha
(XX/XX/2024)]])</f>
        <v>2</v>
      </c>
      <c r="O86" s="23">
        <f>MONTH(Base_Accidentes[[#This Row],[Fecha
(XX/XX/2024)]])</f>
        <v>5</v>
      </c>
      <c r="P86" s="23">
        <f>YEAR(Base_Accidentes[[#This Row],[Fecha
(XX/XX/2024)]])</f>
        <v>2024</v>
      </c>
      <c r="Q86" s="48">
        <v>0.13125000000000001</v>
      </c>
      <c r="R86" s="23" t="s">
        <v>135</v>
      </c>
      <c r="S86" s="24" t="s">
        <v>167</v>
      </c>
      <c r="T86" s="24" t="s">
        <v>168</v>
      </c>
      <c r="U86" s="24" t="s">
        <v>876</v>
      </c>
      <c r="V86" s="24" t="s">
        <v>877</v>
      </c>
      <c r="W86" s="24" t="s">
        <v>878</v>
      </c>
      <c r="X86" s="24" t="s">
        <v>68</v>
      </c>
      <c r="Y86" s="24">
        <v>35</v>
      </c>
      <c r="Z86" s="24" t="s">
        <v>172</v>
      </c>
      <c r="AA86" s="49">
        <v>45399</v>
      </c>
      <c r="AB86" s="24" t="s">
        <v>879</v>
      </c>
      <c r="AC86" s="24" t="s">
        <v>71</v>
      </c>
      <c r="AD86" s="24" t="s">
        <v>495</v>
      </c>
      <c r="AE86" s="24" t="s">
        <v>103</v>
      </c>
      <c r="AF86" s="24" t="s">
        <v>880</v>
      </c>
      <c r="AG86" s="24" t="s">
        <v>321</v>
      </c>
      <c r="AH86" s="24" t="s">
        <v>145</v>
      </c>
      <c r="AI86" s="24">
        <v>0</v>
      </c>
      <c r="AJ86" s="24">
        <v>0</v>
      </c>
      <c r="AK86" s="24">
        <v>0</v>
      </c>
      <c r="AL86" s="24" t="s">
        <v>78</v>
      </c>
      <c r="AM86" s="24">
        <v>1</v>
      </c>
      <c r="AN86" s="23" t="s">
        <v>401</v>
      </c>
      <c r="AO86" s="23" t="s">
        <v>881</v>
      </c>
      <c r="AP86" s="23" t="s">
        <v>92</v>
      </c>
      <c r="AQ86" s="27" t="str">
        <f>+Base_Accidentes[[#This Row],[Tipo de Accidente]]</f>
        <v>Acc. No Incapacitante</v>
      </c>
      <c r="AR86" s="23" cm="1">
        <f t="array" aca="1" ref="AR86" ca="1">+Base_Accidentes[Población]</f>
        <v>0</v>
      </c>
      <c r="AS86" s="23"/>
      <c r="AT86" s="23"/>
    </row>
    <row r="87" spans="1:46" ht="24" hidden="1" x14ac:dyDescent="0.3">
      <c r="A87" s="45">
        <v>86</v>
      </c>
      <c r="B87" s="24" t="s">
        <v>129</v>
      </c>
      <c r="C87" s="24" t="s">
        <v>1</v>
      </c>
      <c r="D87" s="24" t="s">
        <v>162</v>
      </c>
      <c r="E87" s="24" t="s">
        <v>163</v>
      </c>
      <c r="F87" s="24" t="s">
        <v>164</v>
      </c>
      <c r="G87" s="24" t="s">
        <v>428</v>
      </c>
      <c r="H87" s="24" t="s">
        <v>60</v>
      </c>
      <c r="I87" s="24" t="s">
        <v>475</v>
      </c>
      <c r="J87" s="24" t="s">
        <v>62</v>
      </c>
      <c r="K87" s="24" t="str">
        <f>IF(ISBLANK(Base_Accidentes[[#This Row],[Tipo de Accidente]])," ",Base_Accidentes[[#This Row],[Tipo de Accidente]])</f>
        <v>Acc. No Incapacitante</v>
      </c>
      <c r="L87" s="49">
        <v>45414</v>
      </c>
      <c r="M87" s="47">
        <f>_xlfn.ISOWEEKNUM(Base_Accidentes[[#This Row],[Fecha
(XX/XX/2024)]])</f>
        <v>18</v>
      </c>
      <c r="N87" s="23">
        <f>DAY(Base_Accidentes[[#This Row],[Fecha
(XX/XX/2024)]])</f>
        <v>2</v>
      </c>
      <c r="O87" s="23">
        <f>MONTH(Base_Accidentes[[#This Row],[Fecha
(XX/XX/2024)]])</f>
        <v>5</v>
      </c>
      <c r="P87" s="23">
        <f>YEAR(Base_Accidentes[[#This Row],[Fecha
(XX/XX/2024)]])</f>
        <v>2024</v>
      </c>
      <c r="Q87" s="48">
        <v>0.54027777777777775</v>
      </c>
      <c r="R87" s="23" t="s">
        <v>587</v>
      </c>
      <c r="S87" s="24" t="s">
        <v>167</v>
      </c>
      <c r="T87" s="24" t="s">
        <v>168</v>
      </c>
      <c r="U87" s="24" t="s">
        <v>882</v>
      </c>
      <c r="V87" s="24" t="s">
        <v>883</v>
      </c>
      <c r="W87" s="24" t="s">
        <v>884</v>
      </c>
      <c r="X87" s="24" t="s">
        <v>98</v>
      </c>
      <c r="Y87" s="24">
        <v>41</v>
      </c>
      <c r="Z87" s="24" t="s">
        <v>172</v>
      </c>
      <c r="AA87" s="49">
        <v>45015</v>
      </c>
      <c r="AB87" s="24" t="s">
        <v>885</v>
      </c>
      <c r="AC87" s="24" t="s">
        <v>71</v>
      </c>
      <c r="AD87" s="24" t="s">
        <v>580</v>
      </c>
      <c r="AE87" s="24" t="s">
        <v>122</v>
      </c>
      <c r="AF87" s="24" t="s">
        <v>886</v>
      </c>
      <c r="AG87" s="24" t="s">
        <v>321</v>
      </c>
      <c r="AH87" s="24" t="s">
        <v>145</v>
      </c>
      <c r="AI87" s="24">
        <v>0</v>
      </c>
      <c r="AJ87" s="24">
        <v>0</v>
      </c>
      <c r="AK87" s="24">
        <v>0</v>
      </c>
      <c r="AL87" s="24" t="s">
        <v>78</v>
      </c>
      <c r="AM87" s="24">
        <v>13</v>
      </c>
      <c r="AN87" s="23" t="s">
        <v>190</v>
      </c>
      <c r="AO87" s="23" t="s">
        <v>887</v>
      </c>
      <c r="AP87" s="23" t="s">
        <v>92</v>
      </c>
      <c r="AQ87" s="27" t="str">
        <f>+Base_Accidentes[[#This Row],[Tipo de Accidente]]</f>
        <v>Acc. No Incapacitante</v>
      </c>
      <c r="AR87" s="23" cm="1">
        <f t="array" aca="1" ref="AR87" ca="1">+Base_Accidentes[Población]</f>
        <v>0</v>
      </c>
      <c r="AS87" s="23"/>
      <c r="AT87" s="23"/>
    </row>
    <row r="88" spans="1:46" ht="39" hidden="1" customHeight="1" x14ac:dyDescent="0.3">
      <c r="A88" s="45">
        <v>160</v>
      </c>
      <c r="B88" s="24" t="s">
        <v>129</v>
      </c>
      <c r="C88" s="24" t="s">
        <v>1</v>
      </c>
      <c r="D88" s="24" t="s">
        <v>180</v>
      </c>
      <c r="E88" s="24" t="s">
        <v>888</v>
      </c>
      <c r="F88" s="24" t="s">
        <v>182</v>
      </c>
      <c r="G88" s="24" t="s">
        <v>889</v>
      </c>
      <c r="H88" s="24" t="s">
        <v>60</v>
      </c>
      <c r="I88" s="24" t="s">
        <v>890</v>
      </c>
      <c r="J88" s="24" t="s">
        <v>113</v>
      </c>
      <c r="K88" s="24" t="str">
        <f>IF(ISBLANK(Base_Accidentes[[#This Row],[Tipo de Accidente]])," ",Base_Accidentes[[#This Row],[Tipo de Accidente]])</f>
        <v>Acc. Incapacitante</v>
      </c>
      <c r="L88" s="49">
        <v>45392</v>
      </c>
      <c r="M88" s="47">
        <f>_xlfn.ISOWEEKNUM(Base_Accidentes[[#This Row],[Fecha
(XX/XX/2024)]])</f>
        <v>15</v>
      </c>
      <c r="N88" s="23">
        <f>DAY(Base_Accidentes[[#This Row],[Fecha
(XX/XX/2024)]])</f>
        <v>10</v>
      </c>
      <c r="O88" s="23">
        <f>MONTH(Base_Accidentes[[#This Row],[Fecha
(XX/XX/2024)]])</f>
        <v>4</v>
      </c>
      <c r="P88" s="23">
        <f>YEAR(Base_Accidentes[[#This Row],[Fecha
(XX/XX/2024)]])</f>
        <v>2024</v>
      </c>
      <c r="Q88" s="48">
        <v>0.17708333333333334</v>
      </c>
      <c r="R88" s="23" t="s">
        <v>891</v>
      </c>
      <c r="S88" s="24" t="s">
        <v>10</v>
      </c>
      <c r="T88" s="23" t="s">
        <v>180</v>
      </c>
      <c r="U88" s="24" t="s">
        <v>129</v>
      </c>
      <c r="V88" s="24" t="s">
        <v>129</v>
      </c>
      <c r="W88" s="24" t="s">
        <v>129</v>
      </c>
      <c r="X88" s="24" t="s">
        <v>68</v>
      </c>
      <c r="Y88" s="24">
        <v>56</v>
      </c>
      <c r="Z88" s="24" t="s">
        <v>892</v>
      </c>
      <c r="AA88" s="49" t="s">
        <v>129</v>
      </c>
      <c r="AB88" s="24" t="s">
        <v>893</v>
      </c>
      <c r="AC88" s="24" t="s">
        <v>419</v>
      </c>
      <c r="AD88" s="24" t="s">
        <v>129</v>
      </c>
      <c r="AE88" s="24" t="s">
        <v>103</v>
      </c>
      <c r="AF88" s="24" t="s">
        <v>129</v>
      </c>
      <c r="AG88" s="24"/>
      <c r="AH88" s="24"/>
      <c r="AI88" s="24"/>
      <c r="AJ88" s="24"/>
      <c r="AK88" s="24">
        <v>60</v>
      </c>
      <c r="AL88" s="24"/>
      <c r="AM88" s="24"/>
      <c r="AN88" s="23"/>
      <c r="AO88" s="23"/>
      <c r="AP88" s="23"/>
      <c r="AQ88" s="27" t="str">
        <f>+Base_Accidentes[[#This Row],[Tipo de Accidente]]</f>
        <v>Acc. Incapacitante</v>
      </c>
      <c r="AR88" s="23" cm="1">
        <f t="array" aca="1" ref="AR88" ca="1">+Base_Accidentes[Población]</f>
        <v>0</v>
      </c>
      <c r="AS88" s="23" t="s">
        <v>128</v>
      </c>
      <c r="AT88" s="23"/>
    </row>
    <row r="89" spans="1:46" ht="39" hidden="1" customHeight="1" x14ac:dyDescent="0.3">
      <c r="A89" s="45">
        <v>91</v>
      </c>
      <c r="B89" s="24" t="s">
        <v>894</v>
      </c>
      <c r="C89" s="23" t="s">
        <v>1</v>
      </c>
      <c r="D89" s="24" t="s">
        <v>162</v>
      </c>
      <c r="E89" s="24" t="s">
        <v>163</v>
      </c>
      <c r="F89" s="23" t="s">
        <v>164</v>
      </c>
      <c r="G89" s="24" t="s">
        <v>165</v>
      </c>
      <c r="H89" s="24" t="s">
        <v>60</v>
      </c>
      <c r="I89" s="24" t="s">
        <v>895</v>
      </c>
      <c r="J89" s="24" t="s">
        <v>113</v>
      </c>
      <c r="K89" s="24" t="str">
        <f>IF(ISBLANK(Base_Accidentes[[#This Row],[Tipo de Accidente]])," ",Base_Accidentes[[#This Row],[Tipo de Accidente]])</f>
        <v>Acc. Incapacitante</v>
      </c>
      <c r="L89" s="49">
        <v>45397</v>
      </c>
      <c r="M89" s="47">
        <f>_xlfn.ISOWEEKNUM(Base_Accidentes[[#This Row],[Fecha
(XX/XX/2024)]])</f>
        <v>16</v>
      </c>
      <c r="N89" s="23">
        <f>DAY(Base_Accidentes[[#This Row],[Fecha
(XX/XX/2024)]])</f>
        <v>15</v>
      </c>
      <c r="O89" s="23">
        <f>MONTH(Base_Accidentes[[#This Row],[Fecha
(XX/XX/2024)]])</f>
        <v>4</v>
      </c>
      <c r="P89" s="23">
        <f>YEAR(Base_Accidentes[[#This Row],[Fecha
(XX/XX/2024)]])</f>
        <v>2024</v>
      </c>
      <c r="Q89" s="48">
        <v>0.29166666666666669</v>
      </c>
      <c r="R89" s="24" t="s">
        <v>587</v>
      </c>
      <c r="S89" s="24" t="s">
        <v>167</v>
      </c>
      <c r="T89" s="24" t="s">
        <v>168</v>
      </c>
      <c r="U89" s="24" t="s">
        <v>896</v>
      </c>
      <c r="V89" s="24" t="s">
        <v>590</v>
      </c>
      <c r="W89" s="24" t="s">
        <v>897</v>
      </c>
      <c r="X89" s="24" t="s">
        <v>68</v>
      </c>
      <c r="Y89" s="24">
        <v>28</v>
      </c>
      <c r="Z89" s="24" t="s">
        <v>172</v>
      </c>
      <c r="AA89" s="49">
        <v>45306</v>
      </c>
      <c r="AB89" s="24" t="s">
        <v>898</v>
      </c>
      <c r="AC89" s="24" t="s">
        <v>201</v>
      </c>
      <c r="AD89" s="24" t="s">
        <v>102</v>
      </c>
      <c r="AE89" s="24" t="s">
        <v>103</v>
      </c>
      <c r="AF89" s="24" t="s">
        <v>899</v>
      </c>
      <c r="AG89" s="24" t="s">
        <v>308</v>
      </c>
      <c r="AH89" s="24" t="s">
        <v>76</v>
      </c>
      <c r="AI89" s="24">
        <v>11</v>
      </c>
      <c r="AJ89" s="24">
        <v>0</v>
      </c>
      <c r="AK89" s="24">
        <v>11</v>
      </c>
      <c r="AL89" s="24" t="s">
        <v>78</v>
      </c>
      <c r="AM89" s="24">
        <v>3</v>
      </c>
      <c r="AN89" s="23" t="s">
        <v>105</v>
      </c>
      <c r="AO89" s="24" t="s">
        <v>900</v>
      </c>
      <c r="AP89" s="25" t="s">
        <v>92</v>
      </c>
      <c r="AQ89" s="27" t="str">
        <f>+Base_Accidentes[[#This Row],[Tipo de Accidente]]</f>
        <v>Acc. Incapacitante</v>
      </c>
      <c r="AR89" s="23" cm="1">
        <f t="array" aca="1" ref="AR89" ca="1">+Base_Accidentes[Población]</f>
        <v>0</v>
      </c>
      <c r="AS89" s="23" t="s">
        <v>128</v>
      </c>
      <c r="AT89" s="23" t="s">
        <v>128</v>
      </c>
    </row>
    <row r="90" spans="1:46" s="89" customFormat="1" ht="56.85" hidden="1" customHeight="1" x14ac:dyDescent="0.3">
      <c r="A90" s="45">
        <v>82</v>
      </c>
      <c r="B90" s="24" t="s">
        <v>901</v>
      </c>
      <c r="C90" s="24" t="s">
        <v>1</v>
      </c>
      <c r="D90" s="31" t="s">
        <v>162</v>
      </c>
      <c r="E90" s="31" t="s">
        <v>163</v>
      </c>
      <c r="F90" s="31" t="s">
        <v>164</v>
      </c>
      <c r="G90" s="31" t="s">
        <v>428</v>
      </c>
      <c r="H90" s="31" t="s">
        <v>60</v>
      </c>
      <c r="I90" s="31" t="s">
        <v>475</v>
      </c>
      <c r="J90" s="31" t="s">
        <v>113</v>
      </c>
      <c r="K90" s="31" t="str">
        <f>IF(ISBLANK(Base_Accidentes[[#This Row],[Tipo de Accidente]])," ",Base_Accidentes[[#This Row],[Tipo de Accidente]])</f>
        <v>Acc. Incapacitante</v>
      </c>
      <c r="L90" s="54">
        <v>45407</v>
      </c>
      <c r="M90" s="47">
        <f>_xlfn.ISOWEEKNUM(Base_Accidentes[[#This Row],[Fecha
(XX/XX/2024)]])</f>
        <v>17</v>
      </c>
      <c r="N90" s="23">
        <f>DAY(Base_Accidentes[[#This Row],[Fecha
(XX/XX/2024)]])</f>
        <v>25</v>
      </c>
      <c r="O90" s="23">
        <f>MONTH(Base_Accidentes[[#This Row],[Fecha
(XX/XX/2024)]])</f>
        <v>4</v>
      </c>
      <c r="P90" s="23">
        <f>YEAR(Base_Accidentes[[#This Row],[Fecha
(XX/XX/2024)]])</f>
        <v>2024</v>
      </c>
      <c r="Q90" s="55">
        <v>0.93333333333333335</v>
      </c>
      <c r="R90" s="26" t="s">
        <v>135</v>
      </c>
      <c r="S90" s="31" t="s">
        <v>167</v>
      </c>
      <c r="T90" s="31" t="s">
        <v>168</v>
      </c>
      <c r="U90" s="31" t="s">
        <v>902</v>
      </c>
      <c r="V90" s="31" t="s">
        <v>492</v>
      </c>
      <c r="W90" s="31" t="s">
        <v>903</v>
      </c>
      <c r="X90" s="31" t="s">
        <v>68</v>
      </c>
      <c r="Y90" s="31">
        <v>26</v>
      </c>
      <c r="Z90" s="31" t="s">
        <v>172</v>
      </c>
      <c r="AA90" s="49">
        <v>45392</v>
      </c>
      <c r="AB90" s="31" t="s">
        <v>904</v>
      </c>
      <c r="AC90" s="31" t="s">
        <v>120</v>
      </c>
      <c r="AD90" s="31" t="s">
        <v>691</v>
      </c>
      <c r="AE90" s="31" t="s">
        <v>435</v>
      </c>
      <c r="AF90" s="31" t="s">
        <v>905</v>
      </c>
      <c r="AG90" s="31" t="s">
        <v>321</v>
      </c>
      <c r="AH90" s="31" t="s">
        <v>145</v>
      </c>
      <c r="AI90" s="31">
        <v>11</v>
      </c>
      <c r="AJ90" s="31">
        <v>0</v>
      </c>
      <c r="AK90" s="31">
        <v>11</v>
      </c>
      <c r="AL90" s="31" t="s">
        <v>78</v>
      </c>
      <c r="AM90" s="31">
        <v>1</v>
      </c>
      <c r="AN90" s="26" t="s">
        <v>401</v>
      </c>
      <c r="AO90" s="26" t="s">
        <v>906</v>
      </c>
      <c r="AP90" s="26" t="s">
        <v>92</v>
      </c>
      <c r="AQ90" s="66" t="str">
        <f>+Base_Accidentes[[#This Row],[Tipo de Accidente]]</f>
        <v>Acc. Incapacitante</v>
      </c>
      <c r="AR90" s="23" cm="1">
        <f t="array" aca="1" ref="AR90" ca="1">+Base_Accidentes[Población]</f>
        <v>0</v>
      </c>
      <c r="AS90" s="23" t="s">
        <v>128</v>
      </c>
      <c r="AT90" s="85"/>
    </row>
    <row r="91" spans="1:46" ht="39" hidden="1" customHeight="1" x14ac:dyDescent="0.3">
      <c r="A91" s="45">
        <v>89</v>
      </c>
      <c r="B91" s="24" t="s">
        <v>907</v>
      </c>
      <c r="C91" s="24" t="s">
        <v>1</v>
      </c>
      <c r="D91" s="24" t="s">
        <v>162</v>
      </c>
      <c r="E91" s="24" t="s">
        <v>227</v>
      </c>
      <c r="F91" s="23" t="s">
        <v>164</v>
      </c>
      <c r="G91" s="24" t="s">
        <v>228</v>
      </c>
      <c r="H91" s="24" t="s">
        <v>60</v>
      </c>
      <c r="I91" s="24" t="s">
        <v>908</v>
      </c>
      <c r="J91" s="24" t="s">
        <v>113</v>
      </c>
      <c r="K91" s="24" t="str">
        <f>IF(ISBLANK(Base_Accidentes[[#This Row],[Tipo de Accidente]])," ",Base_Accidentes[[#This Row],[Tipo de Accidente]])</f>
        <v>Acc. Incapacitante</v>
      </c>
      <c r="L91" s="49">
        <v>45416</v>
      </c>
      <c r="M91" s="47">
        <f>_xlfn.ISOWEEKNUM(Base_Accidentes[[#This Row],[Fecha
(XX/XX/2024)]])</f>
        <v>18</v>
      </c>
      <c r="N91" s="23">
        <f>DAY(Base_Accidentes[[#This Row],[Fecha
(XX/XX/2024)]])</f>
        <v>4</v>
      </c>
      <c r="O91" s="23">
        <f>MONTH(Base_Accidentes[[#This Row],[Fecha
(XX/XX/2024)]])</f>
        <v>5</v>
      </c>
      <c r="P91" s="23">
        <f>YEAR(Base_Accidentes[[#This Row],[Fecha
(XX/XX/2024)]])</f>
        <v>2024</v>
      </c>
      <c r="Q91" s="48">
        <v>0.48958333333333331</v>
      </c>
      <c r="R91" s="24" t="s">
        <v>587</v>
      </c>
      <c r="S91" s="24" t="s">
        <v>10</v>
      </c>
      <c r="T91" s="24" t="s">
        <v>164</v>
      </c>
      <c r="U91" s="24" t="s">
        <v>85</v>
      </c>
      <c r="V91" s="24" t="s">
        <v>909</v>
      </c>
      <c r="W91" s="24" t="s">
        <v>910</v>
      </c>
      <c r="X91" s="24" t="s">
        <v>68</v>
      </c>
      <c r="Y91" s="24">
        <v>51</v>
      </c>
      <c r="Z91" s="24" t="s">
        <v>172</v>
      </c>
      <c r="AA91" s="49" t="s">
        <v>129</v>
      </c>
      <c r="AB91" s="24" t="s">
        <v>911</v>
      </c>
      <c r="AC91" s="24" t="s">
        <v>281</v>
      </c>
      <c r="AD91" s="24" t="s">
        <v>102</v>
      </c>
      <c r="AE91" s="24" t="s">
        <v>103</v>
      </c>
      <c r="AF91" s="24" t="s">
        <v>912</v>
      </c>
      <c r="AG91" s="24" t="s">
        <v>913</v>
      </c>
      <c r="AH91" s="24" t="s">
        <v>76</v>
      </c>
      <c r="AI91" s="24">
        <v>21</v>
      </c>
      <c r="AJ91" s="24">
        <v>0</v>
      </c>
      <c r="AK91" s="24">
        <v>21</v>
      </c>
      <c r="AL91" s="24" t="s">
        <v>789</v>
      </c>
      <c r="AM91" s="23">
        <v>330</v>
      </c>
      <c r="AN91" s="23" t="s">
        <v>79</v>
      </c>
      <c r="AO91" s="23" t="s">
        <v>914</v>
      </c>
      <c r="AP91" s="23" t="s">
        <v>81</v>
      </c>
      <c r="AQ91" s="27" t="str">
        <f>+Base_Accidentes[[#This Row],[Tipo de Accidente]]</f>
        <v>Acc. Incapacitante</v>
      </c>
      <c r="AR91" s="23" cm="1">
        <f t="array" aca="1" ref="AR91" ca="1">+Base_Accidentes[Población]</f>
        <v>0</v>
      </c>
      <c r="AS91" s="23" t="s">
        <v>128</v>
      </c>
      <c r="AT91" s="85"/>
    </row>
    <row r="92" spans="1:46" ht="50.1" hidden="1" customHeight="1" x14ac:dyDescent="0.3">
      <c r="A92" s="45">
        <v>95</v>
      </c>
      <c r="B92" s="24" t="s">
        <v>129</v>
      </c>
      <c r="C92" s="24" t="s">
        <v>1</v>
      </c>
      <c r="D92" s="24" t="s">
        <v>56</v>
      </c>
      <c r="E92" s="24" t="s">
        <v>706</v>
      </c>
      <c r="F92" s="23" t="s">
        <v>707</v>
      </c>
      <c r="G92" s="24" t="s">
        <v>706</v>
      </c>
      <c r="H92" s="24" t="s">
        <v>60</v>
      </c>
      <c r="I92" s="24" t="s">
        <v>915</v>
      </c>
      <c r="J92" s="24" t="s">
        <v>113</v>
      </c>
      <c r="K92" s="24" t="str">
        <f>IF(ISBLANK(Base_Accidentes[[#This Row],[Tipo de Accidente]])," ",Base_Accidentes[[#This Row],[Tipo de Accidente]])</f>
        <v>Acc. Incapacitante</v>
      </c>
      <c r="L92" s="46">
        <v>45419</v>
      </c>
      <c r="M92" s="47">
        <f>_xlfn.ISOWEEKNUM(Base_Accidentes[[#This Row],[Fecha
(XX/XX/2024)]])</f>
        <v>19</v>
      </c>
      <c r="N92" s="23">
        <f>DAY(Base_Accidentes[[#This Row],[Fecha
(XX/XX/2024)]])</f>
        <v>7</v>
      </c>
      <c r="O92" s="23">
        <f>MONTH(Base_Accidentes[[#This Row],[Fecha
(XX/XX/2024)]])</f>
        <v>5</v>
      </c>
      <c r="P92" s="23">
        <f>YEAR(Base_Accidentes[[#This Row],[Fecha
(XX/XX/2024)]])</f>
        <v>2024</v>
      </c>
      <c r="Q92" s="48">
        <v>0.65277777777777779</v>
      </c>
      <c r="R92" s="24" t="s">
        <v>84</v>
      </c>
      <c r="S92" s="24" t="s">
        <v>10</v>
      </c>
      <c r="T92" s="24" t="s">
        <v>114</v>
      </c>
      <c r="U92" s="24" t="s">
        <v>916</v>
      </c>
      <c r="V92" s="24" t="s">
        <v>917</v>
      </c>
      <c r="W92" s="24" t="s">
        <v>451</v>
      </c>
      <c r="X92" s="24" t="s">
        <v>68</v>
      </c>
      <c r="Y92" s="24">
        <v>47</v>
      </c>
      <c r="Z92" s="24" t="s">
        <v>172</v>
      </c>
      <c r="AA92" s="49" t="s">
        <v>129</v>
      </c>
      <c r="AB92" s="24" t="s">
        <v>918</v>
      </c>
      <c r="AC92" s="24" t="s">
        <v>120</v>
      </c>
      <c r="AD92" s="24" t="s">
        <v>807</v>
      </c>
      <c r="AE92" s="24" t="s">
        <v>103</v>
      </c>
      <c r="AF92" s="24" t="s">
        <v>919</v>
      </c>
      <c r="AG92" s="24"/>
      <c r="AH92" s="24" t="s">
        <v>125</v>
      </c>
      <c r="AI92" s="24">
        <v>13</v>
      </c>
      <c r="AJ92" s="24">
        <v>0</v>
      </c>
      <c r="AK92" s="24">
        <v>13</v>
      </c>
      <c r="AL92" s="24" t="s">
        <v>78</v>
      </c>
      <c r="AM92" s="24">
        <v>11</v>
      </c>
      <c r="AN92" s="23" t="s">
        <v>177</v>
      </c>
      <c r="AO92" s="23" t="s">
        <v>920</v>
      </c>
      <c r="AP92" s="23" t="s">
        <v>921</v>
      </c>
      <c r="AQ92" s="27" t="str">
        <f>+Base_Accidentes[[#This Row],[Tipo de Accidente]]</f>
        <v>Acc. Incapacitante</v>
      </c>
      <c r="AR92" s="23" cm="1">
        <f t="array" aca="1" ref="AR92" ca="1">+Base_Accidentes[Población]</f>
        <v>0</v>
      </c>
      <c r="AS92" s="23" t="s">
        <v>128</v>
      </c>
      <c r="AT92" s="23"/>
    </row>
    <row r="93" spans="1:46" ht="39" hidden="1" customHeight="1" x14ac:dyDescent="0.3">
      <c r="A93" s="45">
        <v>92</v>
      </c>
      <c r="B93" s="24" t="s">
        <v>129</v>
      </c>
      <c r="C93" s="24" t="s">
        <v>1</v>
      </c>
      <c r="D93" s="24" t="s">
        <v>162</v>
      </c>
      <c r="E93" s="24" t="s">
        <v>163</v>
      </c>
      <c r="F93" s="24" t="s">
        <v>164</v>
      </c>
      <c r="G93" s="24" t="s">
        <v>242</v>
      </c>
      <c r="H93" s="24" t="s">
        <v>60</v>
      </c>
      <c r="I93" s="24" t="s">
        <v>302</v>
      </c>
      <c r="J93" s="24" t="s">
        <v>62</v>
      </c>
      <c r="K93" s="24" t="str">
        <f>IF(ISBLANK(Base_Accidentes[[#This Row],[Tipo de Accidente]])," ",Base_Accidentes[[#This Row],[Tipo de Accidente]])</f>
        <v>Acc. No Incapacitante</v>
      </c>
      <c r="L93" s="49">
        <v>45400</v>
      </c>
      <c r="M93" s="47">
        <f>_xlfn.ISOWEEKNUM(Base_Accidentes[[#This Row],[Fecha
(XX/XX/2024)]])</f>
        <v>16</v>
      </c>
      <c r="N93" s="23">
        <f>DAY(Base_Accidentes[[#This Row],[Fecha
(XX/XX/2024)]])</f>
        <v>18</v>
      </c>
      <c r="O93" s="23">
        <f>MONTH(Base_Accidentes[[#This Row],[Fecha
(XX/XX/2024)]])</f>
        <v>4</v>
      </c>
      <c r="P93" s="23">
        <f>YEAR(Base_Accidentes[[#This Row],[Fecha
(XX/XX/2024)]])</f>
        <v>2024</v>
      </c>
      <c r="Q93" s="48">
        <v>0.66666666666666663</v>
      </c>
      <c r="R93" s="24" t="s">
        <v>587</v>
      </c>
      <c r="S93" s="24" t="s">
        <v>167</v>
      </c>
      <c r="T93" s="24" t="s">
        <v>168</v>
      </c>
      <c r="U93" s="24" t="s">
        <v>922</v>
      </c>
      <c r="V93" s="24" t="s">
        <v>923</v>
      </c>
      <c r="W93" s="24" t="s">
        <v>924</v>
      </c>
      <c r="X93" s="24" t="s">
        <v>68</v>
      </c>
      <c r="Y93" s="24" t="s">
        <v>129</v>
      </c>
      <c r="Z93" s="24" t="s">
        <v>172</v>
      </c>
      <c r="AA93" s="49" t="s">
        <v>129</v>
      </c>
      <c r="AB93" s="24" t="s">
        <v>925</v>
      </c>
      <c r="AC93" s="24" t="s">
        <v>419</v>
      </c>
      <c r="AD93" s="24" t="s">
        <v>102</v>
      </c>
      <c r="AE93" s="24" t="s">
        <v>103</v>
      </c>
      <c r="AF93" s="24" t="s">
        <v>926</v>
      </c>
      <c r="AG93" s="24" t="s">
        <v>927</v>
      </c>
      <c r="AH93" s="24" t="s">
        <v>125</v>
      </c>
      <c r="AI93" s="24">
        <v>0</v>
      </c>
      <c r="AJ93" s="24"/>
      <c r="AK93" s="24"/>
      <c r="AL93" s="24" t="s">
        <v>78</v>
      </c>
      <c r="AM93" s="23"/>
      <c r="AN93" s="23"/>
      <c r="AO93" s="23"/>
      <c r="AP93" s="23"/>
      <c r="AQ93" s="27" t="str">
        <f>+Base_Accidentes[[#This Row],[Tipo de Accidente]]</f>
        <v>Acc. No Incapacitante</v>
      </c>
      <c r="AR93" s="23" cm="1">
        <f t="array" aca="1" ref="AR93" ca="1">+Base_Accidentes[Población]</f>
        <v>0</v>
      </c>
      <c r="AS93" s="23"/>
      <c r="AT93" s="23"/>
    </row>
    <row r="94" spans="1:46" ht="39" hidden="1" customHeight="1" x14ac:dyDescent="0.3">
      <c r="A94" s="45">
        <v>93</v>
      </c>
      <c r="B94" s="24" t="s">
        <v>129</v>
      </c>
      <c r="C94" s="24" t="s">
        <v>1</v>
      </c>
      <c r="D94" s="24" t="s">
        <v>162</v>
      </c>
      <c r="E94" s="24" t="s">
        <v>163</v>
      </c>
      <c r="F94" s="24" t="s">
        <v>164</v>
      </c>
      <c r="G94" s="24" t="s">
        <v>242</v>
      </c>
      <c r="H94" s="24" t="s">
        <v>60</v>
      </c>
      <c r="I94" s="24" t="s">
        <v>928</v>
      </c>
      <c r="J94" s="24" t="s">
        <v>62</v>
      </c>
      <c r="K94" s="24" t="str">
        <f>IF(ISBLANK(Base_Accidentes[[#This Row],[Tipo de Accidente]])," ",Base_Accidentes[[#This Row],[Tipo de Accidente]])</f>
        <v>Acc. No Incapacitante</v>
      </c>
      <c r="L94" s="49">
        <v>45409</v>
      </c>
      <c r="M94" s="47">
        <f>_xlfn.ISOWEEKNUM(Base_Accidentes[[#This Row],[Fecha
(XX/XX/2024)]])</f>
        <v>17</v>
      </c>
      <c r="N94" s="23">
        <f>DAY(Base_Accidentes[[#This Row],[Fecha
(XX/XX/2024)]])</f>
        <v>27</v>
      </c>
      <c r="O94" s="23">
        <f>MONTH(Base_Accidentes[[#This Row],[Fecha
(XX/XX/2024)]])</f>
        <v>4</v>
      </c>
      <c r="P94" s="23">
        <f>YEAR(Base_Accidentes[[#This Row],[Fecha
(XX/XX/2024)]])</f>
        <v>2024</v>
      </c>
      <c r="Q94" s="48">
        <v>0.5</v>
      </c>
      <c r="R94" s="24" t="s">
        <v>587</v>
      </c>
      <c r="S94" s="24" t="s">
        <v>167</v>
      </c>
      <c r="T94" s="24" t="s">
        <v>168</v>
      </c>
      <c r="U94" s="24" t="s">
        <v>657</v>
      </c>
      <c r="V94" s="24" t="s">
        <v>929</v>
      </c>
      <c r="W94" s="24" t="s">
        <v>930</v>
      </c>
      <c r="X94" s="24" t="s">
        <v>98</v>
      </c>
      <c r="Y94" s="24" t="s">
        <v>129</v>
      </c>
      <c r="Z94" s="24" t="s">
        <v>172</v>
      </c>
      <c r="AA94" s="49" t="s">
        <v>129</v>
      </c>
      <c r="AB94" s="24" t="s">
        <v>931</v>
      </c>
      <c r="AC94" s="24" t="s">
        <v>234</v>
      </c>
      <c r="AD94" s="24" t="s">
        <v>248</v>
      </c>
      <c r="AE94" s="24" t="s">
        <v>249</v>
      </c>
      <c r="AF94" s="24" t="s">
        <v>932</v>
      </c>
      <c r="AG94" s="24" t="s">
        <v>933</v>
      </c>
      <c r="AH94" s="24" t="s">
        <v>238</v>
      </c>
      <c r="AI94" s="24">
        <v>0</v>
      </c>
      <c r="AJ94" s="24">
        <v>0</v>
      </c>
      <c r="AK94" s="24">
        <v>0</v>
      </c>
      <c r="AL94" s="24" t="s">
        <v>78</v>
      </c>
      <c r="AM94" s="23"/>
      <c r="AN94" s="23"/>
      <c r="AO94" s="23" t="s">
        <v>934</v>
      </c>
      <c r="AP94" s="23" t="s">
        <v>92</v>
      </c>
      <c r="AQ94" s="27" t="str">
        <f>+Base_Accidentes[[#This Row],[Tipo de Accidente]]</f>
        <v>Acc. No Incapacitante</v>
      </c>
      <c r="AR94" s="23" cm="1">
        <f t="array" aca="1" ref="AR94" ca="1">+Base_Accidentes[Población]</f>
        <v>0</v>
      </c>
      <c r="AS94" s="23"/>
      <c r="AT94" s="23"/>
    </row>
    <row r="95" spans="1:46" ht="39" hidden="1" customHeight="1" x14ac:dyDescent="0.3">
      <c r="A95" s="45">
        <v>94</v>
      </c>
      <c r="B95" s="24" t="s">
        <v>935</v>
      </c>
      <c r="C95" s="24" t="s">
        <v>1</v>
      </c>
      <c r="D95" s="24" t="s">
        <v>56</v>
      </c>
      <c r="E95" s="24" t="s">
        <v>57</v>
      </c>
      <c r="F95" s="24" t="s">
        <v>58</v>
      </c>
      <c r="G95" s="24" t="s">
        <v>59</v>
      </c>
      <c r="H95" s="24" t="s">
        <v>60</v>
      </c>
      <c r="I95" s="24" t="s">
        <v>936</v>
      </c>
      <c r="J95" s="24" t="s">
        <v>62</v>
      </c>
      <c r="K95" s="24" t="str">
        <f>IF(ISBLANK(Base_Accidentes[[#This Row],[Tipo de Accidente]])," ",Base_Accidentes[[#This Row],[Tipo de Accidente]])</f>
        <v>Acc. No Incapacitante</v>
      </c>
      <c r="L95" s="49">
        <v>45430</v>
      </c>
      <c r="M95" s="47">
        <f>_xlfn.ISOWEEKNUM(Base_Accidentes[[#This Row],[Fecha
(XX/XX/2024)]])</f>
        <v>20</v>
      </c>
      <c r="N95" s="23">
        <f>DAY(Base_Accidentes[[#This Row],[Fecha
(XX/XX/2024)]])</f>
        <v>18</v>
      </c>
      <c r="O95" s="23">
        <f>MONTH(Base_Accidentes[[#This Row],[Fecha
(XX/XX/2024)]])</f>
        <v>5</v>
      </c>
      <c r="P95" s="23">
        <f>YEAR(Base_Accidentes[[#This Row],[Fecha
(XX/XX/2024)]])</f>
        <v>2024</v>
      </c>
      <c r="Q95" s="48">
        <v>0.79166666666666663</v>
      </c>
      <c r="R95" s="23" t="s">
        <v>84</v>
      </c>
      <c r="S95" s="24" t="s">
        <v>10</v>
      </c>
      <c r="T95" s="24" t="s">
        <v>64</v>
      </c>
      <c r="U95" s="24" t="s">
        <v>937</v>
      </c>
      <c r="V95" s="24" t="s">
        <v>938</v>
      </c>
      <c r="W95" s="24" t="s">
        <v>939</v>
      </c>
      <c r="X95" s="24" t="s">
        <v>68</v>
      </c>
      <c r="Y95" s="24">
        <v>28</v>
      </c>
      <c r="Z95" s="24" t="s">
        <v>172</v>
      </c>
      <c r="AA95" s="49">
        <v>45243</v>
      </c>
      <c r="AB95" s="24" t="s">
        <v>940</v>
      </c>
      <c r="AC95" s="24" t="s">
        <v>941</v>
      </c>
      <c r="AD95" s="24" t="s">
        <v>513</v>
      </c>
      <c r="AE95" s="24" t="s">
        <v>103</v>
      </c>
      <c r="AF95" s="24" t="s">
        <v>942</v>
      </c>
      <c r="AG95" s="24" t="s">
        <v>481</v>
      </c>
      <c r="AH95" s="24" t="s">
        <v>943</v>
      </c>
      <c r="AI95" s="24">
        <v>0</v>
      </c>
      <c r="AJ95" s="24">
        <v>0</v>
      </c>
      <c r="AK95" s="24">
        <v>0</v>
      </c>
      <c r="AL95" s="24" t="s">
        <v>78</v>
      </c>
      <c r="AM95" s="23">
        <v>3</v>
      </c>
      <c r="AN95" s="23" t="s">
        <v>177</v>
      </c>
      <c r="AO95" s="23" t="s">
        <v>944</v>
      </c>
      <c r="AP95" s="23" t="s">
        <v>81</v>
      </c>
      <c r="AQ95" s="27" t="str">
        <f>+Base_Accidentes[[#This Row],[Tipo de Accidente]]</f>
        <v>Acc. No Incapacitante</v>
      </c>
      <c r="AR95" s="23" cm="1">
        <f t="array" aca="1" ref="AR95" ca="1">+Base_Accidentes[Población]</f>
        <v>0</v>
      </c>
      <c r="AS95" s="23"/>
      <c r="AT95" s="23"/>
    </row>
    <row r="96" spans="1:46" ht="39" hidden="1" customHeight="1" x14ac:dyDescent="0.3">
      <c r="A96" s="45">
        <v>90</v>
      </c>
      <c r="B96" s="24" t="s">
        <v>945</v>
      </c>
      <c r="C96" s="24" t="s">
        <v>1</v>
      </c>
      <c r="D96" s="24" t="s">
        <v>56</v>
      </c>
      <c r="E96" s="24" t="s">
        <v>946</v>
      </c>
      <c r="F96" s="24" t="s">
        <v>759</v>
      </c>
      <c r="G96" s="24" t="s">
        <v>947</v>
      </c>
      <c r="H96" s="24" t="s">
        <v>60</v>
      </c>
      <c r="I96" s="24" t="s">
        <v>60</v>
      </c>
      <c r="J96" s="24" t="s">
        <v>113</v>
      </c>
      <c r="K96" s="24" t="str">
        <f>IF(ISBLANK(Base_Accidentes[[#This Row],[Tipo de Accidente]])," ",Base_Accidentes[[#This Row],[Tipo de Accidente]])</f>
        <v>Acc. Incapacitante</v>
      </c>
      <c r="L96" s="49">
        <v>45434</v>
      </c>
      <c r="M96" s="47">
        <f>_xlfn.ISOWEEKNUM(Base_Accidentes[[#This Row],[Fecha
(XX/XX/2024)]])</f>
        <v>21</v>
      </c>
      <c r="N96" s="23">
        <f>DAY(Base_Accidentes[[#This Row],[Fecha
(XX/XX/2024)]])</f>
        <v>22</v>
      </c>
      <c r="O96" s="23">
        <f>MONTH(Base_Accidentes[[#This Row],[Fecha
(XX/XX/2024)]])</f>
        <v>5</v>
      </c>
      <c r="P96" s="23">
        <f>YEAR(Base_Accidentes[[#This Row],[Fecha
(XX/XX/2024)]])</f>
        <v>2024</v>
      </c>
      <c r="Q96" s="48">
        <v>0.71527777777777779</v>
      </c>
      <c r="R96" s="23" t="s">
        <v>84</v>
      </c>
      <c r="S96" s="24" t="s">
        <v>10</v>
      </c>
      <c r="T96" s="24" t="s">
        <v>114</v>
      </c>
      <c r="U96" s="24" t="s">
        <v>948</v>
      </c>
      <c r="V96" s="24" t="s">
        <v>949</v>
      </c>
      <c r="W96" s="24" t="s">
        <v>950</v>
      </c>
      <c r="X96" s="24" t="s">
        <v>68</v>
      </c>
      <c r="Y96" s="24">
        <v>60</v>
      </c>
      <c r="Z96" s="24" t="s">
        <v>951</v>
      </c>
      <c r="AA96" s="49">
        <v>36739</v>
      </c>
      <c r="AB96" s="24" t="s">
        <v>952</v>
      </c>
      <c r="AC96" s="24" t="s">
        <v>953</v>
      </c>
      <c r="AD96" s="24" t="s">
        <v>641</v>
      </c>
      <c r="AE96" s="24" t="s">
        <v>249</v>
      </c>
      <c r="AF96" s="24" t="s">
        <v>954</v>
      </c>
      <c r="AG96" s="24" t="s">
        <v>294</v>
      </c>
      <c r="AH96" s="24" t="s">
        <v>294</v>
      </c>
      <c r="AI96" s="24">
        <v>1</v>
      </c>
      <c r="AJ96" s="24">
        <v>0</v>
      </c>
      <c r="AK96" s="24">
        <v>1</v>
      </c>
      <c r="AL96" s="24" t="s">
        <v>354</v>
      </c>
      <c r="AM96" s="24">
        <v>163</v>
      </c>
      <c r="AN96" s="23" t="s">
        <v>79</v>
      </c>
      <c r="AO96" s="23" t="s">
        <v>955</v>
      </c>
      <c r="AP96" s="23" t="s">
        <v>598</v>
      </c>
      <c r="AQ96" s="27" t="str">
        <f>+Base_Accidentes[[#This Row],[Tipo de Accidente]]</f>
        <v>Acc. Incapacitante</v>
      </c>
      <c r="AR96" s="23" cm="1">
        <f t="array" aca="1" ref="AR96" ca="1">+Base_Accidentes[Población]</f>
        <v>0</v>
      </c>
      <c r="AS96" s="23" t="s">
        <v>128</v>
      </c>
      <c r="AT96" s="23"/>
    </row>
    <row r="97" spans="1:46" ht="39" hidden="1" customHeight="1" x14ac:dyDescent="0.3">
      <c r="A97" s="45">
        <v>96</v>
      </c>
      <c r="B97" s="24" t="s">
        <v>129</v>
      </c>
      <c r="C97" s="24" t="s">
        <v>1</v>
      </c>
      <c r="D97" s="24" t="s">
        <v>56</v>
      </c>
      <c r="E97" s="24" t="s">
        <v>706</v>
      </c>
      <c r="F97" s="23" t="s">
        <v>707</v>
      </c>
      <c r="G97" s="24" t="s">
        <v>706</v>
      </c>
      <c r="H97" s="24" t="s">
        <v>60</v>
      </c>
      <c r="I97" s="24" t="s">
        <v>956</v>
      </c>
      <c r="J97" s="24" t="s">
        <v>113</v>
      </c>
      <c r="K97" s="24" t="str">
        <f>IF(ISBLANK(Base_Accidentes[[#This Row],[Tipo de Accidente]])," ",Base_Accidentes[[#This Row],[Tipo de Accidente]])</f>
        <v>Acc. Incapacitante</v>
      </c>
      <c r="L97" s="46">
        <v>45433</v>
      </c>
      <c r="M97" s="47">
        <f>_xlfn.ISOWEEKNUM(Base_Accidentes[[#This Row],[Fecha
(XX/XX/2024)]])</f>
        <v>21</v>
      </c>
      <c r="N97" s="23">
        <f>DAY(Base_Accidentes[[#This Row],[Fecha
(XX/XX/2024)]])</f>
        <v>21</v>
      </c>
      <c r="O97" s="23">
        <f>MONTH(Base_Accidentes[[#This Row],[Fecha
(XX/XX/2024)]])</f>
        <v>5</v>
      </c>
      <c r="P97" s="23">
        <f>YEAR(Base_Accidentes[[#This Row],[Fecha
(XX/XX/2024)]])</f>
        <v>2024</v>
      </c>
      <c r="Q97" s="48">
        <v>0.47916666666666669</v>
      </c>
      <c r="R97" s="24" t="s">
        <v>587</v>
      </c>
      <c r="S97" s="24" t="s">
        <v>10</v>
      </c>
      <c r="T97" s="24" t="s">
        <v>114</v>
      </c>
      <c r="U97" s="24" t="s">
        <v>957</v>
      </c>
      <c r="V97" s="24" t="s">
        <v>958</v>
      </c>
      <c r="W97" s="24" t="s">
        <v>959</v>
      </c>
      <c r="X97" s="24" t="s">
        <v>68</v>
      </c>
      <c r="Y97" s="24">
        <v>49</v>
      </c>
      <c r="Z97" s="24" t="s">
        <v>172</v>
      </c>
      <c r="AA97" s="49" t="s">
        <v>129</v>
      </c>
      <c r="AB97" s="24" t="s">
        <v>960</v>
      </c>
      <c r="AC97" s="24" t="s">
        <v>961</v>
      </c>
      <c r="AD97" s="24" t="s">
        <v>962</v>
      </c>
      <c r="AE97" s="24" t="s">
        <v>962</v>
      </c>
      <c r="AF97" s="24" t="s">
        <v>963</v>
      </c>
      <c r="AG97" s="24"/>
      <c r="AH97" s="24" t="s">
        <v>145</v>
      </c>
      <c r="AI97" s="24">
        <v>3</v>
      </c>
      <c r="AJ97" s="24">
        <v>0</v>
      </c>
      <c r="AK97" s="24">
        <v>3</v>
      </c>
      <c r="AL97" s="24" t="s">
        <v>777</v>
      </c>
      <c r="AM97" s="24">
        <v>263</v>
      </c>
      <c r="AN97" s="23" t="s">
        <v>79</v>
      </c>
      <c r="AO97" s="23" t="s">
        <v>829</v>
      </c>
      <c r="AP97" s="23" t="s">
        <v>921</v>
      </c>
      <c r="AQ97" s="27" t="str">
        <f>+Base_Accidentes[[#This Row],[Tipo de Accidente]]</f>
        <v>Acc. Incapacitante</v>
      </c>
      <c r="AR97" s="23" cm="1">
        <f t="array" aca="1" ref="AR97" ca="1">+Base_Accidentes[Población]</f>
        <v>0</v>
      </c>
      <c r="AS97" s="23" t="s">
        <v>128</v>
      </c>
      <c r="AT97" s="23"/>
    </row>
    <row r="98" spans="1:46" ht="39" hidden="1" customHeight="1" x14ac:dyDescent="0.3">
      <c r="A98" s="45">
        <v>97</v>
      </c>
      <c r="B98" s="24" t="s">
        <v>129</v>
      </c>
      <c r="C98" s="24" t="s">
        <v>130</v>
      </c>
      <c r="D98" s="24" t="s">
        <v>131</v>
      </c>
      <c r="E98" s="51"/>
      <c r="F98" s="24" t="s">
        <v>192</v>
      </c>
      <c r="G98" s="24" t="s">
        <v>193</v>
      </c>
      <c r="H98" s="24" t="s">
        <v>60</v>
      </c>
      <c r="I98" s="24" t="s">
        <v>194</v>
      </c>
      <c r="J98" s="24" t="s">
        <v>62</v>
      </c>
      <c r="K98" s="24" t="str">
        <f>IF(ISBLANK(Base_Accidentes[[#This Row],[Tipo de Accidente]])," ",Base_Accidentes[[#This Row],[Tipo de Accidente]])</f>
        <v>Acc. No Incapacitante</v>
      </c>
      <c r="L98" s="49">
        <v>45425</v>
      </c>
      <c r="M98" s="47">
        <f>_xlfn.ISOWEEKNUM(Base_Accidentes[[#This Row],[Fecha
(XX/XX/2024)]])</f>
        <v>20</v>
      </c>
      <c r="N98" s="23">
        <f>DAY(Base_Accidentes[[#This Row],[Fecha
(XX/XX/2024)]])</f>
        <v>13</v>
      </c>
      <c r="O98" s="23">
        <f>MONTH(Base_Accidentes[[#This Row],[Fecha
(XX/XX/2024)]])</f>
        <v>5</v>
      </c>
      <c r="P98" s="23">
        <f>YEAR(Base_Accidentes[[#This Row],[Fecha
(XX/XX/2024)]])</f>
        <v>2024</v>
      </c>
      <c r="Q98" s="48">
        <v>0.85416666666666663</v>
      </c>
      <c r="R98" s="24" t="s">
        <v>84</v>
      </c>
      <c r="S98" s="24" t="s">
        <v>9</v>
      </c>
      <c r="T98" s="24" t="s">
        <v>964</v>
      </c>
      <c r="U98" s="24" t="s">
        <v>518</v>
      </c>
      <c r="V98" s="24" t="s">
        <v>965</v>
      </c>
      <c r="W98" s="24" t="s">
        <v>966</v>
      </c>
      <c r="X98" s="24" t="s">
        <v>68</v>
      </c>
      <c r="Y98" s="24">
        <v>27</v>
      </c>
      <c r="Z98" s="24" t="s">
        <v>967</v>
      </c>
      <c r="AA98" s="49">
        <v>42791</v>
      </c>
      <c r="AB98" s="24" t="s">
        <v>968</v>
      </c>
      <c r="AC98" s="24" t="s">
        <v>71</v>
      </c>
      <c r="AD98" s="24" t="s">
        <v>122</v>
      </c>
      <c r="AE98" s="24" t="s">
        <v>122</v>
      </c>
      <c r="AF98" s="24" t="s">
        <v>969</v>
      </c>
      <c r="AG98" s="24" t="s">
        <v>970</v>
      </c>
      <c r="AH98" s="24" t="s">
        <v>76</v>
      </c>
      <c r="AI98" s="24">
        <v>0</v>
      </c>
      <c r="AJ98" s="24">
        <v>0</v>
      </c>
      <c r="AK98" s="24">
        <v>0</v>
      </c>
      <c r="AL98" s="24" t="s">
        <v>78</v>
      </c>
      <c r="AM98" s="24">
        <v>84</v>
      </c>
      <c r="AN98" s="23" t="s">
        <v>190</v>
      </c>
      <c r="AO98" s="24" t="s">
        <v>971</v>
      </c>
      <c r="AP98" s="23" t="s">
        <v>546</v>
      </c>
      <c r="AQ98" s="27" t="str">
        <f>+Base_Accidentes[[#This Row],[Tipo de Accidente]]</f>
        <v>Acc. No Incapacitante</v>
      </c>
      <c r="AR98" s="23" cm="1">
        <f t="array" aca="1" ref="AR98" ca="1">+Base_Accidentes[Población]</f>
        <v>0</v>
      </c>
      <c r="AS98" s="23"/>
      <c r="AT98" s="23"/>
    </row>
    <row r="99" spans="1:46" ht="24" hidden="1" x14ac:dyDescent="0.3">
      <c r="A99" s="45">
        <v>98</v>
      </c>
      <c r="B99" s="26"/>
      <c r="C99" s="26" t="s">
        <v>1</v>
      </c>
      <c r="D99" s="26" t="s">
        <v>56</v>
      </c>
      <c r="E99" s="51" t="s">
        <v>109</v>
      </c>
      <c r="F99" s="23" t="s">
        <v>323</v>
      </c>
      <c r="G99" s="31" t="s">
        <v>312</v>
      </c>
      <c r="H99" s="31" t="s">
        <v>312</v>
      </c>
      <c r="I99" s="31" t="s">
        <v>972</v>
      </c>
      <c r="J99" s="31" t="s">
        <v>62</v>
      </c>
      <c r="K99" s="31" t="s">
        <v>62</v>
      </c>
      <c r="L99" s="118">
        <v>45441</v>
      </c>
      <c r="M99" s="47">
        <f>_xlfn.ISOWEEKNUM(Base_Accidentes[[#This Row],[Fecha
(XX/XX/2024)]])</f>
        <v>22</v>
      </c>
      <c r="N99" s="23">
        <f>DAY(Base_Accidentes[[#This Row],[Fecha
(XX/XX/2024)]])</f>
        <v>29</v>
      </c>
      <c r="O99" s="23">
        <f>MONTH(Base_Accidentes[[#This Row],[Fecha
(XX/XX/2024)]])</f>
        <v>5</v>
      </c>
      <c r="P99" s="23">
        <f>YEAR(Base_Accidentes[[#This Row],[Fecha
(XX/XX/2024)]])</f>
        <v>2024</v>
      </c>
      <c r="Q99" s="69">
        <v>0.35902777777777778</v>
      </c>
      <c r="R99" s="26" t="s">
        <v>587</v>
      </c>
      <c r="S99" s="31" t="s">
        <v>10</v>
      </c>
      <c r="T99" s="26" t="s">
        <v>64</v>
      </c>
      <c r="U99" s="26" t="s">
        <v>973</v>
      </c>
      <c r="V99" s="26" t="s">
        <v>974</v>
      </c>
      <c r="W99" s="26" t="s">
        <v>975</v>
      </c>
      <c r="X99" s="26" t="s">
        <v>68</v>
      </c>
      <c r="Y99" s="26">
        <v>25</v>
      </c>
      <c r="Z99" s="31" t="s">
        <v>976</v>
      </c>
      <c r="AA99" s="118">
        <v>45029</v>
      </c>
      <c r="AB99" s="31" t="s">
        <v>977</v>
      </c>
      <c r="AC99" s="31" t="s">
        <v>575</v>
      </c>
      <c r="AD99" s="26" t="s">
        <v>641</v>
      </c>
      <c r="AE99" s="31" t="s">
        <v>249</v>
      </c>
      <c r="AF99" s="31" t="s">
        <v>978</v>
      </c>
      <c r="AG99" s="26" t="s">
        <v>979</v>
      </c>
      <c r="AH99" s="31" t="s">
        <v>294</v>
      </c>
      <c r="AI99" s="31">
        <v>0</v>
      </c>
      <c r="AJ99" s="26"/>
      <c r="AK99" s="26"/>
      <c r="AL99" s="26" t="s">
        <v>777</v>
      </c>
      <c r="AM99" s="26">
        <v>15</v>
      </c>
      <c r="AN99" s="26" t="s">
        <v>190</v>
      </c>
      <c r="AO99" s="31" t="s">
        <v>980</v>
      </c>
      <c r="AP99" s="26" t="s">
        <v>92</v>
      </c>
      <c r="AQ99" s="66" t="str">
        <f>+Base_Accidentes[[#This Row],[Tipo de Accidente]]</f>
        <v>Acc. No Incapacitante</v>
      </c>
      <c r="AR99" s="77" cm="1">
        <f t="array" aca="1" ref="AR99" ca="1">+Base_Accidentes[Población]</f>
        <v>0</v>
      </c>
      <c r="AS99" s="26" t="s">
        <v>780</v>
      </c>
      <c r="AT99" s="23"/>
    </row>
    <row r="100" spans="1:46" ht="39" hidden="1" customHeight="1" x14ac:dyDescent="0.3">
      <c r="A100" s="45">
        <v>99</v>
      </c>
      <c r="B100" s="24" t="s">
        <v>129</v>
      </c>
      <c r="C100" s="24" t="s">
        <v>130</v>
      </c>
      <c r="D100" s="24" t="s">
        <v>131</v>
      </c>
      <c r="E100" s="51"/>
      <c r="F100" s="24" t="s">
        <v>148</v>
      </c>
      <c r="G100" s="24" t="s">
        <v>149</v>
      </c>
      <c r="H100" s="24" t="s">
        <v>184</v>
      </c>
      <c r="I100" s="24" t="s">
        <v>184</v>
      </c>
      <c r="J100" s="24" t="s">
        <v>62</v>
      </c>
      <c r="K100" s="24" t="str">
        <f>IF(ISBLANK(Base_Accidentes[[#This Row],[Tipo de Accidente]])," ",Base_Accidentes[[#This Row],[Tipo de Accidente]])</f>
        <v>Acc. No Incapacitante</v>
      </c>
      <c r="L100" s="49">
        <v>45430</v>
      </c>
      <c r="M100" s="47">
        <f>_xlfn.ISOWEEKNUM(Base_Accidentes[[#This Row],[Fecha
(XX/XX/2024)]])</f>
        <v>20</v>
      </c>
      <c r="N100" s="23">
        <f>DAY(Base_Accidentes[[#This Row],[Fecha
(XX/XX/2024)]])</f>
        <v>18</v>
      </c>
      <c r="O100" s="23">
        <f>MONTH(Base_Accidentes[[#This Row],[Fecha
(XX/XX/2024)]])</f>
        <v>5</v>
      </c>
      <c r="P100" s="23">
        <f>YEAR(Base_Accidentes[[#This Row],[Fecha
(XX/XX/2024)]])</f>
        <v>2024</v>
      </c>
      <c r="Q100" s="48">
        <v>0.17708333333333334</v>
      </c>
      <c r="R100" s="24" t="s">
        <v>63</v>
      </c>
      <c r="S100" s="24" t="s">
        <v>981</v>
      </c>
      <c r="T100" s="24" t="s">
        <v>64</v>
      </c>
      <c r="U100" s="24" t="s">
        <v>982</v>
      </c>
      <c r="V100" s="24" t="s">
        <v>983</v>
      </c>
      <c r="W100" s="24" t="s">
        <v>984</v>
      </c>
      <c r="X100" s="24" t="s">
        <v>68</v>
      </c>
      <c r="Y100" s="24">
        <v>35</v>
      </c>
      <c r="Z100" s="24" t="s">
        <v>985</v>
      </c>
      <c r="AA100" s="49">
        <v>41132</v>
      </c>
      <c r="AB100" s="24" t="s">
        <v>986</v>
      </c>
      <c r="AC100" s="24" t="s">
        <v>71</v>
      </c>
      <c r="AD100" s="24" t="s">
        <v>122</v>
      </c>
      <c r="AE100" s="24" t="s">
        <v>122</v>
      </c>
      <c r="AF100" s="24" t="s">
        <v>987</v>
      </c>
      <c r="AG100" s="24" t="s">
        <v>988</v>
      </c>
      <c r="AH100" s="24" t="s">
        <v>294</v>
      </c>
      <c r="AI100" s="24">
        <v>0</v>
      </c>
      <c r="AJ100" s="24">
        <v>0</v>
      </c>
      <c r="AK100" s="24">
        <v>0</v>
      </c>
      <c r="AL100" s="24" t="s">
        <v>78</v>
      </c>
      <c r="AM100" s="24">
        <v>61</v>
      </c>
      <c r="AN100" s="23" t="s">
        <v>146</v>
      </c>
      <c r="AO100" s="24" t="s">
        <v>989</v>
      </c>
      <c r="AP100" s="23" t="s">
        <v>546</v>
      </c>
      <c r="AQ100" s="27" t="str">
        <f>+Base_Accidentes[[#This Row],[Tipo de Accidente]]</f>
        <v>Acc. No Incapacitante</v>
      </c>
      <c r="AR100" s="23" cm="1">
        <f t="array" aca="1" ref="AR100" ca="1">+Base_Accidentes[Población]</f>
        <v>0</v>
      </c>
      <c r="AS100" s="23" t="s">
        <v>780</v>
      </c>
      <c r="AT100" s="23"/>
    </row>
    <row r="101" spans="1:46" ht="24" hidden="1" x14ac:dyDescent="0.3">
      <c r="A101" s="45">
        <v>100</v>
      </c>
      <c r="B101" s="24" t="s">
        <v>129</v>
      </c>
      <c r="C101" s="24" t="s">
        <v>1</v>
      </c>
      <c r="D101" s="23" t="s">
        <v>162</v>
      </c>
      <c r="E101" s="24" t="s">
        <v>163</v>
      </c>
      <c r="F101" s="23" t="s">
        <v>164</v>
      </c>
      <c r="G101" s="24" t="s">
        <v>428</v>
      </c>
      <c r="H101" s="24" t="s">
        <v>60</v>
      </c>
      <c r="I101" s="24" t="s">
        <v>438</v>
      </c>
      <c r="J101" s="24" t="s">
        <v>62</v>
      </c>
      <c r="K101" s="24" t="str">
        <f>IF(ISBLANK(Base_Accidentes[[#This Row],[Tipo de Accidente]])," ",Base_Accidentes[[#This Row],[Tipo de Accidente]])</f>
        <v>Acc. No Incapacitante</v>
      </c>
      <c r="L101" s="49">
        <v>45419</v>
      </c>
      <c r="M101" s="47">
        <f>_xlfn.ISOWEEKNUM(Base_Accidentes[[#This Row],[Fecha
(XX/XX/2024)]])</f>
        <v>19</v>
      </c>
      <c r="N101" s="23">
        <f>DAY(Base_Accidentes[[#This Row],[Fecha
(XX/XX/2024)]])</f>
        <v>7</v>
      </c>
      <c r="O101" s="23">
        <f>MONTH(Base_Accidentes[[#This Row],[Fecha
(XX/XX/2024)]])</f>
        <v>5</v>
      </c>
      <c r="P101" s="23">
        <f>YEAR(Base_Accidentes[[#This Row],[Fecha
(XX/XX/2024)]])</f>
        <v>2024</v>
      </c>
      <c r="Q101" s="48">
        <v>0.38194444444444442</v>
      </c>
      <c r="R101" s="24" t="s">
        <v>587</v>
      </c>
      <c r="S101" s="24" t="s">
        <v>167</v>
      </c>
      <c r="T101" s="24" t="s">
        <v>168</v>
      </c>
      <c r="U101" s="24" t="s">
        <v>990</v>
      </c>
      <c r="V101" s="24" t="s">
        <v>991</v>
      </c>
      <c r="W101" s="24" t="s">
        <v>992</v>
      </c>
      <c r="X101" s="24" t="s">
        <v>68</v>
      </c>
      <c r="Y101" s="24">
        <v>24</v>
      </c>
      <c r="Z101" s="24" t="s">
        <v>172</v>
      </c>
      <c r="AA101" s="49">
        <v>45356</v>
      </c>
      <c r="AB101" s="24" t="s">
        <v>993</v>
      </c>
      <c r="AC101" s="24" t="s">
        <v>71</v>
      </c>
      <c r="AD101" s="24" t="s">
        <v>994</v>
      </c>
      <c r="AE101" s="24" t="s">
        <v>142</v>
      </c>
      <c r="AF101" s="24" t="s">
        <v>995</v>
      </c>
      <c r="AG101" s="24" t="s">
        <v>321</v>
      </c>
      <c r="AH101" s="24" t="s">
        <v>145</v>
      </c>
      <c r="AI101" s="24">
        <v>0</v>
      </c>
      <c r="AJ101" s="24">
        <v>0</v>
      </c>
      <c r="AK101" s="24">
        <v>0</v>
      </c>
      <c r="AL101" s="24" t="s">
        <v>78</v>
      </c>
      <c r="AM101" s="24">
        <v>2</v>
      </c>
      <c r="AN101" s="23" t="s">
        <v>401</v>
      </c>
      <c r="AO101" s="24" t="s">
        <v>309</v>
      </c>
      <c r="AP101" s="23" t="s">
        <v>92</v>
      </c>
      <c r="AQ101" s="27" t="str">
        <f>+Base_Accidentes[[#This Row],[Tipo de Accidente]]</f>
        <v>Acc. No Incapacitante</v>
      </c>
      <c r="AR101" s="23" cm="1">
        <f t="array" aca="1" ref="AR101" ca="1">+Base_Accidentes[Población]</f>
        <v>0</v>
      </c>
      <c r="AS101" s="23"/>
      <c r="AT101" s="23"/>
    </row>
    <row r="102" spans="1:46" ht="36" hidden="1" x14ac:dyDescent="0.3">
      <c r="A102" s="45">
        <v>101</v>
      </c>
      <c r="B102" s="24" t="s">
        <v>129</v>
      </c>
      <c r="C102" s="24" t="s">
        <v>1</v>
      </c>
      <c r="D102" s="23" t="s">
        <v>162</v>
      </c>
      <c r="E102" s="24" t="s">
        <v>163</v>
      </c>
      <c r="F102" s="23" t="s">
        <v>164</v>
      </c>
      <c r="G102" s="24" t="s">
        <v>428</v>
      </c>
      <c r="H102" s="24" t="s">
        <v>60</v>
      </c>
      <c r="I102" s="24" t="s">
        <v>438</v>
      </c>
      <c r="J102" s="24" t="s">
        <v>62</v>
      </c>
      <c r="K102" s="24" t="str">
        <f>IF(ISBLANK(Base_Accidentes[[#This Row],[Tipo de Accidente]])," ",Base_Accidentes[[#This Row],[Tipo de Accidente]])</f>
        <v>Acc. No Incapacitante</v>
      </c>
      <c r="L102" s="49">
        <v>45420</v>
      </c>
      <c r="M102" s="47">
        <f>_xlfn.ISOWEEKNUM(Base_Accidentes[[#This Row],[Fecha
(XX/XX/2024)]])</f>
        <v>19</v>
      </c>
      <c r="N102" s="23">
        <f>DAY(Base_Accidentes[[#This Row],[Fecha
(XX/XX/2024)]])</f>
        <v>8</v>
      </c>
      <c r="O102" s="23">
        <f>MONTH(Base_Accidentes[[#This Row],[Fecha
(XX/XX/2024)]])</f>
        <v>5</v>
      </c>
      <c r="P102" s="23">
        <f>YEAR(Base_Accidentes[[#This Row],[Fecha
(XX/XX/2024)]])</f>
        <v>2024</v>
      </c>
      <c r="Q102" s="48">
        <v>0.11805555555555555</v>
      </c>
      <c r="R102" s="24" t="s">
        <v>135</v>
      </c>
      <c r="S102" s="24" t="s">
        <v>167</v>
      </c>
      <c r="T102" s="24" t="s">
        <v>168</v>
      </c>
      <c r="U102" s="56" t="s">
        <v>996</v>
      </c>
      <c r="V102" s="56" t="s">
        <v>996</v>
      </c>
      <c r="W102" s="56" t="s">
        <v>996</v>
      </c>
      <c r="X102" s="56" t="s">
        <v>997</v>
      </c>
      <c r="Y102" s="24">
        <v>24</v>
      </c>
      <c r="Z102" s="24" t="s">
        <v>172</v>
      </c>
      <c r="AA102" s="52">
        <v>45292</v>
      </c>
      <c r="AB102" s="24" t="s">
        <v>998</v>
      </c>
      <c r="AC102" s="24" t="s">
        <v>575</v>
      </c>
      <c r="AD102" s="24" t="s">
        <v>248</v>
      </c>
      <c r="AE102" s="24" t="s">
        <v>249</v>
      </c>
      <c r="AF102" s="24" t="s">
        <v>999</v>
      </c>
      <c r="AG102" s="24" t="s">
        <v>294</v>
      </c>
      <c r="AH102" s="24" t="s">
        <v>294</v>
      </c>
      <c r="AI102" s="24">
        <v>0</v>
      </c>
      <c r="AJ102" s="24">
        <v>0</v>
      </c>
      <c r="AK102" s="24">
        <v>0</v>
      </c>
      <c r="AL102" s="24" t="s">
        <v>78</v>
      </c>
      <c r="AM102" s="24"/>
      <c r="AN102" s="23"/>
      <c r="AO102" s="24" t="s">
        <v>563</v>
      </c>
      <c r="AP102" s="23" t="s">
        <v>92</v>
      </c>
      <c r="AQ102" s="27" t="str">
        <f>+Base_Accidentes[[#This Row],[Tipo de Accidente]]</f>
        <v>Acc. No Incapacitante</v>
      </c>
      <c r="AR102" s="23" cm="1">
        <f t="array" aca="1" ref="AR102" ca="1">+Base_Accidentes[Población]</f>
        <v>0</v>
      </c>
      <c r="AS102" s="23"/>
      <c r="AT102" s="23"/>
    </row>
    <row r="103" spans="1:46" ht="48" hidden="1" x14ac:dyDescent="0.3">
      <c r="A103" s="45">
        <v>102</v>
      </c>
      <c r="B103" s="24" t="s">
        <v>129</v>
      </c>
      <c r="C103" s="24" t="s">
        <v>1</v>
      </c>
      <c r="D103" s="23" t="s">
        <v>162</v>
      </c>
      <c r="E103" s="24" t="s">
        <v>163</v>
      </c>
      <c r="F103" s="23" t="s">
        <v>164</v>
      </c>
      <c r="G103" s="24" t="s">
        <v>428</v>
      </c>
      <c r="H103" s="24" t="s">
        <v>60</v>
      </c>
      <c r="I103" s="24" t="s">
        <v>429</v>
      </c>
      <c r="J103" s="24" t="s">
        <v>62</v>
      </c>
      <c r="K103" s="24" t="str">
        <f>IF(ISBLANK(Base_Accidentes[[#This Row],[Tipo de Accidente]])," ",Base_Accidentes[[#This Row],[Tipo de Accidente]])</f>
        <v>Acc. No Incapacitante</v>
      </c>
      <c r="L103" s="49">
        <v>45426</v>
      </c>
      <c r="M103" s="47">
        <f>_xlfn.ISOWEEKNUM(Base_Accidentes[[#This Row],[Fecha
(XX/XX/2024)]])</f>
        <v>20</v>
      </c>
      <c r="N103" s="23">
        <f>DAY(Base_Accidentes[[#This Row],[Fecha
(XX/XX/2024)]])</f>
        <v>14</v>
      </c>
      <c r="O103" s="23">
        <f>MONTH(Base_Accidentes[[#This Row],[Fecha
(XX/XX/2024)]])</f>
        <v>5</v>
      </c>
      <c r="P103" s="23">
        <f>YEAR(Base_Accidentes[[#This Row],[Fecha
(XX/XX/2024)]])</f>
        <v>2024</v>
      </c>
      <c r="Q103" s="48">
        <v>0.125</v>
      </c>
      <c r="R103" s="24" t="s">
        <v>135</v>
      </c>
      <c r="S103" s="24" t="s">
        <v>167</v>
      </c>
      <c r="T103" s="24" t="s">
        <v>168</v>
      </c>
      <c r="U103" s="24" t="s">
        <v>288</v>
      </c>
      <c r="V103" s="24" t="s">
        <v>1000</v>
      </c>
      <c r="W103" s="24" t="s">
        <v>1001</v>
      </c>
      <c r="X103" s="24" t="s">
        <v>68</v>
      </c>
      <c r="Y103" s="24">
        <v>49</v>
      </c>
      <c r="Z103" s="24" t="s">
        <v>172</v>
      </c>
      <c r="AA103" s="49">
        <v>45363</v>
      </c>
      <c r="AB103" s="24" t="s">
        <v>1002</v>
      </c>
      <c r="AC103" s="24" t="s">
        <v>575</v>
      </c>
      <c r="AD103" s="24" t="s">
        <v>248</v>
      </c>
      <c r="AE103" s="24" t="s">
        <v>249</v>
      </c>
      <c r="AF103" s="24" t="s">
        <v>581</v>
      </c>
      <c r="AG103" s="24" t="s">
        <v>294</v>
      </c>
      <c r="AH103" s="24" t="s">
        <v>294</v>
      </c>
      <c r="AI103" s="24">
        <v>0</v>
      </c>
      <c r="AJ103" s="24">
        <v>0</v>
      </c>
      <c r="AK103" s="24">
        <v>0</v>
      </c>
      <c r="AL103" s="24" t="s">
        <v>78</v>
      </c>
      <c r="AM103" s="24">
        <v>2</v>
      </c>
      <c r="AN103" s="23" t="s">
        <v>401</v>
      </c>
      <c r="AO103" s="24" t="s">
        <v>563</v>
      </c>
      <c r="AP103" s="23" t="s">
        <v>92</v>
      </c>
      <c r="AQ103" s="27" t="str">
        <f>+Base_Accidentes[[#This Row],[Tipo de Accidente]]</f>
        <v>Acc. No Incapacitante</v>
      </c>
      <c r="AR103" s="23" cm="1">
        <f t="array" aca="1" ref="AR103" ca="1">+Base_Accidentes[Población]</f>
        <v>0</v>
      </c>
      <c r="AS103" s="23"/>
      <c r="AT103" s="23"/>
    </row>
    <row r="104" spans="1:46" ht="36" hidden="1" x14ac:dyDescent="0.3">
      <c r="A104" s="45">
        <v>103</v>
      </c>
      <c r="B104" s="24" t="s">
        <v>129</v>
      </c>
      <c r="C104" s="24" t="s">
        <v>1</v>
      </c>
      <c r="D104" s="23" t="s">
        <v>162</v>
      </c>
      <c r="E104" s="24" t="s">
        <v>163</v>
      </c>
      <c r="F104" s="23" t="s">
        <v>164</v>
      </c>
      <c r="G104" s="24" t="s">
        <v>428</v>
      </c>
      <c r="H104" s="24" t="s">
        <v>60</v>
      </c>
      <c r="I104" s="24" t="s">
        <v>438</v>
      </c>
      <c r="J104" s="24" t="s">
        <v>62</v>
      </c>
      <c r="K104" s="24" t="str">
        <f>IF(ISBLANK(Base_Accidentes[[#This Row],[Tipo de Accidente]])," ",Base_Accidentes[[#This Row],[Tipo de Accidente]])</f>
        <v>Acc. No Incapacitante</v>
      </c>
      <c r="L104" s="49">
        <v>45426</v>
      </c>
      <c r="M104" s="47">
        <f>_xlfn.ISOWEEKNUM(Base_Accidentes[[#This Row],[Fecha
(XX/XX/2024)]])</f>
        <v>20</v>
      </c>
      <c r="N104" s="23">
        <f>DAY(Base_Accidentes[[#This Row],[Fecha
(XX/XX/2024)]])</f>
        <v>14</v>
      </c>
      <c r="O104" s="23">
        <f>MONTH(Base_Accidentes[[#This Row],[Fecha
(XX/XX/2024)]])</f>
        <v>5</v>
      </c>
      <c r="P104" s="23">
        <f>YEAR(Base_Accidentes[[#This Row],[Fecha
(XX/XX/2024)]])</f>
        <v>2024</v>
      </c>
      <c r="Q104" s="48">
        <v>0.72916666666666663</v>
      </c>
      <c r="R104" s="24" t="s">
        <v>587</v>
      </c>
      <c r="S104" s="24" t="s">
        <v>167</v>
      </c>
      <c r="T104" s="24" t="s">
        <v>168</v>
      </c>
      <c r="U104" s="24" t="s">
        <v>1003</v>
      </c>
      <c r="V104" s="24" t="s">
        <v>1004</v>
      </c>
      <c r="W104" s="24" t="s">
        <v>1005</v>
      </c>
      <c r="X104" s="24" t="s">
        <v>68</v>
      </c>
      <c r="Y104" s="24">
        <v>27</v>
      </c>
      <c r="Z104" s="24" t="s">
        <v>172</v>
      </c>
      <c r="AA104" s="49">
        <v>45293</v>
      </c>
      <c r="AB104" s="24" t="s">
        <v>1006</v>
      </c>
      <c r="AC104" s="24" t="s">
        <v>575</v>
      </c>
      <c r="AD104" s="24" t="s">
        <v>641</v>
      </c>
      <c r="AE104" s="24" t="s">
        <v>249</v>
      </c>
      <c r="AF104" s="24" t="s">
        <v>576</v>
      </c>
      <c r="AG104" s="24" t="s">
        <v>294</v>
      </c>
      <c r="AH104" s="24" t="s">
        <v>294</v>
      </c>
      <c r="AI104" s="24">
        <v>0</v>
      </c>
      <c r="AJ104" s="24">
        <v>0</v>
      </c>
      <c r="AK104" s="24">
        <v>0</v>
      </c>
      <c r="AL104" s="24" t="s">
        <v>78</v>
      </c>
      <c r="AM104" s="24">
        <v>4</v>
      </c>
      <c r="AN104" s="23" t="s">
        <v>105</v>
      </c>
      <c r="AO104" s="24" t="s">
        <v>563</v>
      </c>
      <c r="AP104" s="23" t="s">
        <v>92</v>
      </c>
      <c r="AQ104" s="27" t="str">
        <f>+Base_Accidentes[[#This Row],[Tipo de Accidente]]</f>
        <v>Acc. No Incapacitante</v>
      </c>
      <c r="AR104" s="23" cm="1">
        <f t="array" aca="1" ref="AR104" ca="1">+Base_Accidentes[Población]</f>
        <v>0</v>
      </c>
      <c r="AS104" s="23"/>
      <c r="AT104" s="23"/>
    </row>
    <row r="105" spans="1:46" ht="72" hidden="1" x14ac:dyDescent="0.3">
      <c r="A105" s="45">
        <v>104</v>
      </c>
      <c r="B105" s="24" t="s">
        <v>129</v>
      </c>
      <c r="C105" s="24" t="s">
        <v>1</v>
      </c>
      <c r="D105" s="23" t="s">
        <v>162</v>
      </c>
      <c r="E105" s="24" t="s">
        <v>163</v>
      </c>
      <c r="F105" s="23" t="s">
        <v>164</v>
      </c>
      <c r="G105" s="24" t="s">
        <v>428</v>
      </c>
      <c r="H105" s="24" t="s">
        <v>60</v>
      </c>
      <c r="I105" s="24" t="s">
        <v>438</v>
      </c>
      <c r="J105" s="24" t="s">
        <v>62</v>
      </c>
      <c r="K105" s="24" t="str">
        <f>IF(ISBLANK(Base_Accidentes[[#This Row],[Tipo de Accidente]])," ",Base_Accidentes[[#This Row],[Tipo de Accidente]])</f>
        <v>Acc. No Incapacitante</v>
      </c>
      <c r="L105" s="49">
        <v>45433</v>
      </c>
      <c r="M105" s="47">
        <f>_xlfn.ISOWEEKNUM(Base_Accidentes[[#This Row],[Fecha
(XX/XX/2024)]])</f>
        <v>21</v>
      </c>
      <c r="N105" s="23">
        <f>DAY(Base_Accidentes[[#This Row],[Fecha
(XX/XX/2024)]])</f>
        <v>21</v>
      </c>
      <c r="O105" s="23">
        <f>MONTH(Base_Accidentes[[#This Row],[Fecha
(XX/XX/2024)]])</f>
        <v>5</v>
      </c>
      <c r="P105" s="23">
        <f>YEAR(Base_Accidentes[[#This Row],[Fecha
(XX/XX/2024)]])</f>
        <v>2024</v>
      </c>
      <c r="Q105" s="48">
        <v>0.70833333333333337</v>
      </c>
      <c r="R105" s="24" t="s">
        <v>587</v>
      </c>
      <c r="S105" s="24" t="s">
        <v>167</v>
      </c>
      <c r="T105" s="24" t="s">
        <v>168</v>
      </c>
      <c r="U105" s="24" t="s">
        <v>1007</v>
      </c>
      <c r="V105" s="24" t="s">
        <v>1008</v>
      </c>
      <c r="W105" s="24" t="s">
        <v>1009</v>
      </c>
      <c r="X105" s="24" t="s">
        <v>68</v>
      </c>
      <c r="Y105" s="24">
        <v>32</v>
      </c>
      <c r="Z105" s="24" t="s">
        <v>172</v>
      </c>
      <c r="AA105" s="49">
        <v>45394</v>
      </c>
      <c r="AB105" s="24" t="s">
        <v>1010</v>
      </c>
      <c r="AC105" s="24" t="s">
        <v>71</v>
      </c>
      <c r="AD105" s="24" t="s">
        <v>1011</v>
      </c>
      <c r="AE105" s="24" t="s">
        <v>103</v>
      </c>
      <c r="AF105" s="24" t="s">
        <v>999</v>
      </c>
      <c r="AG105" s="24" t="s">
        <v>321</v>
      </c>
      <c r="AH105" s="24" t="s">
        <v>145</v>
      </c>
      <c r="AI105" s="24">
        <v>0</v>
      </c>
      <c r="AJ105" s="24">
        <v>0</v>
      </c>
      <c r="AK105" s="24">
        <v>0</v>
      </c>
      <c r="AL105" s="24" t="s">
        <v>78</v>
      </c>
      <c r="AM105" s="24">
        <v>1</v>
      </c>
      <c r="AN105" s="23" t="s">
        <v>401</v>
      </c>
      <c r="AO105" s="24" t="s">
        <v>1012</v>
      </c>
      <c r="AP105" s="23" t="s">
        <v>92</v>
      </c>
      <c r="AQ105" s="27" t="str">
        <f>+Base_Accidentes[[#This Row],[Tipo de Accidente]]</f>
        <v>Acc. No Incapacitante</v>
      </c>
      <c r="AR105" s="23" cm="1">
        <f t="array" aca="1" ref="AR105" ca="1">+Base_Accidentes[Población]</f>
        <v>0</v>
      </c>
      <c r="AS105" s="23"/>
      <c r="AT105" s="23"/>
    </row>
    <row r="106" spans="1:46" ht="36" hidden="1" x14ac:dyDescent="0.3">
      <c r="A106" s="45">
        <v>105</v>
      </c>
      <c r="B106" s="24" t="s">
        <v>129</v>
      </c>
      <c r="C106" s="24" t="s">
        <v>1</v>
      </c>
      <c r="D106" s="23" t="s">
        <v>162</v>
      </c>
      <c r="E106" s="24" t="s">
        <v>163</v>
      </c>
      <c r="F106" s="23" t="s">
        <v>164</v>
      </c>
      <c r="G106" s="24" t="s">
        <v>428</v>
      </c>
      <c r="H106" s="24" t="s">
        <v>60</v>
      </c>
      <c r="I106" s="24" t="s">
        <v>475</v>
      </c>
      <c r="J106" s="24" t="s">
        <v>62</v>
      </c>
      <c r="K106" s="24" t="str">
        <f>IF(ISBLANK(Base_Accidentes[[#This Row],[Tipo de Accidente]])," ",Base_Accidentes[[#This Row],[Tipo de Accidente]])</f>
        <v>Acc. No Incapacitante</v>
      </c>
      <c r="L106" s="49">
        <v>45439</v>
      </c>
      <c r="M106" s="47">
        <f>_xlfn.ISOWEEKNUM(Base_Accidentes[[#This Row],[Fecha
(XX/XX/2024)]])</f>
        <v>22</v>
      </c>
      <c r="N106" s="23">
        <f>DAY(Base_Accidentes[[#This Row],[Fecha
(XX/XX/2024)]])</f>
        <v>27</v>
      </c>
      <c r="O106" s="23">
        <f>MONTH(Base_Accidentes[[#This Row],[Fecha
(XX/XX/2024)]])</f>
        <v>5</v>
      </c>
      <c r="P106" s="23">
        <f>YEAR(Base_Accidentes[[#This Row],[Fecha
(XX/XX/2024)]])</f>
        <v>2024</v>
      </c>
      <c r="Q106" s="48">
        <v>0.26041666666666669</v>
      </c>
      <c r="R106" s="24" t="s">
        <v>135</v>
      </c>
      <c r="S106" s="24" t="s">
        <v>167</v>
      </c>
      <c r="T106" s="24" t="s">
        <v>168</v>
      </c>
      <c r="U106" s="24" t="s">
        <v>902</v>
      </c>
      <c r="V106" s="24" t="s">
        <v>1013</v>
      </c>
      <c r="W106" s="24" t="s">
        <v>1014</v>
      </c>
      <c r="X106" s="24" t="s">
        <v>68</v>
      </c>
      <c r="Y106" s="24">
        <v>26</v>
      </c>
      <c r="Z106" s="24" t="s">
        <v>172</v>
      </c>
      <c r="AA106" s="49">
        <v>45392</v>
      </c>
      <c r="AB106" s="24" t="s">
        <v>1015</v>
      </c>
      <c r="AC106" s="24" t="s">
        <v>120</v>
      </c>
      <c r="AD106" s="24" t="s">
        <v>1016</v>
      </c>
      <c r="AE106" s="24" t="s">
        <v>103</v>
      </c>
      <c r="AF106" s="24" t="s">
        <v>1017</v>
      </c>
      <c r="AG106" s="24" t="s">
        <v>321</v>
      </c>
      <c r="AH106" s="24" t="s">
        <v>145</v>
      </c>
      <c r="AI106" s="24">
        <v>0</v>
      </c>
      <c r="AJ106" s="24">
        <v>0</v>
      </c>
      <c r="AK106" s="24">
        <v>0</v>
      </c>
      <c r="AL106" s="24" t="s">
        <v>78</v>
      </c>
      <c r="AM106" s="24">
        <v>1</v>
      </c>
      <c r="AN106" s="23" t="s">
        <v>401</v>
      </c>
      <c r="AO106" s="24" t="s">
        <v>1018</v>
      </c>
      <c r="AP106" s="23" t="s">
        <v>92</v>
      </c>
      <c r="AQ106" s="27" t="str">
        <f>+Base_Accidentes[[#This Row],[Tipo de Accidente]]</f>
        <v>Acc. No Incapacitante</v>
      </c>
      <c r="AR106" s="23" cm="1">
        <f t="array" aca="1" ref="AR106" ca="1">+Base_Accidentes[Población]</f>
        <v>0</v>
      </c>
      <c r="AS106" s="23"/>
      <c r="AT106" s="23"/>
    </row>
    <row r="107" spans="1:46" ht="48" hidden="1" x14ac:dyDescent="0.3">
      <c r="A107" s="45">
        <v>106</v>
      </c>
      <c r="B107" s="24" t="s">
        <v>129</v>
      </c>
      <c r="C107" s="24" t="s">
        <v>1</v>
      </c>
      <c r="D107" s="23" t="s">
        <v>162</v>
      </c>
      <c r="E107" s="24" t="s">
        <v>163</v>
      </c>
      <c r="F107" s="23" t="s">
        <v>164</v>
      </c>
      <c r="G107" s="24" t="s">
        <v>428</v>
      </c>
      <c r="H107" s="24" t="s">
        <v>60</v>
      </c>
      <c r="I107" s="24" t="s">
        <v>475</v>
      </c>
      <c r="J107" s="24" t="s">
        <v>62</v>
      </c>
      <c r="K107" s="24" t="str">
        <f>IF(ISBLANK(Base_Accidentes[[#This Row],[Tipo de Accidente]])," ",Base_Accidentes[[#This Row],[Tipo de Accidente]])</f>
        <v>Acc. No Incapacitante</v>
      </c>
      <c r="L107" s="49">
        <v>45442</v>
      </c>
      <c r="M107" s="47">
        <f>_xlfn.ISOWEEKNUM(Base_Accidentes[[#This Row],[Fecha
(XX/XX/2024)]])</f>
        <v>22</v>
      </c>
      <c r="N107" s="23">
        <f>DAY(Base_Accidentes[[#This Row],[Fecha
(XX/XX/2024)]])</f>
        <v>30</v>
      </c>
      <c r="O107" s="23">
        <f>MONTH(Base_Accidentes[[#This Row],[Fecha
(XX/XX/2024)]])</f>
        <v>5</v>
      </c>
      <c r="P107" s="23">
        <f>YEAR(Base_Accidentes[[#This Row],[Fecha
(XX/XX/2024)]])</f>
        <v>2024</v>
      </c>
      <c r="Q107" s="48">
        <v>0.13472222222222222</v>
      </c>
      <c r="R107" s="24" t="s">
        <v>135</v>
      </c>
      <c r="S107" s="24" t="s">
        <v>167</v>
      </c>
      <c r="T107" s="24" t="s">
        <v>168</v>
      </c>
      <c r="U107" s="24" t="s">
        <v>1019</v>
      </c>
      <c r="V107" s="24" t="s">
        <v>457</v>
      </c>
      <c r="W107" s="24" t="s">
        <v>1020</v>
      </c>
      <c r="X107" s="24" t="s">
        <v>98</v>
      </c>
      <c r="Y107" s="24">
        <v>27</v>
      </c>
      <c r="Z107" s="24" t="s">
        <v>172</v>
      </c>
      <c r="AA107" s="49">
        <v>45077</v>
      </c>
      <c r="AB107" s="24" t="s">
        <v>1021</v>
      </c>
      <c r="AC107" s="24" t="s">
        <v>101</v>
      </c>
      <c r="AD107" s="24" t="s">
        <v>72</v>
      </c>
      <c r="AE107" s="24" t="s">
        <v>73</v>
      </c>
      <c r="AF107" s="24" t="s">
        <v>1022</v>
      </c>
      <c r="AG107" s="24" t="s">
        <v>321</v>
      </c>
      <c r="AH107" s="24" t="s">
        <v>145</v>
      </c>
      <c r="AI107" s="24">
        <v>0</v>
      </c>
      <c r="AJ107" s="24">
        <v>0</v>
      </c>
      <c r="AK107" s="24">
        <v>0</v>
      </c>
      <c r="AL107" s="24" t="s">
        <v>78</v>
      </c>
      <c r="AM107" s="24">
        <v>0</v>
      </c>
      <c r="AN107" s="23" t="s">
        <v>240</v>
      </c>
      <c r="AO107" s="24" t="s">
        <v>489</v>
      </c>
      <c r="AP107" s="23" t="s">
        <v>92</v>
      </c>
      <c r="AQ107" s="27" t="str">
        <f>+Base_Accidentes[[#This Row],[Tipo de Accidente]]</f>
        <v>Acc. No Incapacitante</v>
      </c>
      <c r="AR107" s="23" cm="1">
        <f t="array" aca="1" ref="AR107" ca="1">+Base_Accidentes[Población]</f>
        <v>0</v>
      </c>
      <c r="AS107" s="23"/>
      <c r="AT107" s="23"/>
    </row>
    <row r="108" spans="1:46" ht="48" hidden="1" x14ac:dyDescent="0.3">
      <c r="A108" s="45">
        <v>107</v>
      </c>
      <c r="B108" s="24" t="s">
        <v>129</v>
      </c>
      <c r="C108" s="24" t="s">
        <v>1</v>
      </c>
      <c r="D108" s="23" t="s">
        <v>162</v>
      </c>
      <c r="E108" s="24" t="s">
        <v>163</v>
      </c>
      <c r="F108" s="23" t="s">
        <v>164</v>
      </c>
      <c r="G108" s="24" t="s">
        <v>428</v>
      </c>
      <c r="H108" s="24" t="s">
        <v>60</v>
      </c>
      <c r="I108" s="24" t="s">
        <v>490</v>
      </c>
      <c r="J108" s="24" t="s">
        <v>62</v>
      </c>
      <c r="K108" s="24" t="str">
        <f>IF(ISBLANK(Base_Accidentes[[#This Row],[Tipo de Accidente]])," ",Base_Accidentes[[#This Row],[Tipo de Accidente]])</f>
        <v>Acc. No Incapacitante</v>
      </c>
      <c r="L108" s="49">
        <v>45442</v>
      </c>
      <c r="M108" s="47">
        <f>_xlfn.ISOWEEKNUM(Base_Accidentes[[#This Row],[Fecha
(XX/XX/2024)]])</f>
        <v>22</v>
      </c>
      <c r="N108" s="23">
        <f>DAY(Base_Accidentes[[#This Row],[Fecha
(XX/XX/2024)]])</f>
        <v>30</v>
      </c>
      <c r="O108" s="23">
        <f>MONTH(Base_Accidentes[[#This Row],[Fecha
(XX/XX/2024)]])</f>
        <v>5</v>
      </c>
      <c r="P108" s="23">
        <f>YEAR(Base_Accidentes[[#This Row],[Fecha
(XX/XX/2024)]])</f>
        <v>2024</v>
      </c>
      <c r="Q108" s="48">
        <v>0.78472222222222221</v>
      </c>
      <c r="R108" s="24" t="s">
        <v>587</v>
      </c>
      <c r="S108" s="24" t="s">
        <v>167</v>
      </c>
      <c r="T108" s="24" t="s">
        <v>168</v>
      </c>
      <c r="U108" s="24" t="s">
        <v>1023</v>
      </c>
      <c r="V108" s="24" t="s">
        <v>1024</v>
      </c>
      <c r="W108" s="24" t="s">
        <v>1025</v>
      </c>
      <c r="X108" s="24" t="s">
        <v>98</v>
      </c>
      <c r="Y108" s="24">
        <v>54</v>
      </c>
      <c r="Z108" s="24" t="s">
        <v>172</v>
      </c>
      <c r="AA108" s="49">
        <v>44693</v>
      </c>
      <c r="AB108" s="24" t="s">
        <v>1026</v>
      </c>
      <c r="AC108" s="24" t="s">
        <v>120</v>
      </c>
      <c r="AD108" s="24" t="s">
        <v>268</v>
      </c>
      <c r="AE108" s="24" t="s">
        <v>122</v>
      </c>
      <c r="AF108" s="24" t="s">
        <v>523</v>
      </c>
      <c r="AG108" s="24" t="s">
        <v>321</v>
      </c>
      <c r="AH108" s="24" t="s">
        <v>145</v>
      </c>
      <c r="AI108" s="24">
        <v>0</v>
      </c>
      <c r="AJ108" s="24">
        <v>0</v>
      </c>
      <c r="AK108" s="24">
        <v>0</v>
      </c>
      <c r="AL108" s="24" t="s">
        <v>78</v>
      </c>
      <c r="AM108" s="24">
        <v>1</v>
      </c>
      <c r="AN108" s="23" t="s">
        <v>190</v>
      </c>
      <c r="AO108" s="24" t="s">
        <v>1027</v>
      </c>
      <c r="AP108" s="23" t="s">
        <v>92</v>
      </c>
      <c r="AQ108" s="27" t="str">
        <f>+Base_Accidentes[[#This Row],[Tipo de Accidente]]</f>
        <v>Acc. No Incapacitante</v>
      </c>
      <c r="AR108" s="23" cm="1">
        <f t="array" aca="1" ref="AR108" ca="1">+Base_Accidentes[Población]</f>
        <v>0</v>
      </c>
      <c r="AS108" s="23"/>
      <c r="AT108" s="23"/>
    </row>
    <row r="109" spans="1:46" ht="48" hidden="1" x14ac:dyDescent="0.3">
      <c r="A109" s="45">
        <v>108</v>
      </c>
      <c r="B109" s="24" t="s">
        <v>129</v>
      </c>
      <c r="C109" s="24" t="s">
        <v>1</v>
      </c>
      <c r="D109" s="23" t="s">
        <v>162</v>
      </c>
      <c r="E109" s="24" t="s">
        <v>163</v>
      </c>
      <c r="F109" s="23" t="s">
        <v>164</v>
      </c>
      <c r="G109" s="24" t="s">
        <v>428</v>
      </c>
      <c r="H109" s="24" t="s">
        <v>60</v>
      </c>
      <c r="I109" s="24" t="s">
        <v>475</v>
      </c>
      <c r="J109" s="24" t="s">
        <v>62</v>
      </c>
      <c r="K109" s="24" t="str">
        <f>IF(ISBLANK(Base_Accidentes[[#This Row],[Tipo de Accidente]])," ",Base_Accidentes[[#This Row],[Tipo de Accidente]])</f>
        <v>Acc. No Incapacitante</v>
      </c>
      <c r="L109" s="49">
        <v>45446</v>
      </c>
      <c r="M109" s="47">
        <f>_xlfn.ISOWEEKNUM(Base_Accidentes[[#This Row],[Fecha
(XX/XX/2024)]])</f>
        <v>23</v>
      </c>
      <c r="N109" s="23">
        <f>DAY(Base_Accidentes[[#This Row],[Fecha
(XX/XX/2024)]])</f>
        <v>3</v>
      </c>
      <c r="O109" s="23">
        <f>MONTH(Base_Accidentes[[#This Row],[Fecha
(XX/XX/2024)]])</f>
        <v>6</v>
      </c>
      <c r="P109" s="23">
        <f>YEAR(Base_Accidentes[[#This Row],[Fecha
(XX/XX/2024)]])</f>
        <v>2024</v>
      </c>
      <c r="Q109" s="48">
        <v>0.76666666666666672</v>
      </c>
      <c r="R109" s="24" t="s">
        <v>587</v>
      </c>
      <c r="S109" s="24" t="s">
        <v>167</v>
      </c>
      <c r="T109" s="24" t="s">
        <v>168</v>
      </c>
      <c r="U109" s="24" t="s">
        <v>1028</v>
      </c>
      <c r="V109" s="24" t="s">
        <v>1029</v>
      </c>
      <c r="W109" s="24" t="s">
        <v>1030</v>
      </c>
      <c r="X109" s="24" t="s">
        <v>98</v>
      </c>
      <c r="Y109" s="24">
        <v>33</v>
      </c>
      <c r="Z109" s="24" t="s">
        <v>172</v>
      </c>
      <c r="AA109" s="49">
        <v>45294</v>
      </c>
      <c r="AB109" s="24" t="s">
        <v>1031</v>
      </c>
      <c r="AC109" s="24" t="s">
        <v>120</v>
      </c>
      <c r="AD109" s="24" t="s">
        <v>994</v>
      </c>
      <c r="AE109" s="24" t="s">
        <v>142</v>
      </c>
      <c r="AF109" s="24" t="s">
        <v>1022</v>
      </c>
      <c r="AG109" s="24" t="s">
        <v>321</v>
      </c>
      <c r="AH109" s="24" t="s">
        <v>145</v>
      </c>
      <c r="AI109" s="24">
        <v>0</v>
      </c>
      <c r="AJ109" s="24">
        <v>0</v>
      </c>
      <c r="AK109" s="24">
        <v>0</v>
      </c>
      <c r="AL109" s="24" t="s">
        <v>78</v>
      </c>
      <c r="AM109" s="24">
        <v>5</v>
      </c>
      <c r="AN109" s="23" t="s">
        <v>105</v>
      </c>
      <c r="AO109" s="24" t="s">
        <v>1032</v>
      </c>
      <c r="AP109" s="23" t="s">
        <v>92</v>
      </c>
      <c r="AQ109" s="27" t="str">
        <f>+Base_Accidentes[[#This Row],[Tipo de Accidente]]</f>
        <v>Acc. No Incapacitante</v>
      </c>
      <c r="AR109" s="23" cm="1">
        <f t="array" aca="1" ref="AR109" ca="1">+Base_Accidentes[Población]</f>
        <v>0</v>
      </c>
      <c r="AS109" s="23"/>
      <c r="AT109" s="23"/>
    </row>
    <row r="110" spans="1:46" ht="39" hidden="1" customHeight="1" x14ac:dyDescent="0.3">
      <c r="A110" s="45">
        <v>109</v>
      </c>
      <c r="B110" s="24" t="s">
        <v>129</v>
      </c>
      <c r="C110" s="24" t="s">
        <v>1</v>
      </c>
      <c r="D110" s="23" t="s">
        <v>356</v>
      </c>
      <c r="E110" s="24" t="s">
        <v>735</v>
      </c>
      <c r="F110" s="23" t="s">
        <v>736</v>
      </c>
      <c r="G110" s="24" t="s">
        <v>737</v>
      </c>
      <c r="H110" s="24" t="s">
        <v>60</v>
      </c>
      <c r="I110" s="24" t="s">
        <v>1033</v>
      </c>
      <c r="J110" s="24" t="s">
        <v>62</v>
      </c>
      <c r="K110" s="24" t="str">
        <f>IF(ISBLANK(Base_Accidentes[[#This Row],[Tipo de Accidente]])," ",Base_Accidentes[[#This Row],[Tipo de Accidente]])</f>
        <v>Acc. No Incapacitante</v>
      </c>
      <c r="L110" s="49">
        <v>45448</v>
      </c>
      <c r="M110" s="47">
        <f>_xlfn.ISOWEEKNUM(Base_Accidentes[[#This Row],[Fecha
(XX/XX/2024)]])</f>
        <v>23</v>
      </c>
      <c r="N110" s="23">
        <f>DAY(Base_Accidentes[[#This Row],[Fecha
(XX/XX/2024)]])</f>
        <v>5</v>
      </c>
      <c r="O110" s="23">
        <f>MONTH(Base_Accidentes[[#This Row],[Fecha
(XX/XX/2024)]])</f>
        <v>6</v>
      </c>
      <c r="P110" s="23">
        <f>YEAR(Base_Accidentes[[#This Row],[Fecha
(XX/XX/2024)]])</f>
        <v>2024</v>
      </c>
      <c r="Q110" s="48">
        <v>0.41666666666666669</v>
      </c>
      <c r="R110" s="24" t="s">
        <v>587</v>
      </c>
      <c r="S110" s="24" t="s">
        <v>167</v>
      </c>
      <c r="T110" s="24" t="s">
        <v>1034</v>
      </c>
      <c r="U110" s="24" t="s">
        <v>470</v>
      </c>
      <c r="V110" s="24" t="s">
        <v>1035</v>
      </c>
      <c r="W110" s="24" t="s">
        <v>1036</v>
      </c>
      <c r="X110" s="24" t="s">
        <v>68</v>
      </c>
      <c r="Y110" s="24">
        <v>29</v>
      </c>
      <c r="Z110" s="24" t="s">
        <v>1037</v>
      </c>
      <c r="AA110" s="49">
        <v>45414</v>
      </c>
      <c r="AB110" s="125" t="s">
        <v>1038</v>
      </c>
      <c r="AC110" s="24" t="s">
        <v>101</v>
      </c>
      <c r="AD110" s="24" t="s">
        <v>443</v>
      </c>
      <c r="AE110" s="24" t="s">
        <v>435</v>
      </c>
      <c r="AF110" s="24" t="s">
        <v>1039</v>
      </c>
      <c r="AG110" s="24" t="s">
        <v>270</v>
      </c>
      <c r="AH110" s="24" t="s">
        <v>145</v>
      </c>
      <c r="AI110" s="24">
        <v>0</v>
      </c>
      <c r="AJ110" s="24">
        <v>0</v>
      </c>
      <c r="AK110" s="24">
        <v>0</v>
      </c>
      <c r="AL110" s="24" t="s">
        <v>78</v>
      </c>
      <c r="AM110" s="24">
        <v>24</v>
      </c>
      <c r="AN110" s="23" t="s">
        <v>190</v>
      </c>
      <c r="AO110" s="24" t="s">
        <v>371</v>
      </c>
      <c r="AP110" s="23" t="s">
        <v>92</v>
      </c>
      <c r="AQ110" s="27" t="str">
        <f>+Base_Accidentes[[#This Row],[Tipo de Accidente]]</f>
        <v>Acc. No Incapacitante</v>
      </c>
      <c r="AR110" s="23" cm="1">
        <f t="array" aca="1" ref="AR110" ca="1">+Base_Accidentes[Población]</f>
        <v>0</v>
      </c>
      <c r="AS110" s="23"/>
      <c r="AT110" s="23"/>
    </row>
    <row r="111" spans="1:46" ht="39" hidden="1" customHeight="1" x14ac:dyDescent="0.3">
      <c r="A111" s="45">
        <v>110</v>
      </c>
      <c r="B111" s="24" t="s">
        <v>129</v>
      </c>
      <c r="C111" s="24" t="s">
        <v>1</v>
      </c>
      <c r="D111" s="24" t="s">
        <v>56</v>
      </c>
      <c r="E111" s="24" t="s">
        <v>322</v>
      </c>
      <c r="F111" s="24" t="s">
        <v>759</v>
      </c>
      <c r="G111" s="24" t="s">
        <v>322</v>
      </c>
      <c r="H111" s="24" t="s">
        <v>60</v>
      </c>
      <c r="I111" s="24" t="s">
        <v>60</v>
      </c>
      <c r="J111" s="24" t="s">
        <v>113</v>
      </c>
      <c r="K111" s="24" t="str">
        <f>IF(ISBLANK(Base_Accidentes[[#This Row],[Tipo de Accidente]])," ",Base_Accidentes[[#This Row],[Tipo de Accidente]])</f>
        <v>Acc. Incapacitante</v>
      </c>
      <c r="L111" s="49">
        <v>45462</v>
      </c>
      <c r="M111" s="47">
        <f>_xlfn.ISOWEEKNUM(Base_Accidentes[[#This Row],[Fecha
(XX/XX/2024)]])</f>
        <v>25</v>
      </c>
      <c r="N111" s="23">
        <f>DAY(Base_Accidentes[[#This Row],[Fecha
(XX/XX/2024)]])</f>
        <v>19</v>
      </c>
      <c r="O111" s="23">
        <f>MONTH(Base_Accidentes[[#This Row],[Fecha
(XX/XX/2024)]])</f>
        <v>6</v>
      </c>
      <c r="P111" s="23">
        <f>YEAR(Base_Accidentes[[#This Row],[Fecha
(XX/XX/2024)]])</f>
        <v>2024</v>
      </c>
      <c r="Q111" s="48">
        <v>0.40625</v>
      </c>
      <c r="R111" s="24" t="s">
        <v>587</v>
      </c>
      <c r="S111" s="24" t="s">
        <v>10</v>
      </c>
      <c r="T111" s="24" t="s">
        <v>114</v>
      </c>
      <c r="U111" s="24" t="s">
        <v>1040</v>
      </c>
      <c r="V111" s="24" t="s">
        <v>1041</v>
      </c>
      <c r="W111" s="24" t="s">
        <v>1042</v>
      </c>
      <c r="X111" s="24" t="s">
        <v>68</v>
      </c>
      <c r="Y111" s="24">
        <v>46</v>
      </c>
      <c r="Z111" s="24" t="s">
        <v>1043</v>
      </c>
      <c r="AA111" s="49" t="s">
        <v>129</v>
      </c>
      <c r="AB111" s="24" t="s">
        <v>1044</v>
      </c>
      <c r="AC111" s="24" t="s">
        <v>267</v>
      </c>
      <c r="AD111" s="24" t="s">
        <v>1045</v>
      </c>
      <c r="AE111" s="24" t="s">
        <v>122</v>
      </c>
      <c r="AF111" s="24" t="s">
        <v>1046</v>
      </c>
      <c r="AG111" s="24" t="s">
        <v>270</v>
      </c>
      <c r="AH111" s="24" t="s">
        <v>145</v>
      </c>
      <c r="AI111" s="24">
        <v>28</v>
      </c>
      <c r="AJ111" s="24">
        <v>0</v>
      </c>
      <c r="AK111" s="24">
        <v>28</v>
      </c>
      <c r="AL111" s="24" t="s">
        <v>78</v>
      </c>
      <c r="AM111" s="24">
        <v>60</v>
      </c>
      <c r="AN111" s="23" t="s">
        <v>146</v>
      </c>
      <c r="AO111" s="24" t="s">
        <v>829</v>
      </c>
      <c r="AP111" s="23" t="s">
        <v>81</v>
      </c>
      <c r="AQ111" s="27" t="s">
        <v>113</v>
      </c>
      <c r="AR111" s="23" cm="1">
        <f t="array" aca="1" ref="AR111" ca="1">+Base_Accidentes[Población]</f>
        <v>0</v>
      </c>
      <c r="AS111" s="23" t="s">
        <v>128</v>
      </c>
      <c r="AT111" s="23"/>
    </row>
    <row r="112" spans="1:46" ht="108" hidden="1" x14ac:dyDescent="0.3">
      <c r="A112" s="45">
        <v>111</v>
      </c>
      <c r="B112" s="24" t="s">
        <v>129</v>
      </c>
      <c r="C112" s="24" t="s">
        <v>1</v>
      </c>
      <c r="D112" s="23" t="s">
        <v>162</v>
      </c>
      <c r="E112" s="24" t="s">
        <v>163</v>
      </c>
      <c r="F112" s="23" t="s">
        <v>164</v>
      </c>
      <c r="G112" s="24" t="s">
        <v>428</v>
      </c>
      <c r="H112" s="24" t="s">
        <v>60</v>
      </c>
      <c r="I112" s="24" t="s">
        <v>438</v>
      </c>
      <c r="J112" s="24" t="s">
        <v>62</v>
      </c>
      <c r="K112" s="24" t="str">
        <f>IF(ISBLANK(Base_Accidentes[[#This Row],[Tipo de Accidente]])," ",Base_Accidentes[[#This Row],[Tipo de Accidente]])</f>
        <v>Acc. No Incapacitante</v>
      </c>
      <c r="L112" s="49">
        <v>45449</v>
      </c>
      <c r="M112" s="47">
        <f>_xlfn.ISOWEEKNUM(Base_Accidentes[[#This Row],[Fecha
(XX/XX/2024)]])</f>
        <v>23</v>
      </c>
      <c r="N112" s="23">
        <f>DAY(Base_Accidentes[[#This Row],[Fecha
(XX/XX/2024)]])</f>
        <v>6</v>
      </c>
      <c r="O112" s="23">
        <f>MONTH(Base_Accidentes[[#This Row],[Fecha
(XX/XX/2024)]])</f>
        <v>6</v>
      </c>
      <c r="P112" s="23">
        <f>YEAR(Base_Accidentes[[#This Row],[Fecha
(XX/XX/2024)]])</f>
        <v>2024</v>
      </c>
      <c r="Q112" s="48">
        <v>0.16666666666666666</v>
      </c>
      <c r="R112" s="24" t="s">
        <v>135</v>
      </c>
      <c r="S112" s="24" t="s">
        <v>167</v>
      </c>
      <c r="T112" s="24" t="s">
        <v>168</v>
      </c>
      <c r="U112" s="24" t="s">
        <v>571</v>
      </c>
      <c r="V112" s="24" t="s">
        <v>1047</v>
      </c>
      <c r="W112" s="24" t="s">
        <v>1048</v>
      </c>
      <c r="X112" s="24" t="s">
        <v>68</v>
      </c>
      <c r="Y112" s="24">
        <v>29</v>
      </c>
      <c r="Z112" s="24" t="s">
        <v>172</v>
      </c>
      <c r="AA112" s="49">
        <v>45189</v>
      </c>
      <c r="AB112" s="24" t="s">
        <v>1049</v>
      </c>
      <c r="AC112" s="24" t="s">
        <v>512</v>
      </c>
      <c r="AD112" s="24" t="s">
        <v>1050</v>
      </c>
      <c r="AE112" s="24" t="s">
        <v>103</v>
      </c>
      <c r="AF112" s="24" t="s">
        <v>1051</v>
      </c>
      <c r="AG112" s="24" t="s">
        <v>270</v>
      </c>
      <c r="AH112" s="24" t="s">
        <v>145</v>
      </c>
      <c r="AI112" s="24">
        <v>0</v>
      </c>
      <c r="AJ112" s="24">
        <v>0</v>
      </c>
      <c r="AK112" s="24">
        <v>0</v>
      </c>
      <c r="AL112" s="24" t="s">
        <v>78</v>
      </c>
      <c r="AM112" s="24">
        <v>8</v>
      </c>
      <c r="AN112" s="23" t="s">
        <v>177</v>
      </c>
      <c r="AO112" s="24" t="s">
        <v>1052</v>
      </c>
      <c r="AP112" s="23"/>
      <c r="AQ112" s="27" t="str">
        <f>+Base_Accidentes[[#This Row],[Tipo de Accidente]]</f>
        <v>Acc. No Incapacitante</v>
      </c>
      <c r="AR112" s="23" cm="1">
        <f t="array" aca="1" ref="AR112" ca="1">+Base_Accidentes[Población]</f>
        <v>0</v>
      </c>
      <c r="AS112" s="23"/>
      <c r="AT112" s="23"/>
    </row>
    <row r="113" spans="1:46" ht="96" hidden="1" x14ac:dyDescent="0.3">
      <c r="A113" s="45">
        <v>112</v>
      </c>
      <c r="B113" s="24" t="s">
        <v>129</v>
      </c>
      <c r="C113" s="24" t="s">
        <v>1</v>
      </c>
      <c r="D113" s="23" t="s">
        <v>162</v>
      </c>
      <c r="E113" s="24" t="s">
        <v>163</v>
      </c>
      <c r="F113" s="23" t="s">
        <v>164</v>
      </c>
      <c r="G113" s="24" t="s">
        <v>428</v>
      </c>
      <c r="H113" s="24" t="s">
        <v>60</v>
      </c>
      <c r="I113" s="24" t="s">
        <v>475</v>
      </c>
      <c r="J113" s="24" t="s">
        <v>62</v>
      </c>
      <c r="K113" s="24" t="str">
        <f>IF(ISBLANK(Base_Accidentes[[#This Row],[Tipo de Accidente]])," ",Base_Accidentes[[#This Row],[Tipo de Accidente]])</f>
        <v>Acc. No Incapacitante</v>
      </c>
      <c r="L113" s="49">
        <v>45460</v>
      </c>
      <c r="M113" s="47">
        <f>_xlfn.ISOWEEKNUM(Base_Accidentes[[#This Row],[Fecha
(XX/XX/2024)]])</f>
        <v>25</v>
      </c>
      <c r="N113" s="23">
        <f>DAY(Base_Accidentes[[#This Row],[Fecha
(XX/XX/2024)]])</f>
        <v>17</v>
      </c>
      <c r="O113" s="23">
        <f>MONTH(Base_Accidentes[[#This Row],[Fecha
(XX/XX/2024)]])</f>
        <v>6</v>
      </c>
      <c r="P113" s="23">
        <f>YEAR(Base_Accidentes[[#This Row],[Fecha
(XX/XX/2024)]])</f>
        <v>2024</v>
      </c>
      <c r="Q113" s="48">
        <v>0.44791666666666669</v>
      </c>
      <c r="R113" s="24" t="s">
        <v>587</v>
      </c>
      <c r="S113" s="24" t="s">
        <v>167</v>
      </c>
      <c r="T113" s="24" t="s">
        <v>168</v>
      </c>
      <c r="U113" s="24" t="s">
        <v>1053</v>
      </c>
      <c r="V113" s="24" t="s">
        <v>1054</v>
      </c>
      <c r="W113" s="24" t="s">
        <v>1055</v>
      </c>
      <c r="X113" s="24" t="s">
        <v>68</v>
      </c>
      <c r="Y113" s="24">
        <v>41</v>
      </c>
      <c r="Z113" s="24" t="s">
        <v>172</v>
      </c>
      <c r="AA113" s="49">
        <v>45363</v>
      </c>
      <c r="AB113" s="24" t="s">
        <v>1056</v>
      </c>
      <c r="AC113" s="24" t="s">
        <v>292</v>
      </c>
      <c r="AD113" s="24" t="s">
        <v>249</v>
      </c>
      <c r="AE113" s="24" t="s">
        <v>249</v>
      </c>
      <c r="AF113" s="24" t="s">
        <v>1057</v>
      </c>
      <c r="AG113" s="24" t="s">
        <v>1058</v>
      </c>
      <c r="AH113" s="24" t="s">
        <v>294</v>
      </c>
      <c r="AI113" s="24">
        <v>0</v>
      </c>
      <c r="AJ113" s="24">
        <v>0</v>
      </c>
      <c r="AK113" s="24">
        <v>0</v>
      </c>
      <c r="AL113" s="24" t="s">
        <v>78</v>
      </c>
      <c r="AM113" s="24">
        <v>3</v>
      </c>
      <c r="AN113" s="23" t="s">
        <v>401</v>
      </c>
      <c r="AO113" s="24" t="s">
        <v>1059</v>
      </c>
      <c r="AP113" s="23" t="s">
        <v>92</v>
      </c>
      <c r="AQ113" s="27" t="str">
        <f>+Base_Accidentes[[#This Row],[Tipo de Accidente]]</f>
        <v>Acc. No Incapacitante</v>
      </c>
      <c r="AR113" s="23" cm="1">
        <f t="array" aca="1" ref="AR113" ca="1">+Base_Accidentes[Población]</f>
        <v>0</v>
      </c>
      <c r="AS113" s="23"/>
      <c r="AT113" s="23"/>
    </row>
    <row r="114" spans="1:46" ht="84" hidden="1" x14ac:dyDescent="0.3">
      <c r="A114" s="45">
        <v>113</v>
      </c>
      <c r="B114" s="24" t="s">
        <v>129</v>
      </c>
      <c r="C114" s="24" t="s">
        <v>1</v>
      </c>
      <c r="D114" s="23" t="s">
        <v>162</v>
      </c>
      <c r="E114" s="24" t="s">
        <v>163</v>
      </c>
      <c r="F114" s="23" t="s">
        <v>164</v>
      </c>
      <c r="G114" s="24" t="s">
        <v>428</v>
      </c>
      <c r="H114" s="24" t="s">
        <v>60</v>
      </c>
      <c r="I114" s="24" t="s">
        <v>438</v>
      </c>
      <c r="J114" s="24" t="s">
        <v>62</v>
      </c>
      <c r="K114" s="24" t="str">
        <f>IF(ISBLANK(Base_Accidentes[[#This Row],[Tipo de Accidente]])," ",Base_Accidentes[[#This Row],[Tipo de Accidente]])</f>
        <v>Acc. No Incapacitante</v>
      </c>
      <c r="L114" s="49">
        <v>45462</v>
      </c>
      <c r="M114" s="47">
        <f>_xlfn.ISOWEEKNUM(Base_Accidentes[[#This Row],[Fecha
(XX/XX/2024)]])</f>
        <v>25</v>
      </c>
      <c r="N114" s="23">
        <f>DAY(Base_Accidentes[[#This Row],[Fecha
(XX/XX/2024)]])</f>
        <v>19</v>
      </c>
      <c r="O114" s="23">
        <f>MONTH(Base_Accidentes[[#This Row],[Fecha
(XX/XX/2024)]])</f>
        <v>6</v>
      </c>
      <c r="P114" s="23">
        <f>YEAR(Base_Accidentes[[#This Row],[Fecha
(XX/XX/2024)]])</f>
        <v>2024</v>
      </c>
      <c r="Q114" s="48">
        <v>0.40625</v>
      </c>
      <c r="R114" s="24" t="s">
        <v>587</v>
      </c>
      <c r="S114" s="24" t="s">
        <v>167</v>
      </c>
      <c r="T114" s="24" t="s">
        <v>168</v>
      </c>
      <c r="U114" s="24" t="s">
        <v>1060</v>
      </c>
      <c r="V114" s="24" t="s">
        <v>565</v>
      </c>
      <c r="W114" s="24" t="s">
        <v>1061</v>
      </c>
      <c r="X114" s="24" t="s">
        <v>68</v>
      </c>
      <c r="Y114" s="24">
        <v>40</v>
      </c>
      <c r="Z114" s="24" t="s">
        <v>172</v>
      </c>
      <c r="AA114" s="49">
        <v>45460</v>
      </c>
      <c r="AB114" s="24" t="s">
        <v>1062</v>
      </c>
      <c r="AC114" s="24" t="s">
        <v>281</v>
      </c>
      <c r="AD114" s="24" t="s">
        <v>807</v>
      </c>
      <c r="AE114" s="24" t="s">
        <v>103</v>
      </c>
      <c r="AF114" s="24" t="s">
        <v>1063</v>
      </c>
      <c r="AG114" s="24" t="s">
        <v>1064</v>
      </c>
      <c r="AH114" s="24" t="s">
        <v>145</v>
      </c>
      <c r="AI114" s="24">
        <v>0</v>
      </c>
      <c r="AJ114" s="24">
        <v>0</v>
      </c>
      <c r="AK114" s="24">
        <v>0</v>
      </c>
      <c r="AL114" s="24" t="s">
        <v>78</v>
      </c>
      <c r="AM114" s="24">
        <v>0.06</v>
      </c>
      <c r="AN114" s="23" t="s">
        <v>240</v>
      </c>
      <c r="AO114" s="24" t="s">
        <v>1065</v>
      </c>
      <c r="AP114" s="23" t="s">
        <v>92</v>
      </c>
      <c r="AQ114" s="27" t="str">
        <f>+Base_Accidentes[[#This Row],[Tipo de Accidente]]</f>
        <v>Acc. No Incapacitante</v>
      </c>
      <c r="AR114" s="23" cm="1">
        <f t="array" aca="1" ref="AR114" ca="1">+Base_Accidentes[Población]</f>
        <v>0</v>
      </c>
      <c r="AS114" s="23"/>
      <c r="AT114" s="23"/>
    </row>
    <row r="115" spans="1:46" ht="72" hidden="1" x14ac:dyDescent="0.3">
      <c r="A115" s="45">
        <v>114</v>
      </c>
      <c r="B115" s="24" t="s">
        <v>129</v>
      </c>
      <c r="C115" s="24" t="s">
        <v>1</v>
      </c>
      <c r="D115" s="23" t="s">
        <v>162</v>
      </c>
      <c r="E115" s="24" t="s">
        <v>163</v>
      </c>
      <c r="F115" s="23" t="s">
        <v>164</v>
      </c>
      <c r="G115" s="24" t="s">
        <v>428</v>
      </c>
      <c r="H115" s="24" t="s">
        <v>60</v>
      </c>
      <c r="I115" s="24" t="s">
        <v>438</v>
      </c>
      <c r="J115" s="24" t="s">
        <v>62</v>
      </c>
      <c r="K115" s="24" t="str">
        <f>IF(ISBLANK(Base_Accidentes[[#This Row],[Tipo de Accidente]])," ",Base_Accidentes[[#This Row],[Tipo de Accidente]])</f>
        <v>Acc. No Incapacitante</v>
      </c>
      <c r="L115" s="49">
        <v>45462</v>
      </c>
      <c r="M115" s="47">
        <f>_xlfn.ISOWEEKNUM(Base_Accidentes[[#This Row],[Fecha
(XX/XX/2024)]])</f>
        <v>25</v>
      </c>
      <c r="N115" s="23">
        <f>DAY(Base_Accidentes[[#This Row],[Fecha
(XX/XX/2024)]])</f>
        <v>19</v>
      </c>
      <c r="O115" s="23">
        <f>MONTH(Base_Accidentes[[#This Row],[Fecha
(XX/XX/2024)]])</f>
        <v>6</v>
      </c>
      <c r="P115" s="23">
        <f>YEAR(Base_Accidentes[[#This Row],[Fecha
(XX/XX/2024)]])</f>
        <v>2024</v>
      </c>
      <c r="Q115" s="48">
        <v>0.43680555555555556</v>
      </c>
      <c r="R115" s="24" t="s">
        <v>587</v>
      </c>
      <c r="S115" s="24" t="s">
        <v>167</v>
      </c>
      <c r="T115" s="24" t="s">
        <v>168</v>
      </c>
      <c r="U115" s="24" t="s">
        <v>1066</v>
      </c>
      <c r="V115" s="24" t="s">
        <v>1067</v>
      </c>
      <c r="W115" s="24" t="s">
        <v>868</v>
      </c>
      <c r="X115" s="24" t="s">
        <v>68</v>
      </c>
      <c r="Y115" s="24">
        <v>30</v>
      </c>
      <c r="Z115" s="24" t="s">
        <v>172</v>
      </c>
      <c r="AA115" s="49">
        <v>45462</v>
      </c>
      <c r="AB115" s="24" t="s">
        <v>1068</v>
      </c>
      <c r="AC115" s="24" t="s">
        <v>281</v>
      </c>
      <c r="AD115" s="24" t="s">
        <v>1069</v>
      </c>
      <c r="AE115" s="24" t="s">
        <v>103</v>
      </c>
      <c r="AF115" s="24" t="s">
        <v>1070</v>
      </c>
      <c r="AG115" s="24" t="s">
        <v>1071</v>
      </c>
      <c r="AH115" s="24" t="s">
        <v>145</v>
      </c>
      <c r="AI115" s="24">
        <v>0</v>
      </c>
      <c r="AJ115" s="24">
        <v>0</v>
      </c>
      <c r="AK115" s="24">
        <v>0</v>
      </c>
      <c r="AL115" s="24" t="s">
        <v>78</v>
      </c>
      <c r="AM115" s="24"/>
      <c r="AN115" s="23"/>
      <c r="AO115" s="24" t="s">
        <v>1072</v>
      </c>
      <c r="AP115" s="23" t="s">
        <v>92</v>
      </c>
      <c r="AQ115" s="27" t="str">
        <f>+Base_Accidentes[[#This Row],[Tipo de Accidente]]</f>
        <v>Acc. No Incapacitante</v>
      </c>
      <c r="AR115" s="23" cm="1">
        <f t="array" aca="1" ref="AR115" ca="1">+Base_Accidentes[Población]</f>
        <v>0</v>
      </c>
      <c r="AS115" s="23"/>
      <c r="AT115" s="23"/>
    </row>
    <row r="116" spans="1:46" ht="84" hidden="1" x14ac:dyDescent="0.3">
      <c r="A116" s="45">
        <v>115</v>
      </c>
      <c r="B116" s="24" t="s">
        <v>129</v>
      </c>
      <c r="C116" s="24" t="s">
        <v>1</v>
      </c>
      <c r="D116" s="24" t="s">
        <v>162</v>
      </c>
      <c r="E116" s="24" t="s">
        <v>163</v>
      </c>
      <c r="F116" s="23" t="s">
        <v>164</v>
      </c>
      <c r="G116" s="24" t="s">
        <v>428</v>
      </c>
      <c r="H116" s="24" t="s">
        <v>60</v>
      </c>
      <c r="I116" s="24" t="s">
        <v>438</v>
      </c>
      <c r="J116" s="24" t="s">
        <v>113</v>
      </c>
      <c r="K116" s="24" t="str">
        <f>IF(ISBLANK(Base_Accidentes[[#This Row],[Tipo de Accidente]])," ",Base_Accidentes[[#This Row],[Tipo de Accidente]])</f>
        <v>Acc. Incapacitante</v>
      </c>
      <c r="L116" s="49">
        <v>45463</v>
      </c>
      <c r="M116" s="47">
        <f>_xlfn.ISOWEEKNUM(Base_Accidentes[[#This Row],[Fecha
(XX/XX/2024)]])</f>
        <v>25</v>
      </c>
      <c r="N116" s="23">
        <f>DAY(Base_Accidentes[[#This Row],[Fecha
(XX/XX/2024)]])</f>
        <v>20</v>
      </c>
      <c r="O116" s="23">
        <f>MONTH(Base_Accidentes[[#This Row],[Fecha
(XX/XX/2024)]])</f>
        <v>6</v>
      </c>
      <c r="P116" s="23">
        <f>YEAR(Base_Accidentes[[#This Row],[Fecha
(XX/XX/2024)]])</f>
        <v>2024</v>
      </c>
      <c r="Q116" s="48">
        <v>0.3611111111111111</v>
      </c>
      <c r="R116" s="24" t="s">
        <v>587</v>
      </c>
      <c r="S116" s="24" t="s">
        <v>167</v>
      </c>
      <c r="T116" s="24" t="s">
        <v>168</v>
      </c>
      <c r="U116" s="24" t="s">
        <v>364</v>
      </c>
      <c r="V116" s="24" t="s">
        <v>896</v>
      </c>
      <c r="W116" s="24" t="s">
        <v>1073</v>
      </c>
      <c r="X116" s="24" t="s">
        <v>68</v>
      </c>
      <c r="Y116" s="24">
        <v>24</v>
      </c>
      <c r="Z116" s="24" t="s">
        <v>172</v>
      </c>
      <c r="AA116" s="49">
        <v>45314</v>
      </c>
      <c r="AB116" s="24" t="s">
        <v>1074</v>
      </c>
      <c r="AC116" s="24" t="s">
        <v>281</v>
      </c>
      <c r="AD116" s="24" t="s">
        <v>1075</v>
      </c>
      <c r="AE116" s="24" t="s">
        <v>103</v>
      </c>
      <c r="AF116" s="24" t="s">
        <v>1076</v>
      </c>
      <c r="AG116" s="24" t="s">
        <v>1077</v>
      </c>
      <c r="AH116" s="24" t="s">
        <v>145</v>
      </c>
      <c r="AI116" s="24">
        <v>68</v>
      </c>
      <c r="AJ116" s="24">
        <v>0</v>
      </c>
      <c r="AK116" s="24">
        <v>68</v>
      </c>
      <c r="AL116" s="24" t="s">
        <v>354</v>
      </c>
      <c r="AM116" s="24">
        <v>5</v>
      </c>
      <c r="AN116" s="23" t="s">
        <v>105</v>
      </c>
      <c r="AO116" s="24" t="s">
        <v>1078</v>
      </c>
      <c r="AP116" s="23" t="s">
        <v>92</v>
      </c>
      <c r="AQ116" s="27" t="str">
        <f>+Base_Accidentes[[#This Row],[Tipo de Accidente]]</f>
        <v>Acc. Incapacitante</v>
      </c>
      <c r="AR116" s="23" cm="1">
        <f t="array" aca="1" ref="AR116" ca="1">+Base_Accidentes[Población]</f>
        <v>0</v>
      </c>
      <c r="AS116" s="23" t="s">
        <v>128</v>
      </c>
      <c r="AT116" s="23"/>
    </row>
    <row r="117" spans="1:46" ht="39" customHeight="1" x14ac:dyDescent="0.3">
      <c r="A117" s="45">
        <v>116</v>
      </c>
      <c r="B117" s="24" t="s">
        <v>129</v>
      </c>
      <c r="C117" s="24" t="s">
        <v>1</v>
      </c>
      <c r="D117" s="23" t="s">
        <v>56</v>
      </c>
      <c r="E117" s="51" t="s">
        <v>946</v>
      </c>
      <c r="F117" s="23" t="s">
        <v>58</v>
      </c>
      <c r="G117" s="31" t="s">
        <v>59</v>
      </c>
      <c r="H117" s="31" t="s">
        <v>60</v>
      </c>
      <c r="I117" s="31" t="s">
        <v>1079</v>
      </c>
      <c r="J117" s="31" t="s">
        <v>62</v>
      </c>
      <c r="K117" s="31" t="str">
        <f>IF(ISBLANK(Base_Accidentes[[#This Row],[Tipo de Accidente]])," ",Base_Accidentes[[#This Row],[Tipo de Accidente]])</f>
        <v>Acc. No Incapacitante</v>
      </c>
      <c r="L117" s="54">
        <v>45463</v>
      </c>
      <c r="M117" s="47">
        <f>_xlfn.ISOWEEKNUM(Base_Accidentes[[#This Row],[Fecha
(XX/XX/2024)]])</f>
        <v>25</v>
      </c>
      <c r="N117" s="23">
        <f>DAY(Base_Accidentes[[#This Row],[Fecha
(XX/XX/2024)]])</f>
        <v>20</v>
      </c>
      <c r="O117" s="23">
        <f>MONTH(Base_Accidentes[[#This Row],[Fecha
(XX/XX/2024)]])</f>
        <v>6</v>
      </c>
      <c r="P117" s="23">
        <f>YEAR(Base_Accidentes[[#This Row],[Fecha
(XX/XX/2024)]])</f>
        <v>2024</v>
      </c>
      <c r="Q117" s="55">
        <v>0.86111111111111116</v>
      </c>
      <c r="R117" s="31" t="s">
        <v>84</v>
      </c>
      <c r="S117" s="31" t="s">
        <v>167</v>
      </c>
      <c r="T117" s="31" t="s">
        <v>1080</v>
      </c>
      <c r="U117" s="31" t="s">
        <v>1081</v>
      </c>
      <c r="V117" s="31" t="s">
        <v>1082</v>
      </c>
      <c r="W117" s="31" t="s">
        <v>1083</v>
      </c>
      <c r="X117" s="31" t="s">
        <v>98</v>
      </c>
      <c r="Y117" s="31">
        <v>29</v>
      </c>
      <c r="Z117" s="31" t="s">
        <v>172</v>
      </c>
      <c r="AA117" s="54">
        <v>35695</v>
      </c>
      <c r="AB117" s="31" t="s">
        <v>1084</v>
      </c>
      <c r="AC117" s="24" t="s">
        <v>120</v>
      </c>
      <c r="AD117" s="24" t="s">
        <v>1085</v>
      </c>
      <c r="AE117" s="24" t="s">
        <v>142</v>
      </c>
      <c r="AF117" s="24" t="s">
        <v>1086</v>
      </c>
      <c r="AG117" s="24" t="s">
        <v>1087</v>
      </c>
      <c r="AH117" s="24" t="s">
        <v>145</v>
      </c>
      <c r="AI117" s="24">
        <v>0</v>
      </c>
      <c r="AJ117" s="24">
        <v>0</v>
      </c>
      <c r="AK117" s="24">
        <v>0</v>
      </c>
      <c r="AL117" s="24" t="s">
        <v>78</v>
      </c>
      <c r="AM117" s="24"/>
      <c r="AN117" s="23" t="s">
        <v>190</v>
      </c>
      <c r="AO117" s="24" t="s">
        <v>1088</v>
      </c>
      <c r="AP117" s="23" t="s">
        <v>92</v>
      </c>
      <c r="AQ117" s="27" t="str">
        <f>+Base_Accidentes[[#This Row],[Tipo de Accidente]]</f>
        <v>Acc. No Incapacitante</v>
      </c>
      <c r="AR117" s="23" cm="1">
        <f t="array" aca="1" ref="AR117" ca="1">+Base_Accidentes[Población]</f>
        <v>0</v>
      </c>
      <c r="AS117" s="23"/>
      <c r="AT117" s="23"/>
    </row>
    <row r="118" spans="1:46" ht="39" hidden="1" customHeight="1" x14ac:dyDescent="0.3">
      <c r="A118" s="45">
        <v>117</v>
      </c>
      <c r="B118" s="24" t="s">
        <v>1089</v>
      </c>
      <c r="C118" s="24" t="s">
        <v>1</v>
      </c>
      <c r="D118" s="24" t="s">
        <v>162</v>
      </c>
      <c r="E118" s="24" t="s">
        <v>227</v>
      </c>
      <c r="F118" s="27" t="s">
        <v>164</v>
      </c>
      <c r="G118" s="24" t="s">
        <v>228</v>
      </c>
      <c r="H118" s="24" t="s">
        <v>360</v>
      </c>
      <c r="I118" s="24" t="s">
        <v>1090</v>
      </c>
      <c r="J118" s="24" t="s">
        <v>113</v>
      </c>
      <c r="K118" s="24" t="str">
        <f>IF(ISBLANK(Base_Accidentes[[#This Row],[Tipo de Accidente]])," ",Base_Accidentes[[#This Row],[Tipo de Accidente]])</f>
        <v>Acc. Incapacitante</v>
      </c>
      <c r="L118" s="49">
        <v>45463</v>
      </c>
      <c r="M118" s="47">
        <f>_xlfn.ISOWEEKNUM(Base_Accidentes[[#This Row],[Fecha
(XX/XX/2024)]])</f>
        <v>25</v>
      </c>
      <c r="N118" s="23">
        <f>DAY(Base_Accidentes[[#This Row],[Fecha
(XX/XX/2024)]])</f>
        <v>20</v>
      </c>
      <c r="O118" s="23">
        <f>MONTH(Base_Accidentes[[#This Row],[Fecha
(XX/XX/2024)]])</f>
        <v>6</v>
      </c>
      <c r="P118" s="23">
        <f>YEAR(Base_Accidentes[[#This Row],[Fecha
(XX/XX/2024)]])</f>
        <v>2024</v>
      </c>
      <c r="Q118" s="48">
        <v>0.89583333333333337</v>
      </c>
      <c r="R118" s="24" t="s">
        <v>135</v>
      </c>
      <c r="S118" s="24" t="s">
        <v>374</v>
      </c>
      <c r="T118" s="24" t="s">
        <v>1091</v>
      </c>
      <c r="U118" s="24" t="s">
        <v>1092</v>
      </c>
      <c r="V118" s="24" t="s">
        <v>1093</v>
      </c>
      <c r="W118" s="24" t="s">
        <v>1094</v>
      </c>
      <c r="X118" s="24" t="s">
        <v>98</v>
      </c>
      <c r="Y118" s="24">
        <v>49</v>
      </c>
      <c r="Z118" s="24" t="s">
        <v>1095</v>
      </c>
      <c r="AA118" s="49" t="s">
        <v>129</v>
      </c>
      <c r="AB118" s="24" t="s">
        <v>1096</v>
      </c>
      <c r="AC118" s="57" t="s">
        <v>575</v>
      </c>
      <c r="AD118" s="31" t="s">
        <v>1097</v>
      </c>
      <c r="AE118" s="31" t="s">
        <v>235</v>
      </c>
      <c r="AF118" s="31" t="s">
        <v>1098</v>
      </c>
      <c r="AG118" s="31" t="s">
        <v>1099</v>
      </c>
      <c r="AH118" s="31" t="s">
        <v>686</v>
      </c>
      <c r="AI118" s="31">
        <v>17</v>
      </c>
      <c r="AJ118" s="31">
        <v>0</v>
      </c>
      <c r="AK118" s="31">
        <v>17</v>
      </c>
      <c r="AL118" s="31" t="s">
        <v>78</v>
      </c>
      <c r="AM118" s="31">
        <v>17</v>
      </c>
      <c r="AN118" s="26"/>
      <c r="AO118" s="31" t="s">
        <v>380</v>
      </c>
      <c r="AP118" s="26"/>
      <c r="AQ118" s="66" t="str">
        <f>+Base_Accidentes[[#This Row],[Tipo de Accidente]]</f>
        <v>Acc. Incapacitante</v>
      </c>
      <c r="AR118" s="23" cm="1">
        <f t="array" aca="1" ref="AR118" ca="1">+Base_Accidentes[Población]</f>
        <v>0</v>
      </c>
      <c r="AS118" s="23" t="s">
        <v>128</v>
      </c>
      <c r="AT118" s="23"/>
    </row>
    <row r="119" spans="1:46" ht="39" hidden="1" customHeight="1" x14ac:dyDescent="0.3">
      <c r="A119" s="45">
        <v>118</v>
      </c>
      <c r="B119" s="24" t="s">
        <v>129</v>
      </c>
      <c r="C119" s="24" t="s">
        <v>1</v>
      </c>
      <c r="D119" s="23" t="s">
        <v>56</v>
      </c>
      <c r="E119" s="51" t="s">
        <v>946</v>
      </c>
      <c r="F119" s="23" t="s">
        <v>58</v>
      </c>
      <c r="G119" s="58" t="s">
        <v>59</v>
      </c>
      <c r="H119" s="58" t="s">
        <v>60</v>
      </c>
      <c r="I119" s="58" t="s">
        <v>1100</v>
      </c>
      <c r="J119" s="58" t="s">
        <v>62</v>
      </c>
      <c r="K119" s="58" t="str">
        <f>IF(ISBLANK(Base_Accidentes[[#This Row],[Tipo de Accidente]])," ",Base_Accidentes[[#This Row],[Tipo de Accidente]])</f>
        <v>Acc. No Incapacitante</v>
      </c>
      <c r="L119" s="59">
        <v>45464</v>
      </c>
      <c r="M119" s="47">
        <f>_xlfn.ISOWEEKNUM(Base_Accidentes[[#This Row],[Fecha
(XX/XX/2024)]])</f>
        <v>25</v>
      </c>
      <c r="N119" s="23">
        <f>DAY(Base_Accidentes[[#This Row],[Fecha
(XX/XX/2024)]])</f>
        <v>21</v>
      </c>
      <c r="O119" s="23">
        <f>MONTH(Base_Accidentes[[#This Row],[Fecha
(XX/XX/2024)]])</f>
        <v>6</v>
      </c>
      <c r="P119" s="23">
        <f>YEAR(Base_Accidentes[[#This Row],[Fecha
(XX/XX/2024)]])</f>
        <v>2024</v>
      </c>
      <c r="Q119" s="60">
        <v>0.35416666666666669</v>
      </c>
      <c r="R119" s="58" t="s">
        <v>587</v>
      </c>
      <c r="S119" s="58" t="s">
        <v>10</v>
      </c>
      <c r="T119" s="58" t="s">
        <v>64</v>
      </c>
      <c r="U119" s="58" t="s">
        <v>896</v>
      </c>
      <c r="V119" s="58" t="s">
        <v>1101</v>
      </c>
      <c r="W119" s="58" t="s">
        <v>1102</v>
      </c>
      <c r="X119" s="58" t="s">
        <v>98</v>
      </c>
      <c r="Y119" s="58">
        <v>34</v>
      </c>
      <c r="Z119" s="58" t="s">
        <v>172</v>
      </c>
      <c r="AA119" s="49" t="s">
        <v>129</v>
      </c>
      <c r="AB119" s="58" t="s">
        <v>1103</v>
      </c>
      <c r="AC119" s="24" t="s">
        <v>201</v>
      </c>
      <c r="AD119" s="24" t="s">
        <v>1104</v>
      </c>
      <c r="AE119" s="24" t="s">
        <v>103</v>
      </c>
      <c r="AF119" s="24" t="s">
        <v>1105</v>
      </c>
      <c r="AG119" s="24" t="s">
        <v>308</v>
      </c>
      <c r="AH119" s="24" t="s">
        <v>76</v>
      </c>
      <c r="AI119" s="24">
        <v>0</v>
      </c>
      <c r="AJ119" s="24">
        <v>0</v>
      </c>
      <c r="AK119" s="24">
        <v>0</v>
      </c>
      <c r="AL119" s="24" t="s">
        <v>78</v>
      </c>
      <c r="AM119" s="24">
        <v>72</v>
      </c>
      <c r="AN119" s="23" t="s">
        <v>146</v>
      </c>
      <c r="AO119" s="24" t="s">
        <v>1106</v>
      </c>
      <c r="AP119" s="23" t="s">
        <v>81</v>
      </c>
      <c r="AQ119" s="27" t="str">
        <f>+Base_Accidentes[[#This Row],[Tipo de Accidente]]</f>
        <v>Acc. No Incapacitante</v>
      </c>
      <c r="AR119" s="23" cm="1">
        <f t="array" aca="1" ref="AR119" ca="1">+Base_Accidentes[Población]</f>
        <v>0</v>
      </c>
      <c r="AS119" s="23"/>
      <c r="AT119" s="23"/>
    </row>
    <row r="120" spans="1:46" ht="39" hidden="1" customHeight="1" x14ac:dyDescent="0.3">
      <c r="A120" s="45">
        <v>119</v>
      </c>
      <c r="B120" s="24" t="s">
        <v>129</v>
      </c>
      <c r="C120" s="24" t="s">
        <v>1</v>
      </c>
      <c r="D120" s="24" t="s">
        <v>56</v>
      </c>
      <c r="E120" s="24" t="s">
        <v>390</v>
      </c>
      <c r="F120" s="23" t="s">
        <v>323</v>
      </c>
      <c r="G120" s="24" t="s">
        <v>391</v>
      </c>
      <c r="H120" s="24" t="s">
        <v>324</v>
      </c>
      <c r="I120" s="24" t="s">
        <v>1107</v>
      </c>
      <c r="J120" s="24" t="s">
        <v>113</v>
      </c>
      <c r="K120" s="24" t="str">
        <f>IF(ISBLANK(Base_Accidentes[[#This Row],[Tipo de Accidente]])," ",Base_Accidentes[[#This Row],[Tipo de Accidente]])</f>
        <v>Acc. Incapacitante</v>
      </c>
      <c r="L120" s="49">
        <v>45463</v>
      </c>
      <c r="M120" s="47">
        <f>_xlfn.ISOWEEKNUM(Base_Accidentes[[#This Row],[Fecha
(XX/XX/2024)]])</f>
        <v>25</v>
      </c>
      <c r="N120" s="23">
        <f>DAY(Base_Accidentes[[#This Row],[Fecha
(XX/XX/2024)]])</f>
        <v>20</v>
      </c>
      <c r="O120" s="23">
        <f>MONTH(Base_Accidentes[[#This Row],[Fecha
(XX/XX/2024)]])</f>
        <v>6</v>
      </c>
      <c r="P120" s="23">
        <f>YEAR(Base_Accidentes[[#This Row],[Fecha
(XX/XX/2024)]])</f>
        <v>2024</v>
      </c>
      <c r="Q120" s="48">
        <v>0.66666666666666663</v>
      </c>
      <c r="R120" s="24" t="s">
        <v>84</v>
      </c>
      <c r="S120" s="24" t="s">
        <v>10</v>
      </c>
      <c r="T120" s="24" t="s">
        <v>114</v>
      </c>
      <c r="U120" s="24" t="s">
        <v>1108</v>
      </c>
      <c r="V120" s="24" t="s">
        <v>1109</v>
      </c>
      <c r="W120" s="24" t="s">
        <v>1110</v>
      </c>
      <c r="X120" s="24" t="s">
        <v>98</v>
      </c>
      <c r="Y120" s="24">
        <v>32</v>
      </c>
      <c r="Z120" s="24" t="s">
        <v>1111</v>
      </c>
      <c r="AA120" s="49">
        <v>45439</v>
      </c>
      <c r="AB120" s="24" t="s">
        <v>1112</v>
      </c>
      <c r="AC120" s="24" t="s">
        <v>267</v>
      </c>
      <c r="AD120" s="24" t="s">
        <v>1113</v>
      </c>
      <c r="AE120" s="24" t="s">
        <v>435</v>
      </c>
      <c r="AF120" s="24" t="s">
        <v>1114</v>
      </c>
      <c r="AG120" s="24" t="s">
        <v>1115</v>
      </c>
      <c r="AH120" s="24" t="s">
        <v>125</v>
      </c>
      <c r="AI120" s="24">
        <v>5</v>
      </c>
      <c r="AJ120" s="24">
        <v>0</v>
      </c>
      <c r="AK120" s="24">
        <v>5</v>
      </c>
      <c r="AL120" s="24" t="s">
        <v>1116</v>
      </c>
      <c r="AM120" s="24">
        <v>1</v>
      </c>
      <c r="AN120" s="23" t="s">
        <v>240</v>
      </c>
      <c r="AO120" s="24" t="s">
        <v>829</v>
      </c>
      <c r="AP120" s="23" t="s">
        <v>81</v>
      </c>
      <c r="AQ120" s="27" t="str">
        <f>+Base_Accidentes[[#This Row],[Tipo de Accidente]]</f>
        <v>Acc. Incapacitante</v>
      </c>
      <c r="AR120" s="23" cm="1">
        <f t="array" aca="1" ref="AR120" ca="1">+Base_Accidentes[Población]</f>
        <v>0</v>
      </c>
      <c r="AS120" s="23" t="s">
        <v>128</v>
      </c>
      <c r="AT120" s="23"/>
    </row>
    <row r="121" spans="1:46" ht="39" customHeight="1" x14ac:dyDescent="0.3">
      <c r="A121" s="45">
        <v>122</v>
      </c>
      <c r="B121" s="24" t="s">
        <v>1117</v>
      </c>
      <c r="C121" s="24" t="s">
        <v>1</v>
      </c>
      <c r="D121" s="24" t="s">
        <v>56</v>
      </c>
      <c r="E121" s="24" t="s">
        <v>57</v>
      </c>
      <c r="F121" s="23" t="s">
        <v>323</v>
      </c>
      <c r="G121" s="24" t="s">
        <v>1118</v>
      </c>
      <c r="H121" s="24" t="s">
        <v>312</v>
      </c>
      <c r="I121" s="24" t="s">
        <v>1119</v>
      </c>
      <c r="J121" s="24" t="s">
        <v>113</v>
      </c>
      <c r="K121" s="24" t="str">
        <f>IF(ISBLANK(Base_Accidentes[[#This Row],[Tipo de Accidente]])," ",Base_Accidentes[[#This Row],[Tipo de Accidente]])</f>
        <v>Acc. Incapacitante</v>
      </c>
      <c r="L121" s="49">
        <v>45462</v>
      </c>
      <c r="M121" s="47">
        <f>_xlfn.ISOWEEKNUM(Base_Accidentes[[#This Row],[Fecha
(XX/XX/2024)]])</f>
        <v>25</v>
      </c>
      <c r="N121" s="23">
        <f>DAY(Base_Accidentes[[#This Row],[Fecha
(XX/XX/2024)]])</f>
        <v>19</v>
      </c>
      <c r="O121" s="23">
        <f>MONTH(Base_Accidentes[[#This Row],[Fecha
(XX/XX/2024)]])</f>
        <v>6</v>
      </c>
      <c r="P121" s="23">
        <f>YEAR(Base_Accidentes[[#This Row],[Fecha
(XX/XX/2024)]])</f>
        <v>2024</v>
      </c>
      <c r="Q121" s="48">
        <v>0.82291666666666663</v>
      </c>
      <c r="R121" s="24" t="s">
        <v>135</v>
      </c>
      <c r="S121" s="24" t="s">
        <v>1120</v>
      </c>
      <c r="T121" s="24" t="s">
        <v>1121</v>
      </c>
      <c r="U121" s="24" t="s">
        <v>1122</v>
      </c>
      <c r="V121" s="24" t="s">
        <v>1123</v>
      </c>
      <c r="W121" s="24" t="s">
        <v>1124</v>
      </c>
      <c r="X121" s="24" t="s">
        <v>68</v>
      </c>
      <c r="Y121" s="24">
        <v>29</v>
      </c>
      <c r="Z121" s="24" t="s">
        <v>1125</v>
      </c>
      <c r="AA121" s="49">
        <v>45401</v>
      </c>
      <c r="AB121" s="56" t="s">
        <v>1126</v>
      </c>
      <c r="AC121" s="24" t="s">
        <v>267</v>
      </c>
      <c r="AD121" s="24" t="s">
        <v>1127</v>
      </c>
      <c r="AE121" s="24" t="s">
        <v>1128</v>
      </c>
      <c r="AF121" s="24" t="s">
        <v>1129</v>
      </c>
      <c r="AG121" s="23" t="s">
        <v>1130</v>
      </c>
      <c r="AH121" s="24" t="s">
        <v>224</v>
      </c>
      <c r="AI121" s="24">
        <v>150</v>
      </c>
      <c r="AJ121" s="24">
        <v>0</v>
      </c>
      <c r="AK121" s="24">
        <v>150</v>
      </c>
      <c r="AL121" s="24" t="s">
        <v>1131</v>
      </c>
      <c r="AM121" s="24">
        <v>3</v>
      </c>
      <c r="AN121" s="23" t="s">
        <v>401</v>
      </c>
      <c r="AO121" s="24" t="s">
        <v>1132</v>
      </c>
      <c r="AP121" s="23" t="s">
        <v>92</v>
      </c>
      <c r="AQ121" s="27" t="str">
        <f>+Base_Accidentes[[#This Row],[Tipo de Accidente]]</f>
        <v>Acc. Incapacitante</v>
      </c>
      <c r="AR121" s="23" cm="1">
        <f t="array" aca="1" ref="AR121" ca="1">+Base_Accidentes[Población]</f>
        <v>0</v>
      </c>
      <c r="AS121" s="23" t="s">
        <v>128</v>
      </c>
      <c r="AT121" s="23"/>
    </row>
    <row r="122" spans="1:46" ht="39" hidden="1" customHeight="1" x14ac:dyDescent="0.3">
      <c r="A122" s="45">
        <v>120</v>
      </c>
      <c r="B122" s="24" t="s">
        <v>129</v>
      </c>
      <c r="C122" s="23" t="s">
        <v>130</v>
      </c>
      <c r="D122" s="24" t="s">
        <v>131</v>
      </c>
      <c r="E122" s="51"/>
      <c r="F122" s="23" t="s">
        <v>323</v>
      </c>
      <c r="G122" s="24" t="s">
        <v>1133</v>
      </c>
      <c r="H122" s="24" t="s">
        <v>312</v>
      </c>
      <c r="I122" s="24" t="s">
        <v>404</v>
      </c>
      <c r="J122" s="24" t="s">
        <v>113</v>
      </c>
      <c r="K122" s="24" t="str">
        <f>IF(ISBLANK(Base_Accidentes[[#This Row],[Tipo de Accidente]])," ",Base_Accidentes[[#This Row],[Tipo de Accidente]])</f>
        <v>Acc. Incapacitante</v>
      </c>
      <c r="L122" s="49">
        <v>45469</v>
      </c>
      <c r="M122" s="47">
        <f>_xlfn.ISOWEEKNUM(Base_Accidentes[[#This Row],[Fecha
(XX/XX/2024)]])</f>
        <v>26</v>
      </c>
      <c r="N122" s="23">
        <f>DAY(Base_Accidentes[[#This Row],[Fecha
(XX/XX/2024)]])</f>
        <v>26</v>
      </c>
      <c r="O122" s="23">
        <f>MONTH(Base_Accidentes[[#This Row],[Fecha
(XX/XX/2024)]])</f>
        <v>6</v>
      </c>
      <c r="P122" s="23">
        <f>YEAR(Base_Accidentes[[#This Row],[Fecha
(XX/XX/2024)]])</f>
        <v>2024</v>
      </c>
      <c r="Q122" s="48">
        <v>0.36805555555555558</v>
      </c>
      <c r="R122" s="24" t="s">
        <v>63</v>
      </c>
      <c r="S122" s="24" t="s">
        <v>9</v>
      </c>
      <c r="T122" s="24" t="s">
        <v>1134</v>
      </c>
      <c r="U122" s="24" t="s">
        <v>1135</v>
      </c>
      <c r="V122" s="24" t="s">
        <v>1136</v>
      </c>
      <c r="W122" s="24" t="s">
        <v>1137</v>
      </c>
      <c r="X122" s="24" t="s">
        <v>68</v>
      </c>
      <c r="Y122" s="24">
        <v>21</v>
      </c>
      <c r="Z122" s="24" t="s">
        <v>1138</v>
      </c>
      <c r="AA122" s="49">
        <v>45338</v>
      </c>
      <c r="AB122" s="24" t="s">
        <v>1139</v>
      </c>
      <c r="AC122" s="24" t="s">
        <v>101</v>
      </c>
      <c r="AD122" s="24" t="s">
        <v>1140</v>
      </c>
      <c r="AE122" s="24" t="s">
        <v>122</v>
      </c>
      <c r="AF122" s="24" t="s">
        <v>1141</v>
      </c>
      <c r="AG122" s="24" t="s">
        <v>1142</v>
      </c>
      <c r="AH122" s="24" t="s">
        <v>76</v>
      </c>
      <c r="AI122" s="24">
        <v>2</v>
      </c>
      <c r="AJ122" s="24">
        <v>0</v>
      </c>
      <c r="AK122" s="24">
        <v>2</v>
      </c>
      <c r="AL122" s="31" t="s">
        <v>78</v>
      </c>
      <c r="AM122" s="24">
        <v>5</v>
      </c>
      <c r="AN122" s="23" t="s">
        <v>177</v>
      </c>
      <c r="AO122" s="24" t="s">
        <v>1143</v>
      </c>
      <c r="AP122" s="23" t="s">
        <v>546</v>
      </c>
      <c r="AQ122" s="27" t="str">
        <f>+Base_Accidentes[[#This Row],[Tipo de Accidente]]</f>
        <v>Acc. Incapacitante</v>
      </c>
      <c r="AR122" s="23" cm="1">
        <f t="array" aca="1" ref="AR122" ca="1">+Base_Accidentes[Población]</f>
        <v>0</v>
      </c>
      <c r="AS122" s="23" t="s">
        <v>128</v>
      </c>
      <c r="AT122" s="23"/>
    </row>
    <row r="123" spans="1:46" ht="39" hidden="1" customHeight="1" x14ac:dyDescent="0.3">
      <c r="A123" s="45">
        <v>121</v>
      </c>
      <c r="B123" s="24" t="s">
        <v>1144</v>
      </c>
      <c r="C123" s="24" t="s">
        <v>1</v>
      </c>
      <c r="D123" s="23" t="s">
        <v>162</v>
      </c>
      <c r="E123" s="24" t="s">
        <v>227</v>
      </c>
      <c r="F123" s="23" t="s">
        <v>164</v>
      </c>
      <c r="G123" s="24" t="s">
        <v>228</v>
      </c>
      <c r="H123" s="24" t="s">
        <v>60</v>
      </c>
      <c r="I123" s="24" t="s">
        <v>1145</v>
      </c>
      <c r="J123" s="24" t="s">
        <v>113</v>
      </c>
      <c r="K123" s="24" t="str">
        <f>IF(ISBLANK(Base_Accidentes[[#This Row],[Tipo de Accidente]])," ",Base_Accidentes[[#This Row],[Tipo de Accidente]])</f>
        <v>Acc. Incapacitante</v>
      </c>
      <c r="L123" s="49">
        <v>45475</v>
      </c>
      <c r="M123" s="47">
        <f>_xlfn.ISOWEEKNUM(Base_Accidentes[[#This Row],[Fecha
(XX/XX/2024)]])</f>
        <v>27</v>
      </c>
      <c r="N123" s="23">
        <f>DAY(Base_Accidentes[[#This Row],[Fecha
(XX/XX/2024)]])</f>
        <v>2</v>
      </c>
      <c r="O123" s="23">
        <f>MONTH(Base_Accidentes[[#This Row],[Fecha
(XX/XX/2024)]])</f>
        <v>7</v>
      </c>
      <c r="P123" s="23">
        <f>YEAR(Base_Accidentes[[#This Row],[Fecha
(XX/XX/2024)]])</f>
        <v>2024</v>
      </c>
      <c r="Q123" s="48">
        <v>0.92361111111111116</v>
      </c>
      <c r="R123" s="24" t="s">
        <v>587</v>
      </c>
      <c r="S123" s="24" t="s">
        <v>10</v>
      </c>
      <c r="T123" s="24" t="s">
        <v>164</v>
      </c>
      <c r="U123" s="24" t="s">
        <v>1146</v>
      </c>
      <c r="V123" s="24" t="s">
        <v>1147</v>
      </c>
      <c r="W123" s="24" t="s">
        <v>1148</v>
      </c>
      <c r="X123" s="24" t="s">
        <v>68</v>
      </c>
      <c r="Y123" s="24">
        <v>51</v>
      </c>
      <c r="Z123" s="24" t="s">
        <v>1149</v>
      </c>
      <c r="AA123" s="49" t="s">
        <v>129</v>
      </c>
      <c r="AB123" s="24" t="s">
        <v>1150</v>
      </c>
      <c r="AC123" s="24" t="s">
        <v>281</v>
      </c>
      <c r="AD123" s="24" t="s">
        <v>1151</v>
      </c>
      <c r="AE123" s="24" t="s">
        <v>103</v>
      </c>
      <c r="AF123" s="24" t="s">
        <v>1152</v>
      </c>
      <c r="AG123" s="23" t="s">
        <v>1153</v>
      </c>
      <c r="AH123" s="24" t="s">
        <v>76</v>
      </c>
      <c r="AI123" s="24">
        <v>23</v>
      </c>
      <c r="AJ123" s="24">
        <v>0</v>
      </c>
      <c r="AK123" s="24">
        <v>23</v>
      </c>
      <c r="AL123" s="24" t="s">
        <v>78</v>
      </c>
      <c r="AM123" s="24">
        <v>3</v>
      </c>
      <c r="AN123" s="23" t="s">
        <v>105</v>
      </c>
      <c r="AO123" s="24" t="s">
        <v>1154</v>
      </c>
      <c r="AP123" s="23" t="s">
        <v>1155</v>
      </c>
      <c r="AQ123" s="27" t="str">
        <f>+Base_Accidentes[[#This Row],[Tipo de Accidente]]</f>
        <v>Acc. Incapacitante</v>
      </c>
      <c r="AR123" s="23" cm="1">
        <f t="array" aca="1" ref="AR123" ca="1">+Base_Accidentes[Población]</f>
        <v>0</v>
      </c>
      <c r="AS123" s="23" t="s">
        <v>128</v>
      </c>
      <c r="AT123" s="23"/>
    </row>
    <row r="124" spans="1:46" ht="39" hidden="1" customHeight="1" x14ac:dyDescent="0.3">
      <c r="A124" s="45">
        <v>123</v>
      </c>
      <c r="B124" s="24" t="s">
        <v>129</v>
      </c>
      <c r="C124" s="24" t="s">
        <v>1</v>
      </c>
      <c r="D124" s="23" t="s">
        <v>162</v>
      </c>
      <c r="E124" s="51" t="s">
        <v>1156</v>
      </c>
      <c r="F124" s="23" t="s">
        <v>164</v>
      </c>
      <c r="G124" s="24" t="s">
        <v>242</v>
      </c>
      <c r="H124" s="31" t="s">
        <v>60</v>
      </c>
      <c r="I124" s="31" t="s">
        <v>60</v>
      </c>
      <c r="J124" s="24" t="s">
        <v>62</v>
      </c>
      <c r="K124" s="31" t="str">
        <f>IF(ISBLANK(Base_Accidentes[[#This Row],[Tipo de Accidente]])," ",Base_Accidentes[[#This Row],[Tipo de Accidente]])</f>
        <v>Acc. No Incapacitante</v>
      </c>
      <c r="L124" s="54">
        <v>45477</v>
      </c>
      <c r="M124" s="47">
        <f>_xlfn.ISOWEEKNUM(Base_Accidentes[[#This Row],[Fecha
(XX/XX/2024)]])</f>
        <v>27</v>
      </c>
      <c r="N124" s="23">
        <f>DAY(Base_Accidentes[[#This Row],[Fecha
(XX/XX/2024)]])</f>
        <v>4</v>
      </c>
      <c r="O124" s="23">
        <f>MONTH(Base_Accidentes[[#This Row],[Fecha
(XX/XX/2024)]])</f>
        <v>7</v>
      </c>
      <c r="P124" s="23">
        <f>YEAR(Base_Accidentes[[#This Row],[Fecha
(XX/XX/2024)]])</f>
        <v>2024</v>
      </c>
      <c r="Q124" s="55">
        <v>0.44444444444444442</v>
      </c>
      <c r="R124" s="31" t="s">
        <v>587</v>
      </c>
      <c r="S124" s="31" t="s">
        <v>167</v>
      </c>
      <c r="T124" s="31" t="s">
        <v>168</v>
      </c>
      <c r="U124" s="31" t="s">
        <v>1157</v>
      </c>
      <c r="V124" s="31" t="s">
        <v>1158</v>
      </c>
      <c r="W124" s="31" t="s">
        <v>1159</v>
      </c>
      <c r="X124" s="31" t="s">
        <v>68</v>
      </c>
      <c r="Y124" s="31">
        <v>32</v>
      </c>
      <c r="Z124" s="31" t="s">
        <v>172</v>
      </c>
      <c r="AA124" s="54">
        <v>45443</v>
      </c>
      <c r="AB124" s="31" t="s">
        <v>1160</v>
      </c>
      <c r="AC124" s="31" t="s">
        <v>419</v>
      </c>
      <c r="AD124" s="24" t="s">
        <v>129</v>
      </c>
      <c r="AE124" s="24" t="s">
        <v>103</v>
      </c>
      <c r="AF124" s="24" t="s">
        <v>129</v>
      </c>
      <c r="AG124" s="31"/>
      <c r="AH124" s="31"/>
      <c r="AI124" s="31"/>
      <c r="AJ124" s="31"/>
      <c r="AK124" s="31"/>
      <c r="AL124" s="31"/>
      <c r="AM124" s="31"/>
      <c r="AN124" s="26"/>
      <c r="AO124" s="31"/>
      <c r="AP124" s="26"/>
      <c r="AQ124" s="66" t="s">
        <v>62</v>
      </c>
      <c r="AR124" s="23" cm="1">
        <f t="array" aca="1" ref="AR124" ca="1">+Base_Accidentes[Población]</f>
        <v>0</v>
      </c>
      <c r="AS124" s="23"/>
      <c r="AT124" s="23"/>
    </row>
    <row r="125" spans="1:46" ht="96.75" hidden="1" customHeight="1" x14ac:dyDescent="0.3">
      <c r="A125" s="45">
        <v>124</v>
      </c>
      <c r="B125" s="31" t="s">
        <v>1161</v>
      </c>
      <c r="C125" s="31" t="s">
        <v>1</v>
      </c>
      <c r="D125" s="24" t="s">
        <v>162</v>
      </c>
      <c r="E125" s="24" t="s">
        <v>163</v>
      </c>
      <c r="F125" s="24" t="s">
        <v>164</v>
      </c>
      <c r="G125" s="24" t="s">
        <v>165</v>
      </c>
      <c r="H125" s="31" t="s">
        <v>60</v>
      </c>
      <c r="I125" s="31" t="s">
        <v>1162</v>
      </c>
      <c r="J125" s="24" t="s">
        <v>113</v>
      </c>
      <c r="K125" s="31" t="str">
        <f>IF(ISBLANK(Base_Accidentes[[#This Row],[Tipo de Accidente]])," ",Base_Accidentes[[#This Row],[Tipo de Accidente]])</f>
        <v>Acc. Incapacitante</v>
      </c>
      <c r="L125" s="54">
        <v>45478</v>
      </c>
      <c r="M125" s="47">
        <f>_xlfn.ISOWEEKNUM(Base_Accidentes[[#This Row],[Fecha
(XX/XX/2024)]])</f>
        <v>27</v>
      </c>
      <c r="N125" s="23">
        <f>DAY(Base_Accidentes[[#This Row],[Fecha
(XX/XX/2024)]])</f>
        <v>5</v>
      </c>
      <c r="O125" s="23">
        <f>MONTH(Base_Accidentes[[#This Row],[Fecha
(XX/XX/2024)]])</f>
        <v>7</v>
      </c>
      <c r="P125" s="23">
        <f>YEAR(Base_Accidentes[[#This Row],[Fecha
(XX/XX/2024)]])</f>
        <v>2024</v>
      </c>
      <c r="Q125" s="55">
        <v>0.87847222222222221</v>
      </c>
      <c r="R125" s="31" t="s">
        <v>587</v>
      </c>
      <c r="S125" s="31" t="s">
        <v>167</v>
      </c>
      <c r="T125" s="31" t="s">
        <v>168</v>
      </c>
      <c r="U125" s="31" t="s">
        <v>1163</v>
      </c>
      <c r="V125" s="31" t="s">
        <v>1164</v>
      </c>
      <c r="W125" s="31" t="s">
        <v>1165</v>
      </c>
      <c r="X125" s="24" t="s">
        <v>68</v>
      </c>
      <c r="Y125" s="31">
        <v>30</v>
      </c>
      <c r="Z125" s="31" t="s">
        <v>172</v>
      </c>
      <c r="AA125" s="54">
        <v>45343</v>
      </c>
      <c r="AB125" s="31" t="s">
        <v>1166</v>
      </c>
      <c r="AC125" s="31" t="s">
        <v>267</v>
      </c>
      <c r="AD125" s="31" t="s">
        <v>834</v>
      </c>
      <c r="AE125" s="31" t="s">
        <v>435</v>
      </c>
      <c r="AF125" s="31" t="s">
        <v>1167</v>
      </c>
      <c r="AG125" s="31" t="s">
        <v>788</v>
      </c>
      <c r="AH125" s="31" t="s">
        <v>125</v>
      </c>
      <c r="AI125" s="31">
        <v>10</v>
      </c>
      <c r="AJ125" s="31">
        <v>0</v>
      </c>
      <c r="AK125" s="31">
        <v>10</v>
      </c>
      <c r="AL125" s="31" t="s">
        <v>78</v>
      </c>
      <c r="AM125" s="31">
        <v>4</v>
      </c>
      <c r="AN125" s="26" t="s">
        <v>105</v>
      </c>
      <c r="AO125" s="26" t="s">
        <v>1168</v>
      </c>
      <c r="AP125" s="26" t="s">
        <v>1169</v>
      </c>
      <c r="AQ125" s="66" t="str">
        <f>+Base_Accidentes[[#This Row],[Tipo de Accidente]]</f>
        <v>Acc. Incapacitante</v>
      </c>
      <c r="AR125" s="23" cm="1">
        <f t="array" aca="1" ref="AR125" ca="1">+Base_Accidentes[Población]</f>
        <v>0</v>
      </c>
      <c r="AS125" s="23" t="s">
        <v>128</v>
      </c>
      <c r="AT125" s="23"/>
    </row>
    <row r="126" spans="1:46" ht="39" hidden="1" customHeight="1" x14ac:dyDescent="0.3">
      <c r="A126" s="45">
        <v>147</v>
      </c>
      <c r="B126" s="24" t="s">
        <v>1170</v>
      </c>
      <c r="C126" s="24" t="s">
        <v>1</v>
      </c>
      <c r="D126" s="24" t="s">
        <v>162</v>
      </c>
      <c r="E126" s="24" t="s">
        <v>163</v>
      </c>
      <c r="F126" s="24" t="s">
        <v>164</v>
      </c>
      <c r="G126" s="24" t="s">
        <v>165</v>
      </c>
      <c r="H126" s="24" t="s">
        <v>60</v>
      </c>
      <c r="I126" s="24" t="s">
        <v>1171</v>
      </c>
      <c r="J126" s="24" t="s">
        <v>113</v>
      </c>
      <c r="K126" s="24" t="str">
        <f>IF(ISBLANK(Base_Accidentes[[#This Row],[Tipo de Accidente]])," ",Base_Accidentes[[#This Row],[Tipo de Accidente]])</f>
        <v>Acc. Incapacitante</v>
      </c>
      <c r="L126" s="49">
        <v>45479</v>
      </c>
      <c r="M126" s="47">
        <f>_xlfn.ISOWEEKNUM(Base_Accidentes[[#This Row],[Fecha
(XX/XX/2024)]])</f>
        <v>27</v>
      </c>
      <c r="N126" s="23">
        <f>DAY(Base_Accidentes[[#This Row],[Fecha
(XX/XX/2024)]])</f>
        <v>6</v>
      </c>
      <c r="O126" s="23">
        <f>MONTH(Base_Accidentes[[#This Row],[Fecha
(XX/XX/2024)]])</f>
        <v>7</v>
      </c>
      <c r="P126" s="23">
        <f>YEAR(Base_Accidentes[[#This Row],[Fecha
(XX/XX/2024)]])</f>
        <v>2024</v>
      </c>
      <c r="Q126" s="48">
        <v>6.9444444444444448E-2</v>
      </c>
      <c r="R126" s="24" t="s">
        <v>135</v>
      </c>
      <c r="S126" s="24" t="s">
        <v>167</v>
      </c>
      <c r="T126" s="24" t="s">
        <v>168</v>
      </c>
      <c r="U126" s="24" t="s">
        <v>85</v>
      </c>
      <c r="V126" s="24" t="s">
        <v>990</v>
      </c>
      <c r="W126" s="24" t="s">
        <v>1172</v>
      </c>
      <c r="X126" s="24" t="s">
        <v>98</v>
      </c>
      <c r="Y126" s="24">
        <v>22</v>
      </c>
      <c r="Z126" s="24" t="s">
        <v>172</v>
      </c>
      <c r="AA126" s="49">
        <v>45322</v>
      </c>
      <c r="AB126" s="24" t="s">
        <v>1173</v>
      </c>
      <c r="AC126" s="24" t="s">
        <v>101</v>
      </c>
      <c r="AD126" s="24" t="s">
        <v>495</v>
      </c>
      <c r="AE126" s="24" t="s">
        <v>103</v>
      </c>
      <c r="AF126" s="24" t="s">
        <v>1174</v>
      </c>
      <c r="AG126" s="24" t="s">
        <v>321</v>
      </c>
      <c r="AH126" s="24" t="s">
        <v>145</v>
      </c>
      <c r="AI126" s="24">
        <v>150</v>
      </c>
      <c r="AJ126" s="24">
        <v>0</v>
      </c>
      <c r="AK126" s="24">
        <v>150</v>
      </c>
      <c r="AL126" s="24" t="s">
        <v>354</v>
      </c>
      <c r="AM126" s="24">
        <v>7</v>
      </c>
      <c r="AN126" s="23" t="s">
        <v>177</v>
      </c>
      <c r="AO126" s="23" t="s">
        <v>597</v>
      </c>
      <c r="AP126" s="23" t="s">
        <v>1169</v>
      </c>
      <c r="AQ126" s="27" t="str">
        <f>+Base_Accidentes[[#This Row],[Tipo de Accidente]]</f>
        <v>Acc. Incapacitante</v>
      </c>
      <c r="AR126" s="23" cm="1">
        <f t="array" aca="1" ref="AR126" ca="1">+Base_Accidentes[Población]</f>
        <v>0</v>
      </c>
      <c r="AS126" s="23" t="s">
        <v>128</v>
      </c>
      <c r="AT126" s="23"/>
    </row>
    <row r="127" spans="1:46" ht="39" hidden="1" customHeight="1" x14ac:dyDescent="0.3">
      <c r="A127" s="45">
        <v>126</v>
      </c>
      <c r="B127" s="24" t="s">
        <v>129</v>
      </c>
      <c r="C127" s="24" t="s">
        <v>1</v>
      </c>
      <c r="D127" s="23" t="s">
        <v>56</v>
      </c>
      <c r="E127" s="51" t="s">
        <v>946</v>
      </c>
      <c r="F127" s="23" t="s">
        <v>58</v>
      </c>
      <c r="G127" s="24" t="s">
        <v>59</v>
      </c>
      <c r="H127" s="24" t="s">
        <v>60</v>
      </c>
      <c r="I127" s="24" t="s">
        <v>1175</v>
      </c>
      <c r="J127" s="24" t="s">
        <v>62</v>
      </c>
      <c r="K127" s="24" t="str">
        <f>IF(ISBLANK(Base_Accidentes[[#This Row],[Tipo de Accidente]])," ",Base_Accidentes[[#This Row],[Tipo de Accidente]])</f>
        <v>Acc. No Incapacitante</v>
      </c>
      <c r="L127" s="49">
        <v>45490</v>
      </c>
      <c r="M127" s="47">
        <f>_xlfn.ISOWEEKNUM(Base_Accidentes[[#This Row],[Fecha
(XX/XX/2024)]])</f>
        <v>29</v>
      </c>
      <c r="N127" s="23">
        <f>DAY(Base_Accidentes[[#This Row],[Fecha
(XX/XX/2024)]])</f>
        <v>17</v>
      </c>
      <c r="O127" s="23">
        <f>MONTH(Base_Accidentes[[#This Row],[Fecha
(XX/XX/2024)]])</f>
        <v>7</v>
      </c>
      <c r="P127" s="23">
        <f>YEAR(Base_Accidentes[[#This Row],[Fecha
(XX/XX/2024)]])</f>
        <v>2024</v>
      </c>
      <c r="Q127" s="48">
        <v>0.86458333333333337</v>
      </c>
      <c r="R127" s="24" t="s">
        <v>84</v>
      </c>
      <c r="S127" s="24" t="s">
        <v>10</v>
      </c>
      <c r="T127" s="24" t="s">
        <v>1176</v>
      </c>
      <c r="U127" s="24" t="s">
        <v>1177</v>
      </c>
      <c r="V127" s="24" t="s">
        <v>1178</v>
      </c>
      <c r="W127" s="24" t="s">
        <v>1179</v>
      </c>
      <c r="X127" s="31" t="s">
        <v>98</v>
      </c>
      <c r="Y127" s="24" t="s">
        <v>129</v>
      </c>
      <c r="Z127" s="24" t="s">
        <v>1180</v>
      </c>
      <c r="AA127" s="49" t="s">
        <v>129</v>
      </c>
      <c r="AB127" s="24" t="s">
        <v>1181</v>
      </c>
      <c r="AC127" s="24" t="s">
        <v>120</v>
      </c>
      <c r="AD127" s="24" t="s">
        <v>1182</v>
      </c>
      <c r="AE127" s="24" t="s">
        <v>1128</v>
      </c>
      <c r="AF127" s="24" t="s">
        <v>1183</v>
      </c>
      <c r="AG127" s="23" t="s">
        <v>757</v>
      </c>
      <c r="AH127" s="24" t="s">
        <v>145</v>
      </c>
      <c r="AI127" s="24">
        <v>0</v>
      </c>
      <c r="AJ127" s="24"/>
      <c r="AK127" s="24">
        <v>0</v>
      </c>
      <c r="AL127" s="23" t="s">
        <v>1184</v>
      </c>
      <c r="AM127" s="24"/>
      <c r="AN127" s="23"/>
      <c r="AO127" s="24" t="s">
        <v>758</v>
      </c>
      <c r="AP127" s="23" t="s">
        <v>81</v>
      </c>
      <c r="AQ127" s="27" t="str">
        <f>+Base_Accidentes[[#This Row],[Tipo de Accidente]]</f>
        <v>Acc. No Incapacitante</v>
      </c>
      <c r="AR127" s="23" cm="1">
        <f t="array" aca="1" ref="AR127" ca="1">+Base_Accidentes[Población]</f>
        <v>0</v>
      </c>
      <c r="AS127" s="23"/>
      <c r="AT127" s="23"/>
    </row>
    <row r="128" spans="1:46" ht="39" customHeight="1" x14ac:dyDescent="0.3">
      <c r="A128" s="45">
        <v>125</v>
      </c>
      <c r="B128" s="24" t="s">
        <v>1185</v>
      </c>
      <c r="C128" s="24" t="s">
        <v>1</v>
      </c>
      <c r="D128" s="23" t="s">
        <v>56</v>
      </c>
      <c r="E128" s="51" t="s">
        <v>1186</v>
      </c>
      <c r="F128" s="23" t="s">
        <v>323</v>
      </c>
      <c r="G128" s="24" t="s">
        <v>769</v>
      </c>
      <c r="H128" s="24" t="s">
        <v>312</v>
      </c>
      <c r="I128" s="24" t="s">
        <v>1186</v>
      </c>
      <c r="J128" s="24" t="s">
        <v>113</v>
      </c>
      <c r="K128" s="24" t="str">
        <f>IF(ISBLANK(Base_Accidentes[[#This Row],[Tipo de Accidente]])," ",Base_Accidentes[[#This Row],[Tipo de Accidente]])</f>
        <v>Acc. Incapacitante</v>
      </c>
      <c r="L128" s="49">
        <v>45485</v>
      </c>
      <c r="M128" s="47">
        <f>_xlfn.ISOWEEKNUM(Base_Accidentes[[#This Row],[Fecha
(XX/XX/2024)]])</f>
        <v>28</v>
      </c>
      <c r="N128" s="23">
        <f>DAY(Base_Accidentes[[#This Row],[Fecha
(XX/XX/2024)]])</f>
        <v>12</v>
      </c>
      <c r="O128" s="23">
        <f>MONTH(Base_Accidentes[[#This Row],[Fecha
(XX/XX/2024)]])</f>
        <v>7</v>
      </c>
      <c r="P128" s="23">
        <f>YEAR(Base_Accidentes[[#This Row],[Fecha
(XX/XX/2024)]])</f>
        <v>2024</v>
      </c>
      <c r="Q128" s="48">
        <v>0.33333333333333331</v>
      </c>
      <c r="R128" s="24" t="s">
        <v>587</v>
      </c>
      <c r="S128" s="24" t="s">
        <v>1187</v>
      </c>
      <c r="T128" s="24" t="s">
        <v>1188</v>
      </c>
      <c r="U128" s="24" t="s">
        <v>395</v>
      </c>
      <c r="V128" s="24" t="s">
        <v>1189</v>
      </c>
      <c r="W128" s="61" t="s">
        <v>1190</v>
      </c>
      <c r="X128" s="24" t="s">
        <v>68</v>
      </c>
      <c r="Y128" s="45">
        <v>33</v>
      </c>
      <c r="Z128" s="24" t="s">
        <v>1191</v>
      </c>
      <c r="AA128" s="49">
        <v>45485</v>
      </c>
      <c r="AB128" s="24" t="s">
        <v>1192</v>
      </c>
      <c r="AC128" s="24" t="s">
        <v>101</v>
      </c>
      <c r="AD128" s="24" t="s">
        <v>1193</v>
      </c>
      <c r="AE128" s="24" t="s">
        <v>142</v>
      </c>
      <c r="AF128" s="24" t="s">
        <v>1194</v>
      </c>
      <c r="AG128" s="23" t="s">
        <v>270</v>
      </c>
      <c r="AH128" s="24" t="s">
        <v>145</v>
      </c>
      <c r="AI128" s="24">
        <v>2</v>
      </c>
      <c r="AJ128" s="24">
        <v>0</v>
      </c>
      <c r="AK128" s="24">
        <v>2</v>
      </c>
      <c r="AL128" s="24" t="s">
        <v>777</v>
      </c>
      <c r="AM128" s="24">
        <v>12</v>
      </c>
      <c r="AN128" s="23" t="s">
        <v>177</v>
      </c>
      <c r="AO128" s="24" t="s">
        <v>1195</v>
      </c>
      <c r="AP128" s="23" t="s">
        <v>92</v>
      </c>
      <c r="AQ128" s="27" t="str">
        <f>+Base_Accidentes[[#This Row],[Tipo de Accidente]]</f>
        <v>Acc. Incapacitante</v>
      </c>
      <c r="AR128" s="23" cm="1">
        <f t="array" aca="1" ref="AR128" ca="1">+Base_Accidentes[Población]</f>
        <v>0</v>
      </c>
      <c r="AS128" s="23" t="s">
        <v>128</v>
      </c>
      <c r="AT128" s="23"/>
    </row>
    <row r="129" spans="1:46" ht="39" hidden="1" customHeight="1" x14ac:dyDescent="0.3">
      <c r="A129" s="45">
        <v>127</v>
      </c>
      <c r="B129" s="24" t="s">
        <v>129</v>
      </c>
      <c r="C129" s="24" t="s">
        <v>1</v>
      </c>
      <c r="D129" s="23" t="s">
        <v>56</v>
      </c>
      <c r="E129" s="24" t="s">
        <v>390</v>
      </c>
      <c r="F129" s="23" t="s">
        <v>323</v>
      </c>
      <c r="G129" s="24" t="s">
        <v>391</v>
      </c>
      <c r="H129" s="24" t="s">
        <v>324</v>
      </c>
      <c r="I129" s="24" t="s">
        <v>1196</v>
      </c>
      <c r="J129" s="24" t="s">
        <v>113</v>
      </c>
      <c r="K129" s="24" t="str">
        <f>IF(ISBLANK(Base_Accidentes[[#This Row],[Tipo de Accidente]])," ",Base_Accidentes[[#This Row],[Tipo de Accidente]])</f>
        <v>Acc. Incapacitante</v>
      </c>
      <c r="L129" s="49">
        <v>45491</v>
      </c>
      <c r="M129" s="47">
        <f>_xlfn.ISOWEEKNUM(Base_Accidentes[[#This Row],[Fecha
(XX/XX/2024)]])</f>
        <v>29</v>
      </c>
      <c r="N129" s="23">
        <f>DAY(Base_Accidentes[[#This Row],[Fecha
(XX/XX/2024)]])</f>
        <v>18</v>
      </c>
      <c r="O129" s="23">
        <f>MONTH(Base_Accidentes[[#This Row],[Fecha
(XX/XX/2024)]])</f>
        <v>7</v>
      </c>
      <c r="P129" s="23">
        <f>YEAR(Base_Accidentes[[#This Row],[Fecha
(XX/XX/2024)]])</f>
        <v>2024</v>
      </c>
      <c r="Q129" s="48">
        <v>0.71319444444444446</v>
      </c>
      <c r="R129" s="24" t="s">
        <v>84</v>
      </c>
      <c r="S129" s="24" t="s">
        <v>10</v>
      </c>
      <c r="T129" s="24" t="s">
        <v>114</v>
      </c>
      <c r="U129" s="24" t="s">
        <v>1197</v>
      </c>
      <c r="V129" s="24" t="s">
        <v>1198</v>
      </c>
      <c r="W129" s="24" t="s">
        <v>1199</v>
      </c>
      <c r="X129" s="24" t="s">
        <v>98</v>
      </c>
      <c r="Y129" s="24">
        <v>31</v>
      </c>
      <c r="Z129" s="24" t="s">
        <v>1200</v>
      </c>
      <c r="AA129" s="49">
        <v>44004</v>
      </c>
      <c r="AB129" s="24" t="s">
        <v>1201</v>
      </c>
      <c r="AC129" s="24" t="s">
        <v>120</v>
      </c>
      <c r="AD129" s="24" t="s">
        <v>1202</v>
      </c>
      <c r="AE129" s="24" t="s">
        <v>103</v>
      </c>
      <c r="AF129" s="24" t="s">
        <v>1203</v>
      </c>
      <c r="AG129" s="23" t="s">
        <v>1204</v>
      </c>
      <c r="AH129" s="24" t="s">
        <v>145</v>
      </c>
      <c r="AI129" s="24">
        <v>2</v>
      </c>
      <c r="AJ129" s="24">
        <v>0</v>
      </c>
      <c r="AK129" s="24">
        <v>2</v>
      </c>
      <c r="AL129" s="31" t="s">
        <v>1205</v>
      </c>
      <c r="AM129" s="24">
        <v>48</v>
      </c>
      <c r="AN129" s="26" t="s">
        <v>190</v>
      </c>
      <c r="AO129" s="24" t="s">
        <v>1206</v>
      </c>
      <c r="AP129" s="23" t="s">
        <v>81</v>
      </c>
      <c r="AQ129" s="27" t="str">
        <f>+Base_Accidentes[[#This Row],[Tipo de Accidente]]</f>
        <v>Acc. Incapacitante</v>
      </c>
      <c r="AR129" s="23" cm="1">
        <f t="array" aca="1" ref="AR129" ca="1">+Base_Accidentes[Población]</f>
        <v>0</v>
      </c>
      <c r="AS129" s="23" t="s">
        <v>128</v>
      </c>
      <c r="AT129" s="23"/>
    </row>
    <row r="130" spans="1:46" ht="39" customHeight="1" x14ac:dyDescent="0.3">
      <c r="A130" s="45">
        <v>129</v>
      </c>
      <c r="B130" s="45" t="s">
        <v>1207</v>
      </c>
      <c r="C130" s="23" t="s">
        <v>1</v>
      </c>
      <c r="D130" s="23" t="s">
        <v>56</v>
      </c>
      <c r="E130" s="51" t="s">
        <v>109</v>
      </c>
      <c r="F130" s="23" t="s">
        <v>110</v>
      </c>
      <c r="G130" s="24" t="s">
        <v>111</v>
      </c>
      <c r="H130" s="24" t="s">
        <v>60</v>
      </c>
      <c r="I130" s="24" t="s">
        <v>1208</v>
      </c>
      <c r="J130" s="24" t="s">
        <v>62</v>
      </c>
      <c r="K130" s="24" t="str">
        <f>IF(ISBLANK(Base_Accidentes[[#This Row],[Tipo de Accidente]])," ",Base_Accidentes[[#This Row],[Tipo de Accidente]])</f>
        <v>Acc. No Incapacitante</v>
      </c>
      <c r="L130" s="49">
        <v>45503</v>
      </c>
      <c r="M130" s="47">
        <f>_xlfn.ISOWEEKNUM(Base_Accidentes[[#This Row],[Fecha
(XX/XX/2024)]])</f>
        <v>31</v>
      </c>
      <c r="N130" s="23">
        <f>DAY(Base_Accidentes[[#This Row],[Fecha
(XX/XX/2024)]])</f>
        <v>30</v>
      </c>
      <c r="O130" s="23">
        <f>MONTH(Base_Accidentes[[#This Row],[Fecha
(XX/XX/2024)]])</f>
        <v>7</v>
      </c>
      <c r="P130" s="23">
        <f>YEAR(Base_Accidentes[[#This Row],[Fecha
(XX/XX/2024)]])</f>
        <v>2024</v>
      </c>
      <c r="Q130" s="48">
        <v>0.74305555555555558</v>
      </c>
      <c r="R130" s="24" t="s">
        <v>84</v>
      </c>
      <c r="S130" s="24" t="s">
        <v>9</v>
      </c>
      <c r="T130" s="24" t="s">
        <v>1209</v>
      </c>
      <c r="U130" s="24" t="s">
        <v>376</v>
      </c>
      <c r="V130" s="24" t="s">
        <v>565</v>
      </c>
      <c r="W130" s="24" t="s">
        <v>138</v>
      </c>
      <c r="X130" s="24" t="s">
        <v>68</v>
      </c>
      <c r="Y130" s="24">
        <v>32</v>
      </c>
      <c r="Z130" s="24" t="s">
        <v>1210</v>
      </c>
      <c r="AA130" s="49" t="s">
        <v>129</v>
      </c>
      <c r="AB130" s="24" t="s">
        <v>1211</v>
      </c>
      <c r="AC130" s="24" t="s">
        <v>234</v>
      </c>
      <c r="AD130" s="24" t="s">
        <v>73</v>
      </c>
      <c r="AE130" s="24" t="s">
        <v>73</v>
      </c>
      <c r="AF130" s="24" t="s">
        <v>1212</v>
      </c>
      <c r="AG130" s="24" t="s">
        <v>1213</v>
      </c>
      <c r="AH130" s="24" t="s">
        <v>262</v>
      </c>
      <c r="AI130" s="24">
        <v>0</v>
      </c>
      <c r="AJ130" s="24">
        <v>0</v>
      </c>
      <c r="AK130" s="24">
        <v>0</v>
      </c>
      <c r="AL130" s="24" t="s">
        <v>78</v>
      </c>
      <c r="AM130" s="24"/>
      <c r="AN130" s="23"/>
      <c r="AO130" s="24" t="s">
        <v>1214</v>
      </c>
      <c r="AP130" s="23" t="s">
        <v>81</v>
      </c>
      <c r="AQ130" s="27" t="str">
        <f>+Base_Accidentes[[#This Row],[Tipo de Accidente]]</f>
        <v>Acc. No Incapacitante</v>
      </c>
      <c r="AR130" s="23" cm="1">
        <f t="array" aca="1" ref="AR130" ca="1">+Base_Accidentes[Población]</f>
        <v>0</v>
      </c>
      <c r="AS130" s="23"/>
      <c r="AT130" s="23"/>
    </row>
    <row r="131" spans="1:46" ht="42.75" hidden="1" customHeight="1" x14ac:dyDescent="0.3">
      <c r="A131" s="45">
        <v>128</v>
      </c>
      <c r="B131" s="24" t="s">
        <v>1215</v>
      </c>
      <c r="C131" s="24" t="s">
        <v>1</v>
      </c>
      <c r="D131" s="24" t="s">
        <v>162</v>
      </c>
      <c r="E131" s="24" t="s">
        <v>227</v>
      </c>
      <c r="F131" s="24" t="s">
        <v>164</v>
      </c>
      <c r="G131" s="24" t="s">
        <v>228</v>
      </c>
      <c r="H131" s="24" t="s">
        <v>60</v>
      </c>
      <c r="I131" s="24" t="s">
        <v>865</v>
      </c>
      <c r="J131" s="24" t="s">
        <v>113</v>
      </c>
      <c r="K131" s="24" t="str">
        <f>IF(ISBLANK(Base_Accidentes[[#This Row],[Tipo de Accidente]])," ",Base_Accidentes[[#This Row],[Tipo de Accidente]])</f>
        <v>Acc. Incapacitante</v>
      </c>
      <c r="L131" s="49">
        <v>45493</v>
      </c>
      <c r="M131" s="47">
        <f>_xlfn.ISOWEEKNUM(Base_Accidentes[[#This Row],[Fecha
(XX/XX/2024)]])</f>
        <v>29</v>
      </c>
      <c r="N131" s="23">
        <f>DAY(Base_Accidentes[[#This Row],[Fecha
(XX/XX/2024)]])</f>
        <v>20</v>
      </c>
      <c r="O131" s="23">
        <f>MONTH(Base_Accidentes[[#This Row],[Fecha
(XX/XX/2024)]])</f>
        <v>7</v>
      </c>
      <c r="P131" s="23">
        <f>YEAR(Base_Accidentes[[#This Row],[Fecha
(XX/XX/2024)]])</f>
        <v>2024</v>
      </c>
      <c r="Q131" s="48">
        <v>6.25E-2</v>
      </c>
      <c r="R131" s="24" t="s">
        <v>135</v>
      </c>
      <c r="S131" s="24" t="s">
        <v>10</v>
      </c>
      <c r="T131" s="24" t="s">
        <v>164</v>
      </c>
      <c r="U131" s="24" t="s">
        <v>1216</v>
      </c>
      <c r="V131" s="24" t="s">
        <v>1217</v>
      </c>
      <c r="W131" s="24" t="s">
        <v>1218</v>
      </c>
      <c r="X131" s="24" t="s">
        <v>68</v>
      </c>
      <c r="Y131" s="24">
        <v>45</v>
      </c>
      <c r="Z131" s="24" t="s">
        <v>1149</v>
      </c>
      <c r="AA131" s="49" t="s">
        <v>129</v>
      </c>
      <c r="AB131" s="24" t="s">
        <v>1219</v>
      </c>
      <c r="AC131" s="24" t="s">
        <v>281</v>
      </c>
      <c r="AD131" s="24" t="s">
        <v>129</v>
      </c>
      <c r="AE131" s="24" t="s">
        <v>103</v>
      </c>
      <c r="AF131" s="24" t="s">
        <v>129</v>
      </c>
      <c r="AG131" s="23" t="s">
        <v>1220</v>
      </c>
      <c r="AH131" s="24" t="s">
        <v>76</v>
      </c>
      <c r="AI131" s="24">
        <v>19</v>
      </c>
      <c r="AJ131" s="24">
        <v>0</v>
      </c>
      <c r="AK131" s="24">
        <v>19</v>
      </c>
      <c r="AL131" s="24" t="s">
        <v>78</v>
      </c>
      <c r="AM131" s="24"/>
      <c r="AN131" s="23" t="s">
        <v>79</v>
      </c>
      <c r="AO131" s="24" t="s">
        <v>1221</v>
      </c>
      <c r="AP131" s="23" t="s">
        <v>1155</v>
      </c>
      <c r="AQ131" s="27" t="str">
        <f>+Base_Accidentes[[#This Row],[Tipo de Accidente]]</f>
        <v>Acc. Incapacitante</v>
      </c>
      <c r="AR131" s="23" cm="1">
        <f t="array" aca="1" ref="AR131" ca="1">+Base_Accidentes[Población]</f>
        <v>0</v>
      </c>
      <c r="AS131" s="23" t="s">
        <v>128</v>
      </c>
      <c r="AT131" s="23"/>
    </row>
    <row r="132" spans="1:46" ht="48" hidden="1" x14ac:dyDescent="0.3">
      <c r="A132" s="45">
        <v>131</v>
      </c>
      <c r="B132" s="24" t="s">
        <v>129</v>
      </c>
      <c r="C132" s="24" t="s">
        <v>1</v>
      </c>
      <c r="D132" s="23" t="s">
        <v>162</v>
      </c>
      <c r="E132" s="51" t="s">
        <v>1156</v>
      </c>
      <c r="F132" s="23" t="s">
        <v>164</v>
      </c>
      <c r="G132" s="24" t="s">
        <v>428</v>
      </c>
      <c r="H132" s="24" t="s">
        <v>60</v>
      </c>
      <c r="I132" s="24" t="s">
        <v>438</v>
      </c>
      <c r="J132" s="24" t="s">
        <v>62</v>
      </c>
      <c r="K132" s="24" t="str">
        <f>IF(ISBLANK(Base_Accidentes[[#This Row],[Tipo de Accidente]])," ",Base_Accidentes[[#This Row],[Tipo de Accidente]])</f>
        <v>Acc. No Incapacitante</v>
      </c>
      <c r="L132" s="49">
        <v>45471.340277777781</v>
      </c>
      <c r="M132" s="47">
        <f>_xlfn.ISOWEEKNUM(Base_Accidentes[[#This Row],[Fecha
(XX/XX/2024)]])</f>
        <v>26</v>
      </c>
      <c r="N132" s="23">
        <f>DAY(Base_Accidentes[[#This Row],[Fecha
(XX/XX/2024)]])</f>
        <v>28</v>
      </c>
      <c r="O132" s="23">
        <f>MONTH(Base_Accidentes[[#This Row],[Fecha
(XX/XX/2024)]])</f>
        <v>6</v>
      </c>
      <c r="P132" s="23">
        <f>YEAR(Base_Accidentes[[#This Row],[Fecha
(XX/XX/2024)]])</f>
        <v>2024</v>
      </c>
      <c r="Q132" s="48">
        <v>0.34027777777777779</v>
      </c>
      <c r="R132" s="24" t="s">
        <v>587</v>
      </c>
      <c r="S132" s="24" t="s">
        <v>167</v>
      </c>
      <c r="T132" s="24" t="s">
        <v>168</v>
      </c>
      <c r="U132" s="24" t="s">
        <v>1222</v>
      </c>
      <c r="V132" s="24" t="s">
        <v>1223</v>
      </c>
      <c r="W132" s="24" t="s">
        <v>1224</v>
      </c>
      <c r="X132" s="24" t="s">
        <v>68</v>
      </c>
      <c r="Y132" s="24" t="s">
        <v>129</v>
      </c>
      <c r="Z132" s="24" t="s">
        <v>172</v>
      </c>
      <c r="AA132" s="49" t="s">
        <v>129</v>
      </c>
      <c r="AB132" s="24" t="s">
        <v>1225</v>
      </c>
      <c r="AC132" s="24" t="s">
        <v>71</v>
      </c>
      <c r="AD132" s="24" t="s">
        <v>1226</v>
      </c>
      <c r="AE132" s="24" t="s">
        <v>142</v>
      </c>
      <c r="AF132" s="24" t="s">
        <v>581</v>
      </c>
      <c r="AG132" s="24" t="s">
        <v>1227</v>
      </c>
      <c r="AH132" s="24" t="s">
        <v>145</v>
      </c>
      <c r="AI132" s="24">
        <v>0</v>
      </c>
      <c r="AJ132" s="24">
        <v>0</v>
      </c>
      <c r="AK132" s="24">
        <v>0</v>
      </c>
      <c r="AL132" s="24" t="s">
        <v>78</v>
      </c>
      <c r="AM132" s="24"/>
      <c r="AN132" s="23"/>
      <c r="AO132" s="24" t="s">
        <v>1228</v>
      </c>
      <c r="AP132" s="23" t="s">
        <v>92</v>
      </c>
      <c r="AQ132" s="27" t="str">
        <f>+Base_Accidentes[[#This Row],[Tipo de Accidente]]</f>
        <v>Acc. No Incapacitante</v>
      </c>
      <c r="AR132" s="23" cm="1">
        <f t="array" aca="1" ref="AR132" ca="1">+Base_Accidentes[Población]</f>
        <v>0</v>
      </c>
      <c r="AS132" s="23"/>
      <c r="AT132" s="23"/>
    </row>
    <row r="133" spans="1:46" ht="72" hidden="1" x14ac:dyDescent="0.3">
      <c r="A133" s="45">
        <v>132</v>
      </c>
      <c r="B133" s="24" t="s">
        <v>129</v>
      </c>
      <c r="C133" s="24" t="s">
        <v>1</v>
      </c>
      <c r="D133" s="23" t="s">
        <v>162</v>
      </c>
      <c r="E133" s="51" t="s">
        <v>1156</v>
      </c>
      <c r="F133" s="23" t="s">
        <v>164</v>
      </c>
      <c r="G133" s="24" t="s">
        <v>428</v>
      </c>
      <c r="H133" s="24" t="s">
        <v>60</v>
      </c>
      <c r="I133" s="24" t="s">
        <v>438</v>
      </c>
      <c r="J133" s="24" t="s">
        <v>62</v>
      </c>
      <c r="K133" s="24" t="str">
        <f>IF(ISBLANK(Base_Accidentes[[#This Row],[Tipo de Accidente]])," ",Base_Accidentes[[#This Row],[Tipo de Accidente]])</f>
        <v>Acc. No Incapacitante</v>
      </c>
      <c r="L133" s="49">
        <v>45472.072916666664</v>
      </c>
      <c r="M133" s="47">
        <f>_xlfn.ISOWEEKNUM(Base_Accidentes[[#This Row],[Fecha
(XX/XX/2024)]])</f>
        <v>26</v>
      </c>
      <c r="N133" s="23">
        <f>DAY(Base_Accidentes[[#This Row],[Fecha
(XX/XX/2024)]])</f>
        <v>29</v>
      </c>
      <c r="O133" s="23">
        <f>MONTH(Base_Accidentes[[#This Row],[Fecha
(XX/XX/2024)]])</f>
        <v>6</v>
      </c>
      <c r="P133" s="23">
        <f>YEAR(Base_Accidentes[[#This Row],[Fecha
(XX/XX/2024)]])</f>
        <v>2024</v>
      </c>
      <c r="Q133" s="48">
        <v>7.2916666666666671E-2</v>
      </c>
      <c r="R133" s="24" t="s">
        <v>135</v>
      </c>
      <c r="S133" s="24" t="s">
        <v>10</v>
      </c>
      <c r="T133" s="24" t="s">
        <v>164</v>
      </c>
      <c r="U133" s="24" t="s">
        <v>1229</v>
      </c>
      <c r="V133" s="24" t="s">
        <v>1230</v>
      </c>
      <c r="W133" s="24" t="s">
        <v>1231</v>
      </c>
      <c r="X133" s="24" t="s">
        <v>68</v>
      </c>
      <c r="Y133" s="24" t="s">
        <v>129</v>
      </c>
      <c r="Z133" s="24" t="s">
        <v>172</v>
      </c>
      <c r="AA133" s="49" t="s">
        <v>129</v>
      </c>
      <c r="AB133" s="24" t="s">
        <v>1232</v>
      </c>
      <c r="AC133" s="24" t="s">
        <v>101</v>
      </c>
      <c r="AD133" s="24" t="s">
        <v>1233</v>
      </c>
      <c r="AE133" s="24" t="s">
        <v>235</v>
      </c>
      <c r="AF133" s="24" t="s">
        <v>454</v>
      </c>
      <c r="AG133" s="24" t="s">
        <v>1234</v>
      </c>
      <c r="AH133" s="24" t="s">
        <v>145</v>
      </c>
      <c r="AI133" s="24">
        <v>0</v>
      </c>
      <c r="AJ133" s="24">
        <v>0</v>
      </c>
      <c r="AK133" s="24">
        <v>0</v>
      </c>
      <c r="AL133" s="24" t="s">
        <v>78</v>
      </c>
      <c r="AM133" s="24"/>
      <c r="AN133" s="23"/>
      <c r="AO133" s="24" t="s">
        <v>1065</v>
      </c>
      <c r="AP133" s="23" t="s">
        <v>92</v>
      </c>
      <c r="AQ133" s="27" t="str">
        <f>+Base_Accidentes[[#This Row],[Tipo de Accidente]]</f>
        <v>Acc. No Incapacitante</v>
      </c>
      <c r="AR133" s="23" cm="1">
        <f t="array" aca="1" ref="AR133" ca="1">+Base_Accidentes[Población]</f>
        <v>0</v>
      </c>
      <c r="AS133" s="23"/>
      <c r="AT133" s="23"/>
    </row>
    <row r="134" spans="1:46" ht="60" hidden="1" x14ac:dyDescent="0.3">
      <c r="A134" s="45">
        <v>133</v>
      </c>
      <c r="B134" s="24" t="s">
        <v>129</v>
      </c>
      <c r="C134" s="24" t="s">
        <v>1</v>
      </c>
      <c r="D134" s="23" t="s">
        <v>162</v>
      </c>
      <c r="E134" s="51" t="s">
        <v>1156</v>
      </c>
      <c r="F134" s="23" t="s">
        <v>164</v>
      </c>
      <c r="G134" s="24" t="s">
        <v>428</v>
      </c>
      <c r="H134" s="24" t="s">
        <v>60</v>
      </c>
      <c r="I134" s="24" t="s">
        <v>438</v>
      </c>
      <c r="J134" s="24" t="s">
        <v>62</v>
      </c>
      <c r="K134" s="24" t="str">
        <f>IF(ISBLANK(Base_Accidentes[[#This Row],[Tipo de Accidente]])," ",Base_Accidentes[[#This Row],[Tipo de Accidente]])</f>
        <v>Acc. No Incapacitante</v>
      </c>
      <c r="L134" s="49">
        <v>45477.236111111109</v>
      </c>
      <c r="M134" s="47">
        <f>_xlfn.ISOWEEKNUM(Base_Accidentes[[#This Row],[Fecha
(XX/XX/2024)]])</f>
        <v>27</v>
      </c>
      <c r="N134" s="23">
        <f>DAY(Base_Accidentes[[#This Row],[Fecha
(XX/XX/2024)]])</f>
        <v>4</v>
      </c>
      <c r="O134" s="23">
        <f>MONTH(Base_Accidentes[[#This Row],[Fecha
(XX/XX/2024)]])</f>
        <v>7</v>
      </c>
      <c r="P134" s="23">
        <f>YEAR(Base_Accidentes[[#This Row],[Fecha
(XX/XX/2024)]])</f>
        <v>2024</v>
      </c>
      <c r="Q134" s="48">
        <v>0.2361111111111111</v>
      </c>
      <c r="R134" s="24" t="s">
        <v>135</v>
      </c>
      <c r="S134" s="24" t="s">
        <v>167</v>
      </c>
      <c r="T134" s="24" t="s">
        <v>168</v>
      </c>
      <c r="U134" s="24" t="s">
        <v>1235</v>
      </c>
      <c r="V134" s="24" t="s">
        <v>1236</v>
      </c>
      <c r="W134" s="24" t="s">
        <v>1237</v>
      </c>
      <c r="X134" s="24" t="s">
        <v>68</v>
      </c>
      <c r="Y134" s="24" t="s">
        <v>129</v>
      </c>
      <c r="Z134" s="24" t="s">
        <v>172</v>
      </c>
      <c r="AA134" s="49" t="s">
        <v>129</v>
      </c>
      <c r="AB134" s="24" t="s">
        <v>1238</v>
      </c>
      <c r="AC134" s="24" t="s">
        <v>575</v>
      </c>
      <c r="AD134" s="24" t="s">
        <v>249</v>
      </c>
      <c r="AE134" s="24" t="s">
        <v>249</v>
      </c>
      <c r="AF134" s="24" t="s">
        <v>454</v>
      </c>
      <c r="AG134" s="24" t="s">
        <v>294</v>
      </c>
      <c r="AH134" s="24" t="s">
        <v>294</v>
      </c>
      <c r="AI134" s="24">
        <v>0</v>
      </c>
      <c r="AJ134" s="24">
        <v>0</v>
      </c>
      <c r="AK134" s="24">
        <v>0</v>
      </c>
      <c r="AL134" s="24" t="s">
        <v>78</v>
      </c>
      <c r="AM134" s="24"/>
      <c r="AN134" s="23"/>
      <c r="AO134" s="24" t="s">
        <v>563</v>
      </c>
      <c r="AP134" s="23" t="s">
        <v>92</v>
      </c>
      <c r="AQ134" s="27" t="str">
        <f>+Base_Accidentes[[#This Row],[Tipo de Accidente]]</f>
        <v>Acc. No Incapacitante</v>
      </c>
      <c r="AR134" s="23" cm="1">
        <f t="array" aca="1" ref="AR134" ca="1">+Base_Accidentes[Población]</f>
        <v>0</v>
      </c>
      <c r="AS134" s="23"/>
      <c r="AT134" s="23"/>
    </row>
    <row r="135" spans="1:46" ht="60" hidden="1" x14ac:dyDescent="0.3">
      <c r="A135" s="45">
        <v>134</v>
      </c>
      <c r="B135" s="24" t="s">
        <v>129</v>
      </c>
      <c r="C135" s="24" t="s">
        <v>1</v>
      </c>
      <c r="D135" s="23" t="s">
        <v>162</v>
      </c>
      <c r="E135" s="51" t="s">
        <v>1156</v>
      </c>
      <c r="F135" s="23" t="s">
        <v>164</v>
      </c>
      <c r="G135" s="24" t="s">
        <v>428</v>
      </c>
      <c r="H135" s="24" t="s">
        <v>60</v>
      </c>
      <c r="I135" s="24" t="s">
        <v>438</v>
      </c>
      <c r="J135" s="24" t="s">
        <v>62</v>
      </c>
      <c r="K135" s="24" t="str">
        <f>IF(ISBLANK(Base_Accidentes[[#This Row],[Tipo de Accidente]])," ",Base_Accidentes[[#This Row],[Tipo de Accidente]])</f>
        <v>Acc. No Incapacitante</v>
      </c>
      <c r="L135" s="49">
        <v>45478.140277777777</v>
      </c>
      <c r="M135" s="47">
        <f>_xlfn.ISOWEEKNUM(Base_Accidentes[[#This Row],[Fecha
(XX/XX/2024)]])</f>
        <v>27</v>
      </c>
      <c r="N135" s="23">
        <f>DAY(Base_Accidentes[[#This Row],[Fecha
(XX/XX/2024)]])</f>
        <v>5</v>
      </c>
      <c r="O135" s="23">
        <f>MONTH(Base_Accidentes[[#This Row],[Fecha
(XX/XX/2024)]])</f>
        <v>7</v>
      </c>
      <c r="P135" s="23">
        <f>YEAR(Base_Accidentes[[#This Row],[Fecha
(XX/XX/2024)]])</f>
        <v>2024</v>
      </c>
      <c r="Q135" s="48">
        <v>0.14027777777777778</v>
      </c>
      <c r="R135" s="24" t="s">
        <v>135</v>
      </c>
      <c r="S135" s="24" t="s">
        <v>167</v>
      </c>
      <c r="T135" s="24" t="s">
        <v>168</v>
      </c>
      <c r="U135" s="24" t="s">
        <v>1092</v>
      </c>
      <c r="V135" s="24" t="s">
        <v>287</v>
      </c>
      <c r="W135" s="24" t="s">
        <v>1061</v>
      </c>
      <c r="X135" s="24" t="s">
        <v>68</v>
      </c>
      <c r="Y135" s="24" t="s">
        <v>129</v>
      </c>
      <c r="Z135" s="24" t="s">
        <v>172</v>
      </c>
      <c r="AA135" s="49" t="s">
        <v>129</v>
      </c>
      <c r="AB135" s="24" t="s">
        <v>1239</v>
      </c>
      <c r="AC135" s="24" t="s">
        <v>101</v>
      </c>
      <c r="AD135" s="24" t="s">
        <v>1113</v>
      </c>
      <c r="AE135" s="24" t="s">
        <v>435</v>
      </c>
      <c r="AF135" s="24" t="s">
        <v>554</v>
      </c>
      <c r="AG135" s="24" t="s">
        <v>1240</v>
      </c>
      <c r="AH135" s="24" t="s">
        <v>145</v>
      </c>
      <c r="AI135" s="24">
        <v>0</v>
      </c>
      <c r="AJ135" s="24">
        <v>0</v>
      </c>
      <c r="AK135" s="24">
        <v>0</v>
      </c>
      <c r="AL135" s="24" t="s">
        <v>78</v>
      </c>
      <c r="AM135" s="24"/>
      <c r="AN135" s="23"/>
      <c r="AO135" s="24" t="s">
        <v>669</v>
      </c>
      <c r="AP135" s="23" t="s">
        <v>92</v>
      </c>
      <c r="AQ135" s="27" t="str">
        <f>+Base_Accidentes[[#This Row],[Tipo de Accidente]]</f>
        <v>Acc. No Incapacitante</v>
      </c>
      <c r="AR135" s="23" cm="1">
        <f t="array" aca="1" ref="AR135" ca="1">+Base_Accidentes[Población]</f>
        <v>0</v>
      </c>
      <c r="AS135" s="23"/>
      <c r="AT135" s="23"/>
    </row>
    <row r="136" spans="1:46" ht="72" hidden="1" x14ac:dyDescent="0.3">
      <c r="A136" s="45">
        <v>135</v>
      </c>
      <c r="B136" s="24" t="s">
        <v>129</v>
      </c>
      <c r="C136" s="24" t="s">
        <v>1</v>
      </c>
      <c r="D136" s="23" t="s">
        <v>162</v>
      </c>
      <c r="E136" s="51" t="s">
        <v>1156</v>
      </c>
      <c r="F136" s="23" t="s">
        <v>164</v>
      </c>
      <c r="G136" s="24" t="s">
        <v>428</v>
      </c>
      <c r="H136" s="24" t="s">
        <v>60</v>
      </c>
      <c r="I136" s="24" t="s">
        <v>475</v>
      </c>
      <c r="J136" s="24" t="s">
        <v>62</v>
      </c>
      <c r="K136" s="24" t="str">
        <f>IF(ISBLANK(Base_Accidentes[[#This Row],[Tipo de Accidente]])," ",Base_Accidentes[[#This Row],[Tipo de Accidente]])</f>
        <v>Acc. No Incapacitante</v>
      </c>
      <c r="L136" s="49">
        <v>45480.188194444447</v>
      </c>
      <c r="M136" s="47">
        <f>_xlfn.ISOWEEKNUM(Base_Accidentes[[#This Row],[Fecha
(XX/XX/2024)]])</f>
        <v>27</v>
      </c>
      <c r="N136" s="23">
        <f>DAY(Base_Accidentes[[#This Row],[Fecha
(XX/XX/2024)]])</f>
        <v>7</v>
      </c>
      <c r="O136" s="23">
        <f>MONTH(Base_Accidentes[[#This Row],[Fecha
(XX/XX/2024)]])</f>
        <v>7</v>
      </c>
      <c r="P136" s="23">
        <f>YEAR(Base_Accidentes[[#This Row],[Fecha
(XX/XX/2024)]])</f>
        <v>2024</v>
      </c>
      <c r="Q136" s="48">
        <v>0.18819444444444444</v>
      </c>
      <c r="R136" s="24" t="s">
        <v>135</v>
      </c>
      <c r="S136" s="24" t="s">
        <v>10</v>
      </c>
      <c r="T136" s="24" t="s">
        <v>164</v>
      </c>
      <c r="U136" s="24" t="s">
        <v>1241</v>
      </c>
      <c r="V136" s="24" t="s">
        <v>1242</v>
      </c>
      <c r="W136" s="24" t="s">
        <v>1243</v>
      </c>
      <c r="X136" s="24" t="s">
        <v>68</v>
      </c>
      <c r="Y136" s="24" t="s">
        <v>129</v>
      </c>
      <c r="Z136" s="24" t="s">
        <v>172</v>
      </c>
      <c r="AA136" s="49" t="s">
        <v>129</v>
      </c>
      <c r="AB136" s="24" t="s">
        <v>1244</v>
      </c>
      <c r="AC136" s="24" t="s">
        <v>201</v>
      </c>
      <c r="AD136" s="24" t="s">
        <v>1245</v>
      </c>
      <c r="AE136" s="24" t="s">
        <v>157</v>
      </c>
      <c r="AF136" s="24" t="s">
        <v>1246</v>
      </c>
      <c r="AG136" s="24" t="s">
        <v>1247</v>
      </c>
      <c r="AH136" s="24" t="s">
        <v>76</v>
      </c>
      <c r="AI136" s="24">
        <v>0</v>
      </c>
      <c r="AJ136" s="24">
        <v>0</v>
      </c>
      <c r="AK136" s="24">
        <v>0</v>
      </c>
      <c r="AL136" s="24" t="s">
        <v>78</v>
      </c>
      <c r="AM136" s="24"/>
      <c r="AN136" s="23"/>
      <c r="AO136" s="24" t="s">
        <v>1248</v>
      </c>
      <c r="AP136" s="23" t="s">
        <v>92</v>
      </c>
      <c r="AQ136" s="27" t="str">
        <f>+Base_Accidentes[[#This Row],[Tipo de Accidente]]</f>
        <v>Acc. No Incapacitante</v>
      </c>
      <c r="AR136" s="23" cm="1">
        <f t="array" aca="1" ref="AR136" ca="1">+Base_Accidentes[Población]</f>
        <v>0</v>
      </c>
      <c r="AS136" s="23"/>
      <c r="AT136" s="23"/>
    </row>
    <row r="137" spans="1:46" ht="24" hidden="1" x14ac:dyDescent="0.3">
      <c r="A137" s="45">
        <v>136</v>
      </c>
      <c r="B137" s="24" t="s">
        <v>129</v>
      </c>
      <c r="C137" s="24" t="s">
        <v>1</v>
      </c>
      <c r="D137" s="23" t="s">
        <v>162</v>
      </c>
      <c r="E137" s="51" t="s">
        <v>1156</v>
      </c>
      <c r="F137" s="23" t="s">
        <v>164</v>
      </c>
      <c r="G137" s="24" t="s">
        <v>428</v>
      </c>
      <c r="H137" s="24" t="s">
        <v>60</v>
      </c>
      <c r="I137" s="24" t="s">
        <v>438</v>
      </c>
      <c r="J137" s="24" t="s">
        <v>62</v>
      </c>
      <c r="K137" s="24" t="str">
        <f>IF(ISBLANK(Base_Accidentes[[#This Row],[Tipo de Accidente]])," ",Base_Accidentes[[#This Row],[Tipo de Accidente]])</f>
        <v>Acc. No Incapacitante</v>
      </c>
      <c r="L137" s="49">
        <v>45485.520833333336</v>
      </c>
      <c r="M137" s="47">
        <f>_xlfn.ISOWEEKNUM(Base_Accidentes[[#This Row],[Fecha
(XX/XX/2024)]])</f>
        <v>28</v>
      </c>
      <c r="N137" s="23">
        <f>DAY(Base_Accidentes[[#This Row],[Fecha
(XX/XX/2024)]])</f>
        <v>12</v>
      </c>
      <c r="O137" s="23">
        <f>MONTH(Base_Accidentes[[#This Row],[Fecha
(XX/XX/2024)]])</f>
        <v>7</v>
      </c>
      <c r="P137" s="23">
        <f>YEAR(Base_Accidentes[[#This Row],[Fecha
(XX/XX/2024)]])</f>
        <v>2024</v>
      </c>
      <c r="Q137" s="48">
        <v>0.52083333333333337</v>
      </c>
      <c r="R137" s="24" t="s">
        <v>587</v>
      </c>
      <c r="S137" s="24" t="s">
        <v>167</v>
      </c>
      <c r="T137" s="24" t="s">
        <v>168</v>
      </c>
      <c r="U137" s="24" t="s">
        <v>1249</v>
      </c>
      <c r="V137" s="24" t="s">
        <v>1250</v>
      </c>
      <c r="W137" s="24" t="s">
        <v>1251</v>
      </c>
      <c r="X137" s="24" t="s">
        <v>68</v>
      </c>
      <c r="Y137" s="24" t="s">
        <v>129</v>
      </c>
      <c r="Z137" s="24" t="s">
        <v>172</v>
      </c>
      <c r="AA137" s="49" t="s">
        <v>129</v>
      </c>
      <c r="AB137" s="24" t="s">
        <v>1252</v>
      </c>
      <c r="AC137" s="24" t="s">
        <v>101</v>
      </c>
      <c r="AD137" s="24" t="s">
        <v>1253</v>
      </c>
      <c r="AE137" s="24" t="s">
        <v>103</v>
      </c>
      <c r="AF137" s="24" t="s">
        <v>1063</v>
      </c>
      <c r="AG137" s="24" t="s">
        <v>1254</v>
      </c>
      <c r="AH137" s="24" t="s">
        <v>145</v>
      </c>
      <c r="AI137" s="24">
        <v>0</v>
      </c>
      <c r="AJ137" s="24">
        <v>0</v>
      </c>
      <c r="AK137" s="24">
        <v>0</v>
      </c>
      <c r="AL137" s="24" t="s">
        <v>78</v>
      </c>
      <c r="AM137" s="24"/>
      <c r="AN137" s="23"/>
      <c r="AO137" s="24" t="s">
        <v>1065</v>
      </c>
      <c r="AP137" s="23" t="s">
        <v>92</v>
      </c>
      <c r="AQ137" s="27" t="str">
        <f>+Base_Accidentes[[#This Row],[Tipo de Accidente]]</f>
        <v>Acc. No Incapacitante</v>
      </c>
      <c r="AR137" s="23" cm="1">
        <f t="array" aca="1" ref="AR137" ca="1">+Base_Accidentes[Población]</f>
        <v>0</v>
      </c>
      <c r="AS137" s="23"/>
      <c r="AT137" s="23"/>
    </row>
    <row r="138" spans="1:46" ht="60" hidden="1" x14ac:dyDescent="0.3">
      <c r="A138" s="45">
        <v>137</v>
      </c>
      <c r="B138" s="24" t="s">
        <v>129</v>
      </c>
      <c r="C138" s="24" t="s">
        <v>1</v>
      </c>
      <c r="D138" s="23" t="s">
        <v>162</v>
      </c>
      <c r="E138" s="51" t="s">
        <v>1156</v>
      </c>
      <c r="F138" s="23" t="s">
        <v>164</v>
      </c>
      <c r="G138" s="24" t="s">
        <v>428</v>
      </c>
      <c r="H138" s="24" t="s">
        <v>60</v>
      </c>
      <c r="I138" s="24" t="s">
        <v>438</v>
      </c>
      <c r="J138" s="24" t="s">
        <v>62</v>
      </c>
      <c r="K138" s="24" t="str">
        <f>IF(ISBLANK(Base_Accidentes[[#This Row],[Tipo de Accidente]])," ",Base_Accidentes[[#This Row],[Tipo de Accidente]])</f>
        <v>Acc. No Incapacitante</v>
      </c>
      <c r="L138" s="49">
        <v>45488.777083333334</v>
      </c>
      <c r="M138" s="47">
        <f>_xlfn.ISOWEEKNUM(Base_Accidentes[[#This Row],[Fecha
(XX/XX/2024)]])</f>
        <v>29</v>
      </c>
      <c r="N138" s="23">
        <f>DAY(Base_Accidentes[[#This Row],[Fecha
(XX/XX/2024)]])</f>
        <v>15</v>
      </c>
      <c r="O138" s="23">
        <f>MONTH(Base_Accidentes[[#This Row],[Fecha
(XX/XX/2024)]])</f>
        <v>7</v>
      </c>
      <c r="P138" s="23">
        <f>YEAR(Base_Accidentes[[#This Row],[Fecha
(XX/XX/2024)]])</f>
        <v>2024</v>
      </c>
      <c r="Q138" s="48">
        <v>0.77708333333333335</v>
      </c>
      <c r="R138" s="24" t="s">
        <v>587</v>
      </c>
      <c r="S138" s="24" t="s">
        <v>167</v>
      </c>
      <c r="T138" s="24" t="s">
        <v>168</v>
      </c>
      <c r="U138" s="24" t="s">
        <v>1092</v>
      </c>
      <c r="V138" s="24" t="s">
        <v>287</v>
      </c>
      <c r="W138" s="24" t="s">
        <v>1061</v>
      </c>
      <c r="X138" s="24" t="s">
        <v>68</v>
      </c>
      <c r="Y138" s="24" t="s">
        <v>129</v>
      </c>
      <c r="Z138" s="24" t="s">
        <v>172</v>
      </c>
      <c r="AA138" s="49" t="s">
        <v>129</v>
      </c>
      <c r="AB138" s="24" t="s">
        <v>1255</v>
      </c>
      <c r="AC138" s="24" t="s">
        <v>575</v>
      </c>
      <c r="AD138" s="24" t="s">
        <v>774</v>
      </c>
      <c r="AE138" s="24" t="s">
        <v>249</v>
      </c>
      <c r="AF138" s="24" t="s">
        <v>1256</v>
      </c>
      <c r="AG138" s="24" t="s">
        <v>294</v>
      </c>
      <c r="AH138" s="24" t="s">
        <v>294</v>
      </c>
      <c r="AI138" s="24">
        <v>0</v>
      </c>
      <c r="AJ138" s="24">
        <v>0</v>
      </c>
      <c r="AK138" s="24">
        <v>0</v>
      </c>
      <c r="AL138" s="24" t="s">
        <v>78</v>
      </c>
      <c r="AM138" s="24"/>
      <c r="AN138" s="23"/>
      <c r="AO138" s="24" t="s">
        <v>563</v>
      </c>
      <c r="AP138" s="23" t="s">
        <v>92</v>
      </c>
      <c r="AQ138" s="27" t="str">
        <f>+Base_Accidentes[[#This Row],[Tipo de Accidente]]</f>
        <v>Acc. No Incapacitante</v>
      </c>
      <c r="AR138" s="23" cm="1">
        <f t="array" aca="1" ref="AR138" ca="1">+Base_Accidentes[Población]</f>
        <v>0</v>
      </c>
      <c r="AS138" s="23"/>
      <c r="AT138" s="23"/>
    </row>
    <row r="139" spans="1:46" ht="51.75" hidden="1" customHeight="1" x14ac:dyDescent="0.3">
      <c r="A139" s="45">
        <v>138</v>
      </c>
      <c r="B139" s="24" t="s">
        <v>129</v>
      </c>
      <c r="C139" s="24" t="s">
        <v>1</v>
      </c>
      <c r="D139" s="23" t="s">
        <v>162</v>
      </c>
      <c r="E139" s="51" t="s">
        <v>1257</v>
      </c>
      <c r="F139" s="23" t="s">
        <v>164</v>
      </c>
      <c r="G139" s="24" t="s">
        <v>228</v>
      </c>
      <c r="H139" s="24" t="s">
        <v>60</v>
      </c>
      <c r="I139" s="24" t="s">
        <v>865</v>
      </c>
      <c r="J139" s="24" t="s">
        <v>62</v>
      </c>
      <c r="K139" s="24" t="str">
        <f>IF(ISBLANK(Base_Accidentes[[#This Row],[Tipo de Accidente]])," ",Base_Accidentes[[#This Row],[Tipo de Accidente]])</f>
        <v>Acc. No Incapacitante</v>
      </c>
      <c r="L139" s="49">
        <v>45488</v>
      </c>
      <c r="M139" s="47">
        <f>_xlfn.ISOWEEKNUM(Base_Accidentes[[#This Row],[Fecha
(XX/XX/2024)]])</f>
        <v>29</v>
      </c>
      <c r="N139" s="23">
        <f>DAY(Base_Accidentes[[#This Row],[Fecha
(XX/XX/2024)]])</f>
        <v>15</v>
      </c>
      <c r="O139" s="23">
        <f>MONTH(Base_Accidentes[[#This Row],[Fecha
(XX/XX/2024)]])</f>
        <v>7</v>
      </c>
      <c r="P139" s="23">
        <f>YEAR(Base_Accidentes[[#This Row],[Fecha
(XX/XX/2024)]])</f>
        <v>2024</v>
      </c>
      <c r="Q139" s="48">
        <v>0.60416666666666663</v>
      </c>
      <c r="R139" s="24" t="s">
        <v>587</v>
      </c>
      <c r="S139" s="24" t="s">
        <v>167</v>
      </c>
      <c r="T139" s="24" t="s">
        <v>168</v>
      </c>
      <c r="U139" s="24" t="s">
        <v>116</v>
      </c>
      <c r="V139" s="24" t="s">
        <v>1258</v>
      </c>
      <c r="W139" s="24" t="s">
        <v>1259</v>
      </c>
      <c r="X139" s="24" t="s">
        <v>98</v>
      </c>
      <c r="Y139" s="24" t="s">
        <v>129</v>
      </c>
      <c r="Z139" s="24" t="s">
        <v>172</v>
      </c>
      <c r="AA139" s="49" t="s">
        <v>129</v>
      </c>
      <c r="AB139" s="24" t="s">
        <v>1260</v>
      </c>
      <c r="AC139" s="24" t="s">
        <v>234</v>
      </c>
      <c r="AD139" s="24" t="s">
        <v>1261</v>
      </c>
      <c r="AE139" s="24" t="s">
        <v>103</v>
      </c>
      <c r="AF139" s="24" t="s">
        <v>1262</v>
      </c>
      <c r="AG139" s="24"/>
      <c r="AH139" s="24"/>
      <c r="AI139" s="24">
        <v>0</v>
      </c>
      <c r="AJ139" s="24">
        <v>0</v>
      </c>
      <c r="AK139" s="24">
        <v>0</v>
      </c>
      <c r="AL139" s="24" t="s">
        <v>78</v>
      </c>
      <c r="AM139" s="24"/>
      <c r="AN139" s="23"/>
      <c r="AO139" s="24" t="s">
        <v>1263</v>
      </c>
      <c r="AP139" s="23" t="s">
        <v>92</v>
      </c>
      <c r="AQ139" s="27" t="str">
        <f>+Base_Accidentes[[#This Row],[Tipo de Accidente]]</f>
        <v>Acc. No Incapacitante</v>
      </c>
      <c r="AR139" s="64" cm="1">
        <f t="array" aca="1" ref="AR139" ca="1">+Base_Accidentes[Población]</f>
        <v>0</v>
      </c>
      <c r="AS139" s="23"/>
      <c r="AT139" s="23"/>
    </row>
    <row r="140" spans="1:46" ht="60" hidden="1" x14ac:dyDescent="0.3">
      <c r="A140" s="45">
        <v>139</v>
      </c>
      <c r="B140" s="24" t="s">
        <v>129</v>
      </c>
      <c r="C140" s="24" t="s">
        <v>1</v>
      </c>
      <c r="D140" s="23" t="s">
        <v>162</v>
      </c>
      <c r="E140" s="51" t="s">
        <v>1156</v>
      </c>
      <c r="F140" s="23" t="s">
        <v>164</v>
      </c>
      <c r="G140" s="24" t="s">
        <v>428</v>
      </c>
      <c r="H140" s="24" t="s">
        <v>60</v>
      </c>
      <c r="I140" s="24" t="s">
        <v>857</v>
      </c>
      <c r="J140" s="24" t="s">
        <v>62</v>
      </c>
      <c r="K140" s="24" t="str">
        <f>IF(ISBLANK(Base_Accidentes[[#This Row],[Tipo de Accidente]])," ",Base_Accidentes[[#This Row],[Tipo de Accidente]])</f>
        <v>Acc. No Incapacitante</v>
      </c>
      <c r="L140" s="49">
        <v>45492.9375</v>
      </c>
      <c r="M140" s="47">
        <f>_xlfn.ISOWEEKNUM(Base_Accidentes[[#This Row],[Fecha
(XX/XX/2024)]])</f>
        <v>29</v>
      </c>
      <c r="N140" s="23">
        <f>DAY(Base_Accidentes[[#This Row],[Fecha
(XX/XX/2024)]])</f>
        <v>19</v>
      </c>
      <c r="O140" s="23">
        <f>MONTH(Base_Accidentes[[#This Row],[Fecha
(XX/XX/2024)]])</f>
        <v>7</v>
      </c>
      <c r="P140" s="23">
        <f>YEAR(Base_Accidentes[[#This Row],[Fecha
(XX/XX/2024)]])</f>
        <v>2024</v>
      </c>
      <c r="Q140" s="48">
        <v>0.9375</v>
      </c>
      <c r="R140" s="24" t="s">
        <v>135</v>
      </c>
      <c r="S140" s="24" t="s">
        <v>167</v>
      </c>
      <c r="T140" s="24" t="s">
        <v>168</v>
      </c>
      <c r="U140" s="24" t="s">
        <v>1264</v>
      </c>
      <c r="V140" s="24" t="s">
        <v>551</v>
      </c>
      <c r="W140" s="24" t="s">
        <v>690</v>
      </c>
      <c r="X140" s="24" t="s">
        <v>68</v>
      </c>
      <c r="Y140" s="24" t="s">
        <v>129</v>
      </c>
      <c r="Z140" s="24" t="s">
        <v>172</v>
      </c>
      <c r="AA140" s="49" t="s">
        <v>129</v>
      </c>
      <c r="AB140" s="24" t="s">
        <v>1265</v>
      </c>
      <c r="AC140" s="24" t="s">
        <v>71</v>
      </c>
      <c r="AD140" s="24" t="s">
        <v>1266</v>
      </c>
      <c r="AE140" s="24" t="s">
        <v>142</v>
      </c>
      <c r="AF140" s="24" t="s">
        <v>1267</v>
      </c>
      <c r="AG140" s="24" t="s">
        <v>1268</v>
      </c>
      <c r="AH140" s="24" t="s">
        <v>145</v>
      </c>
      <c r="AI140" s="24">
        <v>0</v>
      </c>
      <c r="AJ140" s="24">
        <v>0</v>
      </c>
      <c r="AK140" s="24">
        <v>0</v>
      </c>
      <c r="AL140" s="24" t="s">
        <v>78</v>
      </c>
      <c r="AM140" s="24"/>
      <c r="AN140" s="23"/>
      <c r="AO140" s="24" t="s">
        <v>1269</v>
      </c>
      <c r="AP140" s="23" t="s">
        <v>92</v>
      </c>
      <c r="AQ140" s="27" t="str">
        <f>+Base_Accidentes[[#This Row],[Tipo de Accidente]]</f>
        <v>Acc. No Incapacitante</v>
      </c>
      <c r="AR140" s="23" cm="1">
        <f t="array" aca="1" ref="AR140" ca="1">+Base_Accidentes[Población]</f>
        <v>0</v>
      </c>
      <c r="AS140" s="23"/>
      <c r="AT140" s="23"/>
    </row>
    <row r="141" spans="1:46" ht="36" hidden="1" x14ac:dyDescent="0.3">
      <c r="A141" s="45">
        <v>140</v>
      </c>
      <c r="B141" s="24" t="s">
        <v>129</v>
      </c>
      <c r="C141" s="24" t="s">
        <v>1</v>
      </c>
      <c r="D141" s="23" t="s">
        <v>162</v>
      </c>
      <c r="E141" s="51" t="s">
        <v>1156</v>
      </c>
      <c r="F141" s="23" t="s">
        <v>164</v>
      </c>
      <c r="G141" s="24" t="s">
        <v>428</v>
      </c>
      <c r="H141" s="24" t="s">
        <v>60</v>
      </c>
      <c r="I141" s="24" t="s">
        <v>184</v>
      </c>
      <c r="J141" s="24" t="s">
        <v>62</v>
      </c>
      <c r="K141" s="24" t="str">
        <f>IF(ISBLANK(Base_Accidentes[[#This Row],[Tipo de Accidente]])," ",Base_Accidentes[[#This Row],[Tipo de Accidente]])</f>
        <v>Acc. No Incapacitante</v>
      </c>
      <c r="L141" s="49">
        <v>45497.550694444442</v>
      </c>
      <c r="M141" s="47">
        <f>_xlfn.ISOWEEKNUM(Base_Accidentes[[#This Row],[Fecha
(XX/XX/2024)]])</f>
        <v>30</v>
      </c>
      <c r="N141" s="23">
        <f>DAY(Base_Accidentes[[#This Row],[Fecha
(XX/XX/2024)]])</f>
        <v>24</v>
      </c>
      <c r="O141" s="23">
        <f>MONTH(Base_Accidentes[[#This Row],[Fecha
(XX/XX/2024)]])</f>
        <v>7</v>
      </c>
      <c r="P141" s="23">
        <f>YEAR(Base_Accidentes[[#This Row],[Fecha
(XX/XX/2024)]])</f>
        <v>2024</v>
      </c>
      <c r="Q141" s="48">
        <v>0.55069444444444449</v>
      </c>
      <c r="R141" s="24" t="s">
        <v>587</v>
      </c>
      <c r="S141" s="24" t="s">
        <v>10</v>
      </c>
      <c r="T141" s="24" t="s">
        <v>164</v>
      </c>
      <c r="U141" s="24" t="s">
        <v>288</v>
      </c>
      <c r="V141" s="24" t="s">
        <v>395</v>
      </c>
      <c r="W141" s="24" t="s">
        <v>1055</v>
      </c>
      <c r="X141" s="24" t="s">
        <v>68</v>
      </c>
      <c r="Y141" s="24" t="s">
        <v>129</v>
      </c>
      <c r="Z141" s="24" t="s">
        <v>172</v>
      </c>
      <c r="AA141" s="49" t="s">
        <v>129</v>
      </c>
      <c r="AB141" s="24" t="s">
        <v>1270</v>
      </c>
      <c r="AC141" s="24" t="s">
        <v>101</v>
      </c>
      <c r="AD141" s="24" t="s">
        <v>1271</v>
      </c>
      <c r="AE141" s="24" t="s">
        <v>103</v>
      </c>
      <c r="AF141" s="24" t="s">
        <v>1272</v>
      </c>
      <c r="AG141" s="24" t="s">
        <v>1273</v>
      </c>
      <c r="AH141" s="24" t="s">
        <v>145</v>
      </c>
      <c r="AI141" s="24">
        <v>0</v>
      </c>
      <c r="AJ141" s="24">
        <v>0</v>
      </c>
      <c r="AK141" s="24">
        <v>0</v>
      </c>
      <c r="AL141" s="24" t="s">
        <v>78</v>
      </c>
      <c r="AM141" s="24"/>
      <c r="AN141" s="23"/>
      <c r="AO141" s="24" t="s">
        <v>1274</v>
      </c>
      <c r="AP141" s="23" t="s">
        <v>92</v>
      </c>
      <c r="AQ141" s="27" t="str">
        <f>+Base_Accidentes[[#This Row],[Tipo de Accidente]]</f>
        <v>Acc. No Incapacitante</v>
      </c>
      <c r="AR141" s="23" cm="1">
        <f t="array" aca="1" ref="AR141" ca="1">+Base_Accidentes[Población]</f>
        <v>0</v>
      </c>
      <c r="AS141" s="23"/>
      <c r="AT141" s="23"/>
    </row>
    <row r="142" spans="1:46" ht="48" hidden="1" x14ac:dyDescent="0.3">
      <c r="A142" s="45">
        <v>141</v>
      </c>
      <c r="B142" s="26"/>
      <c r="C142" s="26" t="s">
        <v>1</v>
      </c>
      <c r="D142" s="26" t="s">
        <v>56</v>
      </c>
      <c r="E142" s="62" t="s">
        <v>1275</v>
      </c>
      <c r="F142" s="23" t="s">
        <v>323</v>
      </c>
      <c r="G142" s="24" t="s">
        <v>312</v>
      </c>
      <c r="H142" s="31" t="s">
        <v>312</v>
      </c>
      <c r="I142" s="31" t="s">
        <v>1275</v>
      </c>
      <c r="J142" s="31" t="s">
        <v>62</v>
      </c>
      <c r="K142" s="31" t="s">
        <v>62</v>
      </c>
      <c r="L142" s="54">
        <v>45478</v>
      </c>
      <c r="M142" s="47">
        <f>_xlfn.ISOWEEKNUM(Base_Accidentes[[#This Row],[Fecha
(XX/XX/2024)]])</f>
        <v>27</v>
      </c>
      <c r="N142" s="23">
        <f>DAY(Base_Accidentes[[#This Row],[Fecha
(XX/XX/2024)]])</f>
        <v>5</v>
      </c>
      <c r="O142" s="23">
        <f>MONTH(Base_Accidentes[[#This Row],[Fecha
(XX/XX/2024)]])</f>
        <v>7</v>
      </c>
      <c r="P142" s="23">
        <f>YEAR(Base_Accidentes[[#This Row],[Fecha
(XX/XX/2024)]])</f>
        <v>2024</v>
      </c>
      <c r="Q142" s="55">
        <v>0.87847222222222221</v>
      </c>
      <c r="R142" s="31" t="s">
        <v>135</v>
      </c>
      <c r="S142" s="31" t="s">
        <v>10</v>
      </c>
      <c r="T142" s="31" t="s">
        <v>64</v>
      </c>
      <c r="U142" s="31" t="s">
        <v>858</v>
      </c>
      <c r="V142" s="31" t="s">
        <v>1276</v>
      </c>
      <c r="W142" s="31" t="s">
        <v>1277</v>
      </c>
      <c r="X142" s="31" t="s">
        <v>68</v>
      </c>
      <c r="Y142" s="31"/>
      <c r="Z142" s="31" t="s">
        <v>1278</v>
      </c>
      <c r="AA142" s="54"/>
      <c r="AB142" s="31" t="s">
        <v>1279</v>
      </c>
      <c r="AC142" s="31" t="s">
        <v>101</v>
      </c>
      <c r="AD142" s="31" t="s">
        <v>157</v>
      </c>
      <c r="AE142" s="31" t="s">
        <v>157</v>
      </c>
      <c r="AF142" s="31" t="s">
        <v>1280</v>
      </c>
      <c r="AG142" s="31" t="s">
        <v>1281</v>
      </c>
      <c r="AH142" s="24" t="s">
        <v>76</v>
      </c>
      <c r="AI142" s="31">
        <v>0</v>
      </c>
      <c r="AJ142" s="31"/>
      <c r="AK142" s="31"/>
      <c r="AL142" s="31" t="s">
        <v>777</v>
      </c>
      <c r="AM142" s="31"/>
      <c r="AN142" s="26" t="s">
        <v>79</v>
      </c>
      <c r="AO142" s="31" t="s">
        <v>1282</v>
      </c>
      <c r="AP142" s="31" t="s">
        <v>779</v>
      </c>
      <c r="AQ142" s="66" t="str">
        <f>+Base_Accidentes[[#This Row],[Tipo de Accidente]]</f>
        <v>Acc. No Incapacitante</v>
      </c>
      <c r="AR142" s="77" cm="1">
        <f t="array" aca="1" ref="AR142" ca="1">+Base_Accidentes[Población]</f>
        <v>0</v>
      </c>
      <c r="AS142" s="26" t="s">
        <v>780</v>
      </c>
      <c r="AT142" s="23"/>
    </row>
    <row r="143" spans="1:46" ht="84" x14ac:dyDescent="0.3">
      <c r="A143" s="45">
        <v>142</v>
      </c>
      <c r="B143" s="26" t="s">
        <v>1283</v>
      </c>
      <c r="C143" s="26" t="s">
        <v>1</v>
      </c>
      <c r="D143" s="26" t="s">
        <v>56</v>
      </c>
      <c r="E143" s="62" t="s">
        <v>1275</v>
      </c>
      <c r="F143" s="23" t="s">
        <v>323</v>
      </c>
      <c r="G143" s="31" t="s">
        <v>312</v>
      </c>
      <c r="H143" s="31" t="s">
        <v>312</v>
      </c>
      <c r="I143" s="31" t="s">
        <v>1275</v>
      </c>
      <c r="J143" s="31" t="s">
        <v>62</v>
      </c>
      <c r="K143" s="31" t="s">
        <v>62</v>
      </c>
      <c r="L143" s="118">
        <v>45486</v>
      </c>
      <c r="M143" s="47">
        <f>_xlfn.ISOWEEKNUM(Base_Accidentes[[#This Row],[Fecha
(XX/XX/2024)]])</f>
        <v>28</v>
      </c>
      <c r="N143" s="23">
        <f>DAY(Base_Accidentes[[#This Row],[Fecha
(XX/XX/2024)]])</f>
        <v>13</v>
      </c>
      <c r="O143" s="23">
        <f>MONTH(Base_Accidentes[[#This Row],[Fecha
(XX/XX/2024)]])</f>
        <v>7</v>
      </c>
      <c r="P143" s="23">
        <f>YEAR(Base_Accidentes[[#This Row],[Fecha
(XX/XX/2024)]])</f>
        <v>2024</v>
      </c>
      <c r="Q143" s="69">
        <v>0.45833333333333331</v>
      </c>
      <c r="R143" s="26" t="s">
        <v>587</v>
      </c>
      <c r="S143" s="31" t="s">
        <v>1284</v>
      </c>
      <c r="T143" s="26" t="s">
        <v>1285</v>
      </c>
      <c r="U143" s="26" t="s">
        <v>1286</v>
      </c>
      <c r="V143" s="26" t="s">
        <v>1287</v>
      </c>
      <c r="W143" s="26" t="s">
        <v>1288</v>
      </c>
      <c r="X143" s="26" t="s">
        <v>68</v>
      </c>
      <c r="Y143" s="26">
        <v>21</v>
      </c>
      <c r="Z143" s="31" t="s">
        <v>1289</v>
      </c>
      <c r="AA143" s="118">
        <v>45029</v>
      </c>
      <c r="AB143" s="31" t="s">
        <v>1290</v>
      </c>
      <c r="AC143" s="31" t="s">
        <v>120</v>
      </c>
      <c r="AD143" s="26" t="s">
        <v>1291</v>
      </c>
      <c r="AE143" s="31" t="s">
        <v>142</v>
      </c>
      <c r="AF143" s="31" t="s">
        <v>978</v>
      </c>
      <c r="AG143" s="26" t="s">
        <v>270</v>
      </c>
      <c r="AH143" s="24" t="s">
        <v>145</v>
      </c>
      <c r="AI143" s="31">
        <v>0</v>
      </c>
      <c r="AJ143" s="26"/>
      <c r="AK143" s="26"/>
      <c r="AL143" s="26" t="s">
        <v>777</v>
      </c>
      <c r="AM143" s="26">
        <v>15</v>
      </c>
      <c r="AN143" s="26" t="s">
        <v>190</v>
      </c>
      <c r="AO143" s="31" t="s">
        <v>980</v>
      </c>
      <c r="AP143" s="23" t="s">
        <v>92</v>
      </c>
      <c r="AQ143" s="66" t="str">
        <f>+Base_Accidentes[[#This Row],[Tipo de Accidente]]</f>
        <v>Acc. No Incapacitante</v>
      </c>
      <c r="AR143" s="77" cm="1">
        <f t="array" aca="1" ref="AR143" ca="1">+Base_Accidentes[Población]</f>
        <v>0</v>
      </c>
      <c r="AS143" s="26" t="s">
        <v>780</v>
      </c>
      <c r="AT143" s="23"/>
    </row>
    <row r="144" spans="1:46" ht="108" hidden="1" x14ac:dyDescent="0.3">
      <c r="A144" s="45">
        <v>143</v>
      </c>
      <c r="B144" s="24" t="s">
        <v>129</v>
      </c>
      <c r="C144" s="24" t="s">
        <v>1</v>
      </c>
      <c r="D144" s="23" t="s">
        <v>162</v>
      </c>
      <c r="E144" s="51" t="s">
        <v>1156</v>
      </c>
      <c r="F144" s="23" t="s">
        <v>164</v>
      </c>
      <c r="G144" s="24" t="s">
        <v>428</v>
      </c>
      <c r="H144" s="24" t="s">
        <v>60</v>
      </c>
      <c r="I144" s="24" t="s">
        <v>857</v>
      </c>
      <c r="J144" s="24" t="s">
        <v>62</v>
      </c>
      <c r="K144" s="24" t="str">
        <f>IF(ISBLANK(Base_Accidentes[[#This Row],[Tipo de Accidente]])," ",Base_Accidentes[[#This Row],[Tipo de Accidente]])</f>
        <v>Acc. No Incapacitante</v>
      </c>
      <c r="L144" s="49">
        <v>45499.645138888889</v>
      </c>
      <c r="M144" s="47">
        <f>_xlfn.ISOWEEKNUM(Base_Accidentes[[#This Row],[Fecha
(XX/XX/2024)]])</f>
        <v>30</v>
      </c>
      <c r="N144" s="23">
        <f>DAY(Base_Accidentes[[#This Row],[Fecha
(XX/XX/2024)]])</f>
        <v>26</v>
      </c>
      <c r="O144" s="23">
        <f>MONTH(Base_Accidentes[[#This Row],[Fecha
(XX/XX/2024)]])</f>
        <v>7</v>
      </c>
      <c r="P144" s="23">
        <f>YEAR(Base_Accidentes[[#This Row],[Fecha
(XX/XX/2024)]])</f>
        <v>2024</v>
      </c>
      <c r="Q144" s="48">
        <v>0.64513888888888893</v>
      </c>
      <c r="R144" s="24" t="s">
        <v>587</v>
      </c>
      <c r="S144" s="24" t="s">
        <v>167</v>
      </c>
      <c r="T144" s="24" t="s">
        <v>168</v>
      </c>
      <c r="U144" s="24" t="s">
        <v>1292</v>
      </c>
      <c r="V144" s="24" t="s">
        <v>1293</v>
      </c>
      <c r="W144" s="24" t="s">
        <v>690</v>
      </c>
      <c r="X144" s="24" t="s">
        <v>68</v>
      </c>
      <c r="Y144" s="24" t="s">
        <v>129</v>
      </c>
      <c r="Z144" s="24" t="s">
        <v>172</v>
      </c>
      <c r="AA144" s="49" t="s">
        <v>129</v>
      </c>
      <c r="AB144" s="24" t="s">
        <v>1294</v>
      </c>
      <c r="AC144" s="24" t="s">
        <v>71</v>
      </c>
      <c r="AD144" s="24" t="s">
        <v>1295</v>
      </c>
      <c r="AE144" s="24" t="s">
        <v>103</v>
      </c>
      <c r="AF144" s="24" t="s">
        <v>1296</v>
      </c>
      <c r="AG144" s="24" t="s">
        <v>1297</v>
      </c>
      <c r="AH144" s="24" t="s">
        <v>145</v>
      </c>
      <c r="AI144" s="24">
        <v>0</v>
      </c>
      <c r="AJ144" s="24">
        <v>0</v>
      </c>
      <c r="AK144" s="24">
        <v>0</v>
      </c>
      <c r="AL144" s="24" t="s">
        <v>78</v>
      </c>
      <c r="AM144" s="24"/>
      <c r="AN144" s="23"/>
      <c r="AO144" s="24" t="s">
        <v>1298</v>
      </c>
      <c r="AP144" s="23" t="s">
        <v>92</v>
      </c>
      <c r="AQ144" s="27" t="str">
        <f>+Base_Accidentes[[#This Row],[Tipo de Accidente]]</f>
        <v>Acc. No Incapacitante</v>
      </c>
      <c r="AR144" s="23" cm="1">
        <f t="array" aca="1" ref="AR144" ca="1">+Base_Accidentes[Población]</f>
        <v>0</v>
      </c>
      <c r="AS144" s="23"/>
      <c r="AT144" s="23"/>
    </row>
    <row r="145" spans="1:46" ht="108" hidden="1" x14ac:dyDescent="0.3">
      <c r="A145" s="45">
        <v>144</v>
      </c>
      <c r="B145" s="24" t="s">
        <v>129</v>
      </c>
      <c r="C145" s="24" t="s">
        <v>1</v>
      </c>
      <c r="D145" s="23" t="s">
        <v>162</v>
      </c>
      <c r="E145" s="51" t="s">
        <v>1156</v>
      </c>
      <c r="F145" s="23" t="s">
        <v>164</v>
      </c>
      <c r="G145" s="24" t="s">
        <v>428</v>
      </c>
      <c r="H145" s="24" t="s">
        <v>60</v>
      </c>
      <c r="I145" s="24" t="s">
        <v>438</v>
      </c>
      <c r="J145" s="24" t="s">
        <v>62</v>
      </c>
      <c r="K145" s="24" t="str">
        <f>IF(ISBLANK(Base_Accidentes[[#This Row],[Tipo de Accidente]])," ",Base_Accidentes[[#This Row],[Tipo de Accidente]])</f>
        <v>Acc. No Incapacitante</v>
      </c>
      <c r="L145" s="49">
        <v>45510.270833333336</v>
      </c>
      <c r="M145" s="47">
        <f>_xlfn.ISOWEEKNUM(Base_Accidentes[[#This Row],[Fecha
(XX/XX/2024)]])</f>
        <v>32</v>
      </c>
      <c r="N145" s="23">
        <f>DAY(Base_Accidentes[[#This Row],[Fecha
(XX/XX/2024)]])</f>
        <v>6</v>
      </c>
      <c r="O145" s="23">
        <f>MONTH(Base_Accidentes[[#This Row],[Fecha
(XX/XX/2024)]])</f>
        <v>8</v>
      </c>
      <c r="P145" s="23">
        <f>YEAR(Base_Accidentes[[#This Row],[Fecha
(XX/XX/2024)]])</f>
        <v>2024</v>
      </c>
      <c r="Q145" s="48">
        <v>0.27083333333333331</v>
      </c>
      <c r="R145" s="24" t="s">
        <v>135</v>
      </c>
      <c r="S145" s="24" t="s">
        <v>167</v>
      </c>
      <c r="T145" s="24" t="s">
        <v>168</v>
      </c>
      <c r="U145" s="24" t="s">
        <v>85</v>
      </c>
      <c r="V145" s="24" t="s">
        <v>1299</v>
      </c>
      <c r="W145" s="24" t="s">
        <v>378</v>
      </c>
      <c r="X145" s="24" t="s">
        <v>68</v>
      </c>
      <c r="Y145" s="24" t="s">
        <v>129</v>
      </c>
      <c r="Z145" s="24" t="s">
        <v>172</v>
      </c>
      <c r="AA145" s="49" t="s">
        <v>129</v>
      </c>
      <c r="AB145" s="24" t="s">
        <v>1300</v>
      </c>
      <c r="AC145" s="24" t="s">
        <v>101</v>
      </c>
      <c r="AD145" s="24" t="s">
        <v>807</v>
      </c>
      <c r="AE145" s="24" t="s">
        <v>103</v>
      </c>
      <c r="AF145" s="24" t="s">
        <v>1301</v>
      </c>
      <c r="AG145" s="24" t="s">
        <v>1302</v>
      </c>
      <c r="AH145" s="24" t="s">
        <v>145</v>
      </c>
      <c r="AI145" s="24">
        <v>0</v>
      </c>
      <c r="AJ145" s="24">
        <v>0</v>
      </c>
      <c r="AK145" s="24">
        <v>0</v>
      </c>
      <c r="AL145" s="24" t="s">
        <v>78</v>
      </c>
      <c r="AM145" s="24"/>
      <c r="AN145" s="23"/>
      <c r="AO145" s="24" t="s">
        <v>1303</v>
      </c>
      <c r="AP145" s="23" t="s">
        <v>92</v>
      </c>
      <c r="AQ145" s="27" t="str">
        <f>+Base_Accidentes[[#This Row],[Tipo de Accidente]]</f>
        <v>Acc. No Incapacitante</v>
      </c>
      <c r="AR145" s="23" cm="1">
        <f t="array" aca="1" ref="AR145" ca="1">+Base_Accidentes[Población]</f>
        <v>0</v>
      </c>
      <c r="AS145" s="23"/>
      <c r="AT145" s="23"/>
    </row>
    <row r="146" spans="1:46" ht="48" hidden="1" x14ac:dyDescent="0.3">
      <c r="A146" s="45">
        <v>145</v>
      </c>
      <c r="B146" s="24" t="s">
        <v>129</v>
      </c>
      <c r="C146" s="23" t="s">
        <v>130</v>
      </c>
      <c r="D146" s="23" t="s">
        <v>131</v>
      </c>
      <c r="E146" s="51"/>
      <c r="F146" s="23" t="s">
        <v>132</v>
      </c>
      <c r="G146" s="24" t="s">
        <v>133</v>
      </c>
      <c r="H146" s="24" t="s">
        <v>60</v>
      </c>
      <c r="I146" s="24" t="s">
        <v>1304</v>
      </c>
      <c r="J146" s="24" t="s">
        <v>62</v>
      </c>
      <c r="K146" s="24" t="str">
        <f>IF(ISBLANK(Base_Accidentes[[#This Row],[Tipo de Accidente]])," ",Base_Accidentes[[#This Row],[Tipo de Accidente]])</f>
        <v>Acc. No Incapacitante</v>
      </c>
      <c r="L146" s="49">
        <v>45478</v>
      </c>
      <c r="M146" s="47">
        <f>_xlfn.ISOWEEKNUM(Base_Accidentes[[#This Row],[Fecha
(XX/XX/2024)]])</f>
        <v>27</v>
      </c>
      <c r="N146" s="23">
        <f>DAY(Base_Accidentes[[#This Row],[Fecha
(XX/XX/2024)]])</f>
        <v>5</v>
      </c>
      <c r="O146" s="23">
        <f>MONTH(Base_Accidentes[[#This Row],[Fecha
(XX/XX/2024)]])</f>
        <v>7</v>
      </c>
      <c r="P146" s="23">
        <f>YEAR(Base_Accidentes[[#This Row],[Fecha
(XX/XX/2024)]])</f>
        <v>2024</v>
      </c>
      <c r="Q146" s="48">
        <v>0.27083333333333331</v>
      </c>
      <c r="R146" s="24" t="s">
        <v>63</v>
      </c>
      <c r="S146" s="24" t="s">
        <v>10</v>
      </c>
      <c r="T146" s="24" t="s">
        <v>64</v>
      </c>
      <c r="U146" s="24" t="s">
        <v>1305</v>
      </c>
      <c r="V146" s="24" t="s">
        <v>1306</v>
      </c>
      <c r="W146" s="24" t="s">
        <v>1307</v>
      </c>
      <c r="X146" s="24" t="s">
        <v>68</v>
      </c>
      <c r="Y146" s="24">
        <v>55</v>
      </c>
      <c r="Z146" s="24" t="s">
        <v>1308</v>
      </c>
      <c r="AA146" s="49">
        <v>35034</v>
      </c>
      <c r="AB146" s="24" t="s">
        <v>1309</v>
      </c>
      <c r="AC146" s="24" t="s">
        <v>120</v>
      </c>
      <c r="AD146" s="24" t="s">
        <v>1310</v>
      </c>
      <c r="AE146" s="24" t="s">
        <v>1128</v>
      </c>
      <c r="AF146" s="24" t="s">
        <v>1311</v>
      </c>
      <c r="AG146" s="24" t="s">
        <v>1312</v>
      </c>
      <c r="AH146" s="24" t="s">
        <v>145</v>
      </c>
      <c r="AI146" s="24">
        <v>0</v>
      </c>
      <c r="AJ146" s="24">
        <v>0</v>
      </c>
      <c r="AK146" s="24">
        <v>0</v>
      </c>
      <c r="AL146" s="24" t="s">
        <v>78</v>
      </c>
      <c r="AM146" s="24">
        <v>343</v>
      </c>
      <c r="AN146" s="23" t="s">
        <v>79</v>
      </c>
      <c r="AO146" s="24" t="s">
        <v>1313</v>
      </c>
      <c r="AP146" s="23" t="s">
        <v>81</v>
      </c>
      <c r="AQ146" s="27" t="str">
        <f>+Base_Accidentes[[#This Row],[Tipo de Accidente]]</f>
        <v>Acc. No Incapacitante</v>
      </c>
      <c r="AR146" s="23" cm="1">
        <f t="array" aca="1" ref="AR146" ca="1">+Base_Accidentes[Población]</f>
        <v>0</v>
      </c>
      <c r="AS146" s="23"/>
      <c r="AT146" s="23"/>
    </row>
    <row r="147" spans="1:46" ht="58.5" hidden="1" customHeight="1" x14ac:dyDescent="0.3">
      <c r="A147" s="45">
        <v>146</v>
      </c>
      <c r="B147" s="24" t="s">
        <v>129</v>
      </c>
      <c r="C147" s="24" t="s">
        <v>1</v>
      </c>
      <c r="D147" s="23" t="s">
        <v>162</v>
      </c>
      <c r="E147" s="51" t="s">
        <v>1156</v>
      </c>
      <c r="F147" s="23" t="s">
        <v>164</v>
      </c>
      <c r="G147" s="24" t="s">
        <v>1314</v>
      </c>
      <c r="H147" s="24" t="s">
        <v>60</v>
      </c>
      <c r="I147" s="24" t="s">
        <v>1315</v>
      </c>
      <c r="J147" s="24" t="s">
        <v>113</v>
      </c>
      <c r="K147" s="24" t="str">
        <f>IF(ISBLANK(Base_Accidentes[[#This Row],[Tipo de Accidente]])," ",Base_Accidentes[[#This Row],[Tipo de Accidente]])</f>
        <v>Acc. Incapacitante</v>
      </c>
      <c r="L147" s="49">
        <v>45508</v>
      </c>
      <c r="M147" s="47">
        <f>_xlfn.ISOWEEKNUM(Base_Accidentes[[#This Row],[Fecha
(XX/XX/2024)]])</f>
        <v>31</v>
      </c>
      <c r="N147" s="23">
        <f>DAY(Base_Accidentes[[#This Row],[Fecha
(XX/XX/2024)]])</f>
        <v>4</v>
      </c>
      <c r="O147" s="23">
        <f>MONTH(Base_Accidentes[[#This Row],[Fecha
(XX/XX/2024)]])</f>
        <v>8</v>
      </c>
      <c r="P147" s="23">
        <f>YEAR(Base_Accidentes[[#This Row],[Fecha
(XX/XX/2024)]])</f>
        <v>2024</v>
      </c>
      <c r="Q147" s="48">
        <v>0.62847222222222221</v>
      </c>
      <c r="R147" s="24" t="s">
        <v>587</v>
      </c>
      <c r="S147" s="24" t="s">
        <v>167</v>
      </c>
      <c r="T147" s="24" t="s">
        <v>168</v>
      </c>
      <c r="U147" s="24" t="s">
        <v>1316</v>
      </c>
      <c r="V147" s="24" t="s">
        <v>1317</v>
      </c>
      <c r="W147" s="24" t="s">
        <v>1318</v>
      </c>
      <c r="X147" s="24" t="s">
        <v>68</v>
      </c>
      <c r="Y147" s="24">
        <v>23</v>
      </c>
      <c r="Z147" s="24" t="s">
        <v>172</v>
      </c>
      <c r="AA147" s="49" t="s">
        <v>129</v>
      </c>
      <c r="AB147" s="24" t="s">
        <v>1319</v>
      </c>
      <c r="AC147" s="24" t="s">
        <v>201</v>
      </c>
      <c r="AD147" s="24" t="s">
        <v>1295</v>
      </c>
      <c r="AE147" s="24" t="s">
        <v>103</v>
      </c>
      <c r="AF147" s="24" t="s">
        <v>1320</v>
      </c>
      <c r="AG147" s="24" t="s">
        <v>1321</v>
      </c>
      <c r="AH147" s="24" t="s">
        <v>76</v>
      </c>
      <c r="AI147" s="24">
        <v>16</v>
      </c>
      <c r="AJ147" s="24">
        <v>0</v>
      </c>
      <c r="AK147" s="24">
        <v>16</v>
      </c>
      <c r="AL147" s="24" t="s">
        <v>1322</v>
      </c>
      <c r="AM147" s="24"/>
      <c r="AN147" s="23"/>
      <c r="AO147" s="24" t="s">
        <v>1323</v>
      </c>
      <c r="AP147" s="23" t="s">
        <v>92</v>
      </c>
      <c r="AQ147" s="27" t="str">
        <f>+Base_Accidentes[[#This Row],[Tipo de Accidente]]</f>
        <v>Acc. Incapacitante</v>
      </c>
      <c r="AR147" s="23" cm="1">
        <f t="array" aca="1" ref="AR147" ca="1">+Base_Accidentes[Población]</f>
        <v>0</v>
      </c>
      <c r="AS147" s="23" t="s">
        <v>128</v>
      </c>
      <c r="AT147" s="23" t="s">
        <v>128</v>
      </c>
    </row>
    <row r="148" spans="1:46" ht="48" x14ac:dyDescent="0.3">
      <c r="A148" s="45">
        <v>169</v>
      </c>
      <c r="B148" s="24" t="s">
        <v>129</v>
      </c>
      <c r="C148" s="24" t="s">
        <v>1</v>
      </c>
      <c r="D148" s="23" t="s">
        <v>56</v>
      </c>
      <c r="E148" s="51" t="s">
        <v>109</v>
      </c>
      <c r="F148" s="23" t="s">
        <v>323</v>
      </c>
      <c r="G148" s="24" t="s">
        <v>111</v>
      </c>
      <c r="H148" s="24" t="s">
        <v>337</v>
      </c>
      <c r="I148" s="24" t="s">
        <v>1324</v>
      </c>
      <c r="J148" s="24" t="s">
        <v>113</v>
      </c>
      <c r="K148" s="24" t="str">
        <f>IF(ISBLANK(Base_Accidentes[[#This Row],[Tipo de Accidente]])," ",Base_Accidentes[[#This Row],[Tipo de Accidente]])</f>
        <v>Acc. Incapacitante</v>
      </c>
      <c r="L148" s="49">
        <v>45506</v>
      </c>
      <c r="M148" s="47">
        <f>_xlfn.ISOWEEKNUM(Base_Accidentes[[#This Row],[Fecha
(XX/XX/2024)]])</f>
        <v>31</v>
      </c>
      <c r="N148" s="23">
        <f>DAY(Base_Accidentes[[#This Row],[Fecha
(XX/XX/2024)]])</f>
        <v>2</v>
      </c>
      <c r="O148" s="23">
        <f>MONTH(Base_Accidentes[[#This Row],[Fecha
(XX/XX/2024)]])</f>
        <v>8</v>
      </c>
      <c r="P148" s="23">
        <f>YEAR(Base_Accidentes[[#This Row],[Fecha
(XX/XX/2024)]])</f>
        <v>2024</v>
      </c>
      <c r="Q148" s="48">
        <v>0.58333333333333337</v>
      </c>
      <c r="R148" s="24" t="s">
        <v>587</v>
      </c>
      <c r="S148" s="24" t="s">
        <v>9</v>
      </c>
      <c r="T148" s="24" t="s">
        <v>1325</v>
      </c>
      <c r="U148" s="24" t="s">
        <v>896</v>
      </c>
      <c r="V148" s="24" t="s">
        <v>1003</v>
      </c>
      <c r="W148" s="24" t="s">
        <v>878</v>
      </c>
      <c r="X148" s="24" t="s">
        <v>98</v>
      </c>
      <c r="Y148" s="24">
        <v>45</v>
      </c>
      <c r="Z148" s="24" t="s">
        <v>1326</v>
      </c>
      <c r="AA148" s="49">
        <v>43314</v>
      </c>
      <c r="AB148" s="53" t="s">
        <v>1327</v>
      </c>
      <c r="AC148" s="24" t="s">
        <v>267</v>
      </c>
      <c r="AD148" s="24" t="s">
        <v>1328</v>
      </c>
      <c r="AE148" s="24" t="s">
        <v>333</v>
      </c>
      <c r="AF148" s="24" t="s">
        <v>1329</v>
      </c>
      <c r="AG148" s="24" t="s">
        <v>1330</v>
      </c>
      <c r="AH148" s="24" t="s">
        <v>145</v>
      </c>
      <c r="AI148" s="24">
        <v>10</v>
      </c>
      <c r="AJ148" s="24">
        <v>0</v>
      </c>
      <c r="AK148" s="24">
        <v>10</v>
      </c>
      <c r="AL148" s="24" t="s">
        <v>78</v>
      </c>
      <c r="AM148" s="24">
        <v>168</v>
      </c>
      <c r="AN148" s="23" t="s">
        <v>146</v>
      </c>
      <c r="AO148" s="24" t="s">
        <v>1331</v>
      </c>
      <c r="AP148" s="23" t="s">
        <v>81</v>
      </c>
      <c r="AQ148" s="27" t="str">
        <f>+Base_Accidentes[[#This Row],[Tipo de Accidente]]</f>
        <v>Acc. Incapacitante</v>
      </c>
      <c r="AR148" s="23" cm="1">
        <f t="array" aca="1" ref="AR148" ca="1">+Base_Accidentes[Población]</f>
        <v>0</v>
      </c>
      <c r="AS148" s="23" t="s">
        <v>128</v>
      </c>
      <c r="AT148" s="23"/>
    </row>
    <row r="149" spans="1:46" ht="48" hidden="1" x14ac:dyDescent="0.3">
      <c r="A149" s="45">
        <v>148</v>
      </c>
      <c r="B149" s="24" t="s">
        <v>129</v>
      </c>
      <c r="C149" s="24" t="s">
        <v>1</v>
      </c>
      <c r="D149" s="23" t="s">
        <v>162</v>
      </c>
      <c r="E149" s="51" t="s">
        <v>1156</v>
      </c>
      <c r="F149" s="23" t="s">
        <v>164</v>
      </c>
      <c r="G149" s="24" t="s">
        <v>1332</v>
      </c>
      <c r="H149" s="24" t="s">
        <v>60</v>
      </c>
      <c r="I149" s="24" t="s">
        <v>60</v>
      </c>
      <c r="J149" s="24" t="s">
        <v>62</v>
      </c>
      <c r="K149" s="24" t="str">
        <f>IF(ISBLANK(Base_Accidentes[[#This Row],[Tipo de Accidente]])," ",Base_Accidentes[[#This Row],[Tipo de Accidente]])</f>
        <v>Acc. No Incapacitante</v>
      </c>
      <c r="L149" s="49">
        <v>45497</v>
      </c>
      <c r="M149" s="47">
        <f>_xlfn.ISOWEEKNUM(Base_Accidentes[[#This Row],[Fecha
(XX/XX/2024)]])</f>
        <v>30</v>
      </c>
      <c r="N149" s="23">
        <f>DAY(Base_Accidentes[[#This Row],[Fecha
(XX/XX/2024)]])</f>
        <v>24</v>
      </c>
      <c r="O149" s="23">
        <f>MONTH(Base_Accidentes[[#This Row],[Fecha
(XX/XX/2024)]])</f>
        <v>7</v>
      </c>
      <c r="P149" s="23">
        <f>YEAR(Base_Accidentes[[#This Row],[Fecha
(XX/XX/2024)]])</f>
        <v>2024</v>
      </c>
      <c r="Q149" s="48">
        <v>0.52083333333333337</v>
      </c>
      <c r="R149" s="24" t="s">
        <v>587</v>
      </c>
      <c r="S149" s="24" t="s">
        <v>9</v>
      </c>
      <c r="T149" s="24" t="s">
        <v>1333</v>
      </c>
      <c r="U149" s="24" t="s">
        <v>1334</v>
      </c>
      <c r="V149" s="24" t="s">
        <v>1335</v>
      </c>
      <c r="W149" s="24" t="s">
        <v>1336</v>
      </c>
      <c r="X149" s="24" t="s">
        <v>68</v>
      </c>
      <c r="Y149" s="24" t="s">
        <v>129</v>
      </c>
      <c r="Z149" s="24" t="s">
        <v>1337</v>
      </c>
      <c r="AA149" s="49" t="s">
        <v>129</v>
      </c>
      <c r="AB149" s="24" t="s">
        <v>1338</v>
      </c>
      <c r="AC149" s="24" t="s">
        <v>234</v>
      </c>
      <c r="AD149" s="24" t="s">
        <v>1295</v>
      </c>
      <c r="AE149" s="24" t="s">
        <v>103</v>
      </c>
      <c r="AF149" s="24" t="s">
        <v>1339</v>
      </c>
      <c r="AG149" s="24" t="s">
        <v>1340</v>
      </c>
      <c r="AH149" s="24" t="s">
        <v>532</v>
      </c>
      <c r="AI149" s="24">
        <v>0</v>
      </c>
      <c r="AJ149" s="24"/>
      <c r="AK149" s="24"/>
      <c r="AL149" s="24"/>
      <c r="AM149" s="24"/>
      <c r="AN149" s="23" t="s">
        <v>240</v>
      </c>
      <c r="AO149" s="24"/>
      <c r="AP149" s="23"/>
      <c r="AQ149" s="66" t="str">
        <f>+Base_Accidentes[[#This Row],[Tipo de Accidente]]</f>
        <v>Acc. No Incapacitante</v>
      </c>
      <c r="AR149" s="23" cm="1">
        <f t="array" aca="1" ref="AR149" ca="1">+Base_Accidentes[Población]</f>
        <v>0</v>
      </c>
      <c r="AS149" s="23"/>
      <c r="AT149" s="23"/>
    </row>
    <row r="150" spans="1:46" ht="48" hidden="1" x14ac:dyDescent="0.3">
      <c r="A150" s="45">
        <v>149</v>
      </c>
      <c r="B150" s="24" t="s">
        <v>129</v>
      </c>
      <c r="C150" s="24" t="s">
        <v>1</v>
      </c>
      <c r="D150" s="23" t="s">
        <v>162</v>
      </c>
      <c r="E150" s="51" t="s">
        <v>1156</v>
      </c>
      <c r="F150" s="23" t="s">
        <v>164</v>
      </c>
      <c r="G150" s="24" t="s">
        <v>311</v>
      </c>
      <c r="H150" s="24" t="s">
        <v>312</v>
      </c>
      <c r="I150" s="24" t="s">
        <v>312</v>
      </c>
      <c r="J150" s="24" t="s">
        <v>62</v>
      </c>
      <c r="K150" s="24" t="str">
        <f>IF(ISBLANK(Base_Accidentes[[#This Row],[Tipo de Accidente]])," ",Base_Accidentes[[#This Row],[Tipo de Accidente]])</f>
        <v>Acc. No Incapacitante</v>
      </c>
      <c r="L150" s="49">
        <v>45461</v>
      </c>
      <c r="M150" s="47">
        <f>_xlfn.ISOWEEKNUM(Base_Accidentes[[#This Row],[Fecha
(XX/XX/2024)]])</f>
        <v>25</v>
      </c>
      <c r="N150" s="23">
        <f>DAY(Base_Accidentes[[#This Row],[Fecha
(XX/XX/2024)]])</f>
        <v>18</v>
      </c>
      <c r="O150" s="23">
        <f>MONTH(Base_Accidentes[[#This Row],[Fecha
(XX/XX/2024)]])</f>
        <v>6</v>
      </c>
      <c r="P150" s="23">
        <f>YEAR(Base_Accidentes[[#This Row],[Fecha
(XX/XX/2024)]])</f>
        <v>2024</v>
      </c>
      <c r="Q150" s="48">
        <v>0.90208333333333335</v>
      </c>
      <c r="R150" s="24" t="s">
        <v>135</v>
      </c>
      <c r="S150" s="24" t="s">
        <v>167</v>
      </c>
      <c r="T150" s="24" t="s">
        <v>313</v>
      </c>
      <c r="U150" s="24" t="s">
        <v>364</v>
      </c>
      <c r="V150" s="24" t="s">
        <v>1341</v>
      </c>
      <c r="W150" s="24" t="s">
        <v>1342</v>
      </c>
      <c r="X150" s="24" t="s">
        <v>98</v>
      </c>
      <c r="Y150" s="24" t="s">
        <v>129</v>
      </c>
      <c r="Z150" s="24" t="s">
        <v>1343</v>
      </c>
      <c r="AA150" s="49" t="s">
        <v>129</v>
      </c>
      <c r="AB150" s="24" t="s">
        <v>1344</v>
      </c>
      <c r="AC150" s="24" t="s">
        <v>419</v>
      </c>
      <c r="AD150" s="24" t="s">
        <v>1345</v>
      </c>
      <c r="AE150" s="24" t="s">
        <v>103</v>
      </c>
      <c r="AF150" s="24" t="s">
        <v>320</v>
      </c>
      <c r="AG150" s="24" t="s">
        <v>1346</v>
      </c>
      <c r="AH150" s="24" t="s">
        <v>654</v>
      </c>
      <c r="AI150" s="24">
        <v>0</v>
      </c>
      <c r="AJ150" s="24">
        <v>0</v>
      </c>
      <c r="AK150" s="24">
        <v>0</v>
      </c>
      <c r="AL150" s="24" t="s">
        <v>78</v>
      </c>
      <c r="AM150" s="24"/>
      <c r="AN150" s="23"/>
      <c r="AO150" s="24" t="s">
        <v>597</v>
      </c>
      <c r="AP150" s="23" t="s">
        <v>92</v>
      </c>
      <c r="AQ150" s="27" t="str">
        <f>+Base_Accidentes[[#This Row],[Tipo de Accidente]]</f>
        <v>Acc. No Incapacitante</v>
      </c>
      <c r="AR150" s="23" cm="1">
        <f t="array" aca="1" ref="AR150" ca="1">+Base_Accidentes[Población]</f>
        <v>0</v>
      </c>
      <c r="AS150" s="23"/>
      <c r="AT150" s="23"/>
    </row>
    <row r="151" spans="1:46" ht="60" x14ac:dyDescent="0.3">
      <c r="A151" s="45">
        <v>150</v>
      </c>
      <c r="B151" s="24" t="s">
        <v>129</v>
      </c>
      <c r="C151" s="24" t="s">
        <v>1</v>
      </c>
      <c r="D151" s="23" t="s">
        <v>56</v>
      </c>
      <c r="E151" s="51" t="s">
        <v>706</v>
      </c>
      <c r="F151" s="23" t="s">
        <v>707</v>
      </c>
      <c r="G151" s="24" t="s">
        <v>706</v>
      </c>
      <c r="H151" s="24" t="s">
        <v>60</v>
      </c>
      <c r="I151" s="24" t="s">
        <v>1347</v>
      </c>
      <c r="J151" s="24" t="s">
        <v>62</v>
      </c>
      <c r="K151" s="24" t="str">
        <f>IF(ISBLANK(Base_Accidentes[[#This Row],[Tipo de Accidente]])," ",Base_Accidentes[[#This Row],[Tipo de Accidente]])</f>
        <v>Acc. No Incapacitante</v>
      </c>
      <c r="L151" s="46">
        <v>45492</v>
      </c>
      <c r="M151" s="47">
        <f>_xlfn.ISOWEEKNUM(Base_Accidentes[[#This Row],[Fecha
(XX/XX/2024)]])</f>
        <v>29</v>
      </c>
      <c r="N151" s="23">
        <f>DAY(Base_Accidentes[[#This Row],[Fecha
(XX/XX/2024)]])</f>
        <v>19</v>
      </c>
      <c r="O151" s="23">
        <f>MONTH(Base_Accidentes[[#This Row],[Fecha
(XX/XX/2024)]])</f>
        <v>7</v>
      </c>
      <c r="P151" s="23">
        <f>YEAR(Base_Accidentes[[#This Row],[Fecha
(XX/XX/2024)]])</f>
        <v>2024</v>
      </c>
      <c r="Q151" s="48">
        <v>0.31944444444444442</v>
      </c>
      <c r="R151" s="24" t="s">
        <v>587</v>
      </c>
      <c r="S151" s="24" t="s">
        <v>11</v>
      </c>
      <c r="T151" s="24" t="s">
        <v>64</v>
      </c>
      <c r="U151" s="24" t="s">
        <v>1348</v>
      </c>
      <c r="V151" s="24" t="s">
        <v>1349</v>
      </c>
      <c r="W151" s="24" t="s">
        <v>1350</v>
      </c>
      <c r="X151" s="24" t="s">
        <v>98</v>
      </c>
      <c r="Y151" s="24">
        <v>26</v>
      </c>
      <c r="Z151" s="24" t="s">
        <v>99</v>
      </c>
      <c r="AA151" s="49" t="s">
        <v>129</v>
      </c>
      <c r="AB151" s="24" t="s">
        <v>1351</v>
      </c>
      <c r="AC151" s="24" t="s">
        <v>267</v>
      </c>
      <c r="AD151" s="24" t="s">
        <v>1352</v>
      </c>
      <c r="AE151" s="24" t="s">
        <v>103</v>
      </c>
      <c r="AF151" s="24" t="s">
        <v>1353</v>
      </c>
      <c r="AG151" s="24" t="s">
        <v>1354</v>
      </c>
      <c r="AH151" s="24" t="s">
        <v>145</v>
      </c>
      <c r="AI151" s="24">
        <v>0</v>
      </c>
      <c r="AJ151" s="24">
        <v>0</v>
      </c>
      <c r="AK151" s="24">
        <v>0</v>
      </c>
      <c r="AL151" s="24" t="s">
        <v>78</v>
      </c>
      <c r="AM151" s="24">
        <v>4</v>
      </c>
      <c r="AN151" s="23" t="s">
        <v>105</v>
      </c>
      <c r="AO151" s="24" t="s">
        <v>1355</v>
      </c>
      <c r="AP151" s="23"/>
      <c r="AQ151" s="27" t="str">
        <f>+Base_Accidentes[[#This Row],[Tipo de Accidente]]</f>
        <v>Acc. No Incapacitante</v>
      </c>
      <c r="AR151" s="23" cm="1">
        <f t="array" aca="1" ref="AR151" ca="1">+Base_Accidentes[Población]</f>
        <v>0</v>
      </c>
      <c r="AS151" s="23"/>
      <c r="AT151" s="23"/>
    </row>
    <row r="152" spans="1:46" ht="84" x14ac:dyDescent="0.3">
      <c r="A152" s="45">
        <v>151</v>
      </c>
      <c r="B152" s="24" t="s">
        <v>129</v>
      </c>
      <c r="C152" s="24" t="s">
        <v>1</v>
      </c>
      <c r="D152" s="23" t="s">
        <v>56</v>
      </c>
      <c r="E152" s="51" t="s">
        <v>706</v>
      </c>
      <c r="F152" s="23" t="s">
        <v>707</v>
      </c>
      <c r="G152" s="24" t="s">
        <v>706</v>
      </c>
      <c r="H152" s="24" t="s">
        <v>60</v>
      </c>
      <c r="I152" s="24" t="s">
        <v>1347</v>
      </c>
      <c r="J152" s="24" t="s">
        <v>62</v>
      </c>
      <c r="K152" s="24" t="str">
        <f>IF(ISBLANK(Base_Accidentes[[#This Row],[Tipo de Accidente]])," ",Base_Accidentes[[#This Row],[Tipo de Accidente]])</f>
        <v>Acc. No Incapacitante</v>
      </c>
      <c r="L152" s="49">
        <v>45493</v>
      </c>
      <c r="M152" s="47">
        <f>_xlfn.ISOWEEKNUM(Base_Accidentes[[#This Row],[Fecha
(XX/XX/2024)]])</f>
        <v>29</v>
      </c>
      <c r="N152" s="23">
        <f>DAY(Base_Accidentes[[#This Row],[Fecha
(XX/XX/2024)]])</f>
        <v>20</v>
      </c>
      <c r="O152" s="23">
        <f>MONTH(Base_Accidentes[[#This Row],[Fecha
(XX/XX/2024)]])</f>
        <v>7</v>
      </c>
      <c r="P152" s="23">
        <f>YEAR(Base_Accidentes[[#This Row],[Fecha
(XX/XX/2024)]])</f>
        <v>2024</v>
      </c>
      <c r="Q152" s="48">
        <v>0.61458333333333337</v>
      </c>
      <c r="R152" s="24" t="s">
        <v>84</v>
      </c>
      <c r="S152" s="24" t="s">
        <v>11</v>
      </c>
      <c r="T152" s="24" t="s">
        <v>64</v>
      </c>
      <c r="U152" s="24" t="s">
        <v>1356</v>
      </c>
      <c r="V152" s="24" t="s">
        <v>287</v>
      </c>
      <c r="W152" s="23" t="s">
        <v>1357</v>
      </c>
      <c r="X152" s="24" t="s">
        <v>68</v>
      </c>
      <c r="Y152" s="24">
        <v>21</v>
      </c>
      <c r="Z152" s="24" t="s">
        <v>99</v>
      </c>
      <c r="AA152" s="49" t="s">
        <v>129</v>
      </c>
      <c r="AB152" s="24" t="s">
        <v>1358</v>
      </c>
      <c r="AC152" s="24" t="s">
        <v>201</v>
      </c>
      <c r="AD152" s="24" t="s">
        <v>1359</v>
      </c>
      <c r="AE152" s="24" t="s">
        <v>103</v>
      </c>
      <c r="AF152" s="24" t="s">
        <v>1360</v>
      </c>
      <c r="AG152" s="24" t="s">
        <v>1361</v>
      </c>
      <c r="AH152" s="24" t="s">
        <v>76</v>
      </c>
      <c r="AI152" s="24">
        <v>0</v>
      </c>
      <c r="AJ152" s="24">
        <v>0</v>
      </c>
      <c r="AK152" s="24">
        <v>0</v>
      </c>
      <c r="AL152" s="24" t="s">
        <v>78</v>
      </c>
      <c r="AM152" s="24">
        <v>0</v>
      </c>
      <c r="AN152" s="23" t="s">
        <v>240</v>
      </c>
      <c r="AO152" s="24" t="s">
        <v>944</v>
      </c>
      <c r="AP152" s="23"/>
      <c r="AQ152" s="27" t="str">
        <f>+Base_Accidentes[[#This Row],[Tipo de Accidente]]</f>
        <v>Acc. No Incapacitante</v>
      </c>
      <c r="AR152" s="23" cm="1">
        <f t="array" aca="1" ref="AR152" ca="1">+Base_Accidentes[Población]</f>
        <v>0</v>
      </c>
      <c r="AS152" s="23"/>
      <c r="AT152" s="23"/>
    </row>
    <row r="153" spans="1:46" ht="48" hidden="1" x14ac:dyDescent="0.3">
      <c r="A153" s="45">
        <v>130</v>
      </c>
      <c r="B153" s="24" t="s">
        <v>129</v>
      </c>
      <c r="C153" s="23" t="s">
        <v>130</v>
      </c>
      <c r="D153" s="23" t="s">
        <v>131</v>
      </c>
      <c r="E153" s="51"/>
      <c r="F153" s="23" t="s">
        <v>132</v>
      </c>
      <c r="G153" s="24" t="s">
        <v>133</v>
      </c>
      <c r="H153" s="24" t="s">
        <v>312</v>
      </c>
      <c r="I153" s="24" t="s">
        <v>1362</v>
      </c>
      <c r="J153" s="24" t="s">
        <v>113</v>
      </c>
      <c r="K153" s="24" t="str">
        <f>IF(ISBLANK(Base_Accidentes[[#This Row],[Tipo de Accidente]])," ",Base_Accidentes[[#This Row],[Tipo de Accidente]])</f>
        <v>Acc. Incapacitante</v>
      </c>
      <c r="L153" s="49">
        <v>45502</v>
      </c>
      <c r="M153" s="47">
        <f>_xlfn.ISOWEEKNUM(Base_Accidentes[[#This Row],[Fecha
(XX/XX/2024)]])</f>
        <v>31</v>
      </c>
      <c r="N153" s="23">
        <f>DAY(Base_Accidentes[[#This Row],[Fecha
(XX/XX/2024)]])</f>
        <v>29</v>
      </c>
      <c r="O153" s="23">
        <f>MONTH(Base_Accidentes[[#This Row],[Fecha
(XX/XX/2024)]])</f>
        <v>7</v>
      </c>
      <c r="P153" s="23">
        <f>YEAR(Base_Accidentes[[#This Row],[Fecha
(XX/XX/2024)]])</f>
        <v>2024</v>
      </c>
      <c r="Q153" s="48">
        <v>0.32291666666666669</v>
      </c>
      <c r="R153" s="24" t="s">
        <v>63</v>
      </c>
      <c r="S153" s="24" t="s">
        <v>10</v>
      </c>
      <c r="T153" s="24" t="s">
        <v>114</v>
      </c>
      <c r="U153" s="24" t="s">
        <v>1363</v>
      </c>
      <c r="V153" s="24" t="s">
        <v>1364</v>
      </c>
      <c r="W153" s="24" t="s">
        <v>1365</v>
      </c>
      <c r="X153" s="24" t="s">
        <v>68</v>
      </c>
      <c r="Y153" s="24">
        <v>48</v>
      </c>
      <c r="Z153" s="24" t="s">
        <v>408</v>
      </c>
      <c r="AA153" s="49">
        <v>36192</v>
      </c>
      <c r="AB153" s="53" t="s">
        <v>1366</v>
      </c>
      <c r="AC153" s="24" t="s">
        <v>201</v>
      </c>
      <c r="AD153" s="24" t="s">
        <v>1367</v>
      </c>
      <c r="AE153" s="24" t="s">
        <v>103</v>
      </c>
      <c r="AF153" s="24" t="s">
        <v>1368</v>
      </c>
      <c r="AG153" s="24" t="s">
        <v>1369</v>
      </c>
      <c r="AH153" s="24" t="s">
        <v>76</v>
      </c>
      <c r="AI153" s="24">
        <v>30</v>
      </c>
      <c r="AJ153" s="24">
        <v>0</v>
      </c>
      <c r="AK153" s="24">
        <v>30</v>
      </c>
      <c r="AL153" s="24" t="s">
        <v>354</v>
      </c>
      <c r="AM153" s="24">
        <v>305</v>
      </c>
      <c r="AN153" s="23" t="s">
        <v>79</v>
      </c>
      <c r="AO153" s="24" t="s">
        <v>1370</v>
      </c>
      <c r="AP153" s="23" t="s">
        <v>81</v>
      </c>
      <c r="AQ153" s="27" t="str">
        <f>+Base_Accidentes[[#This Row],[Tipo de Accidente]]</f>
        <v>Acc. Incapacitante</v>
      </c>
      <c r="AR153" s="23" cm="1">
        <f t="array" aca="1" ref="AR153" ca="1">+Base_Accidentes[Población]</f>
        <v>0</v>
      </c>
      <c r="AS153" s="23" t="s">
        <v>128</v>
      </c>
      <c r="AT153" s="23"/>
    </row>
    <row r="154" spans="1:46" ht="60" hidden="1" x14ac:dyDescent="0.3">
      <c r="A154" s="45">
        <v>152</v>
      </c>
      <c r="B154" s="84" t="s">
        <v>129</v>
      </c>
      <c r="C154" s="84" t="s">
        <v>1</v>
      </c>
      <c r="D154" s="85" t="s">
        <v>162</v>
      </c>
      <c r="E154" s="86" t="s">
        <v>1156</v>
      </c>
      <c r="F154" s="85" t="s">
        <v>164</v>
      </c>
      <c r="G154" s="84" t="s">
        <v>428</v>
      </c>
      <c r="H154" s="84" t="s">
        <v>60</v>
      </c>
      <c r="I154" s="84" t="s">
        <v>60</v>
      </c>
      <c r="J154" s="84" t="s">
        <v>113</v>
      </c>
      <c r="K154" s="84" t="str">
        <f>IF(ISBLANK(Base_Accidentes[[#This Row],[Tipo de Accidente]])," ",Base_Accidentes[[#This Row],[Tipo de Accidente]])</f>
        <v>Acc. Incapacitante</v>
      </c>
      <c r="L154" s="87">
        <v>45504</v>
      </c>
      <c r="M154" s="47">
        <f>_xlfn.ISOWEEKNUM(Base_Accidentes[[#This Row],[Fecha
(XX/XX/2024)]])</f>
        <v>31</v>
      </c>
      <c r="N154" s="23">
        <f>DAY(Base_Accidentes[[#This Row],[Fecha
(XX/XX/2024)]])</f>
        <v>31</v>
      </c>
      <c r="O154" s="23">
        <f>MONTH(Base_Accidentes[[#This Row],[Fecha
(XX/XX/2024)]])</f>
        <v>7</v>
      </c>
      <c r="P154" s="23">
        <f>YEAR(Base_Accidentes[[#This Row],[Fecha
(XX/XX/2024)]])</f>
        <v>2024</v>
      </c>
      <c r="Q154" s="48">
        <v>0.3125</v>
      </c>
      <c r="R154" s="24" t="s">
        <v>587</v>
      </c>
      <c r="S154" s="24" t="s">
        <v>10</v>
      </c>
      <c r="T154" s="24" t="s">
        <v>164</v>
      </c>
      <c r="U154" s="24" t="s">
        <v>1216</v>
      </c>
      <c r="V154" s="24" t="s">
        <v>1371</v>
      </c>
      <c r="W154" s="24" t="s">
        <v>1372</v>
      </c>
      <c r="X154" s="24" t="s">
        <v>98</v>
      </c>
      <c r="Y154" s="24">
        <v>47</v>
      </c>
      <c r="Z154" s="24" t="s">
        <v>1373</v>
      </c>
      <c r="AA154" s="87">
        <v>42471</v>
      </c>
      <c r="AB154" s="84" t="s">
        <v>1374</v>
      </c>
      <c r="AC154" s="84" t="s">
        <v>71</v>
      </c>
      <c r="AD154" s="84" t="s">
        <v>122</v>
      </c>
      <c r="AE154" s="84" t="s">
        <v>103</v>
      </c>
      <c r="AF154" s="84" t="s">
        <v>1375</v>
      </c>
      <c r="AG154" s="84" t="s">
        <v>1376</v>
      </c>
      <c r="AH154" s="84" t="s">
        <v>145</v>
      </c>
      <c r="AI154" s="84">
        <v>9</v>
      </c>
      <c r="AJ154" s="84">
        <v>0</v>
      </c>
      <c r="AK154" s="84">
        <v>9</v>
      </c>
      <c r="AL154" s="84" t="s">
        <v>1322</v>
      </c>
      <c r="AM154" s="84"/>
      <c r="AN154" s="85" t="s">
        <v>146</v>
      </c>
      <c r="AO154" s="84" t="s">
        <v>1377</v>
      </c>
      <c r="AP154" s="85" t="s">
        <v>81</v>
      </c>
      <c r="AQ154" s="88" t="str">
        <f>+Base_Accidentes[[#This Row],[Tipo de Accidente]]</f>
        <v>Acc. Incapacitante</v>
      </c>
      <c r="AR154" s="85" cm="1">
        <f t="array" aca="1" ref="AR154" ca="1">+Base_Accidentes[Población]</f>
        <v>0</v>
      </c>
      <c r="AS154" s="85" t="s">
        <v>780</v>
      </c>
      <c r="AT154" s="23"/>
    </row>
    <row r="155" spans="1:46" ht="72.75" hidden="1" customHeight="1" x14ac:dyDescent="0.3">
      <c r="A155" s="45">
        <v>153</v>
      </c>
      <c r="B155" s="84" t="s">
        <v>129</v>
      </c>
      <c r="C155" s="84" t="s">
        <v>1</v>
      </c>
      <c r="D155" s="85" t="s">
        <v>162</v>
      </c>
      <c r="E155" s="86" t="s">
        <v>1156</v>
      </c>
      <c r="F155" s="85" t="s">
        <v>164</v>
      </c>
      <c r="G155" s="84" t="s">
        <v>428</v>
      </c>
      <c r="H155" s="84" t="s">
        <v>60</v>
      </c>
      <c r="I155" s="84" t="s">
        <v>60</v>
      </c>
      <c r="J155" s="84" t="s">
        <v>113</v>
      </c>
      <c r="K155" s="84" t="str">
        <f>IF(ISBLANK(Base_Accidentes[[#This Row],[Tipo de Accidente]])," ",Base_Accidentes[[#This Row],[Tipo de Accidente]])</f>
        <v>Acc. Incapacitante</v>
      </c>
      <c r="L155" s="87">
        <v>45504</v>
      </c>
      <c r="M155" s="47">
        <f>_xlfn.ISOWEEKNUM(Base_Accidentes[[#This Row],[Fecha
(XX/XX/2024)]])</f>
        <v>31</v>
      </c>
      <c r="N155" s="23">
        <f>DAY(Base_Accidentes[[#This Row],[Fecha
(XX/XX/2024)]])</f>
        <v>31</v>
      </c>
      <c r="O155" s="23">
        <f>MONTH(Base_Accidentes[[#This Row],[Fecha
(XX/XX/2024)]])</f>
        <v>7</v>
      </c>
      <c r="P155" s="23">
        <f>YEAR(Base_Accidentes[[#This Row],[Fecha
(XX/XX/2024)]])</f>
        <v>2024</v>
      </c>
      <c r="Q155" s="48">
        <v>0.3125</v>
      </c>
      <c r="R155" s="24" t="s">
        <v>587</v>
      </c>
      <c r="S155" s="24" t="s">
        <v>167</v>
      </c>
      <c r="T155" s="24" t="s">
        <v>168</v>
      </c>
      <c r="U155" s="31" t="s">
        <v>565</v>
      </c>
      <c r="V155" s="31" t="s">
        <v>1378</v>
      </c>
      <c r="W155" s="24" t="s">
        <v>1379</v>
      </c>
      <c r="X155" s="24" t="s">
        <v>98</v>
      </c>
      <c r="Y155" s="24">
        <v>29</v>
      </c>
      <c r="Z155" s="24" t="s">
        <v>1380</v>
      </c>
      <c r="AA155" s="87" t="s">
        <v>129</v>
      </c>
      <c r="AB155" s="84" t="s">
        <v>1374</v>
      </c>
      <c r="AC155" s="84" t="s">
        <v>71</v>
      </c>
      <c r="AD155" s="84" t="s">
        <v>1381</v>
      </c>
      <c r="AE155" s="84" t="s">
        <v>103</v>
      </c>
      <c r="AF155" s="84" t="s">
        <v>1375</v>
      </c>
      <c r="AG155" s="84" t="s">
        <v>1382</v>
      </c>
      <c r="AH155" s="84" t="s">
        <v>145</v>
      </c>
      <c r="AI155" s="84">
        <v>9</v>
      </c>
      <c r="AJ155" s="84">
        <v>0</v>
      </c>
      <c r="AK155" s="84">
        <v>9</v>
      </c>
      <c r="AL155" s="84" t="s">
        <v>1322</v>
      </c>
      <c r="AM155" s="84"/>
      <c r="AN155" s="85"/>
      <c r="AO155" s="84" t="s">
        <v>1377</v>
      </c>
      <c r="AP155" s="85" t="s">
        <v>92</v>
      </c>
      <c r="AQ155" s="88" t="str">
        <f>+Base_Accidentes[[#This Row],[Tipo de Accidente]]</f>
        <v>Acc. Incapacitante</v>
      </c>
      <c r="AR155" s="85" cm="1">
        <f t="array" aca="1" ref="AR155" ca="1">+Base_Accidentes[Población]</f>
        <v>0</v>
      </c>
      <c r="AS155" s="85" t="s">
        <v>780</v>
      </c>
      <c r="AT155" s="23"/>
    </row>
    <row r="156" spans="1:46" ht="48" x14ac:dyDescent="0.3">
      <c r="A156" s="45">
        <v>155</v>
      </c>
      <c r="B156" s="24" t="s">
        <v>129</v>
      </c>
      <c r="C156" s="24" t="s">
        <v>1</v>
      </c>
      <c r="D156" s="23" t="s">
        <v>56</v>
      </c>
      <c r="E156" s="51" t="s">
        <v>706</v>
      </c>
      <c r="F156" s="23" t="s">
        <v>707</v>
      </c>
      <c r="G156" s="24" t="s">
        <v>706</v>
      </c>
      <c r="H156" s="24" t="s">
        <v>60</v>
      </c>
      <c r="I156" s="24" t="s">
        <v>642</v>
      </c>
      <c r="J156" s="24" t="s">
        <v>62</v>
      </c>
      <c r="K156" s="24" t="str">
        <f>IF(ISBLANK(Base_Accidentes[[#This Row],[Tipo de Accidente]])," ",Base_Accidentes[[#This Row],[Tipo de Accidente]])</f>
        <v>Acc. No Incapacitante</v>
      </c>
      <c r="L156" s="49">
        <v>45503</v>
      </c>
      <c r="M156" s="47">
        <f>_xlfn.ISOWEEKNUM(Base_Accidentes[[#This Row],[Fecha
(XX/XX/2024)]])</f>
        <v>31</v>
      </c>
      <c r="N156" s="23">
        <f>DAY(Base_Accidentes[[#This Row],[Fecha
(XX/XX/2024)]])</f>
        <v>30</v>
      </c>
      <c r="O156" s="23">
        <f>MONTH(Base_Accidentes[[#This Row],[Fecha
(XX/XX/2024)]])</f>
        <v>7</v>
      </c>
      <c r="P156" s="23">
        <f>YEAR(Base_Accidentes[[#This Row],[Fecha
(XX/XX/2024)]])</f>
        <v>2024</v>
      </c>
      <c r="Q156" s="48">
        <v>0.30208333333333331</v>
      </c>
      <c r="R156" s="24" t="s">
        <v>587</v>
      </c>
      <c r="S156" s="24" t="s">
        <v>274</v>
      </c>
      <c r="T156" s="61" t="s">
        <v>275</v>
      </c>
      <c r="U156" s="123" t="s">
        <v>1383</v>
      </c>
      <c r="V156" s="123" t="s">
        <v>1383</v>
      </c>
      <c r="W156" s="124" t="s">
        <v>1384</v>
      </c>
      <c r="X156" s="24" t="s">
        <v>98</v>
      </c>
      <c r="Y156" s="24">
        <v>42</v>
      </c>
      <c r="Z156" s="24" t="s">
        <v>742</v>
      </c>
      <c r="AA156" s="49" t="s">
        <v>129</v>
      </c>
      <c r="AB156" s="24" t="s">
        <v>1385</v>
      </c>
      <c r="AC156" s="24" t="s">
        <v>201</v>
      </c>
      <c r="AD156" s="24" t="s">
        <v>1345</v>
      </c>
      <c r="AE156" s="24" t="s">
        <v>103</v>
      </c>
      <c r="AF156" s="24" t="s">
        <v>1386</v>
      </c>
      <c r="AG156" s="24" t="s">
        <v>1361</v>
      </c>
      <c r="AH156" s="24" t="s">
        <v>76</v>
      </c>
      <c r="AI156" s="24">
        <v>0</v>
      </c>
      <c r="AJ156" s="24">
        <v>0</v>
      </c>
      <c r="AK156" s="24">
        <v>0</v>
      </c>
      <c r="AL156" s="24" t="s">
        <v>78</v>
      </c>
      <c r="AM156" s="24">
        <v>9</v>
      </c>
      <c r="AN156" s="23" t="s">
        <v>177</v>
      </c>
      <c r="AO156" s="24" t="s">
        <v>1387</v>
      </c>
      <c r="AP156" s="23"/>
      <c r="AQ156" s="27" t="str">
        <f>+Base_Accidentes[[#This Row],[Tipo de Accidente]]</f>
        <v>Acc. No Incapacitante</v>
      </c>
      <c r="AR156" s="23" cm="1">
        <f t="array" aca="1" ref="AR156" ca="1">+Base_Accidentes[Población]</f>
        <v>0</v>
      </c>
      <c r="AS156" s="23"/>
      <c r="AT156" s="23"/>
    </row>
    <row r="157" spans="1:46" ht="48" hidden="1" x14ac:dyDescent="0.3">
      <c r="A157" s="45">
        <v>156</v>
      </c>
      <c r="B157" s="24" t="s">
        <v>129</v>
      </c>
      <c r="C157" s="24" t="s">
        <v>1</v>
      </c>
      <c r="D157" s="23" t="s">
        <v>356</v>
      </c>
      <c r="E157" s="51" t="s">
        <v>735</v>
      </c>
      <c r="F157" s="23" t="s">
        <v>736</v>
      </c>
      <c r="G157" s="24" t="s">
        <v>737</v>
      </c>
      <c r="H157" s="24" t="s">
        <v>60</v>
      </c>
      <c r="I157" s="24" t="s">
        <v>1388</v>
      </c>
      <c r="J157" s="24" t="s">
        <v>62</v>
      </c>
      <c r="K157" s="24" t="str">
        <f>IF(ISBLANK(Base_Accidentes[[#This Row],[Tipo de Accidente]])," ",Base_Accidentes[[#This Row],[Tipo de Accidente]])</f>
        <v>Acc. No Incapacitante</v>
      </c>
      <c r="L157" s="49">
        <v>45506</v>
      </c>
      <c r="M157" s="47">
        <f>_xlfn.ISOWEEKNUM(Base_Accidentes[[#This Row],[Fecha
(XX/XX/2024)]])</f>
        <v>31</v>
      </c>
      <c r="N157" s="23">
        <f>DAY(Base_Accidentes[[#This Row],[Fecha
(XX/XX/2024)]])</f>
        <v>2</v>
      </c>
      <c r="O157" s="23">
        <f>MONTH(Base_Accidentes[[#This Row],[Fecha
(XX/XX/2024)]])</f>
        <v>8</v>
      </c>
      <c r="P157" s="23">
        <f>YEAR(Base_Accidentes[[#This Row],[Fecha
(XX/XX/2024)]])</f>
        <v>2024</v>
      </c>
      <c r="Q157" s="48">
        <v>0.60069444444444442</v>
      </c>
      <c r="R157" s="24" t="s">
        <v>587</v>
      </c>
      <c r="S157" s="24" t="s">
        <v>10</v>
      </c>
      <c r="T157" s="24" t="s">
        <v>717</v>
      </c>
      <c r="U157" s="58" t="s">
        <v>814</v>
      </c>
      <c r="V157" s="58" t="s">
        <v>1389</v>
      </c>
      <c r="W157" s="24" t="s">
        <v>1390</v>
      </c>
      <c r="X157" s="24" t="s">
        <v>68</v>
      </c>
      <c r="Y157" s="24">
        <v>19</v>
      </c>
      <c r="Z157" s="24" t="s">
        <v>1380</v>
      </c>
      <c r="AA157" s="49">
        <v>45475</v>
      </c>
      <c r="AB157" s="53" t="s">
        <v>1391</v>
      </c>
      <c r="AC157" s="24" t="s">
        <v>201</v>
      </c>
      <c r="AD157" s="24" t="s">
        <v>1392</v>
      </c>
      <c r="AE157" s="24" t="s">
        <v>103</v>
      </c>
      <c r="AF157" s="24" t="s">
        <v>1393</v>
      </c>
      <c r="AG157" s="24" t="s">
        <v>1394</v>
      </c>
      <c r="AH157" s="24" t="s">
        <v>76</v>
      </c>
      <c r="AI157" s="24">
        <v>0</v>
      </c>
      <c r="AJ157" s="24">
        <v>0</v>
      </c>
      <c r="AK157" s="24">
        <v>0</v>
      </c>
      <c r="AL157" s="24" t="s">
        <v>78</v>
      </c>
      <c r="AM157" s="24">
        <v>1</v>
      </c>
      <c r="AN157" s="23" t="s">
        <v>401</v>
      </c>
      <c r="AO157" s="24" t="s">
        <v>1395</v>
      </c>
      <c r="AP157" s="23" t="s">
        <v>92</v>
      </c>
      <c r="AQ157" s="27" t="str">
        <f>+Base_Accidentes[[#This Row],[Tipo de Accidente]]</f>
        <v>Acc. No Incapacitante</v>
      </c>
      <c r="AR157" s="23" cm="1">
        <f t="array" aca="1" ref="AR157" ca="1">+Base_Accidentes[Población]</f>
        <v>0</v>
      </c>
      <c r="AS157" s="23"/>
      <c r="AT157" s="23"/>
    </row>
    <row r="158" spans="1:46" ht="60" hidden="1" x14ac:dyDescent="0.3">
      <c r="A158" s="45">
        <v>157</v>
      </c>
      <c r="B158" s="24" t="s">
        <v>129</v>
      </c>
      <c r="C158" s="24" t="s">
        <v>1</v>
      </c>
      <c r="D158" s="23" t="s">
        <v>356</v>
      </c>
      <c r="E158" s="51" t="s">
        <v>735</v>
      </c>
      <c r="F158" s="23" t="s">
        <v>736</v>
      </c>
      <c r="G158" s="24" t="s">
        <v>737</v>
      </c>
      <c r="H158" s="24" t="s">
        <v>60</v>
      </c>
      <c r="I158" s="24" t="s">
        <v>1388</v>
      </c>
      <c r="J158" s="24" t="s">
        <v>62</v>
      </c>
      <c r="K158" s="24" t="str">
        <f>IF(ISBLANK(Base_Accidentes[[#This Row],[Tipo de Accidente]])," ",Base_Accidentes[[#This Row],[Tipo de Accidente]])</f>
        <v>Acc. No Incapacitante</v>
      </c>
      <c r="L158" s="49">
        <v>45511</v>
      </c>
      <c r="M158" s="47">
        <f>_xlfn.ISOWEEKNUM(Base_Accidentes[[#This Row],[Fecha
(XX/XX/2024)]])</f>
        <v>32</v>
      </c>
      <c r="N158" s="23">
        <f>DAY(Base_Accidentes[[#This Row],[Fecha
(XX/XX/2024)]])</f>
        <v>7</v>
      </c>
      <c r="O158" s="23">
        <f>MONTH(Base_Accidentes[[#This Row],[Fecha
(XX/XX/2024)]])</f>
        <v>8</v>
      </c>
      <c r="P158" s="23">
        <f>YEAR(Base_Accidentes[[#This Row],[Fecha
(XX/XX/2024)]])</f>
        <v>2024</v>
      </c>
      <c r="Q158" s="48">
        <v>0.15972222222222221</v>
      </c>
      <c r="R158" s="24" t="s">
        <v>135</v>
      </c>
      <c r="S158" s="24" t="s">
        <v>10</v>
      </c>
      <c r="T158" s="24" t="s">
        <v>717</v>
      </c>
      <c r="U158" s="24" t="s">
        <v>1396</v>
      </c>
      <c r="V158" s="24" t="s">
        <v>1397</v>
      </c>
      <c r="W158" s="24" t="s">
        <v>1398</v>
      </c>
      <c r="X158" s="24" t="s">
        <v>68</v>
      </c>
      <c r="Y158" s="24">
        <v>26</v>
      </c>
      <c r="Z158" s="24" t="s">
        <v>1380</v>
      </c>
      <c r="AA158" s="49">
        <v>45475</v>
      </c>
      <c r="AB158" s="53" t="s">
        <v>1399</v>
      </c>
      <c r="AC158" s="24" t="s">
        <v>71</v>
      </c>
      <c r="AD158" s="24" t="s">
        <v>1400</v>
      </c>
      <c r="AE158" s="24" t="s">
        <v>235</v>
      </c>
      <c r="AF158" s="24" t="s">
        <v>1086</v>
      </c>
      <c r="AG158" s="24" t="s">
        <v>270</v>
      </c>
      <c r="AH158" s="24" t="s">
        <v>145</v>
      </c>
      <c r="AI158" s="24">
        <v>0</v>
      </c>
      <c r="AJ158" s="24">
        <v>0</v>
      </c>
      <c r="AK158" s="24">
        <v>0</v>
      </c>
      <c r="AL158" s="24" t="s">
        <v>78</v>
      </c>
      <c r="AM158" s="24">
        <v>12</v>
      </c>
      <c r="AN158" s="23" t="s">
        <v>177</v>
      </c>
      <c r="AO158" s="24" t="s">
        <v>1401</v>
      </c>
      <c r="AP158" s="23" t="s">
        <v>92</v>
      </c>
      <c r="AQ158" s="27" t="str">
        <f>+Base_Accidentes[[#This Row],[Tipo de Accidente]]</f>
        <v>Acc. No Incapacitante</v>
      </c>
      <c r="AR158" s="23" cm="1">
        <f t="array" aca="1" ref="AR158" ca="1">+Base_Accidentes[Población]</f>
        <v>0</v>
      </c>
      <c r="AS158" s="23"/>
      <c r="AT158" s="23"/>
    </row>
    <row r="159" spans="1:46" ht="84" hidden="1" x14ac:dyDescent="0.3">
      <c r="A159" s="45">
        <v>158</v>
      </c>
      <c r="B159" s="24" t="s">
        <v>129</v>
      </c>
      <c r="C159" s="24" t="s">
        <v>1</v>
      </c>
      <c r="D159" s="23" t="s">
        <v>56</v>
      </c>
      <c r="E159" s="24" t="s">
        <v>322</v>
      </c>
      <c r="F159" s="24" t="s">
        <v>759</v>
      </c>
      <c r="G159" s="117" t="s">
        <v>322</v>
      </c>
      <c r="H159" s="24" t="s">
        <v>60</v>
      </c>
      <c r="I159" s="24" t="s">
        <v>60</v>
      </c>
      <c r="J159" s="24" t="s">
        <v>62</v>
      </c>
      <c r="K159" s="24" t="str">
        <f>IF(ISBLANK(Base_Accidentes[[#This Row],[Tipo de Accidente]])," ",Base_Accidentes[[#This Row],[Tipo de Accidente]])</f>
        <v>Acc. No Incapacitante</v>
      </c>
      <c r="L159" s="49">
        <v>45517</v>
      </c>
      <c r="M159" s="47">
        <f>_xlfn.ISOWEEKNUM(Base_Accidentes[[#This Row],[Fecha
(XX/XX/2024)]])</f>
        <v>33</v>
      </c>
      <c r="N159" s="23">
        <f>DAY(Base_Accidentes[[#This Row],[Fecha
(XX/XX/2024)]])</f>
        <v>13</v>
      </c>
      <c r="O159" s="23">
        <f>MONTH(Base_Accidentes[[#This Row],[Fecha
(XX/XX/2024)]])</f>
        <v>8</v>
      </c>
      <c r="P159" s="23">
        <f>YEAR(Base_Accidentes[[#This Row],[Fecha
(XX/XX/2024)]])</f>
        <v>2024</v>
      </c>
      <c r="Q159" s="48">
        <v>3.4027777777777775E-2</v>
      </c>
      <c r="R159" s="24" t="s">
        <v>135</v>
      </c>
      <c r="S159" s="24" t="s">
        <v>10</v>
      </c>
      <c r="T159" s="24" t="s">
        <v>1402</v>
      </c>
      <c r="U159" s="24" t="s">
        <v>1403</v>
      </c>
      <c r="V159" s="24" t="s">
        <v>982</v>
      </c>
      <c r="W159" s="24" t="s">
        <v>1404</v>
      </c>
      <c r="X159" s="24" t="s">
        <v>68</v>
      </c>
      <c r="Y159" s="24" t="s">
        <v>129</v>
      </c>
      <c r="Z159" s="24" t="s">
        <v>1043</v>
      </c>
      <c r="AA159" s="49">
        <v>45518</v>
      </c>
      <c r="AB159" s="24" t="s">
        <v>1405</v>
      </c>
      <c r="AC159" s="24" t="s">
        <v>512</v>
      </c>
      <c r="AD159" s="24" t="s">
        <v>1345</v>
      </c>
      <c r="AE159" s="24" t="s">
        <v>103</v>
      </c>
      <c r="AF159" s="24" t="s">
        <v>1406</v>
      </c>
      <c r="AG159" s="24" t="s">
        <v>270</v>
      </c>
      <c r="AH159" s="24" t="s">
        <v>145</v>
      </c>
      <c r="AI159" s="24">
        <v>0</v>
      </c>
      <c r="AJ159" s="24">
        <v>0</v>
      </c>
      <c r="AK159" s="24">
        <v>0</v>
      </c>
      <c r="AL159" s="24" t="s">
        <v>78</v>
      </c>
      <c r="AM159" s="24">
        <v>3</v>
      </c>
      <c r="AN159" s="23" t="s">
        <v>190</v>
      </c>
      <c r="AO159" s="24" t="s">
        <v>1407</v>
      </c>
      <c r="AP159" s="23" t="s">
        <v>81</v>
      </c>
      <c r="AQ159" s="27" t="str">
        <f>+Base_Accidentes[[#This Row],[Tipo de Accidente]]</f>
        <v>Acc. No Incapacitante</v>
      </c>
      <c r="AR159" s="23" cm="1">
        <f t="array" aca="1" ref="AR159" ca="1">+Base_Accidentes[Población]</f>
        <v>0</v>
      </c>
      <c r="AS159" s="23"/>
      <c r="AT159" s="23"/>
    </row>
    <row r="160" spans="1:46" ht="36" hidden="1" x14ac:dyDescent="0.3">
      <c r="A160" s="45">
        <v>159</v>
      </c>
      <c r="B160" s="24" t="s">
        <v>129</v>
      </c>
      <c r="C160" s="24" t="s">
        <v>1</v>
      </c>
      <c r="D160" s="23" t="s">
        <v>56</v>
      </c>
      <c r="E160" s="51" t="s">
        <v>946</v>
      </c>
      <c r="F160" s="23" t="s">
        <v>58</v>
      </c>
      <c r="G160" s="117" t="s">
        <v>59</v>
      </c>
      <c r="H160" s="24" t="s">
        <v>60</v>
      </c>
      <c r="I160" s="24" t="s">
        <v>60</v>
      </c>
      <c r="J160" s="24" t="s">
        <v>62</v>
      </c>
      <c r="K160" s="24" t="str">
        <f>IF(ISBLANK(Base_Accidentes[[#This Row],[Tipo de Accidente]])," ",Base_Accidentes[[#This Row],[Tipo de Accidente]])</f>
        <v>Acc. No Incapacitante</v>
      </c>
      <c r="L160" s="49">
        <v>45520</v>
      </c>
      <c r="M160" s="47">
        <f>_xlfn.ISOWEEKNUM(Base_Accidentes[[#This Row],[Fecha
(XX/XX/2024)]])</f>
        <v>33</v>
      </c>
      <c r="N160" s="23">
        <f>DAY(Base_Accidentes[[#This Row],[Fecha
(XX/XX/2024)]])</f>
        <v>16</v>
      </c>
      <c r="O160" s="23">
        <f>MONTH(Base_Accidentes[[#This Row],[Fecha
(XX/XX/2024)]])</f>
        <v>8</v>
      </c>
      <c r="P160" s="23">
        <f>YEAR(Base_Accidentes[[#This Row],[Fecha
(XX/XX/2024)]])</f>
        <v>2024</v>
      </c>
      <c r="Q160" s="48">
        <v>0.90625</v>
      </c>
      <c r="R160" s="24" t="s">
        <v>587</v>
      </c>
      <c r="S160" s="24" t="s">
        <v>10</v>
      </c>
      <c r="T160" s="24" t="s">
        <v>1176</v>
      </c>
      <c r="U160" s="24" t="s">
        <v>136</v>
      </c>
      <c r="V160" s="24" t="s">
        <v>1408</v>
      </c>
      <c r="W160" s="24" t="s">
        <v>1409</v>
      </c>
      <c r="X160" s="24" t="s">
        <v>68</v>
      </c>
      <c r="Y160" s="24" t="s">
        <v>129</v>
      </c>
      <c r="Z160" s="24" t="s">
        <v>1410</v>
      </c>
      <c r="AA160" s="49" t="s">
        <v>129</v>
      </c>
      <c r="AB160" s="53" t="s">
        <v>1411</v>
      </c>
      <c r="AC160" s="24" t="s">
        <v>201</v>
      </c>
      <c r="AD160" s="24" t="s">
        <v>1345</v>
      </c>
      <c r="AE160" s="24" t="s">
        <v>103</v>
      </c>
      <c r="AF160" s="24" t="s">
        <v>1412</v>
      </c>
      <c r="AG160" s="24" t="s">
        <v>481</v>
      </c>
      <c r="AH160" s="24" t="s">
        <v>76</v>
      </c>
      <c r="AI160" s="24">
        <v>0</v>
      </c>
      <c r="AJ160" s="24">
        <v>0</v>
      </c>
      <c r="AK160" s="24">
        <v>0</v>
      </c>
      <c r="AL160" s="23" t="s">
        <v>1184</v>
      </c>
      <c r="AM160" s="24">
        <v>178</v>
      </c>
      <c r="AN160" s="23" t="s">
        <v>79</v>
      </c>
      <c r="AO160" s="24" t="s">
        <v>1413</v>
      </c>
      <c r="AP160" s="23" t="s">
        <v>81</v>
      </c>
      <c r="AQ160" s="27" t="str">
        <f>+Base_Accidentes[[#This Row],[Tipo de Accidente]]</f>
        <v>Acc. No Incapacitante</v>
      </c>
      <c r="AR160" s="23" cm="1">
        <f t="array" aca="1" ref="AR160" ca="1">+Base_Accidentes[Población]</f>
        <v>0</v>
      </c>
      <c r="AS160" s="23"/>
      <c r="AT160" s="23"/>
    </row>
    <row r="161" spans="1:46" ht="60" hidden="1" x14ac:dyDescent="0.3">
      <c r="A161" s="45">
        <v>154</v>
      </c>
      <c r="B161" s="130" t="s">
        <v>129</v>
      </c>
      <c r="C161" s="84" t="s">
        <v>1</v>
      </c>
      <c r="D161" s="85" t="s">
        <v>162</v>
      </c>
      <c r="E161" s="86" t="s">
        <v>1156</v>
      </c>
      <c r="F161" s="85" t="s">
        <v>164</v>
      </c>
      <c r="G161" s="84" t="s">
        <v>1414</v>
      </c>
      <c r="H161" s="84" t="s">
        <v>1415</v>
      </c>
      <c r="I161" s="84" t="s">
        <v>1416</v>
      </c>
      <c r="J161" s="84" t="s">
        <v>113</v>
      </c>
      <c r="K161" s="84" t="str">
        <f>IF(ISBLANK(Base_Accidentes[[#This Row],[Tipo de Accidente]])," ",Base_Accidentes[[#This Row],[Tipo de Accidente]])</f>
        <v>Acc. Incapacitante</v>
      </c>
      <c r="L161" s="87">
        <v>45504</v>
      </c>
      <c r="M161" s="47">
        <f>_xlfn.ISOWEEKNUM(Base_Accidentes[[#This Row],[Fecha
(XX/XX/2024)]])</f>
        <v>31</v>
      </c>
      <c r="N161" s="23">
        <f>DAY(Base_Accidentes[[#This Row],[Fecha
(XX/XX/2024)]])</f>
        <v>31</v>
      </c>
      <c r="O161" s="23">
        <f>MONTH(Base_Accidentes[[#This Row],[Fecha
(XX/XX/2024)]])</f>
        <v>7</v>
      </c>
      <c r="P161" s="23">
        <f>YEAR(Base_Accidentes[[#This Row],[Fecha
(XX/XX/2024)]])</f>
        <v>2024</v>
      </c>
      <c r="Q161" s="48">
        <v>0.3125</v>
      </c>
      <c r="R161" s="24" t="s">
        <v>587</v>
      </c>
      <c r="S161" s="24" t="s">
        <v>10</v>
      </c>
      <c r="T161" s="24" t="s">
        <v>164</v>
      </c>
      <c r="U161" s="24" t="s">
        <v>116</v>
      </c>
      <c r="V161" s="24" t="s">
        <v>1417</v>
      </c>
      <c r="W161" s="24" t="s">
        <v>1418</v>
      </c>
      <c r="X161" s="24" t="s">
        <v>68</v>
      </c>
      <c r="Y161" s="24">
        <v>33</v>
      </c>
      <c r="Z161" s="24" t="s">
        <v>1419</v>
      </c>
      <c r="AA161" s="87">
        <v>44607</v>
      </c>
      <c r="AB161" s="84" t="s">
        <v>1374</v>
      </c>
      <c r="AC161" s="84" t="s">
        <v>71</v>
      </c>
      <c r="AD161" s="84" t="s">
        <v>1420</v>
      </c>
      <c r="AE161" s="84" t="s">
        <v>103</v>
      </c>
      <c r="AF161" s="84" t="s">
        <v>1375</v>
      </c>
      <c r="AG161" s="84" t="s">
        <v>1421</v>
      </c>
      <c r="AH161" s="84" t="s">
        <v>145</v>
      </c>
      <c r="AI161" s="84">
        <v>5</v>
      </c>
      <c r="AJ161" s="84">
        <v>0</v>
      </c>
      <c r="AK161" s="84">
        <v>5</v>
      </c>
      <c r="AL161" s="84" t="s">
        <v>1322</v>
      </c>
      <c r="AM161" s="84"/>
      <c r="AN161" s="85" t="s">
        <v>190</v>
      </c>
      <c r="AO161" s="84" t="s">
        <v>1377</v>
      </c>
      <c r="AP161" s="85" t="s">
        <v>81</v>
      </c>
      <c r="AQ161" s="88" t="str">
        <f>+Base_Accidentes[[#This Row],[Tipo de Accidente]]</f>
        <v>Acc. Incapacitante</v>
      </c>
      <c r="AR161" s="85" cm="1">
        <f t="array" aca="1" ref="AR161" ca="1">+Base_Accidentes[Población]</f>
        <v>0</v>
      </c>
      <c r="AS161" s="85" t="s">
        <v>780</v>
      </c>
      <c r="AT161" s="23"/>
    </row>
    <row r="162" spans="1:46" ht="60" hidden="1" customHeight="1" x14ac:dyDescent="0.25">
      <c r="A162" s="45">
        <v>161</v>
      </c>
      <c r="B162" s="24" t="s">
        <v>129</v>
      </c>
      <c r="C162" s="24" t="s">
        <v>1</v>
      </c>
      <c r="D162" s="23" t="s">
        <v>56</v>
      </c>
      <c r="E162" s="23" t="s">
        <v>706</v>
      </c>
      <c r="F162" s="23" t="s">
        <v>707</v>
      </c>
      <c r="G162" s="117" t="s">
        <v>706</v>
      </c>
      <c r="H162" s="24" t="s">
        <v>60</v>
      </c>
      <c r="I162" s="24" t="s">
        <v>1422</v>
      </c>
      <c r="J162" s="24" t="s">
        <v>62</v>
      </c>
      <c r="K162" s="24" t="str">
        <f>IF(ISBLANK(Base_Accidentes[[#This Row],[Tipo de Accidente]])," ",Base_Accidentes[[#This Row],[Tipo de Accidente]])</f>
        <v>Acc. No Incapacitante</v>
      </c>
      <c r="L162" s="49">
        <v>45509</v>
      </c>
      <c r="M162" s="47">
        <f>_xlfn.ISOWEEKNUM(Base_Accidentes[[#This Row],[Fecha
(XX/XX/2024)]])</f>
        <v>32</v>
      </c>
      <c r="N162" s="23">
        <f>DAY(Base_Accidentes[[#This Row],[Fecha
(XX/XX/2024)]])</f>
        <v>5</v>
      </c>
      <c r="O162" s="23">
        <f>MONTH(Base_Accidentes[[#This Row],[Fecha
(XX/XX/2024)]])</f>
        <v>8</v>
      </c>
      <c r="P162" s="23">
        <f>YEAR(Base_Accidentes[[#This Row],[Fecha
(XX/XX/2024)]])</f>
        <v>2024</v>
      </c>
      <c r="Q162" s="48">
        <v>0.41666666666666669</v>
      </c>
      <c r="R162" s="24" t="s">
        <v>587</v>
      </c>
      <c r="S162" s="24" t="s">
        <v>10</v>
      </c>
      <c r="T162" s="24" t="s">
        <v>1402</v>
      </c>
      <c r="U162" s="24" t="s">
        <v>1423</v>
      </c>
      <c r="V162" s="24" t="s">
        <v>565</v>
      </c>
      <c r="W162" s="24" t="s">
        <v>1424</v>
      </c>
      <c r="X162" s="24" t="s">
        <v>68</v>
      </c>
      <c r="Y162" s="24" t="s">
        <v>129</v>
      </c>
      <c r="Z162" s="24" t="s">
        <v>1425</v>
      </c>
      <c r="AA162" s="68">
        <v>37403</v>
      </c>
      <c r="AB162" s="24" t="s">
        <v>1426</v>
      </c>
      <c r="AC162" s="24" t="s">
        <v>120</v>
      </c>
      <c r="AD162" s="24" t="s">
        <v>1427</v>
      </c>
      <c r="AE162" s="24" t="s">
        <v>103</v>
      </c>
      <c r="AF162" s="24" t="s">
        <v>1428</v>
      </c>
      <c r="AG162" s="24" t="s">
        <v>270</v>
      </c>
      <c r="AH162" s="24" t="s">
        <v>145</v>
      </c>
      <c r="AI162" s="24">
        <v>0</v>
      </c>
      <c r="AJ162" s="24">
        <v>0</v>
      </c>
      <c r="AK162" s="24"/>
      <c r="AL162" s="24" t="s">
        <v>78</v>
      </c>
      <c r="AM162" s="24"/>
      <c r="AN162" s="23"/>
      <c r="AO162" s="24"/>
      <c r="AP162" s="23"/>
      <c r="AQ162" s="27" t="str">
        <f>+Base_Accidentes[[#This Row],[Tipo de Accidente]]</f>
        <v>Acc. No Incapacitante</v>
      </c>
      <c r="AR162" s="23" cm="1">
        <f t="array" aca="1" ref="AR162" ca="1">+Base_Accidentes[Población]</f>
        <v>0</v>
      </c>
      <c r="AS162" s="23"/>
      <c r="AT162" s="23"/>
    </row>
    <row r="163" spans="1:46" ht="48" hidden="1" x14ac:dyDescent="0.3">
      <c r="A163" s="45">
        <v>88</v>
      </c>
      <c r="B163" s="24" t="s">
        <v>1429</v>
      </c>
      <c r="C163" s="23" t="s">
        <v>1</v>
      </c>
      <c r="D163" s="23" t="s">
        <v>56</v>
      </c>
      <c r="E163" s="51" t="s">
        <v>109</v>
      </c>
      <c r="F163" s="23" t="s">
        <v>110</v>
      </c>
      <c r="G163" s="24" t="s">
        <v>111</v>
      </c>
      <c r="H163" s="24" t="s">
        <v>184</v>
      </c>
      <c r="I163" s="24" t="s">
        <v>1430</v>
      </c>
      <c r="J163" s="24" t="s">
        <v>113</v>
      </c>
      <c r="K163" s="24" t="str">
        <f>IF(ISBLANK(Base_Accidentes[[#This Row],[Tipo de Accidente]])," ",Base_Accidentes[[#This Row],[Tipo de Accidente]])</f>
        <v>Acc. Incapacitante</v>
      </c>
      <c r="L163" s="49">
        <v>45520</v>
      </c>
      <c r="M163" s="47">
        <f>_xlfn.ISOWEEKNUM(Base_Accidentes[[#This Row],[Fecha
(XX/XX/2024)]])</f>
        <v>33</v>
      </c>
      <c r="N163" s="23">
        <f>DAY(Base_Accidentes[[#This Row],[Fecha
(XX/XX/2024)]])</f>
        <v>16</v>
      </c>
      <c r="O163" s="23">
        <f>MONTH(Base_Accidentes[[#This Row],[Fecha
(XX/XX/2024)]])</f>
        <v>8</v>
      </c>
      <c r="P163" s="23">
        <f>YEAR(Base_Accidentes[[#This Row],[Fecha
(XX/XX/2024)]])</f>
        <v>2024</v>
      </c>
      <c r="Q163" s="48">
        <v>0.72222222222222221</v>
      </c>
      <c r="R163" s="24" t="s">
        <v>84</v>
      </c>
      <c r="S163" s="24" t="s">
        <v>10</v>
      </c>
      <c r="T163" s="24" t="s">
        <v>114</v>
      </c>
      <c r="U163" s="24" t="s">
        <v>1431</v>
      </c>
      <c r="V163" s="24" t="s">
        <v>1432</v>
      </c>
      <c r="W163" s="24" t="s">
        <v>1433</v>
      </c>
      <c r="X163" s="24" t="s">
        <v>68</v>
      </c>
      <c r="Y163" s="24">
        <v>52</v>
      </c>
      <c r="Z163" s="24" t="s">
        <v>1434</v>
      </c>
      <c r="AA163" s="49">
        <v>39142</v>
      </c>
      <c r="AB163" s="53" t="s">
        <v>1435</v>
      </c>
      <c r="AC163" s="24" t="s">
        <v>419</v>
      </c>
      <c r="AD163" s="24" t="s">
        <v>1436</v>
      </c>
      <c r="AE163" s="24" t="s">
        <v>142</v>
      </c>
      <c r="AF163" s="24" t="s">
        <v>1437</v>
      </c>
      <c r="AG163" s="24" t="s">
        <v>1438</v>
      </c>
      <c r="AH163" s="24" t="s">
        <v>654</v>
      </c>
      <c r="AI163" s="24">
        <v>137</v>
      </c>
      <c r="AJ163" s="24">
        <v>0</v>
      </c>
      <c r="AK163" s="24">
        <v>137</v>
      </c>
      <c r="AL163" s="24" t="s">
        <v>1322</v>
      </c>
      <c r="AM163" s="24">
        <v>209</v>
      </c>
      <c r="AN163" s="23" t="s">
        <v>79</v>
      </c>
      <c r="AO163" s="24" t="s">
        <v>1439</v>
      </c>
      <c r="AP163" s="23" t="s">
        <v>81</v>
      </c>
      <c r="AQ163" s="27" t="str">
        <f>+Base_Accidentes[[#This Row],[Tipo de Accidente]]</f>
        <v>Acc. Incapacitante</v>
      </c>
      <c r="AR163" s="23" cm="1">
        <f t="array" aca="1" ref="AR163" ca="1">+Base_Accidentes[Población]</f>
        <v>0</v>
      </c>
      <c r="AS163" s="23" t="s">
        <v>128</v>
      </c>
      <c r="AT163" s="23"/>
    </row>
    <row r="164" spans="1:46" ht="48" x14ac:dyDescent="0.3">
      <c r="A164" s="45">
        <v>163</v>
      </c>
      <c r="B164" s="24" t="s">
        <v>1440</v>
      </c>
      <c r="C164" s="24" t="s">
        <v>1</v>
      </c>
      <c r="D164" s="23" t="s">
        <v>56</v>
      </c>
      <c r="E164" s="51" t="s">
        <v>109</v>
      </c>
      <c r="F164" s="23" t="s">
        <v>323</v>
      </c>
      <c r="G164" s="117" t="s">
        <v>312</v>
      </c>
      <c r="H164" s="24" t="s">
        <v>312</v>
      </c>
      <c r="I164" s="24" t="s">
        <v>1441</v>
      </c>
      <c r="J164" s="24" t="s">
        <v>62</v>
      </c>
      <c r="K164" s="24" t="str">
        <f>IF(ISBLANK(Base_Accidentes[[#This Row],[Tipo de Accidente]])," ",Base_Accidentes[[#This Row],[Tipo de Accidente]])</f>
        <v>Acc. No Incapacitante</v>
      </c>
      <c r="L164" s="49">
        <v>45520</v>
      </c>
      <c r="M164" s="47">
        <f>_xlfn.ISOWEEKNUM(Base_Accidentes[[#This Row],[Fecha
(XX/XX/2024)]])</f>
        <v>33</v>
      </c>
      <c r="N164" s="23">
        <f>DAY(Base_Accidentes[[#This Row],[Fecha
(XX/XX/2024)]])</f>
        <v>16</v>
      </c>
      <c r="O164" s="23">
        <f>MONTH(Base_Accidentes[[#This Row],[Fecha
(XX/XX/2024)]])</f>
        <v>8</v>
      </c>
      <c r="P164" s="23">
        <f>YEAR(Base_Accidentes[[#This Row],[Fecha
(XX/XX/2024)]])</f>
        <v>2024</v>
      </c>
      <c r="Q164" s="48">
        <v>0.4375</v>
      </c>
      <c r="R164" s="24" t="s">
        <v>587</v>
      </c>
      <c r="S164" s="24" t="s">
        <v>274</v>
      </c>
      <c r="T164" s="24" t="s">
        <v>1442</v>
      </c>
      <c r="U164" s="24" t="s">
        <v>1443</v>
      </c>
      <c r="V164" s="24" t="s">
        <v>1444</v>
      </c>
      <c r="W164" s="24" t="s">
        <v>1445</v>
      </c>
      <c r="X164" s="24" t="s">
        <v>98</v>
      </c>
      <c r="Y164" s="24">
        <v>41</v>
      </c>
      <c r="Z164" s="24" t="s">
        <v>1446</v>
      </c>
      <c r="AA164" s="49">
        <v>45323</v>
      </c>
      <c r="AB164" s="24" t="s">
        <v>1447</v>
      </c>
      <c r="AC164" s="24" t="s">
        <v>201</v>
      </c>
      <c r="AD164" s="24" t="s">
        <v>1448</v>
      </c>
      <c r="AE164" s="24" t="s">
        <v>103</v>
      </c>
      <c r="AF164" s="24" t="s">
        <v>1449</v>
      </c>
      <c r="AG164" s="24" t="s">
        <v>1450</v>
      </c>
      <c r="AH164" s="24" t="s">
        <v>76</v>
      </c>
      <c r="AI164" s="24">
        <v>0</v>
      </c>
      <c r="AJ164" s="24">
        <v>0</v>
      </c>
      <c r="AK164" s="24">
        <v>0</v>
      </c>
      <c r="AL164" s="24" t="s">
        <v>78</v>
      </c>
      <c r="AM164" s="24">
        <v>6</v>
      </c>
      <c r="AN164" s="23" t="s">
        <v>105</v>
      </c>
      <c r="AO164" s="24" t="s">
        <v>669</v>
      </c>
      <c r="AP164" s="23" t="s">
        <v>92</v>
      </c>
      <c r="AQ164" s="27" t="str">
        <f>+Base_Accidentes[[#This Row],[Tipo de Accidente]]</f>
        <v>Acc. No Incapacitante</v>
      </c>
      <c r="AR164" s="23" cm="1">
        <f t="array" aca="1" ref="AR164" ca="1">+Base_Accidentes[Población]</f>
        <v>0</v>
      </c>
      <c r="AS164" s="23" t="s">
        <v>1451</v>
      </c>
      <c r="AT164" s="23"/>
    </row>
    <row r="165" spans="1:46" ht="24" x14ac:dyDescent="0.3">
      <c r="A165" s="45">
        <v>164</v>
      </c>
      <c r="B165" s="24" t="s">
        <v>129</v>
      </c>
      <c r="C165" s="24" t="s">
        <v>1</v>
      </c>
      <c r="D165" s="23" t="s">
        <v>56</v>
      </c>
      <c r="E165" s="51" t="s">
        <v>1452</v>
      </c>
      <c r="F165" s="23" t="s">
        <v>323</v>
      </c>
      <c r="G165" s="24" t="s">
        <v>1452</v>
      </c>
      <c r="H165" s="24" t="s">
        <v>324</v>
      </c>
      <c r="I165" s="24" t="s">
        <v>1453</v>
      </c>
      <c r="J165" s="24" t="s">
        <v>62</v>
      </c>
      <c r="K165" s="24" t="str">
        <f>IF(ISBLANK(Base_Accidentes[[#This Row],[Tipo de Accidente]])," ",Base_Accidentes[[#This Row],[Tipo de Accidente]])</f>
        <v>Acc. No Incapacitante</v>
      </c>
      <c r="L165" s="49">
        <v>45524</v>
      </c>
      <c r="M165" s="47">
        <f>_xlfn.ISOWEEKNUM(Base_Accidentes[[#This Row],[Fecha
(XX/XX/2024)]])</f>
        <v>34</v>
      </c>
      <c r="N165" s="23">
        <f>DAY(Base_Accidentes[[#This Row],[Fecha
(XX/XX/2024)]])</f>
        <v>20</v>
      </c>
      <c r="O165" s="23">
        <f>MONTH(Base_Accidentes[[#This Row],[Fecha
(XX/XX/2024)]])</f>
        <v>8</v>
      </c>
      <c r="P165" s="23">
        <f>YEAR(Base_Accidentes[[#This Row],[Fecha
(XX/XX/2024)]])</f>
        <v>2024</v>
      </c>
      <c r="Q165" s="48">
        <v>0.59722222222222221</v>
      </c>
      <c r="R165" s="24" t="s">
        <v>84</v>
      </c>
      <c r="S165" s="24" t="s">
        <v>274</v>
      </c>
      <c r="T165" s="24" t="s">
        <v>1454</v>
      </c>
      <c r="U165" s="24" t="s">
        <v>1455</v>
      </c>
      <c r="V165" s="24" t="s">
        <v>1456</v>
      </c>
      <c r="W165" s="24" t="s">
        <v>1457</v>
      </c>
      <c r="X165" s="24" t="s">
        <v>1458</v>
      </c>
      <c r="Y165" s="24">
        <v>18</v>
      </c>
      <c r="Z165" s="24" t="s">
        <v>1459</v>
      </c>
      <c r="AA165" s="49">
        <v>45399</v>
      </c>
      <c r="AB165" s="24" t="s">
        <v>1460</v>
      </c>
      <c r="AC165" s="24" t="s">
        <v>201</v>
      </c>
      <c r="AD165" s="24" t="s">
        <v>1461</v>
      </c>
      <c r="AE165" s="24" t="s">
        <v>103</v>
      </c>
      <c r="AF165" s="24" t="s">
        <v>1462</v>
      </c>
      <c r="AG165" s="24" t="s">
        <v>1463</v>
      </c>
      <c r="AH165" s="24" t="s">
        <v>76</v>
      </c>
      <c r="AI165" s="24">
        <v>0</v>
      </c>
      <c r="AJ165" s="24">
        <v>0</v>
      </c>
      <c r="AK165" s="24">
        <v>0</v>
      </c>
      <c r="AL165" s="24" t="s">
        <v>78</v>
      </c>
      <c r="AM165" s="24">
        <v>4</v>
      </c>
      <c r="AN165" s="23" t="s">
        <v>105</v>
      </c>
      <c r="AO165" s="24" t="s">
        <v>1464</v>
      </c>
      <c r="AP165" s="23" t="s">
        <v>1465</v>
      </c>
      <c r="AQ165" s="27" t="str">
        <f>+Base_Accidentes[[#This Row],[Tipo de Accidente]]</f>
        <v>Acc. No Incapacitante</v>
      </c>
      <c r="AR165" s="23" cm="1">
        <f t="array" aca="1" ref="AR165" ca="1">+Base_Accidentes[Población]</f>
        <v>0</v>
      </c>
      <c r="AS165" s="23"/>
      <c r="AT165" s="23"/>
    </row>
    <row r="166" spans="1:46" ht="48" x14ac:dyDescent="0.3">
      <c r="A166" s="45">
        <v>162</v>
      </c>
      <c r="B166" s="24" t="s">
        <v>129</v>
      </c>
      <c r="C166" s="24" t="s">
        <v>1</v>
      </c>
      <c r="D166" s="23" t="s">
        <v>56</v>
      </c>
      <c r="E166" s="51" t="s">
        <v>109</v>
      </c>
      <c r="F166" s="23" t="s">
        <v>323</v>
      </c>
      <c r="G166" s="24" t="s">
        <v>1466</v>
      </c>
      <c r="H166" s="24" t="s">
        <v>360</v>
      </c>
      <c r="I166" s="24" t="s">
        <v>1467</v>
      </c>
      <c r="J166" s="24" t="s">
        <v>113</v>
      </c>
      <c r="K166" s="24" t="str">
        <f>IF(ISBLANK(Base_Accidentes[[#This Row],[Tipo de Accidente]])," ",Base_Accidentes[[#This Row],[Tipo de Accidente]])</f>
        <v>Acc. Incapacitante</v>
      </c>
      <c r="L166" s="49">
        <v>45518</v>
      </c>
      <c r="M166" s="47">
        <f>_xlfn.ISOWEEKNUM(Base_Accidentes[[#This Row],[Fecha
(XX/XX/2024)]])</f>
        <v>33</v>
      </c>
      <c r="N166" s="23">
        <f>DAY(Base_Accidentes[[#This Row],[Fecha
(XX/XX/2024)]])</f>
        <v>14</v>
      </c>
      <c r="O166" s="23">
        <f>MONTH(Base_Accidentes[[#This Row],[Fecha
(XX/XX/2024)]])</f>
        <v>8</v>
      </c>
      <c r="P166" s="23">
        <f>YEAR(Base_Accidentes[[#This Row],[Fecha
(XX/XX/2024)]])</f>
        <v>2024</v>
      </c>
      <c r="Q166" s="48">
        <v>0.60416666666666663</v>
      </c>
      <c r="R166" s="24" t="s">
        <v>84</v>
      </c>
      <c r="S166" s="24" t="s">
        <v>374</v>
      </c>
      <c r="T166" s="24" t="s">
        <v>1468</v>
      </c>
      <c r="U166" s="24" t="s">
        <v>1469</v>
      </c>
      <c r="V166" s="24" t="s">
        <v>1470</v>
      </c>
      <c r="W166" s="24" t="s">
        <v>1471</v>
      </c>
      <c r="X166" s="24" t="s">
        <v>1472</v>
      </c>
      <c r="Y166" s="24" t="s">
        <v>129</v>
      </c>
      <c r="Z166" s="24" t="s">
        <v>1473</v>
      </c>
      <c r="AA166" s="49">
        <v>45516</v>
      </c>
      <c r="AB166" s="24" t="s">
        <v>1474</v>
      </c>
      <c r="AC166" s="24" t="s">
        <v>201</v>
      </c>
      <c r="AD166" s="24" t="s">
        <v>1475</v>
      </c>
      <c r="AE166" s="24" t="s">
        <v>103</v>
      </c>
      <c r="AF166" s="24" t="s">
        <v>1476</v>
      </c>
      <c r="AG166" s="24" t="s">
        <v>1477</v>
      </c>
      <c r="AH166" s="24" t="s">
        <v>76</v>
      </c>
      <c r="AI166" s="24">
        <v>8</v>
      </c>
      <c r="AJ166" s="24">
        <v>0</v>
      </c>
      <c r="AK166" s="24">
        <v>8</v>
      </c>
      <c r="AL166" s="24" t="s">
        <v>1478</v>
      </c>
      <c r="AM166" s="24"/>
      <c r="AN166" s="23" t="s">
        <v>240</v>
      </c>
      <c r="AO166" s="24" t="s">
        <v>1479</v>
      </c>
      <c r="AP166" s="23" t="s">
        <v>1155</v>
      </c>
      <c r="AQ166" s="27" t="str">
        <f>+Base_Accidentes[[#This Row],[Tipo de Accidente]]</f>
        <v>Acc. Incapacitante</v>
      </c>
      <c r="AR166" s="23" cm="1">
        <f t="array" aca="1" ref="AR166" ca="1">+Base_Accidentes[Población]</f>
        <v>0</v>
      </c>
      <c r="AS166" s="23" t="s">
        <v>128</v>
      </c>
      <c r="AT166" s="23"/>
    </row>
    <row r="167" spans="1:46" ht="48" hidden="1" x14ac:dyDescent="0.3">
      <c r="A167" s="45">
        <v>166</v>
      </c>
      <c r="B167" s="24" t="s">
        <v>129</v>
      </c>
      <c r="C167" s="24" t="s">
        <v>1</v>
      </c>
      <c r="D167" s="23" t="s">
        <v>56</v>
      </c>
      <c r="E167" s="51" t="s">
        <v>1452</v>
      </c>
      <c r="F167" s="23" t="s">
        <v>323</v>
      </c>
      <c r="G167" s="24" t="s">
        <v>1452</v>
      </c>
      <c r="H167" s="24" t="s">
        <v>324</v>
      </c>
      <c r="I167" s="24" t="s">
        <v>1453</v>
      </c>
      <c r="J167" s="24" t="s">
        <v>62</v>
      </c>
      <c r="K167" s="24" t="str">
        <f>IF(ISBLANK(Base_Accidentes[[#This Row],[Tipo de Accidente]])," ",Base_Accidentes[[#This Row],[Tipo de Accidente]])</f>
        <v>Acc. No Incapacitante</v>
      </c>
      <c r="L167" s="49">
        <v>45525</v>
      </c>
      <c r="M167" s="47">
        <f>_xlfn.ISOWEEKNUM(Base_Accidentes[[#This Row],[Fecha
(XX/XX/2024)]])</f>
        <v>34</v>
      </c>
      <c r="N167" s="23">
        <f>DAY(Base_Accidentes[[#This Row],[Fecha
(XX/XX/2024)]])</f>
        <v>21</v>
      </c>
      <c r="O167" s="23">
        <f>MONTH(Base_Accidentes[[#This Row],[Fecha
(XX/XX/2024)]])</f>
        <v>8</v>
      </c>
      <c r="P167" s="23">
        <f>YEAR(Base_Accidentes[[#This Row],[Fecha
(XX/XX/2024)]])</f>
        <v>2024</v>
      </c>
      <c r="Q167" s="48">
        <v>0.43402777777777779</v>
      </c>
      <c r="R167" s="24" t="s">
        <v>587</v>
      </c>
      <c r="S167" s="24" t="s">
        <v>10</v>
      </c>
      <c r="T167" s="24" t="s">
        <v>64</v>
      </c>
      <c r="U167" s="24" t="s">
        <v>1480</v>
      </c>
      <c r="V167" s="24" t="s">
        <v>1481</v>
      </c>
      <c r="W167" s="24" t="s">
        <v>1482</v>
      </c>
      <c r="X167" s="24" t="s">
        <v>1483</v>
      </c>
      <c r="Y167" s="24">
        <v>34</v>
      </c>
      <c r="Z167" s="24" t="s">
        <v>1484</v>
      </c>
      <c r="AA167" s="49">
        <v>44242</v>
      </c>
      <c r="AB167" s="24" t="s">
        <v>1485</v>
      </c>
      <c r="AC167" s="24" t="s">
        <v>682</v>
      </c>
      <c r="AD167" s="24" t="s">
        <v>1486</v>
      </c>
      <c r="AE167" s="24" t="s">
        <v>103</v>
      </c>
      <c r="AF167" s="24" t="s">
        <v>1487</v>
      </c>
      <c r="AG167" s="24" t="s">
        <v>685</v>
      </c>
      <c r="AH167" s="24" t="s">
        <v>686</v>
      </c>
      <c r="AI167" s="24">
        <v>0</v>
      </c>
      <c r="AJ167" s="24"/>
      <c r="AK167" s="24">
        <v>0</v>
      </c>
      <c r="AL167" s="24" t="s">
        <v>78</v>
      </c>
      <c r="AM167" s="24">
        <v>36</v>
      </c>
      <c r="AN167" s="23" t="s">
        <v>190</v>
      </c>
      <c r="AO167" s="24" t="s">
        <v>1488</v>
      </c>
      <c r="AP167" s="23" t="s">
        <v>1155</v>
      </c>
      <c r="AQ167" s="27" t="str">
        <f>+Base_Accidentes[[#This Row],[Tipo de Accidente]]</f>
        <v>Acc. No Incapacitante</v>
      </c>
      <c r="AR167" s="23" cm="1">
        <f t="array" aca="1" ref="AR167" ca="1">+Base_Accidentes[Población]</f>
        <v>0</v>
      </c>
      <c r="AS167" s="23"/>
      <c r="AT167" s="23"/>
    </row>
    <row r="168" spans="1:46" ht="36" hidden="1" x14ac:dyDescent="0.3">
      <c r="A168" s="45">
        <v>167</v>
      </c>
      <c r="B168" s="24" t="s">
        <v>129</v>
      </c>
      <c r="C168" s="24" t="s">
        <v>1</v>
      </c>
      <c r="D168" s="23" t="s">
        <v>56</v>
      </c>
      <c r="E168" s="51" t="s">
        <v>946</v>
      </c>
      <c r="F168" s="23" t="s">
        <v>58</v>
      </c>
      <c r="G168" s="117" t="s">
        <v>59</v>
      </c>
      <c r="H168" s="24" t="s">
        <v>60</v>
      </c>
      <c r="I168" s="24" t="s">
        <v>1489</v>
      </c>
      <c r="J168" s="24" t="s">
        <v>62</v>
      </c>
      <c r="K168" s="24" t="str">
        <f>IF(ISBLANK(Base_Accidentes[[#This Row],[Tipo de Accidente]])," ",Base_Accidentes[[#This Row],[Tipo de Accidente]])</f>
        <v>Acc. No Incapacitante</v>
      </c>
      <c r="L168" s="49">
        <v>45528</v>
      </c>
      <c r="M168" s="47">
        <f>_xlfn.ISOWEEKNUM(Base_Accidentes[[#This Row],[Fecha
(XX/XX/2024)]])</f>
        <v>34</v>
      </c>
      <c r="N168" s="23">
        <f>DAY(Base_Accidentes[[#This Row],[Fecha
(XX/XX/2024)]])</f>
        <v>24</v>
      </c>
      <c r="O168" s="23">
        <f>MONTH(Base_Accidentes[[#This Row],[Fecha
(XX/XX/2024)]])</f>
        <v>8</v>
      </c>
      <c r="P168" s="23">
        <f>YEAR(Base_Accidentes[[#This Row],[Fecha
(XX/XX/2024)]])</f>
        <v>2024</v>
      </c>
      <c r="Q168" s="48">
        <v>0.36458333333333331</v>
      </c>
      <c r="R168" s="24" t="s">
        <v>587</v>
      </c>
      <c r="S168" s="24" t="s">
        <v>10</v>
      </c>
      <c r="T168" s="24" t="s">
        <v>1176</v>
      </c>
      <c r="U168" s="24" t="s">
        <v>1490</v>
      </c>
      <c r="V168" s="24" t="s">
        <v>1491</v>
      </c>
      <c r="W168" s="24" t="s">
        <v>1492</v>
      </c>
      <c r="X168" s="24" t="s">
        <v>68</v>
      </c>
      <c r="Y168" s="24" t="s">
        <v>129</v>
      </c>
      <c r="Z168" s="24" t="s">
        <v>1493</v>
      </c>
      <c r="AA168" s="49" t="s">
        <v>129</v>
      </c>
      <c r="AB168" s="24" t="s">
        <v>1494</v>
      </c>
      <c r="AC168" s="24" t="s">
        <v>281</v>
      </c>
      <c r="AD168" s="24" t="s">
        <v>1495</v>
      </c>
      <c r="AE168" s="24" t="s">
        <v>103</v>
      </c>
      <c r="AF168" s="24" t="s">
        <v>1496</v>
      </c>
      <c r="AG168" s="24" t="s">
        <v>270</v>
      </c>
      <c r="AH168" s="24" t="s">
        <v>145</v>
      </c>
      <c r="AI168" s="24">
        <v>0</v>
      </c>
      <c r="AJ168" s="24"/>
      <c r="AK168" s="24">
        <v>0</v>
      </c>
      <c r="AL168" s="23" t="s">
        <v>1184</v>
      </c>
      <c r="AM168" s="24">
        <v>168</v>
      </c>
      <c r="AN168" s="23" t="s">
        <v>79</v>
      </c>
      <c r="AO168" s="24" t="s">
        <v>1497</v>
      </c>
      <c r="AP168" s="23" t="s">
        <v>81</v>
      </c>
      <c r="AQ168" s="27" t="str">
        <f>+Base_Accidentes[[#This Row],[Tipo de Accidente]]</f>
        <v>Acc. No Incapacitante</v>
      </c>
      <c r="AR168" s="23" cm="1">
        <f t="array" aca="1" ref="AR168" ca="1">+Base_Accidentes[Población]</f>
        <v>0</v>
      </c>
      <c r="AS168" s="23"/>
      <c r="AT168" s="23"/>
    </row>
    <row r="169" spans="1:46" ht="72" hidden="1" x14ac:dyDescent="0.3">
      <c r="A169" s="45">
        <v>165</v>
      </c>
      <c r="B169" s="24" t="s">
        <v>129</v>
      </c>
      <c r="C169" s="24" t="s">
        <v>1</v>
      </c>
      <c r="D169" s="23" t="s">
        <v>56</v>
      </c>
      <c r="E169" s="51" t="s">
        <v>1452</v>
      </c>
      <c r="F169" s="23" t="s">
        <v>323</v>
      </c>
      <c r="G169" s="24" t="s">
        <v>1452</v>
      </c>
      <c r="H169" s="24" t="s">
        <v>324</v>
      </c>
      <c r="I169" s="24" t="s">
        <v>1453</v>
      </c>
      <c r="J169" s="24" t="s">
        <v>113</v>
      </c>
      <c r="K169" s="24" t="str">
        <f>IF(ISBLANK(Base_Accidentes[[#This Row],[Tipo de Accidente]])," ",Base_Accidentes[[#This Row],[Tipo de Accidente]])</f>
        <v>Acc. Incapacitante</v>
      </c>
      <c r="L169" s="49">
        <v>45525</v>
      </c>
      <c r="M169" s="47">
        <f>_xlfn.ISOWEEKNUM(Base_Accidentes[[#This Row],[Fecha
(XX/XX/2024)]])</f>
        <v>34</v>
      </c>
      <c r="N169" s="23">
        <f>DAY(Base_Accidentes[[#This Row],[Fecha
(XX/XX/2024)]])</f>
        <v>21</v>
      </c>
      <c r="O169" s="23">
        <f>MONTH(Base_Accidentes[[#This Row],[Fecha
(XX/XX/2024)]])</f>
        <v>8</v>
      </c>
      <c r="P169" s="23">
        <f>YEAR(Base_Accidentes[[#This Row],[Fecha
(XX/XX/2024)]])</f>
        <v>2024</v>
      </c>
      <c r="Q169" s="48">
        <v>0.51388888888888884</v>
      </c>
      <c r="R169" s="24" t="s">
        <v>587</v>
      </c>
      <c r="S169" s="24" t="s">
        <v>10</v>
      </c>
      <c r="T169" s="24" t="s">
        <v>114</v>
      </c>
      <c r="U169" s="24" t="s">
        <v>1498</v>
      </c>
      <c r="V169" s="24" t="s">
        <v>1499</v>
      </c>
      <c r="W169" s="24" t="s">
        <v>1500</v>
      </c>
      <c r="X169" s="24" t="s">
        <v>997</v>
      </c>
      <c r="Y169" s="24">
        <v>40</v>
      </c>
      <c r="Z169" s="24" t="s">
        <v>1501</v>
      </c>
      <c r="AA169" s="49">
        <v>41037</v>
      </c>
      <c r="AB169" s="24" t="s">
        <v>1502</v>
      </c>
      <c r="AC169" s="24" t="s">
        <v>71</v>
      </c>
      <c r="AD169" s="24" t="s">
        <v>1503</v>
      </c>
      <c r="AE169" s="24" t="s">
        <v>73</v>
      </c>
      <c r="AF169" s="24" t="s">
        <v>1504</v>
      </c>
      <c r="AG169" s="24" t="s">
        <v>1505</v>
      </c>
      <c r="AH169" s="24" t="s">
        <v>145</v>
      </c>
      <c r="AI169" s="24">
        <v>8</v>
      </c>
      <c r="AJ169" s="24">
        <v>0</v>
      </c>
      <c r="AK169" s="24">
        <v>8</v>
      </c>
      <c r="AL169" s="24"/>
      <c r="AM169" s="24">
        <v>144</v>
      </c>
      <c r="AN169" s="23" t="s">
        <v>79</v>
      </c>
      <c r="AO169" s="24" t="s">
        <v>829</v>
      </c>
      <c r="AP169" s="23" t="s">
        <v>1155</v>
      </c>
      <c r="AQ169" s="27" t="str">
        <f>+Base_Accidentes[[#This Row],[Tipo de Accidente]]</f>
        <v>Acc. Incapacitante</v>
      </c>
      <c r="AR169" s="23" cm="1">
        <f t="array" aca="1" ref="AR169" ca="1">+Base_Accidentes[Población]</f>
        <v>0</v>
      </c>
      <c r="AS169" s="23" t="s">
        <v>128</v>
      </c>
      <c r="AT169" s="23"/>
    </row>
    <row r="170" spans="1:46" ht="36" hidden="1" customHeight="1" x14ac:dyDescent="0.3">
      <c r="A170" s="45">
        <v>168</v>
      </c>
      <c r="B170" s="24" t="s">
        <v>129</v>
      </c>
      <c r="C170" s="24" t="s">
        <v>1</v>
      </c>
      <c r="D170" s="23" t="s">
        <v>56</v>
      </c>
      <c r="E170" s="51" t="s">
        <v>109</v>
      </c>
      <c r="F170" s="23" t="s">
        <v>1506</v>
      </c>
      <c r="G170" s="24" t="s">
        <v>1507</v>
      </c>
      <c r="H170" s="24" t="s">
        <v>60</v>
      </c>
      <c r="I170" s="24" t="s">
        <v>1508</v>
      </c>
      <c r="J170" s="24" t="s">
        <v>113</v>
      </c>
      <c r="K170" s="24" t="str">
        <f>IF(ISBLANK(Base_Accidentes[[#This Row],[Tipo de Accidente]])," ",Base_Accidentes[[#This Row],[Tipo de Accidente]])</f>
        <v>Acc. Incapacitante</v>
      </c>
      <c r="L170" s="49">
        <v>45529</v>
      </c>
      <c r="M170" s="47">
        <f>_xlfn.ISOWEEKNUM(Base_Accidentes[[#This Row],[Fecha
(XX/XX/2024)]])</f>
        <v>34</v>
      </c>
      <c r="N170" s="23">
        <f>DAY(Base_Accidentes[[#This Row],[Fecha
(XX/XX/2024)]])</f>
        <v>25</v>
      </c>
      <c r="O170" s="23">
        <f>MONTH(Base_Accidentes[[#This Row],[Fecha
(XX/XX/2024)]])</f>
        <v>8</v>
      </c>
      <c r="P170" s="23">
        <f>YEAR(Base_Accidentes[[#This Row],[Fecha
(XX/XX/2024)]])</f>
        <v>2024</v>
      </c>
      <c r="Q170" s="48">
        <v>0.25694444444444442</v>
      </c>
      <c r="R170" s="24" t="s">
        <v>135</v>
      </c>
      <c r="S170" s="24" t="s">
        <v>10</v>
      </c>
      <c r="T170" s="24" t="s">
        <v>114</v>
      </c>
      <c r="U170" s="24" t="s">
        <v>565</v>
      </c>
      <c r="V170" s="24" t="s">
        <v>1054</v>
      </c>
      <c r="W170" s="24" t="s">
        <v>1509</v>
      </c>
      <c r="X170" s="24" t="s">
        <v>68</v>
      </c>
      <c r="Y170" s="24" t="s">
        <v>129</v>
      </c>
      <c r="Z170" s="24" t="s">
        <v>1510</v>
      </c>
      <c r="AA170" s="49" t="s">
        <v>129</v>
      </c>
      <c r="AB170" s="24" t="s">
        <v>1511</v>
      </c>
      <c r="AC170" s="24" t="s">
        <v>101</v>
      </c>
      <c r="AD170" s="24" t="s">
        <v>1512</v>
      </c>
      <c r="AE170" s="24" t="s">
        <v>103</v>
      </c>
      <c r="AF170" s="24" t="s">
        <v>1513</v>
      </c>
      <c r="AG170" s="24" t="s">
        <v>270</v>
      </c>
      <c r="AH170" s="24" t="s">
        <v>145</v>
      </c>
      <c r="AI170" s="24">
        <v>60</v>
      </c>
      <c r="AJ170" s="24">
        <v>0</v>
      </c>
      <c r="AK170" s="24">
        <v>60</v>
      </c>
      <c r="AL170" s="24"/>
      <c r="AM170" s="24"/>
      <c r="AN170" s="23"/>
      <c r="AO170" s="24"/>
      <c r="AP170" s="23" t="s">
        <v>81</v>
      </c>
      <c r="AQ170" s="27" t="str">
        <f>+Base_Accidentes[[#This Row],[Tipo de Accidente]]</f>
        <v>Acc. Incapacitante</v>
      </c>
      <c r="AR170" s="23" cm="1">
        <f t="array" aca="1" ref="AR170" ca="1">+Base_Accidentes[Población]</f>
        <v>0</v>
      </c>
      <c r="AS170" s="23" t="s">
        <v>128</v>
      </c>
      <c r="AT170" s="23"/>
    </row>
    <row r="171" spans="1:46" ht="24" hidden="1" x14ac:dyDescent="0.3">
      <c r="A171" s="45">
        <v>170</v>
      </c>
      <c r="B171" s="24" t="s">
        <v>129</v>
      </c>
      <c r="C171" s="24" t="s">
        <v>1</v>
      </c>
      <c r="D171" s="23" t="s">
        <v>162</v>
      </c>
      <c r="E171" s="51" t="s">
        <v>1156</v>
      </c>
      <c r="F171" s="23" t="s">
        <v>164</v>
      </c>
      <c r="G171" s="24" t="s">
        <v>428</v>
      </c>
      <c r="H171" s="24" t="s">
        <v>60</v>
      </c>
      <c r="I171" s="24" t="s">
        <v>438</v>
      </c>
      <c r="J171" s="24" t="s">
        <v>62</v>
      </c>
      <c r="K171" s="24" t="str">
        <f>IF(ISBLANK(Base_Accidentes[[#This Row],[Tipo de Accidente]])," ",Base_Accidentes[[#This Row],[Tipo de Accidente]])</f>
        <v>Acc. No Incapacitante</v>
      </c>
      <c r="L171" s="49">
        <v>45511</v>
      </c>
      <c r="M171" s="47">
        <f>_xlfn.ISOWEEKNUM(Base_Accidentes[[#This Row],[Fecha
(XX/XX/2024)]])</f>
        <v>32</v>
      </c>
      <c r="N171" s="23">
        <f>DAY(Base_Accidentes[[#This Row],[Fecha
(XX/XX/2024)]])</f>
        <v>7</v>
      </c>
      <c r="O171" s="23">
        <f>MONTH(Base_Accidentes[[#This Row],[Fecha
(XX/XX/2024)]])</f>
        <v>8</v>
      </c>
      <c r="P171" s="23">
        <f>YEAR(Base_Accidentes[[#This Row],[Fecha
(XX/XX/2024)]])</f>
        <v>2024</v>
      </c>
      <c r="Q171" s="48">
        <v>0.4861111111111111</v>
      </c>
      <c r="R171" s="24" t="s">
        <v>587</v>
      </c>
      <c r="S171" s="24" t="s">
        <v>167</v>
      </c>
      <c r="T171" s="24" t="s">
        <v>168</v>
      </c>
      <c r="U171" s="24" t="s">
        <v>1514</v>
      </c>
      <c r="V171" s="24" t="s">
        <v>830</v>
      </c>
      <c r="W171" s="24" t="s">
        <v>1515</v>
      </c>
      <c r="X171" s="24" t="s">
        <v>68</v>
      </c>
      <c r="Y171" s="24" t="s">
        <v>129</v>
      </c>
      <c r="Z171" s="24" t="s">
        <v>172</v>
      </c>
      <c r="AA171" s="49" t="s">
        <v>129</v>
      </c>
      <c r="AB171" s="24" t="s">
        <v>1516</v>
      </c>
      <c r="AC171" s="24" t="s">
        <v>71</v>
      </c>
      <c r="AD171" s="24" t="s">
        <v>1295</v>
      </c>
      <c r="AE171" s="24" t="s">
        <v>103</v>
      </c>
      <c r="AF171" s="24" t="s">
        <v>1301</v>
      </c>
      <c r="AG171" s="24" t="s">
        <v>1297</v>
      </c>
      <c r="AH171" s="24" t="s">
        <v>145</v>
      </c>
      <c r="AI171" s="24">
        <v>0</v>
      </c>
      <c r="AJ171" s="24">
        <v>0</v>
      </c>
      <c r="AK171" s="24">
        <v>0</v>
      </c>
      <c r="AL171" s="24" t="s">
        <v>78</v>
      </c>
      <c r="AM171" s="24"/>
      <c r="AN171" s="23"/>
      <c r="AO171" s="24" t="s">
        <v>1517</v>
      </c>
      <c r="AP171" s="23" t="s">
        <v>92</v>
      </c>
      <c r="AQ171" s="27" t="str">
        <f>+Base_Accidentes[[#This Row],[Tipo de Accidente]]</f>
        <v>Acc. No Incapacitante</v>
      </c>
      <c r="AR171" s="23" cm="1">
        <f t="array" aca="1" ref="AR171" ca="1">+Base_Accidentes[Población]</f>
        <v>0</v>
      </c>
      <c r="AS171" s="23"/>
      <c r="AT171" s="23"/>
    </row>
    <row r="172" spans="1:46" ht="120" hidden="1" x14ac:dyDescent="0.3">
      <c r="A172" s="45">
        <v>171</v>
      </c>
      <c r="B172" s="24" t="s">
        <v>129</v>
      </c>
      <c r="C172" s="24" t="s">
        <v>1</v>
      </c>
      <c r="D172" s="23" t="s">
        <v>162</v>
      </c>
      <c r="E172" s="51" t="s">
        <v>1156</v>
      </c>
      <c r="F172" s="23" t="s">
        <v>164</v>
      </c>
      <c r="G172" s="24" t="s">
        <v>428</v>
      </c>
      <c r="H172" s="24" t="s">
        <v>60</v>
      </c>
      <c r="I172" s="24" t="s">
        <v>475</v>
      </c>
      <c r="J172" s="24" t="s">
        <v>62</v>
      </c>
      <c r="K172" s="24" t="str">
        <f>IF(ISBLANK(Base_Accidentes[[#This Row],[Tipo de Accidente]])," ",Base_Accidentes[[#This Row],[Tipo de Accidente]])</f>
        <v>Acc. No Incapacitante</v>
      </c>
      <c r="L172" s="49">
        <v>45524</v>
      </c>
      <c r="M172" s="47">
        <f>_xlfn.ISOWEEKNUM(Base_Accidentes[[#This Row],[Fecha
(XX/XX/2024)]])</f>
        <v>34</v>
      </c>
      <c r="N172" s="23">
        <f>DAY(Base_Accidentes[[#This Row],[Fecha
(XX/XX/2024)]])</f>
        <v>20</v>
      </c>
      <c r="O172" s="23">
        <f>MONTH(Base_Accidentes[[#This Row],[Fecha
(XX/XX/2024)]])</f>
        <v>8</v>
      </c>
      <c r="P172" s="23">
        <f>YEAR(Base_Accidentes[[#This Row],[Fecha
(XX/XX/2024)]])</f>
        <v>2024</v>
      </c>
      <c r="Q172" s="48">
        <v>0.61111111111111116</v>
      </c>
      <c r="R172" s="24" t="s">
        <v>587</v>
      </c>
      <c r="S172" s="24" t="s">
        <v>167</v>
      </c>
      <c r="T172" s="24" t="s">
        <v>168</v>
      </c>
      <c r="U172" s="24" t="s">
        <v>589</v>
      </c>
      <c r="V172" s="24" t="s">
        <v>1518</v>
      </c>
      <c r="W172" s="24" t="s">
        <v>1519</v>
      </c>
      <c r="X172" s="24" t="s">
        <v>68</v>
      </c>
      <c r="Y172" s="24" t="s">
        <v>129</v>
      </c>
      <c r="Z172" s="24" t="s">
        <v>172</v>
      </c>
      <c r="AA172" s="49" t="s">
        <v>129</v>
      </c>
      <c r="AB172" s="24" t="s">
        <v>1520</v>
      </c>
      <c r="AC172" s="24" t="s">
        <v>71</v>
      </c>
      <c r="AD172" s="24" t="s">
        <v>1069</v>
      </c>
      <c r="AE172" s="24" t="s">
        <v>103</v>
      </c>
      <c r="AF172" s="24" t="s">
        <v>642</v>
      </c>
      <c r="AG172" s="24" t="s">
        <v>1521</v>
      </c>
      <c r="AH172" s="24" t="s">
        <v>145</v>
      </c>
      <c r="AI172" s="24">
        <v>0</v>
      </c>
      <c r="AJ172" s="24">
        <v>0</v>
      </c>
      <c r="AK172" s="24">
        <v>0</v>
      </c>
      <c r="AL172" s="24" t="s">
        <v>78</v>
      </c>
      <c r="AM172" s="24"/>
      <c r="AN172" s="23"/>
      <c r="AO172" s="24" t="s">
        <v>1522</v>
      </c>
      <c r="AP172" s="23" t="s">
        <v>92</v>
      </c>
      <c r="AQ172" s="27" t="str">
        <f>+Base_Accidentes[[#This Row],[Tipo de Accidente]]</f>
        <v>Acc. No Incapacitante</v>
      </c>
      <c r="AR172" s="23" cm="1">
        <f t="array" aca="1" ref="AR172" ca="1">+Base_Accidentes[Población]</f>
        <v>0</v>
      </c>
      <c r="AS172" s="23"/>
      <c r="AT172" s="23"/>
    </row>
    <row r="173" spans="1:46" ht="60" hidden="1" x14ac:dyDescent="0.3">
      <c r="A173" s="45">
        <v>172</v>
      </c>
      <c r="B173" s="24" t="s">
        <v>129</v>
      </c>
      <c r="C173" s="24" t="s">
        <v>1</v>
      </c>
      <c r="D173" s="23" t="s">
        <v>162</v>
      </c>
      <c r="E173" s="51" t="s">
        <v>1156</v>
      </c>
      <c r="F173" s="23" t="s">
        <v>164</v>
      </c>
      <c r="G173" s="24" t="s">
        <v>428</v>
      </c>
      <c r="H173" s="24" t="s">
        <v>60</v>
      </c>
      <c r="I173" s="24" t="s">
        <v>857</v>
      </c>
      <c r="J173" s="24" t="s">
        <v>62</v>
      </c>
      <c r="K173" s="24" t="str">
        <f>IF(ISBLANK(Base_Accidentes[[#This Row],[Tipo de Accidente]])," ",Base_Accidentes[[#This Row],[Tipo de Accidente]])</f>
        <v>Acc. No Incapacitante</v>
      </c>
      <c r="L173" s="49">
        <v>45524</v>
      </c>
      <c r="M173" s="47">
        <f>_xlfn.ISOWEEKNUM(Base_Accidentes[[#This Row],[Fecha
(XX/XX/2024)]])</f>
        <v>34</v>
      </c>
      <c r="N173" s="23">
        <f>DAY(Base_Accidentes[[#This Row],[Fecha
(XX/XX/2024)]])</f>
        <v>20</v>
      </c>
      <c r="O173" s="23">
        <f>MONTH(Base_Accidentes[[#This Row],[Fecha
(XX/XX/2024)]])</f>
        <v>8</v>
      </c>
      <c r="P173" s="23">
        <f>YEAR(Base_Accidentes[[#This Row],[Fecha
(XX/XX/2024)]])</f>
        <v>2024</v>
      </c>
      <c r="Q173" s="48">
        <v>0.79166666666666663</v>
      </c>
      <c r="R173" s="24" t="s">
        <v>135</v>
      </c>
      <c r="S173" s="24" t="s">
        <v>167</v>
      </c>
      <c r="T173" s="24" t="s">
        <v>168</v>
      </c>
      <c r="U173" s="24" t="s">
        <v>444</v>
      </c>
      <c r="V173" s="24" t="s">
        <v>1523</v>
      </c>
      <c r="W173" s="24" t="s">
        <v>1524</v>
      </c>
      <c r="X173" s="24" t="s">
        <v>68</v>
      </c>
      <c r="Y173" s="24" t="s">
        <v>129</v>
      </c>
      <c r="Z173" s="24" t="s">
        <v>172</v>
      </c>
      <c r="AA173" s="49" t="s">
        <v>129</v>
      </c>
      <c r="AB173" s="24" t="s">
        <v>1525</v>
      </c>
      <c r="AC173" s="24" t="s">
        <v>120</v>
      </c>
      <c r="AD173" s="24" t="s">
        <v>1085</v>
      </c>
      <c r="AE173" s="24" t="s">
        <v>142</v>
      </c>
      <c r="AF173" s="24" t="s">
        <v>1526</v>
      </c>
      <c r="AG173" s="24" t="s">
        <v>1527</v>
      </c>
      <c r="AH173" s="24" t="s">
        <v>76</v>
      </c>
      <c r="AI173" s="24">
        <v>0</v>
      </c>
      <c r="AJ173" s="24">
        <v>0</v>
      </c>
      <c r="AK173" s="24">
        <v>0</v>
      </c>
      <c r="AL173" s="24" t="s">
        <v>78</v>
      </c>
      <c r="AM173" s="24"/>
      <c r="AN173" s="23"/>
      <c r="AO173" s="24" t="s">
        <v>829</v>
      </c>
      <c r="AP173" s="23" t="s">
        <v>92</v>
      </c>
      <c r="AQ173" s="27" t="str">
        <f>+Base_Accidentes[[#This Row],[Tipo de Accidente]]</f>
        <v>Acc. No Incapacitante</v>
      </c>
      <c r="AR173" s="23" cm="1">
        <f t="array" aca="1" ref="AR173" ca="1">+Base_Accidentes[Población]</f>
        <v>0</v>
      </c>
      <c r="AS173" s="23"/>
      <c r="AT173" s="23"/>
    </row>
    <row r="174" spans="1:46" ht="96" hidden="1" x14ac:dyDescent="0.3">
      <c r="A174" s="45">
        <v>173</v>
      </c>
      <c r="B174" s="24" t="s">
        <v>129</v>
      </c>
      <c r="C174" s="24" t="s">
        <v>1</v>
      </c>
      <c r="D174" s="23" t="s">
        <v>162</v>
      </c>
      <c r="E174" s="51" t="s">
        <v>1156</v>
      </c>
      <c r="F174" s="23" t="s">
        <v>164</v>
      </c>
      <c r="G174" s="24" t="s">
        <v>428</v>
      </c>
      <c r="H174" s="24" t="s">
        <v>60</v>
      </c>
      <c r="I174" s="24" t="s">
        <v>438</v>
      </c>
      <c r="J174" s="24" t="s">
        <v>62</v>
      </c>
      <c r="K174" s="24" t="str">
        <f>IF(ISBLANK(Base_Accidentes[[#This Row],[Tipo de Accidente]])," ",Base_Accidentes[[#This Row],[Tipo de Accidente]])</f>
        <v>Acc. No Incapacitante</v>
      </c>
      <c r="L174" s="49">
        <v>45526</v>
      </c>
      <c r="M174" s="47">
        <f>_xlfn.ISOWEEKNUM(Base_Accidentes[[#This Row],[Fecha
(XX/XX/2024)]])</f>
        <v>34</v>
      </c>
      <c r="N174" s="23">
        <f>DAY(Base_Accidentes[[#This Row],[Fecha
(XX/XX/2024)]])</f>
        <v>22</v>
      </c>
      <c r="O174" s="23">
        <f>MONTH(Base_Accidentes[[#This Row],[Fecha
(XX/XX/2024)]])</f>
        <v>8</v>
      </c>
      <c r="P174" s="23">
        <f>YEAR(Base_Accidentes[[#This Row],[Fecha
(XX/XX/2024)]])</f>
        <v>2024</v>
      </c>
      <c r="Q174" s="48">
        <v>0.36458333333333331</v>
      </c>
      <c r="R174" s="24" t="s">
        <v>587</v>
      </c>
      <c r="S174" s="24" t="s">
        <v>167</v>
      </c>
      <c r="T174" s="24" t="s">
        <v>168</v>
      </c>
      <c r="U174" s="24" t="s">
        <v>1528</v>
      </c>
      <c r="V174" s="24" t="s">
        <v>1529</v>
      </c>
      <c r="W174" s="24" t="s">
        <v>1530</v>
      </c>
      <c r="X174" s="24" t="s">
        <v>68</v>
      </c>
      <c r="Y174" s="24" t="s">
        <v>129</v>
      </c>
      <c r="Z174" s="24" t="s">
        <v>172</v>
      </c>
      <c r="AA174" s="49" t="s">
        <v>129</v>
      </c>
      <c r="AB174" s="24" t="s">
        <v>1531</v>
      </c>
      <c r="AC174" s="24" t="s">
        <v>281</v>
      </c>
      <c r="AD174" s="24" t="s">
        <v>1271</v>
      </c>
      <c r="AE174" s="24" t="s">
        <v>103</v>
      </c>
      <c r="AF174" s="24" t="s">
        <v>1532</v>
      </c>
      <c r="AG174" s="24" t="s">
        <v>1273</v>
      </c>
      <c r="AH174" s="24" t="s">
        <v>145</v>
      </c>
      <c r="AI174" s="24">
        <v>0</v>
      </c>
      <c r="AJ174" s="24">
        <v>0</v>
      </c>
      <c r="AK174" s="24">
        <v>0</v>
      </c>
      <c r="AL174" s="24" t="s">
        <v>78</v>
      </c>
      <c r="AM174" s="24"/>
      <c r="AN174" s="23"/>
      <c r="AO174" s="24" t="s">
        <v>944</v>
      </c>
      <c r="AP174" s="23" t="s">
        <v>92</v>
      </c>
      <c r="AQ174" s="27" t="str">
        <f>+Base_Accidentes[[#This Row],[Tipo de Accidente]]</f>
        <v>Acc. No Incapacitante</v>
      </c>
      <c r="AR174" s="23" cm="1">
        <f t="array" aca="1" ref="AR174" ca="1">+Base_Accidentes[Población]</f>
        <v>0</v>
      </c>
      <c r="AS174" s="23"/>
      <c r="AT174" s="23"/>
    </row>
    <row r="175" spans="1:46" ht="60" hidden="1" x14ac:dyDescent="0.3">
      <c r="A175" s="45">
        <v>174</v>
      </c>
      <c r="B175" s="24" t="s">
        <v>129</v>
      </c>
      <c r="C175" s="24" t="s">
        <v>1</v>
      </c>
      <c r="D175" s="23" t="s">
        <v>162</v>
      </c>
      <c r="E175" s="51" t="s">
        <v>1156</v>
      </c>
      <c r="F175" s="23" t="s">
        <v>164</v>
      </c>
      <c r="G175" s="24" t="s">
        <v>428</v>
      </c>
      <c r="H175" s="24" t="s">
        <v>60</v>
      </c>
      <c r="I175" s="24" t="s">
        <v>475</v>
      </c>
      <c r="J175" s="24" t="s">
        <v>62</v>
      </c>
      <c r="K175" s="24" t="str">
        <f>IF(ISBLANK(Base_Accidentes[[#This Row],[Tipo de Accidente]])," ",Base_Accidentes[[#This Row],[Tipo de Accidente]])</f>
        <v>Acc. No Incapacitante</v>
      </c>
      <c r="L175" s="49">
        <v>45531</v>
      </c>
      <c r="M175" s="47">
        <f>_xlfn.ISOWEEKNUM(Base_Accidentes[[#This Row],[Fecha
(XX/XX/2024)]])</f>
        <v>35</v>
      </c>
      <c r="N175" s="23">
        <f>DAY(Base_Accidentes[[#This Row],[Fecha
(XX/XX/2024)]])</f>
        <v>27</v>
      </c>
      <c r="O175" s="23">
        <f>MONTH(Base_Accidentes[[#This Row],[Fecha
(XX/XX/2024)]])</f>
        <v>8</v>
      </c>
      <c r="P175" s="23">
        <f>YEAR(Base_Accidentes[[#This Row],[Fecha
(XX/XX/2024)]])</f>
        <v>2024</v>
      </c>
      <c r="Q175" s="48">
        <v>0.99305555555555558</v>
      </c>
      <c r="R175" s="24" t="s">
        <v>135</v>
      </c>
      <c r="S175" s="24" t="s">
        <v>167</v>
      </c>
      <c r="T175" s="24" t="s">
        <v>168</v>
      </c>
      <c r="U175" s="24" t="s">
        <v>129</v>
      </c>
      <c r="V175" s="24" t="s">
        <v>129</v>
      </c>
      <c r="W175" s="24" t="s">
        <v>129</v>
      </c>
      <c r="X175" s="24" t="s">
        <v>98</v>
      </c>
      <c r="Y175" s="24" t="s">
        <v>129</v>
      </c>
      <c r="Z175" s="24" t="s">
        <v>172</v>
      </c>
      <c r="AA175" s="49" t="s">
        <v>129</v>
      </c>
      <c r="AB175" s="24" t="s">
        <v>1533</v>
      </c>
      <c r="AC175" s="24" t="s">
        <v>575</v>
      </c>
      <c r="AD175" s="24" t="s">
        <v>249</v>
      </c>
      <c r="AE175" s="24" t="s">
        <v>249</v>
      </c>
      <c r="AF175" s="24" t="s">
        <v>1256</v>
      </c>
      <c r="AG175" s="24" t="s">
        <v>294</v>
      </c>
      <c r="AH175" s="24" t="s">
        <v>294</v>
      </c>
      <c r="AI175" s="24">
        <v>0</v>
      </c>
      <c r="AJ175" s="24">
        <v>0</v>
      </c>
      <c r="AK175" s="24">
        <v>0</v>
      </c>
      <c r="AL175" s="24" t="s">
        <v>78</v>
      </c>
      <c r="AM175" s="24"/>
      <c r="AN175" s="23"/>
      <c r="AO175" s="24" t="s">
        <v>563</v>
      </c>
      <c r="AP175" s="23" t="s">
        <v>92</v>
      </c>
      <c r="AQ175" s="27" t="str">
        <f>+Base_Accidentes[[#This Row],[Tipo de Accidente]]</f>
        <v>Acc. No Incapacitante</v>
      </c>
      <c r="AR175" s="23" cm="1">
        <f t="array" aca="1" ref="AR175" ca="1">+Base_Accidentes[Población]</f>
        <v>0</v>
      </c>
      <c r="AS175" s="23"/>
      <c r="AT175" s="23"/>
    </row>
    <row r="176" spans="1:46" ht="24" hidden="1" x14ac:dyDescent="0.3">
      <c r="A176" s="45">
        <v>175</v>
      </c>
      <c r="B176" s="24" t="s">
        <v>129</v>
      </c>
      <c r="C176" s="24" t="s">
        <v>1</v>
      </c>
      <c r="D176" s="23" t="s">
        <v>162</v>
      </c>
      <c r="E176" s="51" t="s">
        <v>1156</v>
      </c>
      <c r="F176" s="23" t="s">
        <v>164</v>
      </c>
      <c r="G176" s="24" t="s">
        <v>428</v>
      </c>
      <c r="H176" s="24" t="s">
        <v>60</v>
      </c>
      <c r="I176" s="24" t="s">
        <v>475</v>
      </c>
      <c r="J176" s="24" t="s">
        <v>62</v>
      </c>
      <c r="K176" s="24" t="str">
        <f>IF(ISBLANK(Base_Accidentes[[#This Row],[Tipo de Accidente]])," ",Base_Accidentes[[#This Row],[Tipo de Accidente]])</f>
        <v>Acc. No Incapacitante</v>
      </c>
      <c r="L176" s="49">
        <v>45532</v>
      </c>
      <c r="M176" s="47">
        <f>_xlfn.ISOWEEKNUM(Base_Accidentes[[#This Row],[Fecha
(XX/XX/2024)]])</f>
        <v>35</v>
      </c>
      <c r="N176" s="23">
        <f>DAY(Base_Accidentes[[#This Row],[Fecha
(XX/XX/2024)]])</f>
        <v>28</v>
      </c>
      <c r="O176" s="23">
        <f>MONTH(Base_Accidentes[[#This Row],[Fecha
(XX/XX/2024)]])</f>
        <v>8</v>
      </c>
      <c r="P176" s="23">
        <f>YEAR(Base_Accidentes[[#This Row],[Fecha
(XX/XX/2024)]])</f>
        <v>2024</v>
      </c>
      <c r="Q176" s="48">
        <v>0.27083333333333331</v>
      </c>
      <c r="R176" s="24" t="s">
        <v>587</v>
      </c>
      <c r="S176" s="24" t="s">
        <v>167</v>
      </c>
      <c r="T176" s="24" t="s">
        <v>168</v>
      </c>
      <c r="U176" s="24" t="s">
        <v>377</v>
      </c>
      <c r="V176" s="24" t="s">
        <v>1534</v>
      </c>
      <c r="W176" s="24" t="s">
        <v>1535</v>
      </c>
      <c r="X176" s="24" t="s">
        <v>98</v>
      </c>
      <c r="Y176" s="24" t="s">
        <v>129</v>
      </c>
      <c r="Z176" s="24" t="s">
        <v>172</v>
      </c>
      <c r="AA176" s="49" t="s">
        <v>129</v>
      </c>
      <c r="AB176" s="24" t="s">
        <v>1536</v>
      </c>
      <c r="AC176" s="24" t="s">
        <v>120</v>
      </c>
      <c r="AD176" s="24" t="s">
        <v>1113</v>
      </c>
      <c r="AE176" s="24" t="s">
        <v>435</v>
      </c>
      <c r="AF176" s="24" t="s">
        <v>1537</v>
      </c>
      <c r="AG176" s="24" t="s">
        <v>1240</v>
      </c>
      <c r="AH176" s="24" t="s">
        <v>145</v>
      </c>
      <c r="AI176" s="24">
        <v>0</v>
      </c>
      <c r="AJ176" s="24">
        <v>0</v>
      </c>
      <c r="AK176" s="24">
        <v>0</v>
      </c>
      <c r="AL176" s="24" t="s">
        <v>78</v>
      </c>
      <c r="AM176" s="24"/>
      <c r="AN176" s="23"/>
      <c r="AO176" s="24" t="s">
        <v>1538</v>
      </c>
      <c r="AP176" s="23" t="s">
        <v>92</v>
      </c>
      <c r="AQ176" s="27" t="str">
        <f>+Base_Accidentes[[#This Row],[Tipo de Accidente]]</f>
        <v>Acc. No Incapacitante</v>
      </c>
      <c r="AR176" s="23" cm="1">
        <f t="array" aca="1" ref="AR176" ca="1">+Base_Accidentes[Población]</f>
        <v>0</v>
      </c>
      <c r="AS176" s="23"/>
      <c r="AT176" s="23"/>
    </row>
    <row r="177" spans="1:46" ht="36" hidden="1" x14ac:dyDescent="0.3">
      <c r="A177" s="45">
        <v>176</v>
      </c>
      <c r="B177" s="24" t="s">
        <v>129</v>
      </c>
      <c r="C177" s="24" t="s">
        <v>1</v>
      </c>
      <c r="D177" s="23" t="s">
        <v>162</v>
      </c>
      <c r="E177" s="51" t="s">
        <v>1156</v>
      </c>
      <c r="F177" s="23" t="s">
        <v>164</v>
      </c>
      <c r="G177" s="24" t="s">
        <v>428</v>
      </c>
      <c r="H177" s="24" t="s">
        <v>60</v>
      </c>
      <c r="I177" s="24" t="s">
        <v>438</v>
      </c>
      <c r="J177" s="24" t="s">
        <v>62</v>
      </c>
      <c r="K177" s="24" t="str">
        <f>IF(ISBLANK(Base_Accidentes[[#This Row],[Tipo de Accidente]])," ",Base_Accidentes[[#This Row],[Tipo de Accidente]])</f>
        <v>Acc. No Incapacitante</v>
      </c>
      <c r="L177" s="49">
        <v>45533</v>
      </c>
      <c r="M177" s="47">
        <f>_xlfn.ISOWEEKNUM(Base_Accidentes[[#This Row],[Fecha
(XX/XX/2024)]])</f>
        <v>35</v>
      </c>
      <c r="N177" s="23">
        <f>DAY(Base_Accidentes[[#This Row],[Fecha
(XX/XX/2024)]])</f>
        <v>29</v>
      </c>
      <c r="O177" s="23">
        <f>MONTH(Base_Accidentes[[#This Row],[Fecha
(XX/XX/2024)]])</f>
        <v>8</v>
      </c>
      <c r="P177" s="23">
        <f>YEAR(Base_Accidentes[[#This Row],[Fecha
(XX/XX/2024)]])</f>
        <v>2024</v>
      </c>
      <c r="Q177" s="48">
        <v>0.76388888888888884</v>
      </c>
      <c r="R177" s="24" t="s">
        <v>587</v>
      </c>
      <c r="S177" s="24" t="s">
        <v>167</v>
      </c>
      <c r="T177" s="24" t="s">
        <v>168</v>
      </c>
      <c r="U177" s="24" t="s">
        <v>85</v>
      </c>
      <c r="V177" s="24" t="s">
        <v>1539</v>
      </c>
      <c r="W177" s="24" t="s">
        <v>1540</v>
      </c>
      <c r="X177" s="24" t="s">
        <v>68</v>
      </c>
      <c r="Y177" s="24" t="s">
        <v>129</v>
      </c>
      <c r="Z177" s="24" t="s">
        <v>172</v>
      </c>
      <c r="AA177" s="49" t="s">
        <v>129</v>
      </c>
      <c r="AB177" s="24" t="s">
        <v>1541</v>
      </c>
      <c r="AC177" s="24" t="s">
        <v>281</v>
      </c>
      <c r="AD177" s="24" t="s">
        <v>807</v>
      </c>
      <c r="AE177" s="24" t="s">
        <v>103</v>
      </c>
      <c r="AF177" s="24" t="s">
        <v>698</v>
      </c>
      <c r="AG177" s="24" t="s">
        <v>1302</v>
      </c>
      <c r="AH177" s="24" t="s">
        <v>145</v>
      </c>
      <c r="AI177" s="24">
        <v>0</v>
      </c>
      <c r="AJ177" s="24">
        <v>0</v>
      </c>
      <c r="AK177" s="24">
        <v>0</v>
      </c>
      <c r="AL177" s="24" t="s">
        <v>78</v>
      </c>
      <c r="AM177" s="24"/>
      <c r="AN177" s="23"/>
      <c r="AO177" s="24" t="s">
        <v>1065</v>
      </c>
      <c r="AP177" s="23" t="s">
        <v>92</v>
      </c>
      <c r="AQ177" s="27" t="str">
        <f>+Base_Accidentes[[#This Row],[Tipo de Accidente]]</f>
        <v>Acc. No Incapacitante</v>
      </c>
      <c r="AR177" s="23" cm="1">
        <f t="array" aca="1" ref="AR177" ca="1">+Base_Accidentes[Población]</f>
        <v>0</v>
      </c>
      <c r="AS177" s="23"/>
      <c r="AT177" s="23"/>
    </row>
    <row r="178" spans="1:46" ht="36" hidden="1" x14ac:dyDescent="0.3">
      <c r="A178" s="45">
        <v>177</v>
      </c>
      <c r="B178" s="24" t="s">
        <v>129</v>
      </c>
      <c r="C178" s="24" t="s">
        <v>1</v>
      </c>
      <c r="D178" s="23" t="s">
        <v>162</v>
      </c>
      <c r="E178" s="51" t="s">
        <v>1156</v>
      </c>
      <c r="F178" s="23" t="s">
        <v>164</v>
      </c>
      <c r="G178" s="24" t="s">
        <v>428</v>
      </c>
      <c r="H178" s="24" t="s">
        <v>60</v>
      </c>
      <c r="I178" s="24" t="s">
        <v>438</v>
      </c>
      <c r="J178" s="24" t="s">
        <v>62</v>
      </c>
      <c r="K178" s="24" t="str">
        <f>IF(ISBLANK(Base_Accidentes[[#This Row],[Tipo de Accidente]])," ",Base_Accidentes[[#This Row],[Tipo de Accidente]])</f>
        <v>Acc. No Incapacitante</v>
      </c>
      <c r="L178" s="49">
        <v>45534</v>
      </c>
      <c r="M178" s="47">
        <f>_xlfn.ISOWEEKNUM(Base_Accidentes[[#This Row],[Fecha
(XX/XX/2024)]])</f>
        <v>35</v>
      </c>
      <c r="N178" s="23">
        <f>DAY(Base_Accidentes[[#This Row],[Fecha
(XX/XX/2024)]])</f>
        <v>30</v>
      </c>
      <c r="O178" s="23">
        <f>MONTH(Base_Accidentes[[#This Row],[Fecha
(XX/XX/2024)]])</f>
        <v>8</v>
      </c>
      <c r="P178" s="23">
        <f>YEAR(Base_Accidentes[[#This Row],[Fecha
(XX/XX/2024)]])</f>
        <v>2024</v>
      </c>
      <c r="Q178" s="48">
        <v>0.99305555555555558</v>
      </c>
      <c r="R178" s="24" t="s">
        <v>135</v>
      </c>
      <c r="S178" s="24" t="s">
        <v>167</v>
      </c>
      <c r="T178" s="24" t="s">
        <v>168</v>
      </c>
      <c r="U178" s="24" t="s">
        <v>1542</v>
      </c>
      <c r="V178" s="24" t="s">
        <v>1543</v>
      </c>
      <c r="W178" s="24" t="s">
        <v>1544</v>
      </c>
      <c r="X178" s="24" t="s">
        <v>98</v>
      </c>
      <c r="Y178" s="24" t="s">
        <v>129</v>
      </c>
      <c r="Z178" s="24" t="s">
        <v>172</v>
      </c>
      <c r="AA178" s="49" t="s">
        <v>129</v>
      </c>
      <c r="AB178" s="24" t="s">
        <v>1545</v>
      </c>
      <c r="AC178" s="24" t="s">
        <v>575</v>
      </c>
      <c r="AD178" s="24" t="s">
        <v>249</v>
      </c>
      <c r="AE178" s="24" t="s">
        <v>249</v>
      </c>
      <c r="AF178" s="24" t="s">
        <v>1256</v>
      </c>
      <c r="AG178" s="24" t="s">
        <v>294</v>
      </c>
      <c r="AH178" s="24" t="s">
        <v>294</v>
      </c>
      <c r="AI178" s="24">
        <v>0</v>
      </c>
      <c r="AJ178" s="24">
        <v>0</v>
      </c>
      <c r="AK178" s="24">
        <v>0</v>
      </c>
      <c r="AL178" s="24" t="s">
        <v>78</v>
      </c>
      <c r="AM178" s="24"/>
      <c r="AN178" s="23"/>
      <c r="AO178" s="24" t="s">
        <v>563</v>
      </c>
      <c r="AP178" s="23" t="s">
        <v>92</v>
      </c>
      <c r="AQ178" s="27" t="str">
        <f>+Base_Accidentes[[#This Row],[Tipo de Accidente]]</f>
        <v>Acc. No Incapacitante</v>
      </c>
      <c r="AR178" s="23" cm="1">
        <f t="array" aca="1" ref="AR178" ca="1">+Base_Accidentes[Población]</f>
        <v>0</v>
      </c>
      <c r="AS178" s="23"/>
      <c r="AT178" s="23"/>
    </row>
    <row r="179" spans="1:46" ht="60" hidden="1" x14ac:dyDescent="0.3">
      <c r="A179" s="45">
        <v>178</v>
      </c>
      <c r="B179" s="24" t="s">
        <v>129</v>
      </c>
      <c r="C179" s="23" t="s">
        <v>130</v>
      </c>
      <c r="D179" s="23" t="s">
        <v>131</v>
      </c>
      <c r="E179" s="51"/>
      <c r="F179" s="23" t="s">
        <v>132</v>
      </c>
      <c r="G179" s="24" t="s">
        <v>1546</v>
      </c>
      <c r="H179" s="24" t="s">
        <v>60</v>
      </c>
      <c r="I179" s="24" t="s">
        <v>1547</v>
      </c>
      <c r="J179" s="24" t="s">
        <v>62</v>
      </c>
      <c r="K179" s="24" t="str">
        <f>IF(ISBLANK(Base_Accidentes[[#This Row],[Tipo de Accidente]])," ",Base_Accidentes[[#This Row],[Tipo de Accidente]])</f>
        <v>Acc. No Incapacitante</v>
      </c>
      <c r="L179" s="49">
        <v>45518</v>
      </c>
      <c r="M179" s="47">
        <f>_xlfn.ISOWEEKNUM(Base_Accidentes[[#This Row],[Fecha
(XX/XX/2024)]])</f>
        <v>33</v>
      </c>
      <c r="N179" s="23">
        <f>DAY(Base_Accidentes[[#This Row],[Fecha
(XX/XX/2024)]])</f>
        <v>14</v>
      </c>
      <c r="O179" s="23">
        <f>MONTH(Base_Accidentes[[#This Row],[Fecha
(XX/XX/2024)]])</f>
        <v>8</v>
      </c>
      <c r="P179" s="23">
        <f>YEAR(Base_Accidentes[[#This Row],[Fecha
(XX/XX/2024)]])</f>
        <v>2024</v>
      </c>
      <c r="Q179" s="48">
        <v>0.16666666666666666</v>
      </c>
      <c r="R179" s="24" t="s">
        <v>135</v>
      </c>
      <c r="S179" s="24" t="s">
        <v>10</v>
      </c>
      <c r="T179" s="24" t="s">
        <v>1176</v>
      </c>
      <c r="U179" s="24" t="s">
        <v>1548</v>
      </c>
      <c r="V179" s="24" t="s">
        <v>1549</v>
      </c>
      <c r="W179" s="24" t="s">
        <v>1550</v>
      </c>
      <c r="X179" s="24" t="s">
        <v>997</v>
      </c>
      <c r="Y179" s="24">
        <v>35</v>
      </c>
      <c r="Z179" s="24" t="s">
        <v>1551</v>
      </c>
      <c r="AA179" s="49">
        <v>39252</v>
      </c>
      <c r="AB179" s="24" t="s">
        <v>1552</v>
      </c>
      <c r="AC179" s="24" t="s">
        <v>201</v>
      </c>
      <c r="AD179" s="24" t="s">
        <v>807</v>
      </c>
      <c r="AE179" s="24" t="s">
        <v>103</v>
      </c>
      <c r="AF179" s="24" t="s">
        <v>1553</v>
      </c>
      <c r="AG179" s="24" t="s">
        <v>1554</v>
      </c>
      <c r="AH179" s="24" t="s">
        <v>76</v>
      </c>
      <c r="AI179" s="24">
        <v>0</v>
      </c>
      <c r="AJ179" s="24">
        <v>0</v>
      </c>
      <c r="AK179" s="24">
        <v>0</v>
      </c>
      <c r="AL179" s="24" t="s">
        <v>78</v>
      </c>
      <c r="AM179" s="24">
        <v>206</v>
      </c>
      <c r="AN179" s="23" t="s">
        <v>79</v>
      </c>
      <c r="AO179" s="24" t="s">
        <v>1555</v>
      </c>
      <c r="AP179" s="23" t="s">
        <v>1155</v>
      </c>
      <c r="AQ179" s="27" t="str">
        <f>+Base_Accidentes[[#This Row],[Tipo de Accidente]]</f>
        <v>Acc. No Incapacitante</v>
      </c>
      <c r="AR179" s="23" cm="1">
        <f t="array" aca="1" ref="AR179" ca="1">+Base_Accidentes[Población]</f>
        <v>0</v>
      </c>
      <c r="AS179" s="23"/>
      <c r="AT179" s="23"/>
    </row>
    <row r="180" spans="1:46" ht="72" hidden="1" x14ac:dyDescent="0.3">
      <c r="A180" s="45">
        <v>179</v>
      </c>
      <c r="B180" s="24" t="s">
        <v>129</v>
      </c>
      <c r="C180" s="23" t="s">
        <v>130</v>
      </c>
      <c r="D180" s="23" t="s">
        <v>131</v>
      </c>
      <c r="E180" s="51"/>
      <c r="F180" s="23" t="s">
        <v>132</v>
      </c>
      <c r="G180" s="24" t="s">
        <v>1546</v>
      </c>
      <c r="H180" s="24" t="s">
        <v>60</v>
      </c>
      <c r="I180" s="24" t="s">
        <v>1556</v>
      </c>
      <c r="J180" s="24" t="s">
        <v>62</v>
      </c>
      <c r="K180" s="24" t="str">
        <f>IF(ISBLANK(Base_Accidentes[[#This Row],[Tipo de Accidente]])," ",Base_Accidentes[[#This Row],[Tipo de Accidente]])</f>
        <v>Acc. No Incapacitante</v>
      </c>
      <c r="L180" s="49">
        <v>45525</v>
      </c>
      <c r="M180" s="47">
        <f>_xlfn.ISOWEEKNUM(Base_Accidentes[[#This Row],[Fecha
(XX/XX/2024)]])</f>
        <v>34</v>
      </c>
      <c r="N180" s="23">
        <f>DAY(Base_Accidentes[[#This Row],[Fecha
(XX/XX/2024)]])</f>
        <v>21</v>
      </c>
      <c r="O180" s="23">
        <f>MONTH(Base_Accidentes[[#This Row],[Fecha
(XX/XX/2024)]])</f>
        <v>8</v>
      </c>
      <c r="P180" s="23">
        <f>YEAR(Base_Accidentes[[#This Row],[Fecha
(XX/XX/2024)]])</f>
        <v>2024</v>
      </c>
      <c r="Q180" s="48">
        <v>0.40625</v>
      </c>
      <c r="R180" s="24" t="s">
        <v>63</v>
      </c>
      <c r="S180" s="24" t="s">
        <v>10</v>
      </c>
      <c r="T180" s="24" t="s">
        <v>64</v>
      </c>
      <c r="U180" s="24" t="s">
        <v>1557</v>
      </c>
      <c r="V180" s="24" t="s">
        <v>1558</v>
      </c>
      <c r="W180" s="24" t="s">
        <v>1559</v>
      </c>
      <c r="X180" s="24" t="s">
        <v>1483</v>
      </c>
      <c r="Y180" s="24">
        <v>22</v>
      </c>
      <c r="Z180" s="24" t="s">
        <v>1560</v>
      </c>
      <c r="AA180" s="49">
        <v>45475</v>
      </c>
      <c r="AB180" s="24" t="s">
        <v>1561</v>
      </c>
      <c r="AC180" s="24" t="s">
        <v>292</v>
      </c>
      <c r="AD180" s="24" t="s">
        <v>1562</v>
      </c>
      <c r="AE180" s="24" t="s">
        <v>249</v>
      </c>
      <c r="AF180" s="24" t="s">
        <v>1563</v>
      </c>
      <c r="AG180" s="24" t="s">
        <v>1564</v>
      </c>
      <c r="AH180" s="24" t="s">
        <v>294</v>
      </c>
      <c r="AI180" s="24">
        <v>0</v>
      </c>
      <c r="AJ180" s="24">
        <v>0</v>
      </c>
      <c r="AK180" s="24">
        <v>0</v>
      </c>
      <c r="AL180" s="24" t="s">
        <v>1565</v>
      </c>
      <c r="AM180" s="24">
        <v>2</v>
      </c>
      <c r="AN180" s="23" t="s">
        <v>401</v>
      </c>
      <c r="AO180" s="24" t="s">
        <v>1566</v>
      </c>
      <c r="AP180" s="23" t="s">
        <v>1567</v>
      </c>
      <c r="AQ180" s="27" t="str">
        <f>+Base_Accidentes[[#This Row],[Tipo de Accidente]]</f>
        <v>Acc. No Incapacitante</v>
      </c>
      <c r="AR180" s="23" cm="1">
        <f t="array" aca="1" ref="AR180" ca="1">+Base_Accidentes[Población]</f>
        <v>0</v>
      </c>
      <c r="AS180" s="23"/>
      <c r="AT180" s="23"/>
    </row>
    <row r="181" spans="1:46" ht="48" hidden="1" x14ac:dyDescent="0.3">
      <c r="A181" s="45">
        <v>180</v>
      </c>
      <c r="B181" s="24" t="s">
        <v>129</v>
      </c>
      <c r="C181" s="23" t="s">
        <v>130</v>
      </c>
      <c r="D181" s="23" t="s">
        <v>131</v>
      </c>
      <c r="E181" s="51"/>
      <c r="F181" s="23" t="s">
        <v>148</v>
      </c>
      <c r="G181" s="24" t="s">
        <v>1568</v>
      </c>
      <c r="H181" s="24" t="s">
        <v>60</v>
      </c>
      <c r="I181" s="24" t="s">
        <v>1569</v>
      </c>
      <c r="J181" s="24" t="s">
        <v>62</v>
      </c>
      <c r="K181" s="24" t="str">
        <f>IF(ISBLANK(Base_Accidentes[[#This Row],[Tipo de Accidente]])," ",Base_Accidentes[[#This Row],[Tipo de Accidente]])</f>
        <v>Acc. No Incapacitante</v>
      </c>
      <c r="L181" s="49">
        <v>45534</v>
      </c>
      <c r="M181" s="47">
        <f>_xlfn.ISOWEEKNUM(Base_Accidentes[[#This Row],[Fecha
(XX/XX/2024)]])</f>
        <v>35</v>
      </c>
      <c r="N181" s="23">
        <f>DAY(Base_Accidentes[[#This Row],[Fecha
(XX/XX/2024)]])</f>
        <v>30</v>
      </c>
      <c r="O181" s="23">
        <f>MONTH(Base_Accidentes[[#This Row],[Fecha
(XX/XX/2024)]])</f>
        <v>8</v>
      </c>
      <c r="P181" s="23">
        <f>YEAR(Base_Accidentes[[#This Row],[Fecha
(XX/XX/2024)]])</f>
        <v>2024</v>
      </c>
      <c r="Q181" s="48">
        <v>0.40625</v>
      </c>
      <c r="R181" s="24" t="s">
        <v>63</v>
      </c>
      <c r="S181" s="24" t="s">
        <v>10</v>
      </c>
      <c r="T181" s="24" t="s">
        <v>64</v>
      </c>
      <c r="U181" s="24" t="s">
        <v>1570</v>
      </c>
      <c r="V181" s="24" t="s">
        <v>1571</v>
      </c>
      <c r="W181" s="24" t="s">
        <v>1572</v>
      </c>
      <c r="X181" s="24" t="s">
        <v>997</v>
      </c>
      <c r="Y181" s="24">
        <v>44</v>
      </c>
      <c r="Z181" s="24" t="s">
        <v>1573</v>
      </c>
      <c r="AA181" s="49">
        <v>42233</v>
      </c>
      <c r="AB181" s="24" t="s">
        <v>1574</v>
      </c>
      <c r="AC181" s="24" t="s">
        <v>419</v>
      </c>
      <c r="AD181" s="24" t="s">
        <v>1575</v>
      </c>
      <c r="AE181" s="24" t="s">
        <v>435</v>
      </c>
      <c r="AF181" s="24" t="s">
        <v>1311</v>
      </c>
      <c r="AG181" s="24" t="s">
        <v>1576</v>
      </c>
      <c r="AH181" s="24" t="s">
        <v>125</v>
      </c>
      <c r="AI181" s="24">
        <v>0</v>
      </c>
      <c r="AJ181" s="24">
        <v>0</v>
      </c>
      <c r="AK181" s="24">
        <v>0</v>
      </c>
      <c r="AL181" s="24" t="s">
        <v>78</v>
      </c>
      <c r="AM181" s="24">
        <v>114</v>
      </c>
      <c r="AN181" s="23" t="s">
        <v>79</v>
      </c>
      <c r="AO181" s="24" t="s">
        <v>1577</v>
      </c>
      <c r="AP181" s="23" t="s">
        <v>1155</v>
      </c>
      <c r="AQ181" s="27" t="str">
        <f>+Base_Accidentes[[#This Row],[Tipo de Accidente]]</f>
        <v>Acc. No Incapacitante</v>
      </c>
      <c r="AR181" s="23" cm="1">
        <f t="array" aca="1" ref="AR181" ca="1">+Base_Accidentes[Población]</f>
        <v>0</v>
      </c>
      <c r="AS181" s="23"/>
      <c r="AT181" s="23"/>
    </row>
    <row r="182" spans="1:46" ht="48" hidden="1" x14ac:dyDescent="0.3">
      <c r="A182" s="45">
        <v>181</v>
      </c>
      <c r="B182" s="23" t="s">
        <v>1578</v>
      </c>
      <c r="C182" s="23" t="s">
        <v>1</v>
      </c>
      <c r="D182" s="23" t="s">
        <v>56</v>
      </c>
      <c r="E182" s="51" t="s">
        <v>109</v>
      </c>
      <c r="F182" s="23" t="s">
        <v>110</v>
      </c>
      <c r="G182" s="24" t="s">
        <v>111</v>
      </c>
      <c r="H182" s="24" t="s">
        <v>60</v>
      </c>
      <c r="I182" s="24" t="s">
        <v>1208</v>
      </c>
      <c r="J182" s="24" t="s">
        <v>62</v>
      </c>
      <c r="K182" s="24" t="str">
        <f>IF(ISBLANK(Base_Accidentes[[#This Row],[Tipo de Accidente]])," ",Base_Accidentes[[#This Row],[Tipo de Accidente]])</f>
        <v>Acc. No Incapacitante</v>
      </c>
      <c r="L182" s="49">
        <v>45538</v>
      </c>
      <c r="M182" s="47">
        <f>_xlfn.ISOWEEKNUM(Base_Accidentes[[#This Row],[Fecha
(XX/XX/2024)]])</f>
        <v>36</v>
      </c>
      <c r="N182" s="23">
        <f>DAY(Base_Accidentes[[#This Row],[Fecha
(XX/XX/2024)]])</f>
        <v>3</v>
      </c>
      <c r="O182" s="23">
        <f>MONTH(Base_Accidentes[[#This Row],[Fecha
(XX/XX/2024)]])</f>
        <v>9</v>
      </c>
      <c r="P182" s="23">
        <f>YEAR(Base_Accidentes[[#This Row],[Fecha
(XX/XX/2024)]])</f>
        <v>2024</v>
      </c>
      <c r="Q182" s="48">
        <v>0.4375</v>
      </c>
      <c r="R182" s="24" t="s">
        <v>63</v>
      </c>
      <c r="S182" s="24" t="s">
        <v>10</v>
      </c>
      <c r="T182" s="24" t="s">
        <v>64</v>
      </c>
      <c r="U182" s="24" t="s">
        <v>1579</v>
      </c>
      <c r="V182" s="24" t="s">
        <v>1580</v>
      </c>
      <c r="W182" s="24" t="s">
        <v>1581</v>
      </c>
      <c r="X182" s="24" t="s">
        <v>68</v>
      </c>
      <c r="Y182" s="24">
        <v>37</v>
      </c>
      <c r="Z182" s="24" t="s">
        <v>1582</v>
      </c>
      <c r="AA182" s="49">
        <v>42142</v>
      </c>
      <c r="AB182" s="24" t="s">
        <v>1583</v>
      </c>
      <c r="AC182" s="24" t="s">
        <v>71</v>
      </c>
      <c r="AD182" s="24" t="s">
        <v>157</v>
      </c>
      <c r="AE182" s="24" t="s">
        <v>157</v>
      </c>
      <c r="AF182" s="24" t="s">
        <v>1584</v>
      </c>
      <c r="AG182" s="24" t="s">
        <v>1585</v>
      </c>
      <c r="AH182" s="24" t="s">
        <v>145</v>
      </c>
      <c r="AI182" s="24">
        <v>0</v>
      </c>
      <c r="AJ182" s="24">
        <v>0</v>
      </c>
      <c r="AK182" s="24">
        <v>0</v>
      </c>
      <c r="AL182" s="24" t="s">
        <v>78</v>
      </c>
      <c r="AM182" s="24">
        <v>111</v>
      </c>
      <c r="AN182" s="23" t="s">
        <v>146</v>
      </c>
      <c r="AO182" s="24" t="s">
        <v>1586</v>
      </c>
      <c r="AP182" s="23" t="s">
        <v>81</v>
      </c>
      <c r="AQ182" s="27" t="str">
        <f>+Base_Accidentes[[#This Row],[Tipo de Accidente]]</f>
        <v>Acc. No Incapacitante</v>
      </c>
      <c r="AR182" s="23" cm="1">
        <f t="array" aca="1" ref="AR182" ca="1">+Base_Accidentes[Población]</f>
        <v>0</v>
      </c>
      <c r="AS182" s="23"/>
      <c r="AT182" s="23"/>
    </row>
    <row r="183" spans="1:46" ht="51" hidden="1" customHeight="1" x14ac:dyDescent="0.3">
      <c r="A183" s="45">
        <v>182</v>
      </c>
      <c r="B183" s="24" t="s">
        <v>129</v>
      </c>
      <c r="C183" s="24" t="s">
        <v>1</v>
      </c>
      <c r="D183" s="23" t="s">
        <v>162</v>
      </c>
      <c r="E183" s="51" t="s">
        <v>1156</v>
      </c>
      <c r="F183" s="23" t="s">
        <v>164</v>
      </c>
      <c r="G183" s="24" t="s">
        <v>311</v>
      </c>
      <c r="H183" s="24" t="s">
        <v>1415</v>
      </c>
      <c r="I183" s="24" t="s">
        <v>1119</v>
      </c>
      <c r="J183" s="24" t="s">
        <v>113</v>
      </c>
      <c r="K183" s="24" t="str">
        <f>IF(ISBLANK(Base_Accidentes[[#This Row],[Tipo de Accidente]])," ",Base_Accidentes[[#This Row],[Tipo de Accidente]])</f>
        <v>Acc. Incapacitante</v>
      </c>
      <c r="L183" s="49">
        <v>45539</v>
      </c>
      <c r="M183" s="47">
        <f>_xlfn.ISOWEEKNUM(Base_Accidentes[[#This Row],[Fecha
(XX/XX/2024)]])</f>
        <v>36</v>
      </c>
      <c r="N183" s="23">
        <f>DAY(Base_Accidentes[[#This Row],[Fecha
(XX/XX/2024)]])</f>
        <v>4</v>
      </c>
      <c r="O183" s="23">
        <f>MONTH(Base_Accidentes[[#This Row],[Fecha
(XX/XX/2024)]])</f>
        <v>9</v>
      </c>
      <c r="P183" s="23">
        <f>YEAR(Base_Accidentes[[#This Row],[Fecha
(XX/XX/2024)]])</f>
        <v>2024</v>
      </c>
      <c r="Q183" s="48">
        <v>0.40277777777777779</v>
      </c>
      <c r="R183" s="24" t="s">
        <v>63</v>
      </c>
      <c r="S183" s="24" t="s">
        <v>167</v>
      </c>
      <c r="T183" s="24" t="s">
        <v>313</v>
      </c>
      <c r="U183" s="24" t="s">
        <v>1587</v>
      </c>
      <c r="V183" s="24" t="s">
        <v>1588</v>
      </c>
      <c r="W183" s="24" t="s">
        <v>1589</v>
      </c>
      <c r="X183" s="24" t="s">
        <v>68</v>
      </c>
      <c r="Y183" s="24">
        <v>20</v>
      </c>
      <c r="Z183" s="24" t="s">
        <v>1590</v>
      </c>
      <c r="AA183" s="49" t="s">
        <v>129</v>
      </c>
      <c r="AB183" s="24" t="s">
        <v>1591</v>
      </c>
      <c r="AC183" s="24" t="s">
        <v>101</v>
      </c>
      <c r="AD183" s="24" t="s">
        <v>1592</v>
      </c>
      <c r="AE183" s="24" t="s">
        <v>435</v>
      </c>
      <c r="AF183" s="24" t="s">
        <v>1593</v>
      </c>
      <c r="AG183" s="24" t="s">
        <v>321</v>
      </c>
      <c r="AH183" s="24" t="s">
        <v>145</v>
      </c>
      <c r="AI183" s="24">
        <v>12</v>
      </c>
      <c r="AJ183" s="24">
        <v>0</v>
      </c>
      <c r="AK183" s="24">
        <v>12</v>
      </c>
      <c r="AL183" s="24" t="s">
        <v>78</v>
      </c>
      <c r="AM183" s="24">
        <v>4</v>
      </c>
      <c r="AN183" s="23" t="s">
        <v>105</v>
      </c>
      <c r="AO183" s="24" t="s">
        <v>1594</v>
      </c>
      <c r="AP183" s="23" t="s">
        <v>92</v>
      </c>
      <c r="AQ183" s="27" t="str">
        <f>+Base_Accidentes[[#This Row],[Tipo de Accidente]]</f>
        <v>Acc. Incapacitante</v>
      </c>
      <c r="AR183" s="26" cm="1">
        <f t="array" aca="1" ref="AR183" ca="1">+Base_Accidentes[Población]</f>
        <v>0</v>
      </c>
      <c r="AS183" s="23" t="s">
        <v>128</v>
      </c>
      <c r="AT183" s="23"/>
    </row>
    <row r="184" spans="1:46" ht="48" hidden="1" x14ac:dyDescent="0.3">
      <c r="A184" s="45">
        <v>183</v>
      </c>
      <c r="B184" s="24" t="s">
        <v>129</v>
      </c>
      <c r="C184" s="24" t="s">
        <v>1</v>
      </c>
      <c r="D184" s="26" t="s">
        <v>162</v>
      </c>
      <c r="E184" s="62" t="s">
        <v>1156</v>
      </c>
      <c r="F184" s="26" t="s">
        <v>164</v>
      </c>
      <c r="G184" s="31" t="s">
        <v>242</v>
      </c>
      <c r="H184" s="31" t="s">
        <v>60</v>
      </c>
      <c r="I184" s="26" t="s">
        <v>60</v>
      </c>
      <c r="J184" s="24" t="s">
        <v>62</v>
      </c>
      <c r="K184" s="31" t="str">
        <f>IF(ISBLANK(Base_Accidentes[[#This Row],[Tipo de Accidente]])," ",Base_Accidentes[[#This Row],[Tipo de Accidente]])</f>
        <v>Acc. No Incapacitante</v>
      </c>
      <c r="L184" s="118">
        <v>45511</v>
      </c>
      <c r="M184" s="47">
        <f>_xlfn.ISOWEEKNUM(Base_Accidentes[[#This Row],[Fecha
(XX/XX/2024)]])</f>
        <v>32</v>
      </c>
      <c r="N184" s="23">
        <f>DAY(Base_Accidentes[[#This Row],[Fecha
(XX/XX/2024)]])</f>
        <v>7</v>
      </c>
      <c r="O184" s="23">
        <f>MONTH(Base_Accidentes[[#This Row],[Fecha
(XX/XX/2024)]])</f>
        <v>8</v>
      </c>
      <c r="P184" s="23">
        <f>YEAR(Base_Accidentes[[#This Row],[Fecha
(XX/XX/2024)]])</f>
        <v>2024</v>
      </c>
      <c r="Q184" s="69">
        <v>0.70833333333333337</v>
      </c>
      <c r="R184" s="26" t="s">
        <v>587</v>
      </c>
      <c r="S184" s="24" t="s">
        <v>10</v>
      </c>
      <c r="T184" s="26" t="s">
        <v>164</v>
      </c>
      <c r="U184" s="26" t="s">
        <v>519</v>
      </c>
      <c r="V184" s="26" t="s">
        <v>1595</v>
      </c>
      <c r="W184" s="26" t="s">
        <v>1596</v>
      </c>
      <c r="X184" s="26" t="s">
        <v>68</v>
      </c>
      <c r="Y184" s="24" t="s">
        <v>129</v>
      </c>
      <c r="Z184" s="31" t="s">
        <v>1597</v>
      </c>
      <c r="AA184" s="49" t="s">
        <v>129</v>
      </c>
      <c r="AB184" s="31" t="s">
        <v>1598</v>
      </c>
      <c r="AC184" s="26" t="s">
        <v>234</v>
      </c>
      <c r="AD184" s="26" t="s">
        <v>807</v>
      </c>
      <c r="AE184" s="26" t="s">
        <v>103</v>
      </c>
      <c r="AF184" s="31" t="s">
        <v>1599</v>
      </c>
      <c r="AG184" s="26" t="s">
        <v>1340</v>
      </c>
      <c r="AH184" s="26" t="s">
        <v>532</v>
      </c>
      <c r="AI184" s="26">
        <v>0</v>
      </c>
      <c r="AJ184" s="26"/>
      <c r="AK184" s="26"/>
      <c r="AL184" s="26"/>
      <c r="AM184" s="26"/>
      <c r="AN184" s="26"/>
      <c r="AO184" s="31" t="s">
        <v>1600</v>
      </c>
      <c r="AP184" s="26"/>
      <c r="AQ184" s="66" t="str">
        <f>+Base_Accidentes[[#This Row],[Tipo de Accidente]]</f>
        <v>Acc. No Incapacitante</v>
      </c>
      <c r="AR184" s="67" cm="1">
        <f t="array" aca="1" ref="AR184" ca="1">+Base_Accidentes[Población]</f>
        <v>0</v>
      </c>
      <c r="AS184" s="73"/>
      <c r="AT184" s="23"/>
    </row>
    <row r="185" spans="1:46" ht="24" hidden="1" x14ac:dyDescent="0.3">
      <c r="A185" s="45">
        <v>184</v>
      </c>
      <c r="B185" s="24" t="s">
        <v>129</v>
      </c>
      <c r="C185" s="24" t="s">
        <v>1</v>
      </c>
      <c r="D185" s="23" t="s">
        <v>162</v>
      </c>
      <c r="E185" s="26" t="s">
        <v>1156</v>
      </c>
      <c r="F185" s="26" t="s">
        <v>164</v>
      </c>
      <c r="G185" s="26" t="s">
        <v>242</v>
      </c>
      <c r="H185" s="24" t="s">
        <v>60</v>
      </c>
      <c r="I185" s="24" t="s">
        <v>60</v>
      </c>
      <c r="J185" s="24" t="s">
        <v>62</v>
      </c>
      <c r="K185" s="31" t="str">
        <f>IF(ISBLANK(Base_Accidentes[[#This Row],[Tipo de Accidente]])," ",Base_Accidentes[[#This Row],[Tipo de Accidente]])</f>
        <v>Acc. No Incapacitante</v>
      </c>
      <c r="L185" s="118">
        <v>45520</v>
      </c>
      <c r="M185" s="47">
        <f>_xlfn.ISOWEEKNUM(Base_Accidentes[[#This Row],[Fecha
(XX/XX/2024)]])</f>
        <v>33</v>
      </c>
      <c r="N185" s="23">
        <f>DAY(Base_Accidentes[[#This Row],[Fecha
(XX/XX/2024)]])</f>
        <v>16</v>
      </c>
      <c r="O185" s="23">
        <f>MONTH(Base_Accidentes[[#This Row],[Fecha
(XX/XX/2024)]])</f>
        <v>8</v>
      </c>
      <c r="P185" s="23">
        <f>YEAR(Base_Accidentes[[#This Row],[Fecha
(XX/XX/2024)]])</f>
        <v>2024</v>
      </c>
      <c r="Q185" s="69">
        <v>0.41041666666666665</v>
      </c>
      <c r="R185" s="26" t="s">
        <v>587</v>
      </c>
      <c r="S185" s="24" t="s">
        <v>10</v>
      </c>
      <c r="T185" s="26" t="s">
        <v>11</v>
      </c>
      <c r="U185" s="26" t="s">
        <v>1601</v>
      </c>
      <c r="V185" s="26" t="s">
        <v>1602</v>
      </c>
      <c r="W185" s="26" t="s">
        <v>1603</v>
      </c>
      <c r="X185" s="26" t="s">
        <v>68</v>
      </c>
      <c r="Y185" s="24" t="s">
        <v>129</v>
      </c>
      <c r="Z185" s="31" t="s">
        <v>172</v>
      </c>
      <c r="AA185" s="49" t="s">
        <v>129</v>
      </c>
      <c r="AB185" s="24" t="s">
        <v>1604</v>
      </c>
      <c r="AC185" s="26" t="s">
        <v>174</v>
      </c>
      <c r="AD185" s="26" t="s">
        <v>1562</v>
      </c>
      <c r="AE185" s="26" t="s">
        <v>235</v>
      </c>
      <c r="AF185" s="31" t="s">
        <v>1605</v>
      </c>
      <c r="AG185" s="26" t="s">
        <v>1606</v>
      </c>
      <c r="AH185" s="26"/>
      <c r="AI185" s="26">
        <v>0</v>
      </c>
      <c r="AJ185" s="26"/>
      <c r="AK185" s="26"/>
      <c r="AL185" s="26"/>
      <c r="AM185" s="26"/>
      <c r="AN185" s="26"/>
      <c r="AO185" s="31" t="s">
        <v>1607</v>
      </c>
      <c r="AP185" s="26"/>
      <c r="AQ185" s="66" t="str">
        <f>+Base_Accidentes[[#This Row],[Tipo de Accidente]]</f>
        <v>Acc. No Incapacitante</v>
      </c>
      <c r="AR185" s="67" cm="1">
        <f t="array" aca="1" ref="AR185" ca="1">+Base_Accidentes[Población]</f>
        <v>0</v>
      </c>
      <c r="AS185" s="73"/>
      <c r="AT185" s="23"/>
    </row>
    <row r="186" spans="1:46" ht="36" hidden="1" x14ac:dyDescent="0.3">
      <c r="A186" s="45">
        <v>185</v>
      </c>
      <c r="B186" s="24" t="s">
        <v>129</v>
      </c>
      <c r="C186" s="24" t="s">
        <v>1</v>
      </c>
      <c r="D186" s="26" t="s">
        <v>162</v>
      </c>
      <c r="E186" s="26" t="s">
        <v>1156</v>
      </c>
      <c r="F186" s="26" t="s">
        <v>164</v>
      </c>
      <c r="G186" s="31" t="s">
        <v>242</v>
      </c>
      <c r="H186" s="31" t="s">
        <v>60</v>
      </c>
      <c r="I186" s="26" t="s">
        <v>60</v>
      </c>
      <c r="J186" s="24" t="s">
        <v>62</v>
      </c>
      <c r="K186" s="31" t="str">
        <f>IF(ISBLANK(Base_Accidentes[[#This Row],[Tipo de Accidente]])," ",Base_Accidentes[[#This Row],[Tipo de Accidente]])</f>
        <v>Acc. No Incapacitante</v>
      </c>
      <c r="L186" s="118">
        <v>45523</v>
      </c>
      <c r="M186" s="47">
        <f>_xlfn.ISOWEEKNUM(Base_Accidentes[[#This Row],[Fecha
(XX/XX/2024)]])</f>
        <v>34</v>
      </c>
      <c r="N186" s="23">
        <f>DAY(Base_Accidentes[[#This Row],[Fecha
(XX/XX/2024)]])</f>
        <v>19</v>
      </c>
      <c r="O186" s="23">
        <f>MONTH(Base_Accidentes[[#This Row],[Fecha
(XX/XX/2024)]])</f>
        <v>8</v>
      </c>
      <c r="P186" s="23">
        <f>YEAR(Base_Accidentes[[#This Row],[Fecha
(XX/XX/2024)]])</f>
        <v>2024</v>
      </c>
      <c r="Q186" s="69">
        <v>0.70138888888888884</v>
      </c>
      <c r="R186" s="26" t="s">
        <v>587</v>
      </c>
      <c r="S186" s="24" t="s">
        <v>167</v>
      </c>
      <c r="T186" s="26" t="s">
        <v>168</v>
      </c>
      <c r="U186" s="26" t="s">
        <v>1608</v>
      </c>
      <c r="V186" s="26" t="s">
        <v>1609</v>
      </c>
      <c r="W186" s="26" t="s">
        <v>1610</v>
      </c>
      <c r="X186" s="26" t="s">
        <v>68</v>
      </c>
      <c r="Y186" s="24" t="s">
        <v>129</v>
      </c>
      <c r="Z186" s="31" t="s">
        <v>172</v>
      </c>
      <c r="AA186" s="49" t="s">
        <v>129</v>
      </c>
      <c r="AB186" s="31" t="s">
        <v>1611</v>
      </c>
      <c r="AC186" s="26" t="s">
        <v>101</v>
      </c>
      <c r="AD186" s="26" t="s">
        <v>1612</v>
      </c>
      <c r="AE186" s="31" t="s">
        <v>435</v>
      </c>
      <c r="AF186" s="31" t="s">
        <v>1613</v>
      </c>
      <c r="AG186" s="26" t="s">
        <v>270</v>
      </c>
      <c r="AH186" s="26"/>
      <c r="AI186" s="26">
        <v>0</v>
      </c>
      <c r="AJ186" s="26"/>
      <c r="AK186" s="26"/>
      <c r="AL186" s="26"/>
      <c r="AM186" s="26"/>
      <c r="AN186" s="26"/>
      <c r="AO186" s="31" t="s">
        <v>597</v>
      </c>
      <c r="AP186" s="26"/>
      <c r="AQ186" s="66" t="str">
        <f>+Base_Accidentes[[#This Row],[Tipo de Accidente]]</f>
        <v>Acc. No Incapacitante</v>
      </c>
      <c r="AR186" s="67" cm="1">
        <f t="array" aca="1" ref="AR186" ca="1">+Base_Accidentes[Población]</f>
        <v>0</v>
      </c>
      <c r="AS186" s="73"/>
      <c r="AT186" s="23"/>
    </row>
    <row r="187" spans="1:46" ht="72" hidden="1" x14ac:dyDescent="0.3">
      <c r="A187" s="45">
        <v>188</v>
      </c>
      <c r="B187" s="24" t="s">
        <v>129</v>
      </c>
      <c r="C187" s="24" t="s">
        <v>1</v>
      </c>
      <c r="D187" s="23" t="s">
        <v>162</v>
      </c>
      <c r="E187" s="51" t="s">
        <v>1156</v>
      </c>
      <c r="F187" s="23" t="s">
        <v>164</v>
      </c>
      <c r="G187" s="24" t="s">
        <v>428</v>
      </c>
      <c r="H187" s="24" t="s">
        <v>60</v>
      </c>
      <c r="I187" s="24" t="s">
        <v>438</v>
      </c>
      <c r="J187" s="24" t="s">
        <v>113</v>
      </c>
      <c r="K187" s="24" t="str">
        <f>IF(ISBLANK(Base_Accidentes[[#This Row],[Tipo de Accidente]])," ",Base_Accidentes[[#This Row],[Tipo de Accidente]])</f>
        <v>Acc. Incapacitante</v>
      </c>
      <c r="L187" s="49">
        <v>45542</v>
      </c>
      <c r="M187" s="47">
        <f>_xlfn.ISOWEEKNUM(Base_Accidentes[[#This Row],[Fecha
(XX/XX/2024)]])</f>
        <v>36</v>
      </c>
      <c r="N187" s="23">
        <f>DAY(Base_Accidentes[[#This Row],[Fecha
(XX/XX/2024)]])</f>
        <v>7</v>
      </c>
      <c r="O187" s="23">
        <f>MONTH(Base_Accidentes[[#This Row],[Fecha
(XX/XX/2024)]])</f>
        <v>9</v>
      </c>
      <c r="P187" s="23">
        <f>YEAR(Base_Accidentes[[#This Row],[Fecha
(XX/XX/2024)]])</f>
        <v>2024</v>
      </c>
      <c r="Q187" s="71">
        <v>0.1111111111111111</v>
      </c>
      <c r="R187" s="23" t="s">
        <v>135</v>
      </c>
      <c r="S187" s="24" t="s">
        <v>10</v>
      </c>
      <c r="T187" s="23" t="s">
        <v>164</v>
      </c>
      <c r="U187" s="23" t="s">
        <v>1614</v>
      </c>
      <c r="V187" s="23" t="s">
        <v>1615</v>
      </c>
      <c r="W187" s="23" t="s">
        <v>1616</v>
      </c>
      <c r="X187" s="24" t="s">
        <v>68</v>
      </c>
      <c r="Y187" s="23">
        <v>62</v>
      </c>
      <c r="Z187" s="24" t="s">
        <v>1149</v>
      </c>
      <c r="AA187" s="49" t="s">
        <v>129</v>
      </c>
      <c r="AB187" s="24" t="s">
        <v>1617</v>
      </c>
      <c r="AC187" s="24" t="s">
        <v>419</v>
      </c>
      <c r="AD187" s="23" t="s">
        <v>1612</v>
      </c>
      <c r="AE187" s="24" t="s">
        <v>435</v>
      </c>
      <c r="AF187" s="24" t="s">
        <v>1618</v>
      </c>
      <c r="AG187" s="24" t="s">
        <v>1619</v>
      </c>
      <c r="AH187" s="24" t="s">
        <v>145</v>
      </c>
      <c r="AI187" s="23">
        <v>9</v>
      </c>
      <c r="AJ187" s="23">
        <v>0</v>
      </c>
      <c r="AK187" s="23">
        <v>9</v>
      </c>
      <c r="AL187" s="24" t="s">
        <v>1322</v>
      </c>
      <c r="AM187" s="23">
        <v>72</v>
      </c>
      <c r="AN187" s="23" t="s">
        <v>146</v>
      </c>
      <c r="AO187" s="24" t="s">
        <v>1620</v>
      </c>
      <c r="AP187" s="23" t="s">
        <v>1155</v>
      </c>
      <c r="AQ187" s="27" t="str">
        <f>+Base_Accidentes[[#This Row],[Tipo de Accidente]]</f>
        <v>Acc. Incapacitante</v>
      </c>
      <c r="AR187" s="67" cm="1">
        <f t="array" aca="1" ref="AR187" ca="1">+Base_Accidentes[Población]</f>
        <v>0</v>
      </c>
      <c r="AS187" s="72" t="s">
        <v>128</v>
      </c>
      <c r="AT187" s="23"/>
    </row>
    <row r="188" spans="1:46" ht="36" hidden="1" x14ac:dyDescent="0.3">
      <c r="A188" s="45">
        <v>187</v>
      </c>
      <c r="B188" s="24" t="s">
        <v>129</v>
      </c>
      <c r="C188" s="24" t="s">
        <v>1</v>
      </c>
      <c r="D188" s="23" t="s">
        <v>56</v>
      </c>
      <c r="E188" s="23" t="s">
        <v>1452</v>
      </c>
      <c r="F188" s="23" t="s">
        <v>323</v>
      </c>
      <c r="G188" s="23" t="s">
        <v>1452</v>
      </c>
      <c r="H188" s="23" t="s">
        <v>324</v>
      </c>
      <c r="I188" s="23" t="s">
        <v>1621</v>
      </c>
      <c r="J188" s="23" t="s">
        <v>62</v>
      </c>
      <c r="K188" s="24" t="str">
        <f>IF(ISBLANK(Base_Accidentes[[#This Row],[Tipo de Accidente]])," ",Base_Accidentes[[#This Row],[Tipo de Accidente]])</f>
        <v>Acc. No Incapacitante</v>
      </c>
      <c r="L188" s="70">
        <v>45546</v>
      </c>
      <c r="M188" s="47">
        <f>_xlfn.ISOWEEKNUM(Base_Accidentes[[#This Row],[Fecha
(XX/XX/2024)]])</f>
        <v>37</v>
      </c>
      <c r="N188" s="23">
        <f>DAY(Base_Accidentes[[#This Row],[Fecha
(XX/XX/2024)]])</f>
        <v>11</v>
      </c>
      <c r="O188" s="23">
        <f>MONTH(Base_Accidentes[[#This Row],[Fecha
(XX/XX/2024)]])</f>
        <v>9</v>
      </c>
      <c r="P188" s="23">
        <f>YEAR(Base_Accidentes[[#This Row],[Fecha
(XX/XX/2024)]])</f>
        <v>2024</v>
      </c>
      <c r="Q188" s="71">
        <v>0.71805555555555556</v>
      </c>
      <c r="R188" s="23" t="s">
        <v>84</v>
      </c>
      <c r="S188" s="24" t="s">
        <v>10</v>
      </c>
      <c r="T188" s="24" t="s">
        <v>64</v>
      </c>
      <c r="U188" s="23" t="s">
        <v>1622</v>
      </c>
      <c r="V188" s="23" t="s">
        <v>1623</v>
      </c>
      <c r="W188" s="23" t="s">
        <v>1624</v>
      </c>
      <c r="X188" s="23" t="s">
        <v>1458</v>
      </c>
      <c r="Y188" s="23">
        <v>26</v>
      </c>
      <c r="Z188" s="24" t="s">
        <v>1625</v>
      </c>
      <c r="AA188" s="70">
        <v>44817</v>
      </c>
      <c r="AB188" s="23" t="s">
        <v>1626</v>
      </c>
      <c r="AC188" s="23" t="s">
        <v>71</v>
      </c>
      <c r="AD188" s="23" t="s">
        <v>1627</v>
      </c>
      <c r="AE188" s="24" t="s">
        <v>103</v>
      </c>
      <c r="AF188" s="24" t="s">
        <v>129</v>
      </c>
      <c r="AG188" s="24" t="s">
        <v>1628</v>
      </c>
      <c r="AH188" s="23" t="s">
        <v>1330</v>
      </c>
      <c r="AI188" s="23">
        <v>0</v>
      </c>
      <c r="AJ188" s="23">
        <v>0</v>
      </c>
      <c r="AK188" s="23">
        <v>0</v>
      </c>
      <c r="AL188" s="23" t="s">
        <v>1184</v>
      </c>
      <c r="AM188" s="23">
        <v>24</v>
      </c>
      <c r="AN188" s="23"/>
      <c r="AO188" s="24" t="s">
        <v>1629</v>
      </c>
      <c r="AP188" s="23" t="s">
        <v>81</v>
      </c>
      <c r="AQ188" s="27" t="str">
        <f>+Base_Accidentes[[#This Row],[Tipo de Accidente]]</f>
        <v>Acc. No Incapacitante</v>
      </c>
      <c r="AR188" s="67" cm="1">
        <f t="array" aca="1" ref="AR188" ca="1">+Base_Accidentes[Población]</f>
        <v>0</v>
      </c>
      <c r="AS188" s="72"/>
      <c r="AT188" s="23"/>
    </row>
    <row r="189" spans="1:46" ht="60" x14ac:dyDescent="0.3">
      <c r="A189" s="45">
        <v>186</v>
      </c>
      <c r="B189" s="24" t="s">
        <v>1630</v>
      </c>
      <c r="C189" s="24" t="s">
        <v>1</v>
      </c>
      <c r="D189" s="24" t="s">
        <v>56</v>
      </c>
      <c r="E189" s="24" t="s">
        <v>57</v>
      </c>
      <c r="F189" s="24" t="s">
        <v>323</v>
      </c>
      <c r="G189" s="24" t="s">
        <v>498</v>
      </c>
      <c r="H189" s="24" t="s">
        <v>324</v>
      </c>
      <c r="I189" s="24" t="s">
        <v>1631</v>
      </c>
      <c r="J189" s="24" t="s">
        <v>113</v>
      </c>
      <c r="K189" s="24" t="str">
        <f>IF(ISBLANK(Base_Accidentes[[#This Row],[Tipo de Accidente]])," ",Base_Accidentes[[#This Row],[Tipo de Accidente]])</f>
        <v>Acc. Incapacitante</v>
      </c>
      <c r="L189" s="49">
        <v>45545</v>
      </c>
      <c r="M189" s="47">
        <f>_xlfn.ISOWEEKNUM(Base_Accidentes[[#This Row],[Fecha
(XX/XX/2024)]])</f>
        <v>37</v>
      </c>
      <c r="N189" s="23">
        <f>DAY(Base_Accidentes[[#This Row],[Fecha
(XX/XX/2024)]])</f>
        <v>10</v>
      </c>
      <c r="O189" s="23">
        <f>MONTH(Base_Accidentes[[#This Row],[Fecha
(XX/XX/2024)]])</f>
        <v>9</v>
      </c>
      <c r="P189" s="23">
        <f>YEAR(Base_Accidentes[[#This Row],[Fecha
(XX/XX/2024)]])</f>
        <v>2024</v>
      </c>
      <c r="Q189" s="48">
        <v>0.28472222222222221</v>
      </c>
      <c r="R189" s="24" t="s">
        <v>63</v>
      </c>
      <c r="S189" s="24" t="s">
        <v>274</v>
      </c>
      <c r="T189" s="24" t="s">
        <v>275</v>
      </c>
      <c r="U189" s="24" t="s">
        <v>1632</v>
      </c>
      <c r="V189" s="24" t="s">
        <v>565</v>
      </c>
      <c r="W189" s="24" t="s">
        <v>1633</v>
      </c>
      <c r="X189" s="24" t="s">
        <v>68</v>
      </c>
      <c r="Y189" s="24">
        <v>49</v>
      </c>
      <c r="Z189" s="24" t="s">
        <v>742</v>
      </c>
      <c r="AA189" s="49" t="s">
        <v>129</v>
      </c>
      <c r="AB189" s="56" t="s">
        <v>1634</v>
      </c>
      <c r="AC189" s="24" t="s">
        <v>267</v>
      </c>
      <c r="AD189" s="24" t="s">
        <v>1575</v>
      </c>
      <c r="AE189" s="24" t="s">
        <v>435</v>
      </c>
      <c r="AF189" s="24" t="s">
        <v>1635</v>
      </c>
      <c r="AG189" s="24" t="s">
        <v>1636</v>
      </c>
      <c r="AH189" s="24" t="s">
        <v>224</v>
      </c>
      <c r="AI189" s="24">
        <v>29</v>
      </c>
      <c r="AJ189" s="24">
        <v>0</v>
      </c>
      <c r="AK189" s="24">
        <v>29</v>
      </c>
      <c r="AL189" s="24" t="s">
        <v>1322</v>
      </c>
      <c r="AM189" s="24">
        <v>6</v>
      </c>
      <c r="AN189" s="23" t="s">
        <v>105</v>
      </c>
      <c r="AO189" s="23" t="s">
        <v>864</v>
      </c>
      <c r="AP189" s="23" t="s">
        <v>403</v>
      </c>
      <c r="AQ189" s="27" t="str">
        <f>+Base_Accidentes[[#This Row],[Tipo de Accidente]]</f>
        <v>Acc. Incapacitante</v>
      </c>
      <c r="AR189" s="67" cm="1">
        <f t="array" aca="1" ref="AR189" ca="1">+Base_Accidentes[Población]</f>
        <v>0</v>
      </c>
      <c r="AS189" s="72" t="s">
        <v>128</v>
      </c>
      <c r="AT189" s="23"/>
    </row>
    <row r="190" spans="1:46" ht="36" hidden="1" x14ac:dyDescent="0.3">
      <c r="A190" s="45">
        <v>189</v>
      </c>
      <c r="B190" s="23" t="s">
        <v>1637</v>
      </c>
      <c r="C190" s="23" t="s">
        <v>1</v>
      </c>
      <c r="D190" s="23" t="s">
        <v>56</v>
      </c>
      <c r="E190" s="51" t="s">
        <v>109</v>
      </c>
      <c r="F190" s="23" t="s">
        <v>110</v>
      </c>
      <c r="G190" s="24" t="s">
        <v>111</v>
      </c>
      <c r="H190" s="24" t="s">
        <v>60</v>
      </c>
      <c r="I190" s="24" t="s">
        <v>1208</v>
      </c>
      <c r="J190" s="24" t="s">
        <v>113</v>
      </c>
      <c r="K190" s="24" t="str">
        <f>IF(ISBLANK(Base_Accidentes[[#This Row],[Tipo de Accidente]])," ",Base_Accidentes[[#This Row],[Tipo de Accidente]])</f>
        <v>Acc. Incapacitante</v>
      </c>
      <c r="L190" s="49">
        <v>45545</v>
      </c>
      <c r="M190" s="47">
        <f>_xlfn.ISOWEEKNUM(Base_Accidentes[[#This Row],[Fecha
(XX/XX/2024)]])</f>
        <v>37</v>
      </c>
      <c r="N190" s="23">
        <f>DAY(Base_Accidentes[[#This Row],[Fecha
(XX/XX/2024)]])</f>
        <v>10</v>
      </c>
      <c r="O190" s="23">
        <f>MONTH(Base_Accidentes[[#This Row],[Fecha
(XX/XX/2024)]])</f>
        <v>9</v>
      </c>
      <c r="P190" s="23">
        <f>YEAR(Base_Accidentes[[#This Row],[Fecha
(XX/XX/2024)]])</f>
        <v>2024</v>
      </c>
      <c r="Q190" s="71">
        <v>0.69444444444444442</v>
      </c>
      <c r="R190" s="23" t="s">
        <v>84</v>
      </c>
      <c r="S190" s="24" t="s">
        <v>10</v>
      </c>
      <c r="T190" s="24" t="s">
        <v>114</v>
      </c>
      <c r="U190" s="23" t="s">
        <v>1638</v>
      </c>
      <c r="V190" s="23" t="s">
        <v>1639</v>
      </c>
      <c r="W190" s="23" t="s">
        <v>1640</v>
      </c>
      <c r="X190" s="24" t="s">
        <v>68</v>
      </c>
      <c r="Y190" s="23">
        <v>46</v>
      </c>
      <c r="Z190" s="24" t="s">
        <v>1641</v>
      </c>
      <c r="AA190" s="70">
        <v>38961</v>
      </c>
      <c r="AB190" s="31" t="s">
        <v>1642</v>
      </c>
      <c r="AC190" s="24" t="s">
        <v>101</v>
      </c>
      <c r="AD190" s="23" t="s">
        <v>1643</v>
      </c>
      <c r="AE190" s="24" t="s">
        <v>249</v>
      </c>
      <c r="AF190" s="24" t="s">
        <v>1644</v>
      </c>
      <c r="AG190" s="24" t="s">
        <v>1645</v>
      </c>
      <c r="AH190" s="24" t="s">
        <v>145</v>
      </c>
      <c r="AI190" s="23">
        <v>1</v>
      </c>
      <c r="AJ190" s="23">
        <v>0</v>
      </c>
      <c r="AK190" s="23">
        <v>1</v>
      </c>
      <c r="AL190" s="24" t="s">
        <v>78</v>
      </c>
      <c r="AM190" s="23">
        <v>53</v>
      </c>
      <c r="AN190" s="23" t="s">
        <v>190</v>
      </c>
      <c r="AO190" s="24" t="s">
        <v>1646</v>
      </c>
      <c r="AP190" s="23" t="s">
        <v>81</v>
      </c>
      <c r="AQ190" s="27" t="str">
        <f>+Base_Accidentes[[#This Row],[Tipo de Accidente]]</f>
        <v>Acc. Incapacitante</v>
      </c>
      <c r="AR190" s="67" cm="1">
        <f t="array" aca="1" ref="AR190" ca="1">+Base_Accidentes[Población]</f>
        <v>0</v>
      </c>
      <c r="AS190" s="72" t="s">
        <v>128</v>
      </c>
      <c r="AT190" s="23"/>
    </row>
    <row r="191" spans="1:46" ht="60" hidden="1" customHeight="1" x14ac:dyDescent="0.3">
      <c r="A191" s="45">
        <v>190</v>
      </c>
      <c r="B191" s="24" t="s">
        <v>129</v>
      </c>
      <c r="C191" s="24" t="s">
        <v>1</v>
      </c>
      <c r="D191" s="24" t="s">
        <v>356</v>
      </c>
      <c r="E191" s="24" t="s">
        <v>735</v>
      </c>
      <c r="F191" s="24" t="s">
        <v>736</v>
      </c>
      <c r="G191" s="24" t="s">
        <v>737</v>
      </c>
      <c r="H191" s="24" t="s">
        <v>60</v>
      </c>
      <c r="I191" s="24" t="s">
        <v>738</v>
      </c>
      <c r="J191" s="24" t="s">
        <v>113</v>
      </c>
      <c r="K191" s="24" t="str">
        <f>IF(ISBLANK(Base_Accidentes[[#This Row],[Tipo de Accidente]])," ",Base_Accidentes[[#This Row],[Tipo de Accidente]])</f>
        <v>Acc. Incapacitante</v>
      </c>
      <c r="L191" s="49">
        <v>45544</v>
      </c>
      <c r="M191" s="47">
        <f>_xlfn.ISOWEEKNUM(Base_Accidentes[[#This Row],[Fecha
(XX/XX/2024)]])</f>
        <v>37</v>
      </c>
      <c r="N191" s="23">
        <f>DAY(Base_Accidentes[[#This Row],[Fecha
(XX/XX/2024)]])</f>
        <v>9</v>
      </c>
      <c r="O191" s="23">
        <f>MONTH(Base_Accidentes[[#This Row],[Fecha
(XX/XX/2024)]])</f>
        <v>9</v>
      </c>
      <c r="P191" s="23">
        <f>YEAR(Base_Accidentes[[#This Row],[Fecha
(XX/XX/2024)]])</f>
        <v>2024</v>
      </c>
      <c r="Q191" s="48">
        <v>0.8125</v>
      </c>
      <c r="R191" s="24" t="s">
        <v>135</v>
      </c>
      <c r="S191" s="24" t="s">
        <v>10</v>
      </c>
      <c r="T191" s="24" t="s">
        <v>717</v>
      </c>
      <c r="U191" s="24" t="s">
        <v>444</v>
      </c>
      <c r="V191" s="24" t="s">
        <v>470</v>
      </c>
      <c r="W191" s="24" t="s">
        <v>924</v>
      </c>
      <c r="X191" s="24" t="s">
        <v>68</v>
      </c>
      <c r="Y191" s="24">
        <v>26</v>
      </c>
      <c r="Z191" s="24" t="s">
        <v>1380</v>
      </c>
      <c r="AA191" s="75">
        <v>45459</v>
      </c>
      <c r="AB191" s="127" t="s">
        <v>1647</v>
      </c>
      <c r="AC191" s="45" t="s">
        <v>1648</v>
      </c>
      <c r="AD191" s="24" t="s">
        <v>1649</v>
      </c>
      <c r="AE191" s="24" t="s">
        <v>103</v>
      </c>
      <c r="AF191" s="24" t="s">
        <v>1650</v>
      </c>
      <c r="AG191" s="24" t="s">
        <v>1651</v>
      </c>
      <c r="AH191" s="24" t="s">
        <v>145</v>
      </c>
      <c r="AI191" s="24">
        <v>58</v>
      </c>
      <c r="AJ191" s="24">
        <v>0</v>
      </c>
      <c r="AK191" s="24">
        <v>58</v>
      </c>
      <c r="AL191" s="24" t="s">
        <v>1322</v>
      </c>
      <c r="AM191" s="24">
        <v>2</v>
      </c>
      <c r="AN191" s="23" t="s">
        <v>401</v>
      </c>
      <c r="AO191" s="24" t="s">
        <v>1652</v>
      </c>
      <c r="AP191" s="23" t="s">
        <v>92</v>
      </c>
      <c r="AQ191" s="27" t="str">
        <f>+Base_Accidentes[[#This Row],[Tipo de Accidente]]</f>
        <v>Acc. Incapacitante</v>
      </c>
      <c r="AR191" s="23" cm="1">
        <f t="array" aca="1" ref="AR191" ca="1">+Base_Accidentes[Población]</f>
        <v>0</v>
      </c>
      <c r="AS191" s="23" t="s">
        <v>128</v>
      </c>
      <c r="AT191" s="23"/>
    </row>
    <row r="192" spans="1:46" ht="60" customHeight="1" x14ac:dyDescent="0.3">
      <c r="A192" s="45">
        <v>191</v>
      </c>
      <c r="B192" s="24" t="s">
        <v>1653</v>
      </c>
      <c r="C192" s="24" t="s">
        <v>1</v>
      </c>
      <c r="D192" s="24" t="s">
        <v>56</v>
      </c>
      <c r="E192" s="24" t="s">
        <v>57</v>
      </c>
      <c r="F192" s="24" t="s">
        <v>323</v>
      </c>
      <c r="G192" s="24" t="s">
        <v>205</v>
      </c>
      <c r="H192" s="24" t="s">
        <v>324</v>
      </c>
      <c r="I192" s="24" t="s">
        <v>1654</v>
      </c>
      <c r="J192" s="24" t="s">
        <v>113</v>
      </c>
      <c r="K192" s="24" t="str">
        <f>IF(ISBLANK(Base_Accidentes[[#This Row],[Tipo de Accidente]])," ",Base_Accidentes[[#This Row],[Tipo de Accidente]])</f>
        <v>Acc. Incapacitante</v>
      </c>
      <c r="L192" s="49">
        <v>45551</v>
      </c>
      <c r="M192" s="47">
        <f>_xlfn.ISOWEEKNUM(Base_Accidentes[[#This Row],[Fecha
(XX/XX/2024)]])</f>
        <v>38</v>
      </c>
      <c r="N192" s="23">
        <f>DAY(Base_Accidentes[[#This Row],[Fecha
(XX/XX/2024)]])</f>
        <v>16</v>
      </c>
      <c r="O192" s="23">
        <f>MONTH(Base_Accidentes[[#This Row],[Fecha
(XX/XX/2024)]])</f>
        <v>9</v>
      </c>
      <c r="P192" s="23">
        <f>YEAR(Base_Accidentes[[#This Row],[Fecha
(XX/XX/2024)]])</f>
        <v>2024</v>
      </c>
      <c r="Q192" s="48">
        <v>0.39583333333333331</v>
      </c>
      <c r="R192" s="24" t="s">
        <v>63</v>
      </c>
      <c r="S192" s="24" t="s">
        <v>274</v>
      </c>
      <c r="T192" s="24" t="s">
        <v>275</v>
      </c>
      <c r="U192" s="24" t="s">
        <v>793</v>
      </c>
      <c r="V192" s="24" t="s">
        <v>492</v>
      </c>
      <c r="W192" s="24" t="s">
        <v>1655</v>
      </c>
      <c r="X192" s="24" t="s">
        <v>68</v>
      </c>
      <c r="Y192" s="24">
        <v>40</v>
      </c>
      <c r="Z192" s="24" t="s">
        <v>742</v>
      </c>
      <c r="AA192" s="49" t="s">
        <v>129</v>
      </c>
      <c r="AB192" s="24" t="s">
        <v>1656</v>
      </c>
      <c r="AC192" s="24" t="s">
        <v>267</v>
      </c>
      <c r="AD192" s="24" t="s">
        <v>1657</v>
      </c>
      <c r="AE192" s="24" t="s">
        <v>1128</v>
      </c>
      <c r="AF192" s="24" t="s">
        <v>1635</v>
      </c>
      <c r="AG192" s="24" t="s">
        <v>1658</v>
      </c>
      <c r="AH192" s="24" t="s">
        <v>125</v>
      </c>
      <c r="AI192" s="24">
        <v>22</v>
      </c>
      <c r="AJ192" s="24">
        <v>0</v>
      </c>
      <c r="AK192" s="24">
        <v>22</v>
      </c>
      <c r="AL192" s="24" t="s">
        <v>1322</v>
      </c>
      <c r="AM192" s="24">
        <v>30</v>
      </c>
      <c r="AN192" s="23" t="s">
        <v>190</v>
      </c>
      <c r="AO192" s="23" t="s">
        <v>864</v>
      </c>
      <c r="AP192" s="23" t="s">
        <v>403</v>
      </c>
      <c r="AQ192" s="27" t="str">
        <f>+Base_Accidentes[[#This Row],[Tipo de Accidente]]</f>
        <v>Acc. Incapacitante</v>
      </c>
      <c r="AR192" s="76" cm="1">
        <f t="array" aca="1" ref="AR192" ca="1">+Base_Accidentes[Población]</f>
        <v>0</v>
      </c>
      <c r="AS192" s="72" t="s">
        <v>128</v>
      </c>
      <c r="AT192" s="23"/>
    </row>
    <row r="193" spans="1:46" ht="60" customHeight="1" x14ac:dyDescent="0.3">
      <c r="A193" s="45">
        <v>192</v>
      </c>
      <c r="B193" s="23" t="s">
        <v>1659</v>
      </c>
      <c r="C193" s="23" t="s">
        <v>1</v>
      </c>
      <c r="D193" s="23" t="s">
        <v>56</v>
      </c>
      <c r="E193" s="51" t="s">
        <v>109</v>
      </c>
      <c r="F193" s="23" t="s">
        <v>110</v>
      </c>
      <c r="G193" s="24" t="s">
        <v>111</v>
      </c>
      <c r="H193" s="24" t="s">
        <v>60</v>
      </c>
      <c r="I193" s="24" t="s">
        <v>1660</v>
      </c>
      <c r="J193" s="24" t="s">
        <v>113</v>
      </c>
      <c r="K193" s="24" t="str">
        <f>IF(ISBLANK(Base_Accidentes[[#This Row],[Tipo de Accidente]])," ",Base_Accidentes[[#This Row],[Tipo de Accidente]])</f>
        <v>Acc. Incapacitante</v>
      </c>
      <c r="L193" s="49">
        <v>45552</v>
      </c>
      <c r="M193" s="47">
        <f>_xlfn.ISOWEEKNUM(Base_Accidentes[[#This Row],[Fecha
(XX/XX/2024)]])</f>
        <v>38</v>
      </c>
      <c r="N193" s="23">
        <f>DAY(Base_Accidentes[[#This Row],[Fecha
(XX/XX/2024)]])</f>
        <v>17</v>
      </c>
      <c r="O193" s="23">
        <f>MONTH(Base_Accidentes[[#This Row],[Fecha
(XX/XX/2024)]])</f>
        <v>9</v>
      </c>
      <c r="P193" s="23">
        <f>YEAR(Base_Accidentes[[#This Row],[Fecha
(XX/XX/2024)]])</f>
        <v>2024</v>
      </c>
      <c r="Q193" s="71">
        <v>0.3888888888888889</v>
      </c>
      <c r="R193" s="23" t="s">
        <v>63</v>
      </c>
      <c r="S193" s="24" t="s">
        <v>9</v>
      </c>
      <c r="T193" s="24" t="s">
        <v>1661</v>
      </c>
      <c r="U193" s="23" t="s">
        <v>1662</v>
      </c>
      <c r="V193" s="23" t="s">
        <v>1663</v>
      </c>
      <c r="W193" s="23" t="s">
        <v>1664</v>
      </c>
      <c r="X193" s="24" t="s">
        <v>68</v>
      </c>
      <c r="Y193" s="23">
        <v>39</v>
      </c>
      <c r="Z193" s="24" t="s">
        <v>742</v>
      </c>
      <c r="AA193" s="49" t="s">
        <v>129</v>
      </c>
      <c r="AB193" s="31" t="s">
        <v>1665</v>
      </c>
      <c r="AC193" s="24" t="s">
        <v>71</v>
      </c>
      <c r="AD193" s="23" t="s">
        <v>1666</v>
      </c>
      <c r="AE193" s="24" t="s">
        <v>235</v>
      </c>
      <c r="AF193" s="24" t="s">
        <v>1667</v>
      </c>
      <c r="AG193" s="24" t="s">
        <v>1668</v>
      </c>
      <c r="AH193" s="24" t="s">
        <v>145</v>
      </c>
      <c r="AI193" s="23">
        <v>2</v>
      </c>
      <c r="AJ193" s="23">
        <v>0</v>
      </c>
      <c r="AK193" s="23">
        <v>2</v>
      </c>
      <c r="AL193" s="24" t="s">
        <v>78</v>
      </c>
      <c r="AM193" s="23"/>
      <c r="AN193" s="23" t="s">
        <v>177</v>
      </c>
      <c r="AO193" s="24" t="s">
        <v>1669</v>
      </c>
      <c r="AP193" s="23"/>
      <c r="AQ193" s="27" t="str">
        <f>+Base_Accidentes[[#This Row],[Tipo de Accidente]]</f>
        <v>Acc. Incapacitante</v>
      </c>
      <c r="AR193" s="23" cm="1">
        <f t="array" aca="1" ref="AR193" ca="1">+Base_Accidentes[Población]</f>
        <v>0</v>
      </c>
      <c r="AS193" s="72" t="s">
        <v>128</v>
      </c>
      <c r="AT193" s="23"/>
    </row>
    <row r="194" spans="1:46" ht="36" x14ac:dyDescent="0.3">
      <c r="A194" s="45">
        <v>193</v>
      </c>
      <c r="B194" s="23" t="s">
        <v>1670</v>
      </c>
      <c r="C194" s="23" t="s">
        <v>1</v>
      </c>
      <c r="D194" s="23" t="s">
        <v>56</v>
      </c>
      <c r="E194" s="23" t="s">
        <v>109</v>
      </c>
      <c r="F194" s="23" t="s">
        <v>58</v>
      </c>
      <c r="G194" s="24" t="s">
        <v>59</v>
      </c>
      <c r="H194" s="31" t="s">
        <v>60</v>
      </c>
      <c r="I194" s="24" t="s">
        <v>1671</v>
      </c>
      <c r="J194" s="24" t="s">
        <v>62</v>
      </c>
      <c r="K194" s="24" t="str">
        <f>IF(ISBLANK(Base_Accidentes[[#This Row],[Tipo de Accidente]])," ",Base_Accidentes[[#This Row],[Tipo de Accidente]])</f>
        <v>Acc. No Incapacitante</v>
      </c>
      <c r="L194" s="49">
        <v>45553</v>
      </c>
      <c r="M194" s="47">
        <f>_xlfn.ISOWEEKNUM(Base_Accidentes[[#This Row],[Fecha
(XX/XX/2024)]])</f>
        <v>38</v>
      </c>
      <c r="N194" s="23">
        <f>DAY(Base_Accidentes[[#This Row],[Fecha
(XX/XX/2024)]])</f>
        <v>18</v>
      </c>
      <c r="O194" s="23">
        <f>MONTH(Base_Accidentes[[#This Row],[Fecha
(XX/XX/2024)]])</f>
        <v>9</v>
      </c>
      <c r="P194" s="23">
        <f>YEAR(Base_Accidentes[[#This Row],[Fecha
(XX/XX/2024)]])</f>
        <v>2024</v>
      </c>
      <c r="Q194" s="71">
        <v>0.77083333333333337</v>
      </c>
      <c r="R194" s="23" t="s">
        <v>84</v>
      </c>
      <c r="S194" s="23" t="s">
        <v>1672</v>
      </c>
      <c r="T194" s="23" t="s">
        <v>1673</v>
      </c>
      <c r="U194" s="23" t="s">
        <v>1674</v>
      </c>
      <c r="V194" s="23" t="s">
        <v>1675</v>
      </c>
      <c r="W194" s="23" t="s">
        <v>1676</v>
      </c>
      <c r="X194" s="23" t="s">
        <v>98</v>
      </c>
      <c r="Y194" s="23">
        <v>20</v>
      </c>
      <c r="Z194" s="24" t="s">
        <v>1677</v>
      </c>
      <c r="AA194" s="70">
        <v>45546</v>
      </c>
      <c r="AB194" s="24" t="s">
        <v>1678</v>
      </c>
      <c r="AC194" s="23" t="s">
        <v>120</v>
      </c>
      <c r="AD194" s="23" t="s">
        <v>1367</v>
      </c>
      <c r="AE194" s="24" t="s">
        <v>103</v>
      </c>
      <c r="AF194" s="24" t="s">
        <v>1679</v>
      </c>
      <c r="AG194" s="23" t="s">
        <v>1087</v>
      </c>
      <c r="AH194" s="24" t="s">
        <v>145</v>
      </c>
      <c r="AI194" s="23">
        <v>0</v>
      </c>
      <c r="AJ194" s="23">
        <v>0</v>
      </c>
      <c r="AK194" s="23">
        <v>0</v>
      </c>
      <c r="AL194" s="23" t="s">
        <v>1184</v>
      </c>
      <c r="AM194" s="23">
        <v>0</v>
      </c>
      <c r="AN194" s="23" t="s">
        <v>240</v>
      </c>
      <c r="AO194" s="24" t="s">
        <v>1629</v>
      </c>
      <c r="AP194" s="23" t="s">
        <v>92</v>
      </c>
      <c r="AQ194" s="27" t="str">
        <f>+Base_Accidentes[[#This Row],[Tipo de Accidente]]</f>
        <v>Acc. No Incapacitante</v>
      </c>
      <c r="AR194" s="23" cm="1">
        <f t="array" aca="1" ref="AR194" ca="1">+Base_Accidentes[Población]</f>
        <v>0</v>
      </c>
      <c r="AS194" s="72"/>
      <c r="AT194" s="23"/>
    </row>
    <row r="195" spans="1:46" ht="174" customHeight="1" x14ac:dyDescent="0.3">
      <c r="A195" s="45">
        <v>194</v>
      </c>
      <c r="B195" s="24" t="s">
        <v>1680</v>
      </c>
      <c r="C195" s="23" t="s">
        <v>1</v>
      </c>
      <c r="D195" s="23" t="s">
        <v>56</v>
      </c>
      <c r="E195" s="23" t="s">
        <v>109</v>
      </c>
      <c r="F195" s="23" t="s">
        <v>58</v>
      </c>
      <c r="G195" s="24" t="s">
        <v>59</v>
      </c>
      <c r="H195" s="31" t="s">
        <v>60</v>
      </c>
      <c r="I195" s="24" t="s">
        <v>1671</v>
      </c>
      <c r="J195" s="24" t="s">
        <v>113</v>
      </c>
      <c r="K195" s="24" t="str">
        <f>IF(ISBLANK(Base_Accidentes[[#This Row],[Tipo de Accidente]])," ",Base_Accidentes[[#This Row],[Tipo de Accidente]])</f>
        <v>Acc. Incapacitante</v>
      </c>
      <c r="L195" s="49">
        <v>45554</v>
      </c>
      <c r="M195" s="47">
        <f>_xlfn.ISOWEEKNUM(Base_Accidentes[[#This Row],[Fecha
(XX/XX/2024)]])</f>
        <v>38</v>
      </c>
      <c r="N195" s="23">
        <f>DAY(Base_Accidentes[[#This Row],[Fecha
(XX/XX/2024)]])</f>
        <v>19</v>
      </c>
      <c r="O195" s="23">
        <f>MONTH(Base_Accidentes[[#This Row],[Fecha
(XX/XX/2024)]])</f>
        <v>9</v>
      </c>
      <c r="P195" s="23">
        <f>YEAR(Base_Accidentes[[#This Row],[Fecha
(XX/XX/2024)]])</f>
        <v>2024</v>
      </c>
      <c r="Q195" s="71">
        <v>0.89583333333333337</v>
      </c>
      <c r="R195" s="23" t="s">
        <v>84</v>
      </c>
      <c r="S195" s="24" t="s">
        <v>167</v>
      </c>
      <c r="T195" s="23" t="s">
        <v>1673</v>
      </c>
      <c r="U195" s="23" t="s">
        <v>1674</v>
      </c>
      <c r="V195" s="23" t="s">
        <v>1675</v>
      </c>
      <c r="W195" s="23" t="s">
        <v>1676</v>
      </c>
      <c r="X195" s="23" t="s">
        <v>98</v>
      </c>
      <c r="Y195" s="23">
        <v>20</v>
      </c>
      <c r="Z195" s="24" t="s">
        <v>1677</v>
      </c>
      <c r="AA195" s="70">
        <v>45546</v>
      </c>
      <c r="AB195" s="24" t="s">
        <v>1681</v>
      </c>
      <c r="AC195" s="24" t="s">
        <v>267</v>
      </c>
      <c r="AD195" s="23" t="s">
        <v>1367</v>
      </c>
      <c r="AE195" s="24" t="s">
        <v>103</v>
      </c>
      <c r="AF195" s="24" t="s">
        <v>1679</v>
      </c>
      <c r="AG195" s="23" t="s">
        <v>481</v>
      </c>
      <c r="AH195" s="24" t="s">
        <v>76</v>
      </c>
      <c r="AI195" s="23">
        <v>14</v>
      </c>
      <c r="AJ195" s="23">
        <v>0</v>
      </c>
      <c r="AK195" s="23">
        <v>14</v>
      </c>
      <c r="AL195" s="23" t="s">
        <v>1322</v>
      </c>
      <c r="AM195" s="23">
        <v>0</v>
      </c>
      <c r="AN195" s="23" t="s">
        <v>240</v>
      </c>
      <c r="AO195" s="24" t="s">
        <v>1355</v>
      </c>
      <c r="AP195" s="23" t="s">
        <v>92</v>
      </c>
      <c r="AQ195" s="27" t="str">
        <f>+Base_Accidentes[[#This Row],[Tipo de Accidente]]</f>
        <v>Acc. Incapacitante</v>
      </c>
      <c r="AR195" s="23" cm="1">
        <f t="array" aca="1" ref="AR195" ca="1">+Base_Accidentes[Población]</f>
        <v>0</v>
      </c>
      <c r="AS195" s="72" t="s">
        <v>128</v>
      </c>
      <c r="AT195" s="23"/>
    </row>
    <row r="196" spans="1:46" ht="72" x14ac:dyDescent="0.3">
      <c r="A196" s="45">
        <v>195</v>
      </c>
      <c r="B196" s="23" t="s">
        <v>1682</v>
      </c>
      <c r="C196" s="23" t="s">
        <v>1</v>
      </c>
      <c r="D196" s="23" t="s">
        <v>56</v>
      </c>
      <c r="E196" s="23" t="s">
        <v>109</v>
      </c>
      <c r="F196" s="23" t="s">
        <v>58</v>
      </c>
      <c r="G196" s="24" t="s">
        <v>59</v>
      </c>
      <c r="H196" s="31" t="s">
        <v>60</v>
      </c>
      <c r="I196" s="24" t="s">
        <v>1671</v>
      </c>
      <c r="J196" s="24" t="s">
        <v>62</v>
      </c>
      <c r="K196" s="24" t="str">
        <f>IF(ISBLANK(Base_Accidentes[[#This Row],[Tipo de Accidente]])," ",Base_Accidentes[[#This Row],[Tipo de Accidente]])</f>
        <v>Acc. No Incapacitante</v>
      </c>
      <c r="L196" s="49">
        <v>45556</v>
      </c>
      <c r="M196" s="47">
        <f>_xlfn.ISOWEEKNUM(Base_Accidentes[[#This Row],[Fecha
(XX/XX/2024)]])</f>
        <v>38</v>
      </c>
      <c r="N196" s="23">
        <f>DAY(Base_Accidentes[[#This Row],[Fecha
(XX/XX/2024)]])</f>
        <v>21</v>
      </c>
      <c r="O196" s="23">
        <f>MONTH(Base_Accidentes[[#This Row],[Fecha
(XX/XX/2024)]])</f>
        <v>9</v>
      </c>
      <c r="P196" s="23">
        <f>YEAR(Base_Accidentes[[#This Row],[Fecha
(XX/XX/2024)]])</f>
        <v>2024</v>
      </c>
      <c r="Q196" s="71">
        <v>0.44444444444444442</v>
      </c>
      <c r="R196" s="23" t="s">
        <v>63</v>
      </c>
      <c r="S196" s="23" t="s">
        <v>1672</v>
      </c>
      <c r="T196" s="23" t="s">
        <v>1673</v>
      </c>
      <c r="U196" s="24" t="s">
        <v>1683</v>
      </c>
      <c r="V196" s="23" t="s">
        <v>1684</v>
      </c>
      <c r="W196" s="23" t="s">
        <v>1685</v>
      </c>
      <c r="X196" s="23" t="s">
        <v>98</v>
      </c>
      <c r="Y196" s="23">
        <v>40</v>
      </c>
      <c r="Z196" s="24" t="s">
        <v>1677</v>
      </c>
      <c r="AA196" s="70">
        <v>45518</v>
      </c>
      <c r="AB196" s="24" t="s">
        <v>1686</v>
      </c>
      <c r="AC196" s="24" t="s">
        <v>101</v>
      </c>
      <c r="AD196" s="23" t="s">
        <v>1562</v>
      </c>
      <c r="AE196" s="24" t="s">
        <v>103</v>
      </c>
      <c r="AF196" s="24" t="s">
        <v>1679</v>
      </c>
      <c r="AG196" s="23" t="s">
        <v>1687</v>
      </c>
      <c r="AH196" s="24" t="s">
        <v>145</v>
      </c>
      <c r="AI196" s="23">
        <v>0</v>
      </c>
      <c r="AJ196" s="23">
        <v>0</v>
      </c>
      <c r="AK196" s="23">
        <v>0</v>
      </c>
      <c r="AL196" s="23" t="s">
        <v>1184</v>
      </c>
      <c r="AM196" s="23">
        <v>1</v>
      </c>
      <c r="AN196" s="23" t="s">
        <v>401</v>
      </c>
      <c r="AO196" s="24" t="s">
        <v>1688</v>
      </c>
      <c r="AP196" s="23" t="s">
        <v>92</v>
      </c>
      <c r="AQ196" s="27" t="str">
        <f>+Base_Accidentes[[#This Row],[Tipo de Accidente]]</f>
        <v>Acc. No Incapacitante</v>
      </c>
      <c r="AR196" s="23" cm="1">
        <f t="array" aca="1" ref="AR196" ca="1">+Base_Accidentes[Población]</f>
        <v>0</v>
      </c>
      <c r="AS196" s="72"/>
      <c r="AT196" s="23"/>
    </row>
    <row r="197" spans="1:46" ht="97.5" hidden="1" customHeight="1" x14ac:dyDescent="0.3">
      <c r="A197" s="45">
        <v>196</v>
      </c>
      <c r="B197" s="26" t="s">
        <v>129</v>
      </c>
      <c r="C197" s="26" t="s">
        <v>130</v>
      </c>
      <c r="D197" s="23" t="s">
        <v>131</v>
      </c>
      <c r="E197" s="26"/>
      <c r="F197" s="23" t="s">
        <v>148</v>
      </c>
      <c r="G197" s="24" t="s">
        <v>149</v>
      </c>
      <c r="H197" s="24" t="s">
        <v>1415</v>
      </c>
      <c r="I197" s="24" t="s">
        <v>404</v>
      </c>
      <c r="J197" s="24" t="s">
        <v>113</v>
      </c>
      <c r="K197" s="24" t="s">
        <v>113</v>
      </c>
      <c r="L197" s="49">
        <v>45553</v>
      </c>
      <c r="M197" s="47">
        <f>_xlfn.ISOWEEKNUM(Base_Accidentes[[#This Row],[Fecha
(XX/XX/2024)]])</f>
        <v>38</v>
      </c>
      <c r="N197" s="23">
        <f>DAY(Base_Accidentes[[#This Row],[Fecha
(XX/XX/2024)]])</f>
        <v>18</v>
      </c>
      <c r="O197" s="23">
        <f>MONTH(Base_Accidentes[[#This Row],[Fecha
(XX/XX/2024)]])</f>
        <v>9</v>
      </c>
      <c r="P197" s="23">
        <f>YEAR(Base_Accidentes[[#This Row],[Fecha
(XX/XX/2024)]])</f>
        <v>2024</v>
      </c>
      <c r="Q197" s="48">
        <v>0.41666666666666669</v>
      </c>
      <c r="R197" s="24" t="s">
        <v>63</v>
      </c>
      <c r="S197" s="24" t="s">
        <v>1284</v>
      </c>
      <c r="T197" s="24" t="s">
        <v>114</v>
      </c>
      <c r="U197" s="24" t="s">
        <v>1689</v>
      </c>
      <c r="V197" s="24" t="s">
        <v>1690</v>
      </c>
      <c r="W197" s="24" t="s">
        <v>1691</v>
      </c>
      <c r="X197" s="24" t="s">
        <v>68</v>
      </c>
      <c r="Y197" s="24">
        <v>41</v>
      </c>
      <c r="Z197" s="24" t="s">
        <v>1692</v>
      </c>
      <c r="AA197" s="49">
        <v>43564</v>
      </c>
      <c r="AB197" s="24" t="s">
        <v>1693</v>
      </c>
      <c r="AC197" s="24" t="s">
        <v>419</v>
      </c>
      <c r="AD197" s="24" t="s">
        <v>651</v>
      </c>
      <c r="AE197" s="24" t="s">
        <v>157</v>
      </c>
      <c r="AF197" s="24" t="s">
        <v>1694</v>
      </c>
      <c r="AG197" s="24" t="s">
        <v>1695</v>
      </c>
      <c r="AH197" s="24" t="s">
        <v>654</v>
      </c>
      <c r="AI197" s="24">
        <v>3</v>
      </c>
      <c r="AJ197" s="24">
        <v>0</v>
      </c>
      <c r="AK197" s="24">
        <v>3</v>
      </c>
      <c r="AL197" s="24" t="s">
        <v>354</v>
      </c>
      <c r="AM197" s="24">
        <v>2190</v>
      </c>
      <c r="AN197" s="23" t="s">
        <v>146</v>
      </c>
      <c r="AO197" s="24" t="s">
        <v>655</v>
      </c>
      <c r="AP197" s="24" t="s">
        <v>1696</v>
      </c>
      <c r="AQ197" s="27" t="str">
        <f>+Base_Accidentes[[#This Row],[Tipo de Accidente]]</f>
        <v>Acc. Incapacitante</v>
      </c>
      <c r="AR197" s="23">
        <v>0</v>
      </c>
      <c r="AS197" s="72" t="s">
        <v>1697</v>
      </c>
      <c r="AT197" s="23"/>
    </row>
    <row r="198" spans="1:46" ht="51" hidden="1" customHeight="1" x14ac:dyDescent="0.3">
      <c r="A198" s="45">
        <v>197</v>
      </c>
      <c r="B198" s="26" t="s">
        <v>1698</v>
      </c>
      <c r="C198" s="23" t="s">
        <v>1</v>
      </c>
      <c r="D198" s="23" t="s">
        <v>56</v>
      </c>
      <c r="E198" s="51" t="s">
        <v>109</v>
      </c>
      <c r="F198" s="23" t="s">
        <v>110</v>
      </c>
      <c r="G198" s="24" t="s">
        <v>111</v>
      </c>
      <c r="H198" s="24" t="s">
        <v>150</v>
      </c>
      <c r="I198" s="24" t="s">
        <v>1699</v>
      </c>
      <c r="J198" s="24" t="s">
        <v>113</v>
      </c>
      <c r="K198" s="24" t="str">
        <f>IF(ISBLANK(Base_Accidentes[[#This Row],[Tipo de Accidente]])," ",Base_Accidentes[[#This Row],[Tipo de Accidente]])</f>
        <v>Acc. Incapacitante</v>
      </c>
      <c r="L198" s="49">
        <v>45559</v>
      </c>
      <c r="M198" s="47">
        <f>_xlfn.ISOWEEKNUM(Base_Accidentes[[#This Row],[Fecha
(XX/XX/2024)]])</f>
        <v>39</v>
      </c>
      <c r="N198" s="23">
        <f>DAY(Base_Accidentes[[#This Row],[Fecha
(XX/XX/2024)]])</f>
        <v>24</v>
      </c>
      <c r="O198" s="23">
        <f>MONTH(Base_Accidentes[[#This Row],[Fecha
(XX/XX/2024)]])</f>
        <v>9</v>
      </c>
      <c r="P198" s="23">
        <f>YEAR(Base_Accidentes[[#This Row],[Fecha
(XX/XX/2024)]])</f>
        <v>2024</v>
      </c>
      <c r="Q198" s="71">
        <v>0.65625</v>
      </c>
      <c r="R198" s="23" t="s">
        <v>84</v>
      </c>
      <c r="S198" s="24" t="s">
        <v>10</v>
      </c>
      <c r="T198" s="24" t="s">
        <v>114</v>
      </c>
      <c r="U198" s="23" t="s">
        <v>1700</v>
      </c>
      <c r="V198" s="23" t="s">
        <v>1701</v>
      </c>
      <c r="W198" s="23" t="s">
        <v>1702</v>
      </c>
      <c r="X198" s="23" t="s">
        <v>98</v>
      </c>
      <c r="Y198" s="23">
        <v>29</v>
      </c>
      <c r="Z198" s="24" t="s">
        <v>1703</v>
      </c>
      <c r="AA198" s="49">
        <v>44039</v>
      </c>
      <c r="AB198" s="31" t="s">
        <v>1704</v>
      </c>
      <c r="AC198" s="24" t="s">
        <v>101</v>
      </c>
      <c r="AD198" s="23" t="s">
        <v>1367</v>
      </c>
      <c r="AE198" s="24" t="s">
        <v>103</v>
      </c>
      <c r="AF198" s="24" t="s">
        <v>1705</v>
      </c>
      <c r="AG198" s="24" t="s">
        <v>1706</v>
      </c>
      <c r="AH198" s="24" t="s">
        <v>145</v>
      </c>
      <c r="AI198" s="23">
        <v>8</v>
      </c>
      <c r="AJ198" s="23">
        <v>0</v>
      </c>
      <c r="AK198" s="23">
        <v>8</v>
      </c>
      <c r="AL198" s="24" t="s">
        <v>1131</v>
      </c>
      <c r="AM198" s="23">
        <v>50</v>
      </c>
      <c r="AN198" s="23" t="s">
        <v>190</v>
      </c>
      <c r="AO198" s="24" t="s">
        <v>1707</v>
      </c>
      <c r="AP198" s="23" t="s">
        <v>81</v>
      </c>
      <c r="AQ198" s="27" t="str">
        <f>+Base_Accidentes[[#This Row],[Tipo de Accidente]]</f>
        <v>Acc. Incapacitante</v>
      </c>
      <c r="AR198" s="23" cm="1">
        <f t="array" aca="1" ref="AR198" ca="1">+Base_Accidentes[Población]</f>
        <v>0</v>
      </c>
      <c r="AS198" s="72" t="s">
        <v>128</v>
      </c>
      <c r="AT198" s="23"/>
    </row>
    <row r="199" spans="1:46" ht="192" customHeight="1" x14ac:dyDescent="0.3">
      <c r="A199" s="45">
        <v>198</v>
      </c>
      <c r="B199" s="26" t="s">
        <v>1708</v>
      </c>
      <c r="C199" s="23" t="s">
        <v>1</v>
      </c>
      <c r="D199" s="23" t="s">
        <v>56</v>
      </c>
      <c r="E199" s="51" t="s">
        <v>109</v>
      </c>
      <c r="F199" s="23" t="s">
        <v>323</v>
      </c>
      <c r="G199" s="24" t="s">
        <v>312</v>
      </c>
      <c r="H199" s="24" t="s">
        <v>312</v>
      </c>
      <c r="I199" s="24" t="s">
        <v>1709</v>
      </c>
      <c r="J199" s="24" t="s">
        <v>113</v>
      </c>
      <c r="K199" s="24" t="s">
        <v>113</v>
      </c>
      <c r="L199" s="49">
        <v>45558</v>
      </c>
      <c r="M199" s="47">
        <f>_xlfn.ISOWEEKNUM(Base_Accidentes[[#This Row],[Fecha
(XX/XX/2024)]])</f>
        <v>39</v>
      </c>
      <c r="N199" s="23">
        <f>DAY(Base_Accidentes[[#This Row],[Fecha
(XX/XX/2024)]])</f>
        <v>23</v>
      </c>
      <c r="O199" s="23">
        <f>MONTH(Base_Accidentes[[#This Row],[Fecha
(XX/XX/2024)]])</f>
        <v>9</v>
      </c>
      <c r="P199" s="23">
        <f>YEAR(Base_Accidentes[[#This Row],[Fecha
(XX/XX/2024)]])</f>
        <v>2024</v>
      </c>
      <c r="Q199" s="48">
        <v>0.56944444444444442</v>
      </c>
      <c r="R199" s="24" t="s">
        <v>587</v>
      </c>
      <c r="S199" s="24" t="s">
        <v>1187</v>
      </c>
      <c r="T199" s="24" t="s">
        <v>1710</v>
      </c>
      <c r="U199" s="24" t="s">
        <v>1711</v>
      </c>
      <c r="V199" s="24" t="s">
        <v>1615</v>
      </c>
      <c r="W199" s="24" t="s">
        <v>1712</v>
      </c>
      <c r="X199" s="24" t="s">
        <v>68</v>
      </c>
      <c r="Y199" s="24">
        <v>46</v>
      </c>
      <c r="Z199" s="24" t="s">
        <v>1187</v>
      </c>
      <c r="AA199" s="49" t="s">
        <v>75</v>
      </c>
      <c r="AB199" s="56" t="s">
        <v>1713</v>
      </c>
      <c r="AC199" s="24" t="s">
        <v>419</v>
      </c>
      <c r="AD199" s="24" t="s">
        <v>1427</v>
      </c>
      <c r="AE199" s="24" t="s">
        <v>1128</v>
      </c>
      <c r="AF199" s="24" t="s">
        <v>1714</v>
      </c>
      <c r="AG199" s="24" t="s">
        <v>1715</v>
      </c>
      <c r="AH199" s="24" t="s">
        <v>654</v>
      </c>
      <c r="AI199" s="24">
        <v>15</v>
      </c>
      <c r="AJ199" s="24">
        <v>0</v>
      </c>
      <c r="AK199" s="24">
        <v>15</v>
      </c>
      <c r="AL199" s="24" t="s">
        <v>1131</v>
      </c>
      <c r="AM199" s="24">
        <v>180</v>
      </c>
      <c r="AN199" s="23" t="s">
        <v>79</v>
      </c>
      <c r="AO199" s="24" t="s">
        <v>1716</v>
      </c>
      <c r="AP199" s="23" t="s">
        <v>81</v>
      </c>
      <c r="AQ199" s="27" t="str">
        <f>+Base_Accidentes[[#This Row],[Tipo de Accidente]]</f>
        <v>Acc. Incapacitante</v>
      </c>
      <c r="AR199" s="23" cm="1">
        <f t="array" aca="1" ref="AR199" ca="1">+Base_Accidentes[Población]</f>
        <v>0</v>
      </c>
      <c r="AS199" s="72" t="s">
        <v>128</v>
      </c>
      <c r="AT199" s="23"/>
    </row>
    <row r="200" spans="1:46" ht="60" hidden="1" x14ac:dyDescent="0.3">
      <c r="A200" s="45">
        <v>199</v>
      </c>
      <c r="B200" s="23" t="s">
        <v>1717</v>
      </c>
      <c r="C200" s="23" t="s">
        <v>1</v>
      </c>
      <c r="D200" s="23" t="s">
        <v>56</v>
      </c>
      <c r="E200" s="23" t="s">
        <v>109</v>
      </c>
      <c r="F200" s="23" t="s">
        <v>58</v>
      </c>
      <c r="G200" s="24" t="s">
        <v>59</v>
      </c>
      <c r="H200" s="24" t="s">
        <v>60</v>
      </c>
      <c r="I200" s="24" t="s">
        <v>1718</v>
      </c>
      <c r="J200" s="24" t="s">
        <v>113</v>
      </c>
      <c r="K200" s="24" t="str">
        <f>IF(ISBLANK(Base_Accidentes[[#This Row],[Tipo de Accidente]])," ",Base_Accidentes[[#This Row],[Tipo de Accidente]])</f>
        <v>Acc. Incapacitante</v>
      </c>
      <c r="L200" s="49">
        <v>45560</v>
      </c>
      <c r="M200" s="47">
        <f>_xlfn.ISOWEEKNUM(Base_Accidentes[[#This Row],[Fecha
(XX/XX/2024)]])</f>
        <v>39</v>
      </c>
      <c r="N200" s="23">
        <f>DAY(Base_Accidentes[[#This Row],[Fecha
(XX/XX/2024)]])</f>
        <v>25</v>
      </c>
      <c r="O200" s="23">
        <f>MONTH(Base_Accidentes[[#This Row],[Fecha
(XX/XX/2024)]])</f>
        <v>9</v>
      </c>
      <c r="P200" s="23">
        <f>YEAR(Base_Accidentes[[#This Row],[Fecha
(XX/XX/2024)]])</f>
        <v>2024</v>
      </c>
      <c r="Q200" s="55">
        <v>0.79166666666666663</v>
      </c>
      <c r="R200" s="83" t="s">
        <v>587</v>
      </c>
      <c r="S200" s="24" t="s">
        <v>10</v>
      </c>
      <c r="T200" s="24" t="s">
        <v>114</v>
      </c>
      <c r="U200" s="31" t="s">
        <v>1719</v>
      </c>
      <c r="V200" s="26" t="s">
        <v>1720</v>
      </c>
      <c r="W200" s="26" t="s">
        <v>1721</v>
      </c>
      <c r="X200" s="23" t="s">
        <v>68</v>
      </c>
      <c r="Y200" s="23">
        <v>48</v>
      </c>
      <c r="Z200" s="24" t="s">
        <v>1677</v>
      </c>
      <c r="AA200" s="75"/>
      <c r="AB200" s="24" t="s">
        <v>1722</v>
      </c>
      <c r="AC200" s="31" t="s">
        <v>201</v>
      </c>
      <c r="AD200" s="31" t="s">
        <v>1367</v>
      </c>
      <c r="AE200" s="31" t="s">
        <v>103</v>
      </c>
      <c r="AF200" s="31" t="s">
        <v>1723</v>
      </c>
      <c r="AG200" s="31" t="s">
        <v>1724</v>
      </c>
      <c r="AH200" s="31" t="s">
        <v>76</v>
      </c>
      <c r="AI200" s="31">
        <v>11</v>
      </c>
      <c r="AJ200" s="31">
        <v>0</v>
      </c>
      <c r="AK200" s="31">
        <v>11</v>
      </c>
      <c r="AL200" s="24" t="s">
        <v>1131</v>
      </c>
      <c r="AM200" s="31"/>
      <c r="AN200" s="26"/>
      <c r="AO200" s="31" t="s">
        <v>1725</v>
      </c>
      <c r="AP200" s="23" t="s">
        <v>81</v>
      </c>
      <c r="AQ200" s="66" t="str">
        <f>+Base_Accidentes[[#This Row],[Tipo de Accidente]]</f>
        <v>Acc. Incapacitante</v>
      </c>
      <c r="AR200" s="23" cm="1">
        <f t="array" aca="1" ref="AR200" ca="1">+Base_Accidentes[Población]</f>
        <v>0</v>
      </c>
      <c r="AS200" s="73" t="s">
        <v>128</v>
      </c>
      <c r="AT200" s="23" t="s">
        <v>128</v>
      </c>
    </row>
    <row r="201" spans="1:46" ht="36" hidden="1" x14ac:dyDescent="0.3">
      <c r="A201" s="45">
        <v>200</v>
      </c>
      <c r="B201" s="26" t="s">
        <v>1726</v>
      </c>
      <c r="C201" s="26" t="s">
        <v>1</v>
      </c>
      <c r="D201" s="23" t="s">
        <v>56</v>
      </c>
      <c r="E201" s="23" t="s">
        <v>109</v>
      </c>
      <c r="F201" s="23" t="s">
        <v>58</v>
      </c>
      <c r="G201" s="24" t="s">
        <v>59</v>
      </c>
      <c r="H201" s="31" t="s">
        <v>60</v>
      </c>
      <c r="I201" s="24" t="s">
        <v>1727</v>
      </c>
      <c r="J201" s="24" t="s">
        <v>62</v>
      </c>
      <c r="K201" s="24" t="str">
        <f>IF(ISBLANK(Base_Accidentes[[#This Row],[Tipo de Accidente]])," ",Base_Accidentes[[#This Row],[Tipo de Accidente]])</f>
        <v>Acc. No Incapacitante</v>
      </c>
      <c r="L201" s="49">
        <v>45562</v>
      </c>
      <c r="M201" s="47">
        <f>_xlfn.ISOWEEKNUM(Base_Accidentes[[#This Row],[Fecha
(XX/XX/2024)]])</f>
        <v>39</v>
      </c>
      <c r="N201" s="23">
        <f>DAY(Base_Accidentes[[#This Row],[Fecha
(XX/XX/2024)]])</f>
        <v>27</v>
      </c>
      <c r="O201" s="23">
        <f>MONTH(Base_Accidentes[[#This Row],[Fecha
(XX/XX/2024)]])</f>
        <v>9</v>
      </c>
      <c r="P201" s="23">
        <f>YEAR(Base_Accidentes[[#This Row],[Fecha
(XX/XX/2024)]])</f>
        <v>2024</v>
      </c>
      <c r="Q201" s="55">
        <v>0.3611111111111111</v>
      </c>
      <c r="R201" s="31" t="s">
        <v>587</v>
      </c>
      <c r="S201" s="31" t="s">
        <v>10</v>
      </c>
      <c r="T201" s="24" t="s">
        <v>64</v>
      </c>
      <c r="U201" s="31" t="s">
        <v>1728</v>
      </c>
      <c r="V201" s="26" t="s">
        <v>1729</v>
      </c>
      <c r="W201" s="26" t="s">
        <v>1730</v>
      </c>
      <c r="X201" s="23" t="s">
        <v>68</v>
      </c>
      <c r="Y201" s="23">
        <v>50</v>
      </c>
      <c r="Z201" s="24" t="s">
        <v>1677</v>
      </c>
      <c r="AA201" s="49"/>
      <c r="AB201" s="31" t="s">
        <v>1731</v>
      </c>
      <c r="AC201" s="31" t="s">
        <v>101</v>
      </c>
      <c r="AD201" s="31" t="s">
        <v>1367</v>
      </c>
      <c r="AE201" s="31" t="s">
        <v>103</v>
      </c>
      <c r="AF201" s="31" t="s">
        <v>1732</v>
      </c>
      <c r="AG201" s="31" t="s">
        <v>1724</v>
      </c>
      <c r="AH201" s="31" t="s">
        <v>76</v>
      </c>
      <c r="AI201" s="31">
        <v>0</v>
      </c>
      <c r="AJ201" s="31">
        <v>0</v>
      </c>
      <c r="AK201" s="31">
        <v>0</v>
      </c>
      <c r="AL201" s="23" t="s">
        <v>1184</v>
      </c>
      <c r="AM201" s="31"/>
      <c r="AN201" s="26"/>
      <c r="AO201" s="31" t="s">
        <v>1733</v>
      </c>
      <c r="AP201" s="23" t="s">
        <v>81</v>
      </c>
      <c r="AQ201" s="66" t="str">
        <f>+Base_Accidentes[[#This Row],[Tipo de Accidente]]</f>
        <v>Acc. No Incapacitante</v>
      </c>
      <c r="AR201" s="23" cm="1">
        <f t="array" aca="1" ref="AR201" ca="1">+Base_Accidentes[Población]</f>
        <v>0</v>
      </c>
      <c r="AS201" s="73"/>
      <c r="AT201" s="23"/>
    </row>
    <row r="202" spans="1:46" ht="36" x14ac:dyDescent="0.3">
      <c r="A202" s="45">
        <v>201</v>
      </c>
      <c r="B202" s="23" t="s">
        <v>1734</v>
      </c>
      <c r="C202" s="23" t="s">
        <v>1</v>
      </c>
      <c r="D202" s="23" t="s">
        <v>56</v>
      </c>
      <c r="E202" s="51" t="s">
        <v>109</v>
      </c>
      <c r="F202" s="23" t="s">
        <v>110</v>
      </c>
      <c r="G202" s="24" t="s">
        <v>111</v>
      </c>
      <c r="H202" s="24" t="s">
        <v>184</v>
      </c>
      <c r="I202" s="24" t="s">
        <v>1430</v>
      </c>
      <c r="J202" s="24" t="s">
        <v>62</v>
      </c>
      <c r="K202" s="24" t="str">
        <f>IF(ISBLANK(Base_Accidentes[[#This Row],[Tipo de Accidente]])," ",Base_Accidentes[[#This Row],[Tipo de Accidente]])</f>
        <v>Acc. No Incapacitante</v>
      </c>
      <c r="L202" s="49">
        <v>45556</v>
      </c>
      <c r="M202" s="47">
        <f>_xlfn.ISOWEEKNUM(Base_Accidentes[[#This Row],[Fecha
(XX/XX/2024)]])</f>
        <v>38</v>
      </c>
      <c r="N202" s="23">
        <f>DAY(Base_Accidentes[[#This Row],[Fecha
(XX/XX/2024)]])</f>
        <v>21</v>
      </c>
      <c r="O202" s="23">
        <f>MONTH(Base_Accidentes[[#This Row],[Fecha
(XX/XX/2024)]])</f>
        <v>9</v>
      </c>
      <c r="P202" s="23">
        <f>YEAR(Base_Accidentes[[#This Row],[Fecha
(XX/XX/2024)]])</f>
        <v>2024</v>
      </c>
      <c r="Q202" s="48">
        <v>0.61041666666666672</v>
      </c>
      <c r="R202" s="24" t="s">
        <v>63</v>
      </c>
      <c r="S202" s="24" t="s">
        <v>9</v>
      </c>
      <c r="T202" s="24" t="s">
        <v>1735</v>
      </c>
      <c r="U202" s="24" t="s">
        <v>1122</v>
      </c>
      <c r="V202" s="24" t="s">
        <v>1736</v>
      </c>
      <c r="W202" s="24" t="s">
        <v>1737</v>
      </c>
      <c r="X202" s="24" t="s">
        <v>68</v>
      </c>
      <c r="Y202" s="24">
        <v>46</v>
      </c>
      <c r="Z202" s="24" t="s">
        <v>1738</v>
      </c>
      <c r="AA202" s="49"/>
      <c r="AB202" s="24" t="s">
        <v>1739</v>
      </c>
      <c r="AC202" s="24" t="s">
        <v>575</v>
      </c>
      <c r="AD202" s="24" t="s">
        <v>1643</v>
      </c>
      <c r="AE202" s="24" t="s">
        <v>249</v>
      </c>
      <c r="AF202" s="24" t="s">
        <v>1740</v>
      </c>
      <c r="AG202" s="24" t="s">
        <v>1741</v>
      </c>
      <c r="AH202" s="24" t="s">
        <v>294</v>
      </c>
      <c r="AI202" s="24">
        <v>0</v>
      </c>
      <c r="AJ202" s="24">
        <v>0</v>
      </c>
      <c r="AK202" s="24">
        <v>0</v>
      </c>
      <c r="AL202" s="24" t="s">
        <v>78</v>
      </c>
      <c r="AM202" s="24"/>
      <c r="AN202" s="23"/>
      <c r="AO202" s="24" t="s">
        <v>1742</v>
      </c>
      <c r="AP202" s="23"/>
      <c r="AQ202" s="27" t="str">
        <f>+Base_Accidentes[[#This Row],[Tipo de Accidente]]</f>
        <v>Acc. No Incapacitante</v>
      </c>
      <c r="AR202" s="23" cm="1">
        <f t="array" aca="1" ref="AR202" ca="1">+Base_Accidentes[Población]</f>
        <v>0</v>
      </c>
      <c r="AS202" s="23"/>
      <c r="AT202" s="23"/>
    </row>
    <row r="203" spans="1:46" ht="36" hidden="1" x14ac:dyDescent="0.3">
      <c r="A203" s="45">
        <v>202</v>
      </c>
      <c r="B203" s="23"/>
      <c r="C203" s="23" t="s">
        <v>1</v>
      </c>
      <c r="D203" s="23" t="s">
        <v>162</v>
      </c>
      <c r="E203" s="51" t="s">
        <v>1156</v>
      </c>
      <c r="F203" s="23" t="s">
        <v>164</v>
      </c>
      <c r="G203" s="24" t="s">
        <v>428</v>
      </c>
      <c r="H203" s="31" t="s">
        <v>60</v>
      </c>
      <c r="I203" s="24" t="s">
        <v>438</v>
      </c>
      <c r="J203" s="24" t="s">
        <v>62</v>
      </c>
      <c r="K203" s="24" t="str">
        <f>IF(ISBLANK(Base_Accidentes[[#This Row],[Tipo de Accidente]])," ",Base_Accidentes[[#This Row],[Tipo de Accidente]])</f>
        <v>Acc. No Incapacitante</v>
      </c>
      <c r="L203" s="49">
        <v>45546</v>
      </c>
      <c r="M203" s="47">
        <f>_xlfn.ISOWEEKNUM(Base_Accidentes[[#This Row],[Fecha
(XX/XX/2024)]])</f>
        <v>37</v>
      </c>
      <c r="N203" s="23">
        <f>DAY(Base_Accidentes[[#This Row],[Fecha
(XX/XX/2024)]])</f>
        <v>11</v>
      </c>
      <c r="O203" s="23">
        <f>MONTH(Base_Accidentes[[#This Row],[Fecha
(XX/XX/2024)]])</f>
        <v>9</v>
      </c>
      <c r="P203" s="23">
        <f>YEAR(Base_Accidentes[[#This Row],[Fecha
(XX/XX/2024)]])</f>
        <v>2024</v>
      </c>
      <c r="Q203" s="55">
        <v>0.72499999999999998</v>
      </c>
      <c r="R203" s="31" t="s">
        <v>587</v>
      </c>
      <c r="S203" s="31" t="s">
        <v>167</v>
      </c>
      <c r="T203" s="24" t="s">
        <v>168</v>
      </c>
      <c r="U203" s="31" t="s">
        <v>1743</v>
      </c>
      <c r="V203" s="26" t="s">
        <v>1744</v>
      </c>
      <c r="W203" s="26" t="s">
        <v>1745</v>
      </c>
      <c r="X203" s="23" t="s">
        <v>68</v>
      </c>
      <c r="Y203" s="23"/>
      <c r="Z203" s="24" t="s">
        <v>172</v>
      </c>
      <c r="AA203" s="49"/>
      <c r="AB203" s="31" t="s">
        <v>1746</v>
      </c>
      <c r="AC203" s="31" t="s">
        <v>101</v>
      </c>
      <c r="AD203" s="31" t="s">
        <v>157</v>
      </c>
      <c r="AE203" s="31" t="s">
        <v>157</v>
      </c>
      <c r="AF203" s="31" t="s">
        <v>1747</v>
      </c>
      <c r="AG203" s="31" t="s">
        <v>321</v>
      </c>
      <c r="AH203" s="31" t="s">
        <v>145</v>
      </c>
      <c r="AI203" s="31">
        <v>0</v>
      </c>
      <c r="AJ203" s="31">
        <v>0</v>
      </c>
      <c r="AK203" s="31">
        <v>0</v>
      </c>
      <c r="AL203" s="23" t="s">
        <v>1184</v>
      </c>
      <c r="AM203" s="31"/>
      <c r="AN203" s="26"/>
      <c r="AO203" s="31" t="s">
        <v>1748</v>
      </c>
      <c r="AP203" s="23" t="s">
        <v>92</v>
      </c>
      <c r="AQ203" s="27" t="str">
        <f>+Base_Accidentes[[#This Row],[Tipo de Accidente]]</f>
        <v>Acc. No Incapacitante</v>
      </c>
      <c r="AR203" s="23"/>
      <c r="AS203" s="73"/>
      <c r="AT203" s="23"/>
    </row>
    <row r="204" spans="1:46" ht="36" hidden="1" x14ac:dyDescent="0.3">
      <c r="A204" s="45">
        <v>203</v>
      </c>
      <c r="B204" s="23"/>
      <c r="C204" s="23" t="s">
        <v>1</v>
      </c>
      <c r="D204" s="23" t="s">
        <v>162</v>
      </c>
      <c r="E204" s="51" t="s">
        <v>1156</v>
      </c>
      <c r="F204" s="23" t="s">
        <v>164</v>
      </c>
      <c r="G204" s="24" t="s">
        <v>1314</v>
      </c>
      <c r="H204" s="31" t="s">
        <v>60</v>
      </c>
      <c r="I204" s="24" t="s">
        <v>1315</v>
      </c>
      <c r="J204" s="24" t="s">
        <v>62</v>
      </c>
      <c r="K204" s="24" t="str">
        <f>IF(ISBLANK(Base_Accidentes[[#This Row],[Tipo de Accidente]])," ",Base_Accidentes[[#This Row],[Tipo de Accidente]])</f>
        <v>Acc. No Incapacitante</v>
      </c>
      <c r="L204" s="49">
        <v>45546</v>
      </c>
      <c r="M204" s="47">
        <f>_xlfn.ISOWEEKNUM(Base_Accidentes[[#This Row],[Fecha
(XX/XX/2024)]])</f>
        <v>37</v>
      </c>
      <c r="N204" s="23">
        <f>DAY(Base_Accidentes[[#This Row],[Fecha
(XX/XX/2024)]])</f>
        <v>11</v>
      </c>
      <c r="O204" s="23">
        <f>MONTH(Base_Accidentes[[#This Row],[Fecha
(XX/XX/2024)]])</f>
        <v>9</v>
      </c>
      <c r="P204" s="23">
        <f>YEAR(Base_Accidentes[[#This Row],[Fecha
(XX/XX/2024)]])</f>
        <v>2024</v>
      </c>
      <c r="Q204" s="55">
        <v>0.72916666666666663</v>
      </c>
      <c r="R204" s="31" t="s">
        <v>587</v>
      </c>
      <c r="S204" s="31" t="s">
        <v>167</v>
      </c>
      <c r="T204" s="24" t="s">
        <v>168</v>
      </c>
      <c r="U204" s="31" t="s">
        <v>1749</v>
      </c>
      <c r="V204" s="26" t="s">
        <v>1396</v>
      </c>
      <c r="W204" s="26" t="s">
        <v>1750</v>
      </c>
      <c r="X204" s="23" t="s">
        <v>98</v>
      </c>
      <c r="Y204" s="23"/>
      <c r="Z204" s="24" t="s">
        <v>172</v>
      </c>
      <c r="AA204" s="49"/>
      <c r="AB204" s="31" t="s">
        <v>1751</v>
      </c>
      <c r="AC204" s="31" t="s">
        <v>101</v>
      </c>
      <c r="AD204" s="31" t="s">
        <v>1752</v>
      </c>
      <c r="AE204" s="31" t="s">
        <v>333</v>
      </c>
      <c r="AF204" s="31" t="s">
        <v>609</v>
      </c>
      <c r="AG204" s="31" t="s">
        <v>321</v>
      </c>
      <c r="AH204" s="31" t="s">
        <v>145</v>
      </c>
      <c r="AI204" s="31">
        <v>0</v>
      </c>
      <c r="AJ204" s="31">
        <v>0</v>
      </c>
      <c r="AK204" s="31">
        <v>0</v>
      </c>
      <c r="AL204" s="23" t="s">
        <v>1184</v>
      </c>
      <c r="AM204" s="31"/>
      <c r="AN204" s="26"/>
      <c r="AO204" s="31" t="s">
        <v>1753</v>
      </c>
      <c r="AP204" s="23" t="s">
        <v>92</v>
      </c>
      <c r="AQ204" s="27" t="str">
        <f>+Base_Accidentes[[#This Row],[Tipo de Accidente]]</f>
        <v>Acc. No Incapacitante</v>
      </c>
      <c r="AR204" s="23"/>
      <c r="AS204" s="73"/>
      <c r="AT204" s="23"/>
    </row>
    <row r="205" spans="1:46" ht="36" hidden="1" x14ac:dyDescent="0.3">
      <c r="A205" s="45">
        <v>204</v>
      </c>
      <c r="B205" s="23"/>
      <c r="C205" s="23" t="s">
        <v>1</v>
      </c>
      <c r="D205" s="23" t="s">
        <v>162</v>
      </c>
      <c r="E205" s="51" t="s">
        <v>1156</v>
      </c>
      <c r="F205" s="23" t="s">
        <v>164</v>
      </c>
      <c r="G205" s="24" t="s">
        <v>428</v>
      </c>
      <c r="H205" s="24" t="s">
        <v>60</v>
      </c>
      <c r="I205" s="24" t="s">
        <v>475</v>
      </c>
      <c r="J205" s="24" t="s">
        <v>62</v>
      </c>
      <c r="K205" s="24" t="str">
        <f>IF(ISBLANK(Base_Accidentes[[#This Row],[Tipo de Accidente]])," ",Base_Accidentes[[#This Row],[Tipo de Accidente]])</f>
        <v>Acc. No Incapacitante</v>
      </c>
      <c r="L205" s="49">
        <v>45548</v>
      </c>
      <c r="M205" s="47">
        <f>_xlfn.ISOWEEKNUM(Base_Accidentes[[#This Row],[Fecha
(XX/XX/2024)]])</f>
        <v>37</v>
      </c>
      <c r="N205" s="23">
        <f>DAY(Base_Accidentes[[#This Row],[Fecha
(XX/XX/2024)]])</f>
        <v>13</v>
      </c>
      <c r="O205" s="23">
        <f>MONTH(Base_Accidentes[[#This Row],[Fecha
(XX/XX/2024)]])</f>
        <v>9</v>
      </c>
      <c r="P205" s="23">
        <f>YEAR(Base_Accidentes[[#This Row],[Fecha
(XX/XX/2024)]])</f>
        <v>2024</v>
      </c>
      <c r="Q205" s="48">
        <v>0.64583333333333337</v>
      </c>
      <c r="R205" s="24" t="s">
        <v>587</v>
      </c>
      <c r="S205" s="24" t="s">
        <v>167</v>
      </c>
      <c r="T205" s="24" t="s">
        <v>168</v>
      </c>
      <c r="U205" s="24" t="s">
        <v>1754</v>
      </c>
      <c r="V205" s="23" t="s">
        <v>1755</v>
      </c>
      <c r="W205" s="23" t="s">
        <v>1756</v>
      </c>
      <c r="X205" s="23" t="s">
        <v>98</v>
      </c>
      <c r="Y205" s="23"/>
      <c r="Z205" s="24" t="s">
        <v>172</v>
      </c>
      <c r="AA205" s="49"/>
      <c r="AB205" s="24" t="s">
        <v>1757</v>
      </c>
      <c r="AC205" s="24" t="s">
        <v>101</v>
      </c>
      <c r="AD205" s="24" t="s">
        <v>1758</v>
      </c>
      <c r="AE205" s="24" t="s">
        <v>142</v>
      </c>
      <c r="AF205" s="24" t="s">
        <v>1759</v>
      </c>
      <c r="AG205" s="24" t="s">
        <v>321</v>
      </c>
      <c r="AH205" s="24" t="s">
        <v>145</v>
      </c>
      <c r="AI205" s="24">
        <v>0</v>
      </c>
      <c r="AJ205" s="24">
        <v>0</v>
      </c>
      <c r="AK205" s="24">
        <v>0</v>
      </c>
      <c r="AL205" s="23" t="s">
        <v>1184</v>
      </c>
      <c r="AM205" s="24"/>
      <c r="AN205" s="23"/>
      <c r="AO205" s="24" t="s">
        <v>1760</v>
      </c>
      <c r="AP205" s="23" t="s">
        <v>92</v>
      </c>
      <c r="AQ205" s="27" t="str">
        <f>+Base_Accidentes[[#This Row],[Tipo de Accidente]]</f>
        <v>Acc. No Incapacitante</v>
      </c>
      <c r="AR205" s="64"/>
      <c r="AS205" s="23"/>
      <c r="AT205" s="23"/>
    </row>
    <row r="206" spans="1:46" ht="36" hidden="1" x14ac:dyDescent="0.3">
      <c r="A206" s="45">
        <v>205</v>
      </c>
      <c r="B206" s="23"/>
      <c r="C206" s="23" t="s">
        <v>1</v>
      </c>
      <c r="D206" s="23" t="s">
        <v>162</v>
      </c>
      <c r="E206" s="51" t="s">
        <v>1156</v>
      </c>
      <c r="F206" s="23" t="s">
        <v>164</v>
      </c>
      <c r="G206" s="24" t="s">
        <v>428</v>
      </c>
      <c r="H206" s="24" t="s">
        <v>60</v>
      </c>
      <c r="I206" s="24" t="s">
        <v>475</v>
      </c>
      <c r="J206" s="24" t="s">
        <v>62</v>
      </c>
      <c r="K206" s="24" t="str">
        <f>IF(ISBLANK(Base_Accidentes[[#This Row],[Tipo de Accidente]])," ",Base_Accidentes[[#This Row],[Tipo de Accidente]])</f>
        <v>Acc. No Incapacitante</v>
      </c>
      <c r="L206" s="49">
        <v>45549</v>
      </c>
      <c r="M206" s="47">
        <f>_xlfn.ISOWEEKNUM(Base_Accidentes[[#This Row],[Fecha
(XX/XX/2024)]])</f>
        <v>37</v>
      </c>
      <c r="N206" s="23">
        <f>DAY(Base_Accidentes[[#This Row],[Fecha
(XX/XX/2024)]])</f>
        <v>14</v>
      </c>
      <c r="O206" s="23">
        <f>MONTH(Base_Accidentes[[#This Row],[Fecha
(XX/XX/2024)]])</f>
        <v>9</v>
      </c>
      <c r="P206" s="23">
        <f>YEAR(Base_Accidentes[[#This Row],[Fecha
(XX/XX/2024)]])</f>
        <v>2024</v>
      </c>
      <c r="Q206" s="48">
        <v>0.50416666666666665</v>
      </c>
      <c r="R206" s="24" t="s">
        <v>587</v>
      </c>
      <c r="S206" s="24" t="s">
        <v>167</v>
      </c>
      <c r="T206" s="24" t="s">
        <v>168</v>
      </c>
      <c r="U206" s="24" t="s">
        <v>457</v>
      </c>
      <c r="V206" s="23" t="s">
        <v>1761</v>
      </c>
      <c r="W206" s="23" t="s">
        <v>1762</v>
      </c>
      <c r="X206" s="23" t="s">
        <v>98</v>
      </c>
      <c r="Y206" s="23"/>
      <c r="Z206" s="24" t="s">
        <v>172</v>
      </c>
      <c r="AA206" s="49"/>
      <c r="AB206" s="24" t="s">
        <v>1763</v>
      </c>
      <c r="AC206" s="24" t="s">
        <v>101</v>
      </c>
      <c r="AD206" s="24" t="s">
        <v>774</v>
      </c>
      <c r="AE206" s="24" t="s">
        <v>249</v>
      </c>
      <c r="AF206" s="24" t="s">
        <v>1764</v>
      </c>
      <c r="AG206" s="24" t="s">
        <v>321</v>
      </c>
      <c r="AH206" s="24" t="s">
        <v>145</v>
      </c>
      <c r="AI206" s="24">
        <v>0</v>
      </c>
      <c r="AJ206" s="24">
        <v>0</v>
      </c>
      <c r="AK206" s="24">
        <v>0</v>
      </c>
      <c r="AL206" s="23" t="s">
        <v>1184</v>
      </c>
      <c r="AM206" s="24"/>
      <c r="AN206" s="23"/>
      <c r="AO206" s="24" t="s">
        <v>1765</v>
      </c>
      <c r="AP206" s="23" t="s">
        <v>92</v>
      </c>
      <c r="AQ206" s="27" t="str">
        <f>+Base_Accidentes[[#This Row],[Tipo de Accidente]]</f>
        <v>Acc. No Incapacitante</v>
      </c>
      <c r="AR206" s="64"/>
      <c r="AS206" s="23"/>
      <c r="AT206" s="23"/>
    </row>
    <row r="207" spans="1:46" ht="72" hidden="1" x14ac:dyDescent="0.3">
      <c r="A207" s="45">
        <v>206</v>
      </c>
      <c r="B207" s="23"/>
      <c r="C207" s="23" t="s">
        <v>1</v>
      </c>
      <c r="D207" s="23" t="s">
        <v>162</v>
      </c>
      <c r="E207" s="51" t="s">
        <v>1156</v>
      </c>
      <c r="F207" s="23" t="s">
        <v>164</v>
      </c>
      <c r="G207" s="24" t="s">
        <v>428</v>
      </c>
      <c r="H207" s="31" t="s">
        <v>60</v>
      </c>
      <c r="I207" s="24" t="s">
        <v>438</v>
      </c>
      <c r="J207" s="24" t="s">
        <v>62</v>
      </c>
      <c r="K207" s="24" t="str">
        <f>IF(ISBLANK(Base_Accidentes[[#This Row],[Tipo de Accidente]])," ",Base_Accidentes[[#This Row],[Tipo de Accidente]])</f>
        <v>Acc. No Incapacitante</v>
      </c>
      <c r="L207" s="49">
        <v>45551</v>
      </c>
      <c r="M207" s="47">
        <f>_xlfn.ISOWEEKNUM(Base_Accidentes[[#This Row],[Fecha
(XX/XX/2024)]])</f>
        <v>38</v>
      </c>
      <c r="N207" s="23">
        <f>DAY(Base_Accidentes[[#This Row],[Fecha
(XX/XX/2024)]])</f>
        <v>16</v>
      </c>
      <c r="O207" s="23">
        <f>MONTH(Base_Accidentes[[#This Row],[Fecha
(XX/XX/2024)]])</f>
        <v>9</v>
      </c>
      <c r="P207" s="23">
        <f>YEAR(Base_Accidentes[[#This Row],[Fecha
(XX/XX/2024)]])</f>
        <v>2024</v>
      </c>
      <c r="Q207" s="55">
        <v>0.47569444444444442</v>
      </c>
      <c r="R207" s="31" t="s">
        <v>587</v>
      </c>
      <c r="S207" s="31" t="s">
        <v>167</v>
      </c>
      <c r="T207" s="24" t="s">
        <v>168</v>
      </c>
      <c r="U207" s="31" t="s">
        <v>364</v>
      </c>
      <c r="V207" s="26" t="s">
        <v>444</v>
      </c>
      <c r="W207" s="26" t="s">
        <v>1055</v>
      </c>
      <c r="X207" s="23" t="s">
        <v>68</v>
      </c>
      <c r="Y207" s="23"/>
      <c r="Z207" s="24" t="s">
        <v>172</v>
      </c>
      <c r="AA207" s="49"/>
      <c r="AB207" s="31" t="s">
        <v>1766</v>
      </c>
      <c r="AC207" s="31" t="s">
        <v>419</v>
      </c>
      <c r="AD207" s="31" t="s">
        <v>1758</v>
      </c>
      <c r="AE207" s="31" t="s">
        <v>142</v>
      </c>
      <c r="AF207" s="31" t="s">
        <v>1767</v>
      </c>
      <c r="AG207" s="31" t="s">
        <v>1768</v>
      </c>
      <c r="AH207" s="31" t="s">
        <v>654</v>
      </c>
      <c r="AI207" s="31">
        <v>0</v>
      </c>
      <c r="AJ207" s="31">
        <v>0</v>
      </c>
      <c r="AK207" s="31">
        <v>0</v>
      </c>
      <c r="AL207" s="23" t="s">
        <v>1184</v>
      </c>
      <c r="AM207" s="31"/>
      <c r="AN207" s="26"/>
      <c r="AO207" s="31" t="s">
        <v>829</v>
      </c>
      <c r="AP207" s="23" t="s">
        <v>92</v>
      </c>
      <c r="AQ207" s="27" t="str">
        <f>+Base_Accidentes[[#This Row],[Tipo de Accidente]]</f>
        <v>Acc. No Incapacitante</v>
      </c>
      <c r="AR207" s="23"/>
      <c r="AS207" s="73"/>
      <c r="AT207" s="23"/>
    </row>
    <row r="208" spans="1:46" ht="72" hidden="1" x14ac:dyDescent="0.3">
      <c r="A208" s="45">
        <v>207</v>
      </c>
      <c r="B208" s="23"/>
      <c r="C208" s="23" t="s">
        <v>1</v>
      </c>
      <c r="D208" s="23" t="s">
        <v>162</v>
      </c>
      <c r="E208" s="51" t="s">
        <v>1156</v>
      </c>
      <c r="F208" s="23" t="s">
        <v>164</v>
      </c>
      <c r="G208" s="24" t="s">
        <v>428</v>
      </c>
      <c r="H208" s="31" t="s">
        <v>60</v>
      </c>
      <c r="I208" s="24" t="s">
        <v>475</v>
      </c>
      <c r="J208" s="24" t="s">
        <v>62</v>
      </c>
      <c r="K208" s="24" t="str">
        <f>IF(ISBLANK(Base_Accidentes[[#This Row],[Tipo de Accidente]])," ",Base_Accidentes[[#This Row],[Tipo de Accidente]])</f>
        <v>Acc. No Incapacitante</v>
      </c>
      <c r="L208" s="49">
        <v>45560</v>
      </c>
      <c r="M208" s="47">
        <f>_xlfn.ISOWEEKNUM(Base_Accidentes[[#This Row],[Fecha
(XX/XX/2024)]])</f>
        <v>39</v>
      </c>
      <c r="N208" s="23">
        <f>DAY(Base_Accidentes[[#This Row],[Fecha
(XX/XX/2024)]])</f>
        <v>25</v>
      </c>
      <c r="O208" s="23">
        <f>MONTH(Base_Accidentes[[#This Row],[Fecha
(XX/XX/2024)]])</f>
        <v>9</v>
      </c>
      <c r="P208" s="23">
        <f>YEAR(Base_Accidentes[[#This Row],[Fecha
(XX/XX/2024)]])</f>
        <v>2024</v>
      </c>
      <c r="Q208" s="55">
        <v>0.41666666666666669</v>
      </c>
      <c r="R208" s="31" t="s">
        <v>587</v>
      </c>
      <c r="S208" s="31" t="s">
        <v>167</v>
      </c>
      <c r="T208" s="24" t="s">
        <v>168</v>
      </c>
      <c r="U208" s="31" t="s">
        <v>1317</v>
      </c>
      <c r="V208" s="26" t="s">
        <v>1769</v>
      </c>
      <c r="W208" s="26" t="s">
        <v>1770</v>
      </c>
      <c r="X208" s="23" t="s">
        <v>98</v>
      </c>
      <c r="Y208" s="23"/>
      <c r="Z208" s="24" t="s">
        <v>172</v>
      </c>
      <c r="AA208" s="49"/>
      <c r="AB208" s="31" t="s">
        <v>1771</v>
      </c>
      <c r="AC208" s="31" t="s">
        <v>101</v>
      </c>
      <c r="AD208" s="31" t="s">
        <v>1772</v>
      </c>
      <c r="AE208" s="31" t="s">
        <v>142</v>
      </c>
      <c r="AF208" s="31" t="s">
        <v>782</v>
      </c>
      <c r="AG208" s="31" t="s">
        <v>321</v>
      </c>
      <c r="AH208" s="31" t="s">
        <v>145</v>
      </c>
      <c r="AI208" s="31">
        <v>0</v>
      </c>
      <c r="AJ208" s="31">
        <v>0</v>
      </c>
      <c r="AK208" s="31">
        <v>0</v>
      </c>
      <c r="AL208" s="23" t="s">
        <v>1184</v>
      </c>
      <c r="AM208" s="31"/>
      <c r="AN208" s="26"/>
      <c r="AO208" s="31" t="s">
        <v>1773</v>
      </c>
      <c r="AP208" s="23" t="s">
        <v>92</v>
      </c>
      <c r="AQ208" s="27" t="str">
        <f>+Base_Accidentes[[#This Row],[Tipo de Accidente]]</f>
        <v>Acc. No Incapacitante</v>
      </c>
      <c r="AR208" s="23"/>
      <c r="AS208" s="73"/>
      <c r="AT208" s="23"/>
    </row>
    <row r="209" spans="1:46" ht="36" hidden="1" x14ac:dyDescent="0.3">
      <c r="A209" s="45">
        <v>208</v>
      </c>
      <c r="B209" s="23"/>
      <c r="C209" s="23" t="s">
        <v>1</v>
      </c>
      <c r="D209" s="23" t="s">
        <v>162</v>
      </c>
      <c r="E209" s="51" t="s">
        <v>1156</v>
      </c>
      <c r="F209" s="23" t="s">
        <v>164</v>
      </c>
      <c r="G209" s="24" t="s">
        <v>1314</v>
      </c>
      <c r="H209" s="31" t="s">
        <v>60</v>
      </c>
      <c r="I209" s="24" t="s">
        <v>1315</v>
      </c>
      <c r="J209" s="24" t="s">
        <v>62</v>
      </c>
      <c r="K209" s="24" t="str">
        <f>IF(ISBLANK(Base_Accidentes[[#This Row],[Tipo de Accidente]])," ",Base_Accidentes[[#This Row],[Tipo de Accidente]])</f>
        <v>Acc. No Incapacitante</v>
      </c>
      <c r="L209" s="49">
        <v>45560</v>
      </c>
      <c r="M209" s="47">
        <f>_xlfn.ISOWEEKNUM(Base_Accidentes[[#This Row],[Fecha
(XX/XX/2024)]])</f>
        <v>39</v>
      </c>
      <c r="N209" s="23">
        <f>DAY(Base_Accidentes[[#This Row],[Fecha
(XX/XX/2024)]])</f>
        <v>25</v>
      </c>
      <c r="O209" s="23">
        <f>MONTH(Base_Accidentes[[#This Row],[Fecha
(XX/XX/2024)]])</f>
        <v>9</v>
      </c>
      <c r="P209" s="23">
        <f>YEAR(Base_Accidentes[[#This Row],[Fecha
(XX/XX/2024)]])</f>
        <v>2024</v>
      </c>
      <c r="Q209" s="55">
        <v>0.77708333333333335</v>
      </c>
      <c r="R209" s="31" t="s">
        <v>587</v>
      </c>
      <c r="S209" s="31" t="s">
        <v>167</v>
      </c>
      <c r="T209" s="24" t="s">
        <v>168</v>
      </c>
      <c r="U209" s="31" t="s">
        <v>710</v>
      </c>
      <c r="V209" s="26" t="s">
        <v>1774</v>
      </c>
      <c r="W209" s="26" t="s">
        <v>1775</v>
      </c>
      <c r="X209" s="23" t="s">
        <v>98</v>
      </c>
      <c r="Y209" s="23"/>
      <c r="Z209" s="24" t="s">
        <v>172</v>
      </c>
      <c r="AA209" s="49"/>
      <c r="AB209" s="31" t="s">
        <v>1776</v>
      </c>
      <c r="AC209" s="31" t="s">
        <v>101</v>
      </c>
      <c r="AD209" s="31" t="s">
        <v>1777</v>
      </c>
      <c r="AE209" s="31" t="s">
        <v>235</v>
      </c>
      <c r="AF209" s="31" t="s">
        <v>1778</v>
      </c>
      <c r="AG209" s="31" t="s">
        <v>321</v>
      </c>
      <c r="AH209" s="31" t="s">
        <v>145</v>
      </c>
      <c r="AI209" s="31">
        <v>0</v>
      </c>
      <c r="AJ209" s="31">
        <v>0</v>
      </c>
      <c r="AK209" s="31">
        <v>0</v>
      </c>
      <c r="AL209" s="23" t="s">
        <v>1184</v>
      </c>
      <c r="AM209" s="31"/>
      <c r="AN209" s="26"/>
      <c r="AO209" s="31" t="s">
        <v>1779</v>
      </c>
      <c r="AP209" s="23" t="s">
        <v>92</v>
      </c>
      <c r="AQ209" s="27" t="str">
        <f>+Base_Accidentes[[#This Row],[Tipo de Accidente]]</f>
        <v>Acc. No Incapacitante</v>
      </c>
      <c r="AR209" s="23"/>
      <c r="AS209" s="73"/>
      <c r="AT209" s="23"/>
    </row>
    <row r="210" spans="1:46" ht="48" hidden="1" x14ac:dyDescent="0.3">
      <c r="A210" s="45">
        <v>209</v>
      </c>
      <c r="B210" s="23"/>
      <c r="C210" s="23" t="s">
        <v>1</v>
      </c>
      <c r="D210" s="23" t="s">
        <v>162</v>
      </c>
      <c r="E210" s="51" t="s">
        <v>1156</v>
      </c>
      <c r="F210" s="23" t="s">
        <v>164</v>
      </c>
      <c r="G210" s="24" t="s">
        <v>428</v>
      </c>
      <c r="H210" s="24" t="s">
        <v>60</v>
      </c>
      <c r="I210" s="24" t="s">
        <v>438</v>
      </c>
      <c r="J210" s="24" t="s">
        <v>62</v>
      </c>
      <c r="K210" s="24" t="str">
        <f>IF(ISBLANK(Base_Accidentes[[#This Row],[Tipo de Accidente]])," ",Base_Accidentes[[#This Row],[Tipo de Accidente]])</f>
        <v>Acc. No Incapacitante</v>
      </c>
      <c r="L210" s="49">
        <v>45561</v>
      </c>
      <c r="M210" s="47">
        <f>_xlfn.ISOWEEKNUM(Base_Accidentes[[#This Row],[Fecha
(XX/XX/2024)]])</f>
        <v>39</v>
      </c>
      <c r="N210" s="23">
        <f>DAY(Base_Accidentes[[#This Row],[Fecha
(XX/XX/2024)]])</f>
        <v>26</v>
      </c>
      <c r="O210" s="23">
        <f>MONTH(Base_Accidentes[[#This Row],[Fecha
(XX/XX/2024)]])</f>
        <v>9</v>
      </c>
      <c r="P210" s="23">
        <f>YEAR(Base_Accidentes[[#This Row],[Fecha
(XX/XX/2024)]])</f>
        <v>2024</v>
      </c>
      <c r="Q210" s="48">
        <v>0.63541666666666663</v>
      </c>
      <c r="R210" s="24" t="s">
        <v>587</v>
      </c>
      <c r="S210" s="24" t="s">
        <v>167</v>
      </c>
      <c r="T210" s="24" t="s">
        <v>168</v>
      </c>
      <c r="U210" s="24" t="s">
        <v>1514</v>
      </c>
      <c r="V210" s="23" t="s">
        <v>1780</v>
      </c>
      <c r="W210" s="23" t="s">
        <v>1781</v>
      </c>
      <c r="X210" s="23" t="s">
        <v>68</v>
      </c>
      <c r="Y210" s="23"/>
      <c r="Z210" s="24" t="s">
        <v>172</v>
      </c>
      <c r="AA210" s="49"/>
      <c r="AB210" s="24" t="s">
        <v>1782</v>
      </c>
      <c r="AC210" s="24" t="s">
        <v>101</v>
      </c>
      <c r="AD210" s="24" t="s">
        <v>807</v>
      </c>
      <c r="AE210" s="24" t="s">
        <v>103</v>
      </c>
      <c r="AF210" s="24" t="s">
        <v>1063</v>
      </c>
      <c r="AG210" s="24" t="s">
        <v>321</v>
      </c>
      <c r="AH210" s="24" t="s">
        <v>145</v>
      </c>
      <c r="AI210" s="24">
        <v>0</v>
      </c>
      <c r="AJ210" s="24">
        <v>0</v>
      </c>
      <c r="AK210" s="24">
        <v>0</v>
      </c>
      <c r="AL210" s="23" t="s">
        <v>1184</v>
      </c>
      <c r="AM210" s="24"/>
      <c r="AN210" s="23"/>
      <c r="AO210" s="24"/>
      <c r="AP210" s="23" t="s">
        <v>92</v>
      </c>
      <c r="AQ210" s="27" t="str">
        <f>+Base_Accidentes[[#This Row],[Tipo de Accidente]]</f>
        <v>Acc. No Incapacitante</v>
      </c>
      <c r="AR210" s="64"/>
      <c r="AS210" s="23"/>
      <c r="AT210" s="23"/>
    </row>
    <row r="211" spans="1:46" ht="36" hidden="1" x14ac:dyDescent="0.3">
      <c r="A211" s="45">
        <v>210</v>
      </c>
      <c r="B211" s="23"/>
      <c r="C211" s="23" t="s">
        <v>1</v>
      </c>
      <c r="D211" s="23" t="s">
        <v>162</v>
      </c>
      <c r="E211" s="51" t="s">
        <v>1156</v>
      </c>
      <c r="F211" s="23" t="s">
        <v>164</v>
      </c>
      <c r="G211" s="24" t="s">
        <v>428</v>
      </c>
      <c r="H211" s="24" t="s">
        <v>60</v>
      </c>
      <c r="I211" s="24" t="s">
        <v>475</v>
      </c>
      <c r="J211" s="24" t="s">
        <v>113</v>
      </c>
      <c r="K211" s="24" t="str">
        <f>IF(ISBLANK(Base_Accidentes[[#This Row],[Tipo de Accidente]])," ",Base_Accidentes[[#This Row],[Tipo de Accidente]])</f>
        <v>Acc. Incapacitante</v>
      </c>
      <c r="L211" s="49">
        <v>45563</v>
      </c>
      <c r="M211" s="47">
        <f>_xlfn.ISOWEEKNUM(Base_Accidentes[[#This Row],[Fecha
(XX/XX/2024)]])</f>
        <v>39</v>
      </c>
      <c r="N211" s="23">
        <f>DAY(Base_Accidentes[[#This Row],[Fecha
(XX/XX/2024)]])</f>
        <v>28</v>
      </c>
      <c r="O211" s="23">
        <f>MONTH(Base_Accidentes[[#This Row],[Fecha
(XX/XX/2024)]])</f>
        <v>9</v>
      </c>
      <c r="P211" s="23">
        <f>YEAR(Base_Accidentes[[#This Row],[Fecha
(XX/XX/2024)]])</f>
        <v>2024</v>
      </c>
      <c r="Q211" s="48">
        <v>0.73958333333333337</v>
      </c>
      <c r="R211" s="24" t="s">
        <v>587</v>
      </c>
      <c r="S211" s="24" t="s">
        <v>167</v>
      </c>
      <c r="T211" s="24" t="s">
        <v>168</v>
      </c>
      <c r="U211" s="24" t="s">
        <v>85</v>
      </c>
      <c r="V211" s="23" t="s">
        <v>1299</v>
      </c>
      <c r="W211" s="23" t="s">
        <v>1783</v>
      </c>
      <c r="X211" s="23" t="s">
        <v>68</v>
      </c>
      <c r="Y211" s="23">
        <v>35</v>
      </c>
      <c r="Z211" s="24" t="s">
        <v>172</v>
      </c>
      <c r="AA211" s="49"/>
      <c r="AB211" s="24" t="s">
        <v>1784</v>
      </c>
      <c r="AC211" s="24" t="s">
        <v>575</v>
      </c>
      <c r="AD211" s="24" t="s">
        <v>1643</v>
      </c>
      <c r="AE211" s="24" t="s">
        <v>249</v>
      </c>
      <c r="AF211" s="24" t="s">
        <v>1785</v>
      </c>
      <c r="AG211" s="24" t="s">
        <v>1786</v>
      </c>
      <c r="AH211" s="24" t="s">
        <v>294</v>
      </c>
      <c r="AI211" s="24">
        <v>14</v>
      </c>
      <c r="AJ211" s="24">
        <v>0</v>
      </c>
      <c r="AK211" s="24">
        <v>14</v>
      </c>
      <c r="AL211" s="23" t="s">
        <v>1322</v>
      </c>
      <c r="AM211" s="24">
        <v>4</v>
      </c>
      <c r="AN211" s="23" t="s">
        <v>105</v>
      </c>
      <c r="AO211" s="24" t="s">
        <v>1787</v>
      </c>
      <c r="AP211" s="23" t="s">
        <v>92</v>
      </c>
      <c r="AQ211" s="27" t="str">
        <f>+Base_Accidentes[[#This Row],[Tipo de Accidente]]</f>
        <v>Acc. Incapacitante</v>
      </c>
      <c r="AR211" s="64"/>
      <c r="AS211" s="23" t="s">
        <v>128</v>
      </c>
      <c r="AT211" s="23"/>
    </row>
    <row r="212" spans="1:46" ht="84" hidden="1" x14ac:dyDescent="0.3">
      <c r="A212" s="45">
        <v>211</v>
      </c>
      <c r="B212" s="23"/>
      <c r="C212" s="23" t="s">
        <v>130</v>
      </c>
      <c r="D212" s="23" t="s">
        <v>131</v>
      </c>
      <c r="E212" s="51"/>
      <c r="F212" s="23" t="s">
        <v>192</v>
      </c>
      <c r="G212" s="24" t="s">
        <v>193</v>
      </c>
      <c r="H212" s="31" t="s">
        <v>184</v>
      </c>
      <c r="I212" s="24" t="s">
        <v>1788</v>
      </c>
      <c r="J212" s="24" t="s">
        <v>62</v>
      </c>
      <c r="K212" s="24" t="str">
        <f>IF(ISBLANK(Base_Accidentes[[#This Row],[Tipo de Accidente]])," ",Base_Accidentes[[#This Row],[Tipo de Accidente]])</f>
        <v>Acc. No Incapacitante</v>
      </c>
      <c r="L212" s="49">
        <v>45560</v>
      </c>
      <c r="M212" s="47">
        <f>_xlfn.ISOWEEKNUM(Base_Accidentes[[#This Row],[Fecha
(XX/XX/2024)]])</f>
        <v>39</v>
      </c>
      <c r="N212" s="23">
        <f>DAY(Base_Accidentes[[#This Row],[Fecha
(XX/XX/2024)]])</f>
        <v>25</v>
      </c>
      <c r="O212" s="23">
        <f>MONTH(Base_Accidentes[[#This Row],[Fecha
(XX/XX/2024)]])</f>
        <v>9</v>
      </c>
      <c r="P212" s="23">
        <f>YEAR(Base_Accidentes[[#This Row],[Fecha
(XX/XX/2024)]])</f>
        <v>2024</v>
      </c>
      <c r="Q212" s="55">
        <v>0.58333333333333337</v>
      </c>
      <c r="R212" s="31" t="s">
        <v>63</v>
      </c>
      <c r="S212" s="31" t="s">
        <v>10</v>
      </c>
      <c r="T212" s="24" t="s">
        <v>64</v>
      </c>
      <c r="U212" s="31" t="s">
        <v>1789</v>
      </c>
      <c r="V212" s="31"/>
      <c r="W212" s="26" t="s">
        <v>1790</v>
      </c>
      <c r="X212" s="23" t="s">
        <v>68</v>
      </c>
      <c r="Y212" s="23">
        <v>57</v>
      </c>
      <c r="Z212" s="24" t="s">
        <v>1791</v>
      </c>
      <c r="AA212" s="49">
        <v>36136</v>
      </c>
      <c r="AB212" s="31" t="s">
        <v>1792</v>
      </c>
      <c r="AC212" s="31" t="s">
        <v>682</v>
      </c>
      <c r="AD212" s="31" t="s">
        <v>1182</v>
      </c>
      <c r="AE212" s="31" t="s">
        <v>333</v>
      </c>
      <c r="AF212" s="31" t="s">
        <v>1793</v>
      </c>
      <c r="AG212" s="31" t="s">
        <v>747</v>
      </c>
      <c r="AH212" s="31" t="s">
        <v>686</v>
      </c>
      <c r="AI212" s="31">
        <v>0</v>
      </c>
      <c r="AJ212" s="31">
        <v>0</v>
      </c>
      <c r="AK212" s="31">
        <v>0</v>
      </c>
      <c r="AL212" s="23" t="s">
        <v>78</v>
      </c>
      <c r="AM212" s="31">
        <v>730</v>
      </c>
      <c r="AN212" s="26" t="s">
        <v>79</v>
      </c>
      <c r="AO212" s="31" t="s">
        <v>1794</v>
      </c>
      <c r="AP212" s="23" t="s">
        <v>1155</v>
      </c>
      <c r="AQ212" s="27" t="str">
        <f>+Base_Accidentes[[#This Row],[Tipo de Accidente]]</f>
        <v>Acc. No Incapacitante</v>
      </c>
      <c r="AR212" s="23">
        <v>0</v>
      </c>
      <c r="AS212" s="73"/>
      <c r="AT212" s="23"/>
    </row>
    <row r="213" spans="1:46" ht="60" hidden="1" x14ac:dyDescent="0.3">
      <c r="A213" s="45">
        <v>212</v>
      </c>
      <c r="B213" s="23" t="s">
        <v>1795</v>
      </c>
      <c r="C213" s="23" t="s">
        <v>1</v>
      </c>
      <c r="D213" s="23" t="s">
        <v>56</v>
      </c>
      <c r="E213" s="51" t="s">
        <v>109</v>
      </c>
      <c r="F213" s="23" t="s">
        <v>110</v>
      </c>
      <c r="G213" s="24" t="s">
        <v>111</v>
      </c>
      <c r="H213" s="31" t="s">
        <v>60</v>
      </c>
      <c r="I213" s="24" t="s">
        <v>1660</v>
      </c>
      <c r="J213" s="24" t="s">
        <v>113</v>
      </c>
      <c r="K213" s="24" t="str">
        <f>IF(ISBLANK(Base_Accidentes[[#This Row],[Tipo de Accidente]])," ",Base_Accidentes[[#This Row],[Tipo de Accidente]])</f>
        <v>Acc. Incapacitante</v>
      </c>
      <c r="L213" s="49">
        <v>45565</v>
      </c>
      <c r="M213" s="47">
        <f>_xlfn.ISOWEEKNUM(Base_Accidentes[[#This Row],[Fecha
(XX/XX/2024)]])</f>
        <v>40</v>
      </c>
      <c r="N213" s="23">
        <f>DAY(Base_Accidentes[[#This Row],[Fecha
(XX/XX/2024)]])</f>
        <v>30</v>
      </c>
      <c r="O213" s="23">
        <f>MONTH(Base_Accidentes[[#This Row],[Fecha
(XX/XX/2024)]])</f>
        <v>9</v>
      </c>
      <c r="P213" s="23">
        <f>YEAR(Base_Accidentes[[#This Row],[Fecha
(XX/XX/2024)]])</f>
        <v>2024</v>
      </c>
      <c r="Q213" s="69">
        <v>5.5555555555555552E-2</v>
      </c>
      <c r="R213" s="26" t="s">
        <v>135</v>
      </c>
      <c r="S213" s="31" t="s">
        <v>10</v>
      </c>
      <c r="T213" s="24" t="s">
        <v>114</v>
      </c>
      <c r="U213" s="26" t="s">
        <v>1796</v>
      </c>
      <c r="V213" s="26" t="s">
        <v>1797</v>
      </c>
      <c r="W213" s="26" t="s">
        <v>1798</v>
      </c>
      <c r="X213" s="24" t="s">
        <v>68</v>
      </c>
      <c r="Y213" s="23">
        <v>51</v>
      </c>
      <c r="Z213" s="24" t="s">
        <v>1799</v>
      </c>
      <c r="AA213" s="49">
        <v>37288</v>
      </c>
      <c r="AB213" s="31" t="s">
        <v>1800</v>
      </c>
      <c r="AC213" s="31" t="s">
        <v>101</v>
      </c>
      <c r="AD213" s="26" t="s">
        <v>1801</v>
      </c>
      <c r="AE213" s="31" t="s">
        <v>1802</v>
      </c>
      <c r="AF213" s="31" t="s">
        <v>1803</v>
      </c>
      <c r="AG213" s="31" t="s">
        <v>1804</v>
      </c>
      <c r="AH213" s="31" t="s">
        <v>145</v>
      </c>
      <c r="AI213" s="26">
        <v>4</v>
      </c>
      <c r="AJ213" s="26">
        <v>0</v>
      </c>
      <c r="AK213" s="26">
        <v>4</v>
      </c>
      <c r="AL213" s="24" t="s">
        <v>1131</v>
      </c>
      <c r="AM213" s="26">
        <v>120</v>
      </c>
      <c r="AN213" s="26" t="s">
        <v>79</v>
      </c>
      <c r="AO213" s="31" t="s">
        <v>1805</v>
      </c>
      <c r="AP213" s="23" t="s">
        <v>1155</v>
      </c>
      <c r="AQ213" s="27" t="str">
        <f>+Base_Accidentes[[#This Row],[Tipo de Accidente]]</f>
        <v>Acc. Incapacitante</v>
      </c>
      <c r="AR213" s="23" cm="1">
        <f t="array" aca="1" ref="AR213" ca="1">+Base_Accidentes[Población]</f>
        <v>0</v>
      </c>
      <c r="AS213" s="73" t="s">
        <v>128</v>
      </c>
      <c r="AT213" s="23"/>
    </row>
    <row r="214" spans="1:46" ht="36" hidden="1" x14ac:dyDescent="0.3">
      <c r="A214" s="45">
        <v>213</v>
      </c>
      <c r="B214" s="23"/>
      <c r="C214" s="23" t="s">
        <v>1</v>
      </c>
      <c r="D214" s="23" t="s">
        <v>162</v>
      </c>
      <c r="E214" s="51" t="s">
        <v>1156</v>
      </c>
      <c r="F214" s="23" t="s">
        <v>164</v>
      </c>
      <c r="G214" s="24" t="s">
        <v>242</v>
      </c>
      <c r="H214" s="31" t="s">
        <v>60</v>
      </c>
      <c r="I214" s="23" t="s">
        <v>60</v>
      </c>
      <c r="J214" s="24" t="s">
        <v>62</v>
      </c>
      <c r="K214" s="24" t="str">
        <f>IF(ISBLANK(Base_Accidentes[[#This Row],[Tipo de Accidente]])," ",Base_Accidentes[[#This Row],[Tipo de Accidente]])</f>
        <v>Acc. No Incapacitante</v>
      </c>
      <c r="L214" s="49">
        <v>45541</v>
      </c>
      <c r="M214" s="47">
        <f>_xlfn.ISOWEEKNUM(Base_Accidentes[[#This Row],[Fecha
(XX/XX/2024)]])</f>
        <v>36</v>
      </c>
      <c r="N214" s="23">
        <f>DAY(Base_Accidentes[[#This Row],[Fecha
(XX/XX/2024)]])</f>
        <v>6</v>
      </c>
      <c r="O214" s="23">
        <f>MONTH(Base_Accidentes[[#This Row],[Fecha
(XX/XX/2024)]])</f>
        <v>9</v>
      </c>
      <c r="P214" s="23">
        <f>YEAR(Base_Accidentes[[#This Row],[Fecha
(XX/XX/2024)]])</f>
        <v>2024</v>
      </c>
      <c r="Q214" s="55">
        <v>0.34375</v>
      </c>
      <c r="R214" s="31" t="s">
        <v>587</v>
      </c>
      <c r="S214" s="31" t="s">
        <v>10</v>
      </c>
      <c r="T214" s="24" t="s">
        <v>164</v>
      </c>
      <c r="U214" s="31" t="s">
        <v>1806</v>
      </c>
      <c r="V214" s="26" t="s">
        <v>1807</v>
      </c>
      <c r="W214" s="26" t="s">
        <v>1808</v>
      </c>
      <c r="X214" s="23" t="s">
        <v>68</v>
      </c>
      <c r="Y214" s="23">
        <v>34</v>
      </c>
      <c r="Z214" s="24" t="s">
        <v>796</v>
      </c>
      <c r="AA214" s="49">
        <v>43842</v>
      </c>
      <c r="AB214" s="31" t="s">
        <v>1809</v>
      </c>
      <c r="AC214" s="31" t="s">
        <v>101</v>
      </c>
      <c r="AD214" s="31" t="s">
        <v>1562</v>
      </c>
      <c r="AE214" s="31" t="s">
        <v>235</v>
      </c>
      <c r="AF214" s="31" t="s">
        <v>1810</v>
      </c>
      <c r="AG214" s="31" t="s">
        <v>270</v>
      </c>
      <c r="AH214" s="31" t="s">
        <v>145</v>
      </c>
      <c r="AI214" s="31">
        <v>0</v>
      </c>
      <c r="AJ214" s="31">
        <v>0</v>
      </c>
      <c r="AK214" s="31">
        <v>0</v>
      </c>
      <c r="AL214" s="23" t="s">
        <v>78</v>
      </c>
      <c r="AM214" s="31">
        <v>48</v>
      </c>
      <c r="AN214" s="26" t="s">
        <v>190</v>
      </c>
      <c r="AO214" s="31" t="s">
        <v>1811</v>
      </c>
      <c r="AP214" s="23" t="s">
        <v>1155</v>
      </c>
      <c r="AQ214" s="27" t="str">
        <f>+Base_Accidentes[[#This Row],[Tipo de Accidente]]</f>
        <v>Acc. No Incapacitante</v>
      </c>
      <c r="AR214" s="23">
        <v>0</v>
      </c>
      <c r="AS214" s="73"/>
      <c r="AT214" s="23"/>
    </row>
    <row r="215" spans="1:46" ht="36" hidden="1" x14ac:dyDescent="0.3">
      <c r="A215" s="45">
        <v>214</v>
      </c>
      <c r="B215" s="23" t="s">
        <v>1812</v>
      </c>
      <c r="C215" s="23" t="s">
        <v>1</v>
      </c>
      <c r="D215" s="23" t="s">
        <v>56</v>
      </c>
      <c r="E215" s="51" t="s">
        <v>109</v>
      </c>
      <c r="F215" s="23" t="s">
        <v>58</v>
      </c>
      <c r="G215" s="24" t="s">
        <v>59</v>
      </c>
      <c r="H215" s="24" t="s">
        <v>60</v>
      </c>
      <c r="I215" s="24" t="s">
        <v>1813</v>
      </c>
      <c r="J215" s="24" t="s">
        <v>62</v>
      </c>
      <c r="K215" s="24" t="str">
        <f>IF(ISBLANK(Base_Accidentes[[#This Row],[Tipo de Accidente]])," ",Base_Accidentes[[#This Row],[Tipo de Accidente]])</f>
        <v>Acc. No Incapacitante</v>
      </c>
      <c r="L215" s="49">
        <v>45567</v>
      </c>
      <c r="M215" s="47">
        <f>_xlfn.ISOWEEKNUM(Base_Accidentes[[#This Row],[Fecha
(XX/XX/2024)]])</f>
        <v>40</v>
      </c>
      <c r="N215" s="23">
        <f>DAY(Base_Accidentes[[#This Row],[Fecha
(XX/XX/2024)]])</f>
        <v>2</v>
      </c>
      <c r="O215" s="23">
        <f>MONTH(Base_Accidentes[[#This Row],[Fecha
(XX/XX/2024)]])</f>
        <v>10</v>
      </c>
      <c r="P215" s="23">
        <f>YEAR(Base_Accidentes[[#This Row],[Fecha
(XX/XX/2024)]])</f>
        <v>2024</v>
      </c>
      <c r="Q215" s="48">
        <v>0.72916666666666663</v>
      </c>
      <c r="R215" s="31" t="s">
        <v>84</v>
      </c>
      <c r="S215" s="31" t="s">
        <v>10</v>
      </c>
      <c r="T215" s="24" t="s">
        <v>64</v>
      </c>
      <c r="U215" s="31" t="s">
        <v>1814</v>
      </c>
      <c r="V215" s="26" t="s">
        <v>948</v>
      </c>
      <c r="W215" s="26" t="s">
        <v>67</v>
      </c>
      <c r="X215" s="23" t="s">
        <v>68</v>
      </c>
      <c r="Y215" s="23"/>
      <c r="Z215" s="24" t="s">
        <v>1815</v>
      </c>
      <c r="AA215" s="49"/>
      <c r="AB215" s="31" t="s">
        <v>1816</v>
      </c>
      <c r="AC215" s="31" t="s">
        <v>201</v>
      </c>
      <c r="AD215" s="31" t="s">
        <v>1193</v>
      </c>
      <c r="AE215" s="31"/>
      <c r="AF215" s="31" t="s">
        <v>1817</v>
      </c>
      <c r="AG215" s="31" t="s">
        <v>1818</v>
      </c>
      <c r="AH215" s="31" t="s">
        <v>76</v>
      </c>
      <c r="AI215" s="31">
        <v>0</v>
      </c>
      <c r="AJ215" s="31"/>
      <c r="AK215" s="31"/>
      <c r="AL215" s="23" t="s">
        <v>1184</v>
      </c>
      <c r="AM215" s="31"/>
      <c r="AN215" s="26"/>
      <c r="AO215" s="31" t="s">
        <v>1819</v>
      </c>
      <c r="AP215" s="23" t="s">
        <v>1155</v>
      </c>
      <c r="AQ215" s="27" t="str">
        <f>+Base_Accidentes[[#This Row],[Tipo de Accidente]]</f>
        <v>Acc. No Incapacitante</v>
      </c>
      <c r="AR215" s="23"/>
      <c r="AS215" s="73"/>
      <c r="AT215" s="23"/>
    </row>
    <row r="216" spans="1:46" ht="72" x14ac:dyDescent="0.3">
      <c r="A216" s="45">
        <v>215</v>
      </c>
      <c r="B216" s="23"/>
      <c r="C216" s="23" t="s">
        <v>1</v>
      </c>
      <c r="D216" s="23" t="s">
        <v>56</v>
      </c>
      <c r="E216" s="51" t="s">
        <v>109</v>
      </c>
      <c r="F216" s="23" t="s">
        <v>323</v>
      </c>
      <c r="G216" s="24" t="s">
        <v>111</v>
      </c>
      <c r="H216" s="24" t="s">
        <v>337</v>
      </c>
      <c r="I216" s="24" t="s">
        <v>1820</v>
      </c>
      <c r="J216" s="24" t="s">
        <v>113</v>
      </c>
      <c r="K216" s="24" t="str">
        <f>IF(ISBLANK(Base_Accidentes[[#This Row],[Tipo de Accidente]])," ",Base_Accidentes[[#This Row],[Tipo de Accidente]])</f>
        <v>Acc. Incapacitante</v>
      </c>
      <c r="L216" s="49">
        <v>45567</v>
      </c>
      <c r="M216" s="47">
        <f>_xlfn.ISOWEEKNUM(Base_Accidentes[[#This Row],[Fecha
(XX/XX/2024)]])</f>
        <v>40</v>
      </c>
      <c r="N216" s="23">
        <f>DAY(Base_Accidentes[[#This Row],[Fecha
(XX/XX/2024)]])</f>
        <v>2</v>
      </c>
      <c r="O216" s="23">
        <f>MONTH(Base_Accidentes[[#This Row],[Fecha
(XX/XX/2024)]])</f>
        <v>10</v>
      </c>
      <c r="P216" s="23">
        <f>YEAR(Base_Accidentes[[#This Row],[Fecha
(XX/XX/2024)]])</f>
        <v>2024</v>
      </c>
      <c r="Q216" s="48">
        <v>0.64236111111111116</v>
      </c>
      <c r="R216" s="24" t="s">
        <v>63</v>
      </c>
      <c r="S216" s="24" t="s">
        <v>9</v>
      </c>
      <c r="T216" s="24" t="s">
        <v>1821</v>
      </c>
      <c r="U216" s="24" t="s">
        <v>1822</v>
      </c>
      <c r="V216" s="23" t="s">
        <v>1823</v>
      </c>
      <c r="W216" s="23" t="s">
        <v>1824</v>
      </c>
      <c r="X216" s="23" t="s">
        <v>68</v>
      </c>
      <c r="Y216" s="23"/>
      <c r="Z216" s="24" t="s">
        <v>1825</v>
      </c>
      <c r="AA216" s="49"/>
      <c r="AB216" s="24" t="s">
        <v>1826</v>
      </c>
      <c r="AC216" s="24" t="s">
        <v>101</v>
      </c>
      <c r="AD216" s="31" t="s">
        <v>1562</v>
      </c>
      <c r="AE216" s="24" t="s">
        <v>235</v>
      </c>
      <c r="AF216" s="24" t="s">
        <v>1827</v>
      </c>
      <c r="AG216" s="24" t="s">
        <v>1828</v>
      </c>
      <c r="AH216" s="24" t="s">
        <v>76</v>
      </c>
      <c r="AI216" s="24">
        <v>3</v>
      </c>
      <c r="AJ216" s="24">
        <v>0</v>
      </c>
      <c r="AK216" s="24">
        <v>3</v>
      </c>
      <c r="AL216" s="24" t="s">
        <v>1184</v>
      </c>
      <c r="AM216" s="24"/>
      <c r="AN216" s="23"/>
      <c r="AO216" s="24" t="s">
        <v>1829</v>
      </c>
      <c r="AP216" s="23" t="s">
        <v>92</v>
      </c>
      <c r="AQ216" s="27" t="str">
        <f>+Base_Accidentes[[#This Row],[Tipo de Accidente]]</f>
        <v>Acc. Incapacitante</v>
      </c>
      <c r="AR216" s="64" cm="1">
        <f t="array" aca="1" ref="AR216" ca="1">+Base_Accidentes[Población]</f>
        <v>0</v>
      </c>
      <c r="AS216" s="23" t="s">
        <v>1830</v>
      </c>
      <c r="AT216" s="23"/>
    </row>
    <row r="217" spans="1:46" ht="48" hidden="1" x14ac:dyDescent="0.3">
      <c r="A217" s="45">
        <v>216</v>
      </c>
      <c r="B217" s="23"/>
      <c r="C217" s="23" t="s">
        <v>130</v>
      </c>
      <c r="D217" s="23" t="s">
        <v>131</v>
      </c>
      <c r="E217" s="51"/>
      <c r="F217" s="23" t="s">
        <v>132</v>
      </c>
      <c r="G217" s="24" t="s">
        <v>133</v>
      </c>
      <c r="H217" s="31" t="s">
        <v>60</v>
      </c>
      <c r="I217" s="24" t="s">
        <v>1831</v>
      </c>
      <c r="J217" s="24" t="s">
        <v>62</v>
      </c>
      <c r="K217" s="24" t="str">
        <f>IF(ISBLANK(Base_Accidentes[[#This Row],[Tipo de Accidente]])," ",Base_Accidentes[[#This Row],[Tipo de Accidente]])</f>
        <v>Acc. No Incapacitante</v>
      </c>
      <c r="L217" s="49">
        <v>45537</v>
      </c>
      <c r="M217" s="47">
        <f>_xlfn.ISOWEEKNUM(Base_Accidentes[[#This Row],[Fecha
(XX/XX/2024)]])</f>
        <v>36</v>
      </c>
      <c r="N217" s="23">
        <f>DAY(Base_Accidentes[[#This Row],[Fecha
(XX/XX/2024)]])</f>
        <v>2</v>
      </c>
      <c r="O217" s="23">
        <f>MONTH(Base_Accidentes[[#This Row],[Fecha
(XX/XX/2024)]])</f>
        <v>9</v>
      </c>
      <c r="P217" s="23">
        <f>YEAR(Base_Accidentes[[#This Row],[Fecha
(XX/XX/2024)]])</f>
        <v>2024</v>
      </c>
      <c r="Q217" s="55">
        <v>0.41666666666666669</v>
      </c>
      <c r="R217" s="31" t="s">
        <v>63</v>
      </c>
      <c r="S217" s="31" t="s">
        <v>10</v>
      </c>
      <c r="T217" s="24" t="s">
        <v>64</v>
      </c>
      <c r="U217" s="31" t="s">
        <v>1028</v>
      </c>
      <c r="V217" s="24" t="s">
        <v>1832</v>
      </c>
      <c r="W217" s="31" t="s">
        <v>1833</v>
      </c>
      <c r="X217" s="24" t="s">
        <v>68</v>
      </c>
      <c r="Y217" s="24">
        <v>54</v>
      </c>
      <c r="Z217" s="24" t="s">
        <v>1834</v>
      </c>
      <c r="AA217" s="49">
        <v>35810</v>
      </c>
      <c r="AB217" s="31" t="s">
        <v>1835</v>
      </c>
      <c r="AC217" s="31" t="s">
        <v>101</v>
      </c>
      <c r="AD217" s="31" t="s">
        <v>1367</v>
      </c>
      <c r="AE217" s="31" t="s">
        <v>103</v>
      </c>
      <c r="AF217" s="31" t="s">
        <v>1836</v>
      </c>
      <c r="AG217" s="31" t="s">
        <v>1837</v>
      </c>
      <c r="AH217" s="31" t="s">
        <v>76</v>
      </c>
      <c r="AI217" s="31">
        <v>0</v>
      </c>
      <c r="AJ217" s="31">
        <v>0</v>
      </c>
      <c r="AK217" s="31">
        <v>0</v>
      </c>
      <c r="AL217" s="23" t="s">
        <v>78</v>
      </c>
      <c r="AM217" s="31">
        <v>320</v>
      </c>
      <c r="AN217" s="26" t="s">
        <v>79</v>
      </c>
      <c r="AO217" s="31" t="s">
        <v>1838</v>
      </c>
      <c r="AP217" s="23" t="s">
        <v>1839</v>
      </c>
      <c r="AQ217" s="27" t="str">
        <f>+Base_Accidentes[[#This Row],[Tipo de Accidente]]</f>
        <v>Acc. No Incapacitante</v>
      </c>
      <c r="AR217" s="23">
        <v>0</v>
      </c>
      <c r="AS217" s="73"/>
      <c r="AT217" s="23"/>
    </row>
    <row r="218" spans="1:46" ht="67.349999999999994" customHeight="1" x14ac:dyDescent="0.3">
      <c r="A218" s="45">
        <v>217</v>
      </c>
      <c r="B218" s="23"/>
      <c r="C218" s="24" t="s">
        <v>1</v>
      </c>
      <c r="D218" s="23" t="s">
        <v>56</v>
      </c>
      <c r="E218" s="51" t="s">
        <v>109</v>
      </c>
      <c r="F218" s="23" t="s">
        <v>1506</v>
      </c>
      <c r="G218" s="24" t="s">
        <v>1507</v>
      </c>
      <c r="H218" s="24" t="s">
        <v>60</v>
      </c>
      <c r="I218" s="24" t="s">
        <v>1840</v>
      </c>
      <c r="J218" s="24" t="s">
        <v>113</v>
      </c>
      <c r="K218" s="24" t="str">
        <f>IF(ISBLANK(Base_Accidentes[[#This Row],[Tipo de Accidente]])," ",Base_Accidentes[[#This Row],[Tipo de Accidente]])</f>
        <v>Acc. Incapacitante</v>
      </c>
      <c r="L218" s="49">
        <v>45569</v>
      </c>
      <c r="M218" s="47">
        <f>_xlfn.ISOWEEKNUM(Base_Accidentes[[#This Row],[Fecha
(XX/XX/2024)]])</f>
        <v>40</v>
      </c>
      <c r="N218" s="23">
        <f>DAY(Base_Accidentes[[#This Row],[Fecha
(XX/XX/2024)]])</f>
        <v>4</v>
      </c>
      <c r="O218" s="23">
        <f>MONTH(Base_Accidentes[[#This Row],[Fecha
(XX/XX/2024)]])</f>
        <v>10</v>
      </c>
      <c r="P218" s="23">
        <f>YEAR(Base_Accidentes[[#This Row],[Fecha
(XX/XX/2024)]])</f>
        <v>2024</v>
      </c>
      <c r="Q218" s="48">
        <v>0.20833333333333334</v>
      </c>
      <c r="R218" s="24" t="s">
        <v>135</v>
      </c>
      <c r="S218" s="24" t="s">
        <v>9</v>
      </c>
      <c r="T218" s="24" t="s">
        <v>1841</v>
      </c>
      <c r="U218" s="24" t="s">
        <v>1842</v>
      </c>
      <c r="V218" s="24" t="s">
        <v>1843</v>
      </c>
      <c r="W218" s="24" t="s">
        <v>1218</v>
      </c>
      <c r="X218" s="24" t="s">
        <v>68</v>
      </c>
      <c r="Y218" s="24" t="s">
        <v>129</v>
      </c>
      <c r="Z218" s="24" t="s">
        <v>1844</v>
      </c>
      <c r="AA218" s="49" t="s">
        <v>129</v>
      </c>
      <c r="AB218" s="24" t="s">
        <v>1845</v>
      </c>
      <c r="AC218" s="24" t="s">
        <v>281</v>
      </c>
      <c r="AD218" s="24" t="s">
        <v>1846</v>
      </c>
      <c r="AE218" s="24" t="s">
        <v>103</v>
      </c>
      <c r="AF218" s="24" t="s">
        <v>1847</v>
      </c>
      <c r="AG218" s="24" t="s">
        <v>1848</v>
      </c>
      <c r="AH218" s="24" t="s">
        <v>76</v>
      </c>
      <c r="AI218" s="24">
        <v>3</v>
      </c>
      <c r="AJ218" s="24">
        <v>0</v>
      </c>
      <c r="AK218" s="24">
        <v>3</v>
      </c>
      <c r="AL218" s="24" t="s">
        <v>1184</v>
      </c>
      <c r="AM218" s="24">
        <v>12</v>
      </c>
      <c r="AN218" s="23" t="s">
        <v>190</v>
      </c>
      <c r="AO218" s="24" t="s">
        <v>1849</v>
      </c>
      <c r="AP218" s="23" t="s">
        <v>92</v>
      </c>
      <c r="AQ218" s="27" t="str">
        <f>+Base_Accidentes[[#This Row],[Tipo de Accidente]]</f>
        <v>Acc. Incapacitante</v>
      </c>
      <c r="AR218" s="23" cm="1">
        <f t="array" aca="1" ref="AR218" ca="1">+Base_Accidentes[Población]</f>
        <v>0</v>
      </c>
      <c r="AS218" s="23" t="s">
        <v>128</v>
      </c>
      <c r="AT218" s="23"/>
    </row>
    <row r="219" spans="1:46" ht="33" customHeight="1" x14ac:dyDescent="0.25">
      <c r="A219" s="45">
        <v>218</v>
      </c>
      <c r="B219" s="23"/>
      <c r="C219" s="23" t="s">
        <v>1</v>
      </c>
      <c r="D219" s="23" t="s">
        <v>56</v>
      </c>
      <c r="E219" s="51" t="s">
        <v>706</v>
      </c>
      <c r="F219" s="23" t="s">
        <v>707</v>
      </c>
      <c r="G219" s="24" t="s">
        <v>706</v>
      </c>
      <c r="H219" s="24" t="s">
        <v>60</v>
      </c>
      <c r="I219" s="24" t="s">
        <v>1100</v>
      </c>
      <c r="J219" s="24" t="s">
        <v>62</v>
      </c>
      <c r="K219" s="24" t="str">
        <f>IF(ISBLANK(Base_Accidentes[[#This Row],[Tipo de Accidente]])," ",Base_Accidentes[[#This Row],[Tipo de Accidente]])</f>
        <v>Acc. No Incapacitante</v>
      </c>
      <c r="L219" s="49">
        <v>45570</v>
      </c>
      <c r="M219" s="47">
        <f>_xlfn.ISOWEEKNUM(Base_Accidentes[[#This Row],[Fecha
(XX/XX/2024)]])</f>
        <v>40</v>
      </c>
      <c r="N219" s="23">
        <f>DAY(Base_Accidentes[[#This Row],[Fecha
(XX/XX/2024)]])</f>
        <v>5</v>
      </c>
      <c r="O219" s="23">
        <f>MONTH(Base_Accidentes[[#This Row],[Fecha
(XX/XX/2024)]])</f>
        <v>10</v>
      </c>
      <c r="P219" s="23">
        <f>YEAR(Base_Accidentes[[#This Row],[Fecha
(XX/XX/2024)]])</f>
        <v>2024</v>
      </c>
      <c r="Q219" s="48">
        <v>0.25</v>
      </c>
      <c r="R219" s="24" t="s">
        <v>587</v>
      </c>
      <c r="S219" s="24" t="s">
        <v>11</v>
      </c>
      <c r="T219" s="24" t="s">
        <v>114</v>
      </c>
      <c r="U219" s="24" t="s">
        <v>1850</v>
      </c>
      <c r="V219" s="24" t="s">
        <v>1286</v>
      </c>
      <c r="W219" s="24" t="s">
        <v>1851</v>
      </c>
      <c r="X219" s="24" t="s">
        <v>98</v>
      </c>
      <c r="Y219" s="24"/>
      <c r="Z219" s="24" t="s">
        <v>1852</v>
      </c>
      <c r="AA219" s="110">
        <v>45362</v>
      </c>
      <c r="AB219" s="24" t="s">
        <v>1853</v>
      </c>
      <c r="AC219" s="24" t="s">
        <v>120</v>
      </c>
      <c r="AD219" s="24" t="s">
        <v>1854</v>
      </c>
      <c r="AE219" s="24" t="s">
        <v>435</v>
      </c>
      <c r="AF219" s="24" t="s">
        <v>1855</v>
      </c>
      <c r="AG219" s="24" t="s">
        <v>1856</v>
      </c>
      <c r="AH219" s="24" t="s">
        <v>145</v>
      </c>
      <c r="AI219" s="24">
        <v>0</v>
      </c>
      <c r="AJ219" s="24"/>
      <c r="AK219" s="24"/>
      <c r="AL219" s="24"/>
      <c r="AM219" s="24"/>
      <c r="AN219" s="23"/>
      <c r="AO219" s="24"/>
      <c r="AP219" s="23"/>
      <c r="AQ219" s="27" t="str">
        <f>+Base_Accidentes[[#This Row],[Tipo de Accidente]]</f>
        <v>Acc. No Incapacitante</v>
      </c>
      <c r="AR219" s="64" cm="1">
        <f t="array" aca="1" ref="AR219" ca="1">+Base_Accidentes[Población]</f>
        <v>0</v>
      </c>
      <c r="AS219" s="23"/>
      <c r="AT219" s="23"/>
    </row>
    <row r="220" spans="1:46" ht="36" hidden="1" x14ac:dyDescent="0.3">
      <c r="A220" s="45">
        <v>219</v>
      </c>
      <c r="B220" s="23" t="s">
        <v>1857</v>
      </c>
      <c r="C220" s="23" t="s">
        <v>1</v>
      </c>
      <c r="D220" s="23" t="s">
        <v>56</v>
      </c>
      <c r="E220" s="51" t="s">
        <v>109</v>
      </c>
      <c r="F220" s="23" t="s">
        <v>58</v>
      </c>
      <c r="G220" s="24" t="s">
        <v>59</v>
      </c>
      <c r="H220" s="24" t="s">
        <v>60</v>
      </c>
      <c r="I220" s="24" t="s">
        <v>1858</v>
      </c>
      <c r="J220" s="24" t="s">
        <v>113</v>
      </c>
      <c r="K220" s="24" t="str">
        <f>IF(ISBLANK(Base_Accidentes[[#This Row],[Tipo de Accidente]])," ",Base_Accidentes[[#This Row],[Tipo de Accidente]])</f>
        <v>Acc. Incapacitante</v>
      </c>
      <c r="L220" s="49">
        <v>45577</v>
      </c>
      <c r="M220" s="47">
        <f>_xlfn.ISOWEEKNUM(Base_Accidentes[[#This Row],[Fecha
(XX/XX/2024)]])</f>
        <v>41</v>
      </c>
      <c r="N220" s="23">
        <f>DAY(Base_Accidentes[[#This Row],[Fecha
(XX/XX/2024)]])</f>
        <v>12</v>
      </c>
      <c r="O220" s="23">
        <f>MONTH(Base_Accidentes[[#This Row],[Fecha
(XX/XX/2024)]])</f>
        <v>10</v>
      </c>
      <c r="P220" s="23">
        <f>YEAR(Base_Accidentes[[#This Row],[Fecha
(XX/XX/2024)]])</f>
        <v>2024</v>
      </c>
      <c r="Q220" s="48">
        <v>0.29166666666666669</v>
      </c>
      <c r="R220" s="24" t="s">
        <v>587</v>
      </c>
      <c r="S220" s="24" t="s">
        <v>10</v>
      </c>
      <c r="T220" s="24" t="s">
        <v>114</v>
      </c>
      <c r="U220" s="23" t="s">
        <v>1859</v>
      </c>
      <c r="V220" s="23" t="s">
        <v>1860</v>
      </c>
      <c r="W220" s="23" t="s">
        <v>1861</v>
      </c>
      <c r="X220" s="23" t="s">
        <v>98</v>
      </c>
      <c r="Y220" s="23">
        <v>43</v>
      </c>
      <c r="Z220" s="24" t="s">
        <v>1380</v>
      </c>
      <c r="AA220" s="49">
        <v>39270</v>
      </c>
      <c r="AB220" s="56" t="s">
        <v>1862</v>
      </c>
      <c r="AC220" s="24" t="s">
        <v>120</v>
      </c>
      <c r="AD220" s="24" t="s">
        <v>1436</v>
      </c>
      <c r="AE220" s="24" t="s">
        <v>142</v>
      </c>
      <c r="AF220" s="24" t="s">
        <v>756</v>
      </c>
      <c r="AG220" s="24" t="s">
        <v>1863</v>
      </c>
      <c r="AH220" s="24" t="s">
        <v>145</v>
      </c>
      <c r="AI220" s="91">
        <v>22</v>
      </c>
      <c r="AJ220" s="24">
        <v>0</v>
      </c>
      <c r="AK220" s="24">
        <v>22</v>
      </c>
      <c r="AL220" s="23" t="s">
        <v>1131</v>
      </c>
      <c r="AM220" s="24">
        <v>192</v>
      </c>
      <c r="AN220" s="23" t="s">
        <v>79</v>
      </c>
      <c r="AO220" s="24" t="s">
        <v>920</v>
      </c>
      <c r="AP220" s="23" t="s">
        <v>1155</v>
      </c>
      <c r="AQ220" s="27" t="str">
        <f>+Base_Accidentes[[#This Row],[Tipo de Accidente]]</f>
        <v>Acc. Incapacitante</v>
      </c>
      <c r="AR220" s="23"/>
      <c r="AS220" s="72" t="s">
        <v>1830</v>
      </c>
      <c r="AT220" s="23" t="s">
        <v>128</v>
      </c>
    </row>
    <row r="221" spans="1:46" ht="48" hidden="1" x14ac:dyDescent="0.3">
      <c r="A221" s="45">
        <v>220</v>
      </c>
      <c r="B221" s="23" t="s">
        <v>1864</v>
      </c>
      <c r="C221" s="23" t="s">
        <v>1</v>
      </c>
      <c r="D221" s="23" t="s">
        <v>56</v>
      </c>
      <c r="E221" s="23" t="s">
        <v>109</v>
      </c>
      <c r="F221" s="23" t="s">
        <v>323</v>
      </c>
      <c r="G221" s="24" t="s">
        <v>59</v>
      </c>
      <c r="H221" s="31" t="s">
        <v>585</v>
      </c>
      <c r="I221" s="31" t="s">
        <v>1865</v>
      </c>
      <c r="J221" s="24" t="s">
        <v>113</v>
      </c>
      <c r="K221" s="31" t="str">
        <f>IF(ISBLANK(Base_Accidentes[[#This Row],[Tipo de Accidente]])," ",Base_Accidentes[[#This Row],[Tipo de Accidente]])</f>
        <v>Acc. Incapacitante</v>
      </c>
      <c r="L221" s="49">
        <v>45582</v>
      </c>
      <c r="M221" s="47">
        <f>_xlfn.ISOWEEKNUM(Base_Accidentes[[#This Row],[Fecha
(XX/XX/2024)]])</f>
        <v>42</v>
      </c>
      <c r="N221" s="23">
        <f>DAY(Base_Accidentes[[#This Row],[Fecha
(XX/XX/2024)]])</f>
        <v>17</v>
      </c>
      <c r="O221" s="23">
        <f>MONTH(Base_Accidentes[[#This Row],[Fecha
(XX/XX/2024)]])</f>
        <v>10</v>
      </c>
      <c r="P221" s="23">
        <f>YEAR(Base_Accidentes[[#This Row],[Fecha
(XX/XX/2024)]])</f>
        <v>2024</v>
      </c>
      <c r="Q221" s="55">
        <v>0.45833333333333331</v>
      </c>
      <c r="R221" s="31" t="s">
        <v>587</v>
      </c>
      <c r="S221" s="31" t="s">
        <v>10</v>
      </c>
      <c r="T221" s="24" t="s">
        <v>114</v>
      </c>
      <c r="U221" s="31" t="s">
        <v>1216</v>
      </c>
      <c r="V221" s="26" t="s">
        <v>1866</v>
      </c>
      <c r="W221" s="26" t="s">
        <v>1867</v>
      </c>
      <c r="X221" s="23" t="s">
        <v>68</v>
      </c>
      <c r="Y221" s="23">
        <v>31</v>
      </c>
      <c r="Z221" s="24" t="s">
        <v>1868</v>
      </c>
      <c r="AA221" s="49"/>
      <c r="AB221" s="31" t="s">
        <v>1869</v>
      </c>
      <c r="AC221" s="31" t="s">
        <v>120</v>
      </c>
      <c r="AD221" s="31" t="s">
        <v>1854</v>
      </c>
      <c r="AE221" s="31" t="s">
        <v>435</v>
      </c>
      <c r="AF221" s="31" t="s">
        <v>1870</v>
      </c>
      <c r="AG221" s="31" t="s">
        <v>1856</v>
      </c>
      <c r="AH221" s="31" t="s">
        <v>145</v>
      </c>
      <c r="AI221" s="31">
        <v>8</v>
      </c>
      <c r="AJ221" s="31">
        <v>0</v>
      </c>
      <c r="AK221" s="31">
        <v>8</v>
      </c>
      <c r="AL221" s="23" t="s">
        <v>1131</v>
      </c>
      <c r="AM221" s="31">
        <v>60</v>
      </c>
      <c r="AN221" s="26" t="s">
        <v>146</v>
      </c>
      <c r="AO221" s="31" t="s">
        <v>829</v>
      </c>
      <c r="AP221" s="23" t="s">
        <v>1155</v>
      </c>
      <c r="AQ221" s="27" t="str">
        <f>+Base_Accidentes[[#This Row],[Tipo de Accidente]]</f>
        <v>Acc. Incapacitante</v>
      </c>
      <c r="AR221" s="23"/>
      <c r="AS221" s="73" t="s">
        <v>1830</v>
      </c>
      <c r="AT221" s="23" t="s">
        <v>128</v>
      </c>
    </row>
    <row r="222" spans="1:46" ht="57.6" hidden="1" customHeight="1" x14ac:dyDescent="0.3">
      <c r="A222" s="45">
        <v>221</v>
      </c>
      <c r="B222" s="23"/>
      <c r="C222" s="23" t="s">
        <v>1</v>
      </c>
      <c r="D222" s="24" t="s">
        <v>356</v>
      </c>
      <c r="E222" s="24" t="s">
        <v>735</v>
      </c>
      <c r="F222" s="24" t="s">
        <v>736</v>
      </c>
      <c r="G222" s="24" t="s">
        <v>737</v>
      </c>
      <c r="H222" s="24" t="s">
        <v>60</v>
      </c>
      <c r="I222" s="24" t="s">
        <v>1388</v>
      </c>
      <c r="J222" s="24" t="s">
        <v>113</v>
      </c>
      <c r="K222" s="24" t="str">
        <f>IF(ISBLANK(Base_Accidentes[[#This Row],[Tipo de Accidente]])," ",Base_Accidentes[[#This Row],[Tipo de Accidente]])</f>
        <v>Acc. Incapacitante</v>
      </c>
      <c r="L222" s="49">
        <v>45581</v>
      </c>
      <c r="M222" s="47">
        <f>_xlfn.ISOWEEKNUM(Base_Accidentes[[#This Row],[Fecha
(XX/XX/2024)]])</f>
        <v>42</v>
      </c>
      <c r="N222" s="23">
        <f>DAY(Base_Accidentes[[#This Row],[Fecha
(XX/XX/2024)]])</f>
        <v>16</v>
      </c>
      <c r="O222" s="23">
        <f>MONTH(Base_Accidentes[[#This Row],[Fecha
(XX/XX/2024)]])</f>
        <v>10</v>
      </c>
      <c r="P222" s="23">
        <f>YEAR(Base_Accidentes[[#This Row],[Fecha
(XX/XX/2024)]])</f>
        <v>2024</v>
      </c>
      <c r="Q222" s="48">
        <v>0.59027777777777779</v>
      </c>
      <c r="R222" s="24" t="s">
        <v>587</v>
      </c>
      <c r="S222" s="24" t="s">
        <v>10</v>
      </c>
      <c r="T222" s="24" t="s">
        <v>717</v>
      </c>
      <c r="U222" s="24" t="s">
        <v>1871</v>
      </c>
      <c r="V222" s="24" t="s">
        <v>1872</v>
      </c>
      <c r="W222" s="24" t="s">
        <v>1873</v>
      </c>
      <c r="X222" s="24" t="s">
        <v>68</v>
      </c>
      <c r="Y222" s="24">
        <v>33</v>
      </c>
      <c r="Z222" s="24" t="s">
        <v>1380</v>
      </c>
      <c r="AA222" s="75">
        <v>45544</v>
      </c>
      <c r="AB222" s="126" t="s">
        <v>1874</v>
      </c>
      <c r="AC222" s="31" t="s">
        <v>101</v>
      </c>
      <c r="AD222" s="24" t="s">
        <v>1875</v>
      </c>
      <c r="AE222" s="24" t="s">
        <v>235</v>
      </c>
      <c r="AF222" s="24" t="s">
        <v>1876</v>
      </c>
      <c r="AG222" s="24" t="s">
        <v>1877</v>
      </c>
      <c r="AH222" s="24" t="s">
        <v>76</v>
      </c>
      <c r="AI222" s="24">
        <v>9</v>
      </c>
      <c r="AJ222" s="24">
        <v>0</v>
      </c>
      <c r="AK222" s="24">
        <v>9</v>
      </c>
      <c r="AL222" s="24" t="s">
        <v>1184</v>
      </c>
      <c r="AM222" s="24">
        <v>1</v>
      </c>
      <c r="AN222" s="23" t="s">
        <v>401</v>
      </c>
      <c r="AO222" s="24" t="s">
        <v>1878</v>
      </c>
      <c r="AP222" s="23" t="s">
        <v>92</v>
      </c>
      <c r="AQ222" s="27" t="str">
        <f>+Base_Accidentes[[#This Row],[Tipo de Accidente]]</f>
        <v>Acc. Incapacitante</v>
      </c>
      <c r="AR222" s="23" cm="1">
        <f t="array" aca="1" ref="AR222" ca="1">+Base_Accidentes[Población]</f>
        <v>0</v>
      </c>
      <c r="AS222" s="23" t="s">
        <v>128</v>
      </c>
      <c r="AT222" s="23"/>
    </row>
    <row r="223" spans="1:46" ht="36" hidden="1" x14ac:dyDescent="0.3">
      <c r="A223" s="45">
        <v>222</v>
      </c>
      <c r="B223" s="23" t="s">
        <v>1879</v>
      </c>
      <c r="C223" s="23" t="s">
        <v>1</v>
      </c>
      <c r="D223" s="23" t="s">
        <v>56</v>
      </c>
      <c r="E223" s="23" t="s">
        <v>109</v>
      </c>
      <c r="F223" s="23" t="s">
        <v>58</v>
      </c>
      <c r="G223" s="24" t="s">
        <v>59</v>
      </c>
      <c r="H223" s="31" t="s">
        <v>60</v>
      </c>
      <c r="I223" s="24" t="s">
        <v>60</v>
      </c>
      <c r="J223" s="24" t="s">
        <v>62</v>
      </c>
      <c r="K223" s="24" t="str">
        <f>IF(ISBLANK(Base_Accidentes[[#This Row],[Tipo de Accidente]])," ",Base_Accidentes[[#This Row],[Tipo de Accidente]])</f>
        <v>Acc. No Incapacitante</v>
      </c>
      <c r="L223" s="49">
        <v>45582</v>
      </c>
      <c r="M223" s="47">
        <f>_xlfn.ISOWEEKNUM(Base_Accidentes[[#This Row],[Fecha
(XX/XX/2024)]])</f>
        <v>42</v>
      </c>
      <c r="N223" s="23">
        <f>DAY(Base_Accidentes[[#This Row],[Fecha
(XX/XX/2024)]])</f>
        <v>17</v>
      </c>
      <c r="O223" s="23">
        <f>MONTH(Base_Accidentes[[#This Row],[Fecha
(XX/XX/2024)]])</f>
        <v>10</v>
      </c>
      <c r="P223" s="23">
        <f>YEAR(Base_Accidentes[[#This Row],[Fecha
(XX/XX/2024)]])</f>
        <v>2024</v>
      </c>
      <c r="Q223" s="55">
        <v>0.59583333333333333</v>
      </c>
      <c r="R223" s="31" t="s">
        <v>587</v>
      </c>
      <c r="S223" s="31" t="s">
        <v>10</v>
      </c>
      <c r="T223" s="24" t="s">
        <v>114</v>
      </c>
      <c r="U223" s="31" t="s">
        <v>288</v>
      </c>
      <c r="V223" s="26" t="s">
        <v>1293</v>
      </c>
      <c r="W223" s="26" t="s">
        <v>1880</v>
      </c>
      <c r="X223" s="23" t="s">
        <v>68</v>
      </c>
      <c r="Y223" s="23"/>
      <c r="Z223" s="24" t="s">
        <v>1380</v>
      </c>
      <c r="AA223" s="49"/>
      <c r="AB223" s="31" t="s">
        <v>1881</v>
      </c>
      <c r="AC223" s="31" t="s">
        <v>234</v>
      </c>
      <c r="AD223" s="31" t="s">
        <v>1882</v>
      </c>
      <c r="AE223" s="31" t="s">
        <v>249</v>
      </c>
      <c r="AF223" s="31" t="s">
        <v>1599</v>
      </c>
      <c r="AG223" s="31" t="s">
        <v>1883</v>
      </c>
      <c r="AH223" s="31" t="s">
        <v>505</v>
      </c>
      <c r="AI223" s="31">
        <v>0</v>
      </c>
      <c r="AJ223" s="31"/>
      <c r="AK223" s="31"/>
      <c r="AL223" s="23" t="s">
        <v>1884</v>
      </c>
      <c r="AM223" s="31">
        <v>144</v>
      </c>
      <c r="AN223" s="26" t="s">
        <v>79</v>
      </c>
      <c r="AO223" s="31" t="s">
        <v>490</v>
      </c>
      <c r="AP223" s="23" t="s">
        <v>1155</v>
      </c>
      <c r="AQ223" s="27" t="str">
        <f>+Base_Accidentes[[#This Row],[Tipo de Accidente]]</f>
        <v>Acc. No Incapacitante</v>
      </c>
      <c r="AR223" s="23"/>
      <c r="AS223" s="73"/>
      <c r="AT223" s="23"/>
    </row>
    <row r="224" spans="1:46" ht="36" hidden="1" x14ac:dyDescent="0.3">
      <c r="A224" s="45">
        <v>223</v>
      </c>
      <c r="B224" s="23"/>
      <c r="C224" s="23" t="s">
        <v>1</v>
      </c>
      <c r="D224" s="23" t="s">
        <v>162</v>
      </c>
      <c r="E224" s="51" t="s">
        <v>1156</v>
      </c>
      <c r="F224" s="23" t="s">
        <v>164</v>
      </c>
      <c r="G224" s="24" t="s">
        <v>428</v>
      </c>
      <c r="H224" s="24" t="s">
        <v>60</v>
      </c>
      <c r="I224" s="24" t="s">
        <v>60</v>
      </c>
      <c r="J224" s="24" t="s">
        <v>62</v>
      </c>
      <c r="K224" s="24" t="str">
        <f>IF(ISBLANK(Base_Accidentes[[#This Row],[Tipo de Accidente]])," ",Base_Accidentes[[#This Row],[Tipo de Accidente]])</f>
        <v>Acc. No Incapacitante</v>
      </c>
      <c r="L224" s="49">
        <v>45574</v>
      </c>
      <c r="M224" s="47">
        <f>_xlfn.ISOWEEKNUM(Base_Accidentes[[#This Row],[Fecha
(XX/XX/2024)]])</f>
        <v>41</v>
      </c>
      <c r="N224" s="23">
        <f>DAY(Base_Accidentes[[#This Row],[Fecha
(XX/XX/2024)]])</f>
        <v>9</v>
      </c>
      <c r="O224" s="23">
        <f>MONTH(Base_Accidentes[[#This Row],[Fecha
(XX/XX/2024)]])</f>
        <v>10</v>
      </c>
      <c r="P224" s="23">
        <f>YEAR(Base_Accidentes[[#This Row],[Fecha
(XX/XX/2024)]])</f>
        <v>2024</v>
      </c>
      <c r="Q224" s="55">
        <v>0.39583333333333331</v>
      </c>
      <c r="R224" s="31" t="s">
        <v>587</v>
      </c>
      <c r="S224" s="31" t="s">
        <v>167</v>
      </c>
      <c r="T224" s="24" t="s">
        <v>168</v>
      </c>
      <c r="U224" s="24" t="s">
        <v>1216</v>
      </c>
      <c r="V224" s="23" t="s">
        <v>1885</v>
      </c>
      <c r="W224" s="23" t="s">
        <v>1886</v>
      </c>
      <c r="X224" s="23" t="s">
        <v>68</v>
      </c>
      <c r="Y224" s="23"/>
      <c r="Z224" s="24" t="s">
        <v>1380</v>
      </c>
      <c r="AA224" s="49">
        <v>45476</v>
      </c>
      <c r="AB224" s="31" t="s">
        <v>1887</v>
      </c>
      <c r="AC224" s="31" t="s">
        <v>71</v>
      </c>
      <c r="AD224" s="31" t="s">
        <v>1381</v>
      </c>
      <c r="AE224" s="31" t="s">
        <v>333</v>
      </c>
      <c r="AF224" s="24" t="s">
        <v>1855</v>
      </c>
      <c r="AG224" s="24" t="s">
        <v>1888</v>
      </c>
      <c r="AH224" s="31" t="s">
        <v>145</v>
      </c>
      <c r="AI224" s="31">
        <v>0</v>
      </c>
      <c r="AJ224" s="31">
        <v>0</v>
      </c>
      <c r="AK224" s="31">
        <v>0</v>
      </c>
      <c r="AL224" s="23" t="s">
        <v>1184</v>
      </c>
      <c r="AM224" s="31">
        <v>3</v>
      </c>
      <c r="AN224" s="26" t="s">
        <v>105</v>
      </c>
      <c r="AO224" s="24" t="s">
        <v>1132</v>
      </c>
      <c r="AP224" s="23" t="s">
        <v>92</v>
      </c>
      <c r="AQ224" s="27" t="str">
        <f>+Base_Accidentes[[#This Row],[Tipo de Accidente]]</f>
        <v>Acc. No Incapacitante</v>
      </c>
      <c r="AR224" s="23"/>
      <c r="AS224" s="73"/>
      <c r="AT224" s="23"/>
    </row>
    <row r="225" spans="1:46" ht="24" hidden="1" x14ac:dyDescent="0.3">
      <c r="A225" s="45">
        <v>224</v>
      </c>
      <c r="B225" s="23"/>
      <c r="C225" s="23" t="s">
        <v>1</v>
      </c>
      <c r="D225" s="23" t="s">
        <v>162</v>
      </c>
      <c r="E225" s="51" t="s">
        <v>1156</v>
      </c>
      <c r="F225" s="23" t="s">
        <v>164</v>
      </c>
      <c r="G225" s="24" t="s">
        <v>428</v>
      </c>
      <c r="H225" s="24" t="s">
        <v>60</v>
      </c>
      <c r="I225" s="24" t="s">
        <v>429</v>
      </c>
      <c r="J225" s="24" t="s">
        <v>62</v>
      </c>
      <c r="K225" s="24" t="str">
        <f>IF(ISBLANK(Base_Accidentes[[#This Row],[Tipo de Accidente]])," ",Base_Accidentes[[#This Row],[Tipo de Accidente]])</f>
        <v>Acc. No Incapacitante</v>
      </c>
      <c r="L225" s="49">
        <v>45590</v>
      </c>
      <c r="M225" s="47">
        <f>_xlfn.ISOWEEKNUM(Base_Accidentes[[#This Row],[Fecha
(XX/XX/2024)]])</f>
        <v>43</v>
      </c>
      <c r="N225" s="23">
        <f>DAY(Base_Accidentes[[#This Row],[Fecha
(XX/XX/2024)]])</f>
        <v>25</v>
      </c>
      <c r="O225" s="23">
        <f>MONTH(Base_Accidentes[[#This Row],[Fecha
(XX/XX/2024)]])</f>
        <v>10</v>
      </c>
      <c r="P225" s="23">
        <f>YEAR(Base_Accidentes[[#This Row],[Fecha
(XX/XX/2024)]])</f>
        <v>2024</v>
      </c>
      <c r="Q225" s="48">
        <v>0.1111111111111111</v>
      </c>
      <c r="R225" s="24" t="s">
        <v>135</v>
      </c>
      <c r="S225" s="31" t="s">
        <v>167</v>
      </c>
      <c r="T225" s="24" t="s">
        <v>168</v>
      </c>
      <c r="U225" s="24" t="s">
        <v>1889</v>
      </c>
      <c r="V225" s="23" t="s">
        <v>1890</v>
      </c>
      <c r="W225" s="23" t="s">
        <v>1891</v>
      </c>
      <c r="X225" s="23" t="s">
        <v>68</v>
      </c>
      <c r="Y225" s="23"/>
      <c r="Z225" s="24" t="s">
        <v>1380</v>
      </c>
      <c r="AA225" s="49"/>
      <c r="AB225" s="24" t="s">
        <v>1892</v>
      </c>
      <c r="AC225" s="24" t="s">
        <v>101</v>
      </c>
      <c r="AD225" s="24" t="s">
        <v>1893</v>
      </c>
      <c r="AE225" s="24" t="s">
        <v>235</v>
      </c>
      <c r="AF225" s="24" t="s">
        <v>1894</v>
      </c>
      <c r="AG225" s="24" t="s">
        <v>1895</v>
      </c>
      <c r="AH225" s="24" t="s">
        <v>145</v>
      </c>
      <c r="AI225" s="31">
        <v>0</v>
      </c>
      <c r="AJ225" s="31">
        <v>0</v>
      </c>
      <c r="AK225" s="31">
        <v>0</v>
      </c>
      <c r="AL225" s="23" t="s">
        <v>1184</v>
      </c>
      <c r="AM225" s="24"/>
      <c r="AN225" s="23"/>
      <c r="AO225" s="24" t="s">
        <v>1896</v>
      </c>
      <c r="AP225" s="23" t="s">
        <v>92</v>
      </c>
      <c r="AQ225" s="27" t="str">
        <f>+Base_Accidentes[[#This Row],[Tipo de Accidente]]</f>
        <v>Acc. No Incapacitante</v>
      </c>
      <c r="AR225" s="64" cm="1">
        <f t="array" aca="1" ref="AR225" ca="1">+Base_Accidentes[Población]</f>
        <v>0</v>
      </c>
      <c r="AS225" s="23"/>
      <c r="AT225" s="23"/>
    </row>
    <row r="226" spans="1:46" ht="36" hidden="1" x14ac:dyDescent="0.3">
      <c r="A226" s="45">
        <v>225</v>
      </c>
      <c r="B226" s="23"/>
      <c r="C226" s="23" t="s">
        <v>1</v>
      </c>
      <c r="D226" s="23" t="s">
        <v>162</v>
      </c>
      <c r="E226" s="51" t="s">
        <v>1156</v>
      </c>
      <c r="F226" s="23" t="s">
        <v>164</v>
      </c>
      <c r="G226" s="24" t="s">
        <v>428</v>
      </c>
      <c r="H226" s="24" t="s">
        <v>60</v>
      </c>
      <c r="I226" s="24" t="s">
        <v>429</v>
      </c>
      <c r="J226" s="24" t="s">
        <v>62</v>
      </c>
      <c r="K226" s="24" t="str">
        <f>IF(ISBLANK(Base_Accidentes[[#This Row],[Tipo de Accidente]])," ",Base_Accidentes[[#This Row],[Tipo de Accidente]])</f>
        <v>Acc. No Incapacitante</v>
      </c>
      <c r="L226" s="49">
        <v>45593</v>
      </c>
      <c r="M226" s="47">
        <f>_xlfn.ISOWEEKNUM(Base_Accidentes[[#This Row],[Fecha
(XX/XX/2024)]])</f>
        <v>44</v>
      </c>
      <c r="N226" s="23">
        <f>DAY(Base_Accidentes[[#This Row],[Fecha
(XX/XX/2024)]])</f>
        <v>28</v>
      </c>
      <c r="O226" s="23">
        <f>MONTH(Base_Accidentes[[#This Row],[Fecha
(XX/XX/2024)]])</f>
        <v>10</v>
      </c>
      <c r="P226" s="23">
        <f>YEAR(Base_Accidentes[[#This Row],[Fecha
(XX/XX/2024)]])</f>
        <v>2024</v>
      </c>
      <c r="Q226" s="48">
        <v>0.66666666666666663</v>
      </c>
      <c r="R226" s="24" t="s">
        <v>587</v>
      </c>
      <c r="S226" s="31" t="s">
        <v>167</v>
      </c>
      <c r="T226" s="24" t="s">
        <v>168</v>
      </c>
      <c r="U226" s="24" t="s">
        <v>1364</v>
      </c>
      <c r="V226" s="23" t="s">
        <v>1897</v>
      </c>
      <c r="W226" s="23" t="s">
        <v>1898</v>
      </c>
      <c r="X226" s="23" t="s">
        <v>68</v>
      </c>
      <c r="Y226" s="23"/>
      <c r="Z226" s="24" t="s">
        <v>1380</v>
      </c>
      <c r="AA226" s="49"/>
      <c r="AB226" s="24" t="s">
        <v>1899</v>
      </c>
      <c r="AC226" s="24" t="s">
        <v>292</v>
      </c>
      <c r="AD226" s="24" t="s">
        <v>249</v>
      </c>
      <c r="AE226" s="24" t="s">
        <v>249</v>
      </c>
      <c r="AF226" s="24" t="s">
        <v>1900</v>
      </c>
      <c r="AG226" s="24" t="s">
        <v>1901</v>
      </c>
      <c r="AH226" s="24" t="s">
        <v>294</v>
      </c>
      <c r="AI226" s="31">
        <v>0</v>
      </c>
      <c r="AJ226" s="31">
        <v>0</v>
      </c>
      <c r="AK226" s="31">
        <v>0</v>
      </c>
      <c r="AL226" s="23" t="s">
        <v>1184</v>
      </c>
      <c r="AM226" s="24"/>
      <c r="AN226" s="23"/>
      <c r="AO226" s="24" t="s">
        <v>1902</v>
      </c>
      <c r="AP226" s="23" t="s">
        <v>92</v>
      </c>
      <c r="AQ226" s="27" t="str">
        <f>+Base_Accidentes[[#This Row],[Tipo de Accidente]]</f>
        <v>Acc. No Incapacitante</v>
      </c>
      <c r="AR226" s="64" cm="1">
        <f t="array" aca="1" ref="AR226" ca="1">+Base_Accidentes[Población]</f>
        <v>0</v>
      </c>
      <c r="AS226" s="23"/>
      <c r="AT226" s="23"/>
    </row>
    <row r="227" spans="1:46" ht="60" hidden="1" x14ac:dyDescent="0.3">
      <c r="A227" s="45">
        <v>226</v>
      </c>
      <c r="B227" s="23"/>
      <c r="C227" s="23" t="s">
        <v>1</v>
      </c>
      <c r="D227" s="23" t="s">
        <v>162</v>
      </c>
      <c r="E227" s="51" t="s">
        <v>1156</v>
      </c>
      <c r="F227" s="23" t="s">
        <v>164</v>
      </c>
      <c r="G227" s="24" t="s">
        <v>428</v>
      </c>
      <c r="H227" s="24" t="s">
        <v>60</v>
      </c>
      <c r="I227" s="24" t="s">
        <v>429</v>
      </c>
      <c r="J227" s="24" t="s">
        <v>62</v>
      </c>
      <c r="K227" s="24" t="str">
        <f>IF(ISBLANK(Base_Accidentes[[#This Row],[Tipo de Accidente]])," ",Base_Accidentes[[#This Row],[Tipo de Accidente]])</f>
        <v>Acc. No Incapacitante</v>
      </c>
      <c r="L227" s="49">
        <v>45596</v>
      </c>
      <c r="M227" s="47">
        <f>_xlfn.ISOWEEKNUM(Base_Accidentes[[#This Row],[Fecha
(XX/XX/2024)]])</f>
        <v>44</v>
      </c>
      <c r="N227" s="23">
        <f>DAY(Base_Accidentes[[#This Row],[Fecha
(XX/XX/2024)]])</f>
        <v>31</v>
      </c>
      <c r="O227" s="23">
        <f>MONTH(Base_Accidentes[[#This Row],[Fecha
(XX/XX/2024)]])</f>
        <v>10</v>
      </c>
      <c r="P227" s="23">
        <f>YEAR(Base_Accidentes[[#This Row],[Fecha
(XX/XX/2024)]])</f>
        <v>2024</v>
      </c>
      <c r="Q227" s="48">
        <v>0.4513888888888889</v>
      </c>
      <c r="R227" s="24" t="s">
        <v>587</v>
      </c>
      <c r="S227" s="31" t="s">
        <v>167</v>
      </c>
      <c r="T227" s="24" t="s">
        <v>168</v>
      </c>
      <c r="U227" s="24" t="s">
        <v>1903</v>
      </c>
      <c r="V227" s="23" t="s">
        <v>1904</v>
      </c>
      <c r="W227" s="23" t="s">
        <v>1905</v>
      </c>
      <c r="X227" s="23" t="s">
        <v>68</v>
      </c>
      <c r="Y227" s="23"/>
      <c r="Z227" s="24" t="s">
        <v>1380</v>
      </c>
      <c r="AA227" s="49"/>
      <c r="AB227" s="24" t="s">
        <v>1906</v>
      </c>
      <c r="AC227" s="24" t="s">
        <v>101</v>
      </c>
      <c r="AD227" s="24" t="s">
        <v>1907</v>
      </c>
      <c r="AE227" s="24" t="s">
        <v>103</v>
      </c>
      <c r="AF227" s="24" t="s">
        <v>461</v>
      </c>
      <c r="AG227" s="24" t="s">
        <v>1908</v>
      </c>
      <c r="AH227" s="24" t="s">
        <v>145</v>
      </c>
      <c r="AI227" s="31">
        <v>0</v>
      </c>
      <c r="AJ227" s="31">
        <v>0</v>
      </c>
      <c r="AK227" s="31">
        <v>0</v>
      </c>
      <c r="AL227" s="23" t="s">
        <v>1184</v>
      </c>
      <c r="AM227" s="24"/>
      <c r="AN227" s="23"/>
      <c r="AO227" s="24"/>
      <c r="AP227" s="23" t="s">
        <v>92</v>
      </c>
      <c r="AQ227" s="27" t="str">
        <f>+Base_Accidentes[[#This Row],[Tipo de Accidente]]</f>
        <v>Acc. No Incapacitante</v>
      </c>
      <c r="AR227" s="64" cm="1">
        <f t="array" aca="1" ref="AR227" ca="1">+Base_Accidentes[Población]</f>
        <v>0</v>
      </c>
      <c r="AS227" s="23"/>
      <c r="AT227" s="23"/>
    </row>
    <row r="228" spans="1:46" ht="36" hidden="1" customHeight="1" x14ac:dyDescent="0.3">
      <c r="A228" s="45">
        <v>227</v>
      </c>
      <c r="B228" s="23"/>
      <c r="C228" s="23" t="s">
        <v>130</v>
      </c>
      <c r="D228" s="23" t="s">
        <v>131</v>
      </c>
      <c r="E228" s="23"/>
      <c r="F228" s="23" t="s">
        <v>148</v>
      </c>
      <c r="G228" s="24" t="s">
        <v>149</v>
      </c>
      <c r="H228" s="31" t="s">
        <v>184</v>
      </c>
      <c r="I228" s="24" t="s">
        <v>1909</v>
      </c>
      <c r="J228" s="24" t="s">
        <v>113</v>
      </c>
      <c r="K228" s="24" t="s">
        <v>113</v>
      </c>
      <c r="L228" s="49">
        <v>45580</v>
      </c>
      <c r="M228" s="47">
        <f>_xlfn.ISOWEEKNUM(Base_Accidentes[[#This Row],[Fecha
(XX/XX/2024)]])</f>
        <v>42</v>
      </c>
      <c r="N228" s="23">
        <f>DAY(Base_Accidentes[[#This Row],[Fecha
(XX/XX/2024)]])</f>
        <v>15</v>
      </c>
      <c r="O228" s="23">
        <f>MONTH(Base_Accidentes[[#This Row],[Fecha
(XX/XX/2024)]])</f>
        <v>10</v>
      </c>
      <c r="P228" s="23">
        <f>YEAR(Base_Accidentes[[#This Row],[Fecha
(XX/XX/2024)]])</f>
        <v>2024</v>
      </c>
      <c r="Q228" s="55">
        <v>0.3888888888888889</v>
      </c>
      <c r="R228" s="31" t="s">
        <v>63</v>
      </c>
      <c r="S228" s="31" t="s">
        <v>10</v>
      </c>
      <c r="T228" s="24" t="s">
        <v>114</v>
      </c>
      <c r="U228" s="24" t="s">
        <v>1910</v>
      </c>
      <c r="V228" s="23" t="s">
        <v>1911</v>
      </c>
      <c r="W228" s="23" t="s">
        <v>1912</v>
      </c>
      <c r="X228" s="23" t="s">
        <v>68</v>
      </c>
      <c r="Y228" s="23">
        <v>62</v>
      </c>
      <c r="Z228" s="24" t="s">
        <v>1913</v>
      </c>
      <c r="AA228" s="49">
        <v>36203</v>
      </c>
      <c r="AB228" s="31" t="s">
        <v>1914</v>
      </c>
      <c r="AC228" s="31" t="s">
        <v>101</v>
      </c>
      <c r="AD228" s="31" t="s">
        <v>1381</v>
      </c>
      <c r="AE228" s="31" t="s">
        <v>333</v>
      </c>
      <c r="AF228" s="31" t="s">
        <v>1915</v>
      </c>
      <c r="AG228" s="31" t="s">
        <v>1916</v>
      </c>
      <c r="AH228" s="31" t="s">
        <v>145</v>
      </c>
      <c r="AI228" s="31">
        <v>6</v>
      </c>
      <c r="AJ228" s="31">
        <v>0</v>
      </c>
      <c r="AK228" s="31">
        <v>6</v>
      </c>
      <c r="AL228" s="24" t="s">
        <v>354</v>
      </c>
      <c r="AM228" s="31">
        <v>309</v>
      </c>
      <c r="AN228" s="26" t="s">
        <v>79</v>
      </c>
      <c r="AO228" s="31" t="s">
        <v>1917</v>
      </c>
      <c r="AP228" s="23" t="s">
        <v>81</v>
      </c>
      <c r="AQ228" s="27" t="str">
        <f>+Base_Accidentes[[#This Row],[Tipo de Accidente]]</f>
        <v>Acc. Incapacitante</v>
      </c>
      <c r="AR228" s="23"/>
      <c r="AS228" s="73" t="s">
        <v>1830</v>
      </c>
      <c r="AT228" s="23"/>
    </row>
    <row r="229" spans="1:46" ht="24" hidden="1" x14ac:dyDescent="0.3">
      <c r="A229" s="45">
        <v>228</v>
      </c>
      <c r="B229" s="23"/>
      <c r="C229" s="23" t="s">
        <v>1</v>
      </c>
      <c r="D229" s="23" t="s">
        <v>162</v>
      </c>
      <c r="E229" s="51" t="s">
        <v>1257</v>
      </c>
      <c r="F229" s="23" t="s">
        <v>164</v>
      </c>
      <c r="G229" s="24" t="s">
        <v>228</v>
      </c>
      <c r="H229" s="31" t="s">
        <v>60</v>
      </c>
      <c r="I229" s="24" t="s">
        <v>1918</v>
      </c>
      <c r="J229" s="24" t="s">
        <v>62</v>
      </c>
      <c r="K229" s="24" t="str">
        <f>IF(ISBLANK(Base_Accidentes[[#This Row],[Tipo de Accidente]])," ",Base_Accidentes[[#This Row],[Tipo de Accidente]])</f>
        <v>Acc. No Incapacitante</v>
      </c>
      <c r="L229" s="49">
        <v>45546</v>
      </c>
      <c r="M229" s="47">
        <f>_xlfn.ISOWEEKNUM(Base_Accidentes[[#This Row],[Fecha
(XX/XX/2024)]])</f>
        <v>37</v>
      </c>
      <c r="N229" s="23">
        <f>DAY(Base_Accidentes[[#This Row],[Fecha
(XX/XX/2024)]])</f>
        <v>11</v>
      </c>
      <c r="O229" s="23">
        <f>MONTH(Base_Accidentes[[#This Row],[Fecha
(XX/XX/2024)]])</f>
        <v>9</v>
      </c>
      <c r="P229" s="23">
        <f>YEAR(Base_Accidentes[[#This Row],[Fecha
(XX/XX/2024)]])</f>
        <v>2024</v>
      </c>
      <c r="Q229" s="55">
        <v>0.34375</v>
      </c>
      <c r="R229" s="31" t="s">
        <v>587</v>
      </c>
      <c r="S229" s="31" t="s">
        <v>167</v>
      </c>
      <c r="T229" s="24" t="s">
        <v>168</v>
      </c>
      <c r="U229" s="31" t="s">
        <v>1919</v>
      </c>
      <c r="V229" s="26" t="s">
        <v>1920</v>
      </c>
      <c r="W229" s="26" t="s">
        <v>1921</v>
      </c>
      <c r="X229" s="23" t="s">
        <v>68</v>
      </c>
      <c r="Y229" s="23">
        <v>35</v>
      </c>
      <c r="Z229" s="24" t="s">
        <v>172</v>
      </c>
      <c r="AA229" s="49">
        <v>45467</v>
      </c>
      <c r="AB229" s="31" t="s">
        <v>1922</v>
      </c>
      <c r="AC229" s="31" t="s">
        <v>234</v>
      </c>
      <c r="AD229" s="31" t="s">
        <v>1562</v>
      </c>
      <c r="AE229" s="31" t="s">
        <v>142</v>
      </c>
      <c r="AF229" s="31" t="s">
        <v>1923</v>
      </c>
      <c r="AG229" s="31" t="s">
        <v>1924</v>
      </c>
      <c r="AH229" s="31" t="s">
        <v>532</v>
      </c>
      <c r="AI229" s="31">
        <v>0</v>
      </c>
      <c r="AJ229" s="31">
        <v>0</v>
      </c>
      <c r="AK229" s="31">
        <v>0</v>
      </c>
      <c r="AL229" s="23" t="s">
        <v>1184</v>
      </c>
      <c r="AM229" s="31"/>
      <c r="AN229" s="26"/>
      <c r="AO229" s="31"/>
      <c r="AP229" s="23"/>
      <c r="AQ229" s="66" t="str">
        <f>+Base_Accidentes[[#This Row],[Tipo de Accidente]]</f>
        <v>Acc. No Incapacitante</v>
      </c>
      <c r="AR229" s="23" cm="1">
        <f t="array" aca="1" ref="AR229" ca="1">+Base_Accidentes[Población]</f>
        <v>0</v>
      </c>
      <c r="AS229" s="73"/>
      <c r="AT229" s="23"/>
    </row>
    <row r="230" spans="1:46" ht="48" hidden="1" x14ac:dyDescent="0.3">
      <c r="A230" s="45">
        <v>229</v>
      </c>
      <c r="B230" s="23"/>
      <c r="C230" s="23" t="s">
        <v>1</v>
      </c>
      <c r="D230" s="23" t="s">
        <v>162</v>
      </c>
      <c r="E230" s="51" t="s">
        <v>1257</v>
      </c>
      <c r="F230" s="23" t="s">
        <v>164</v>
      </c>
      <c r="G230" s="24" t="s">
        <v>228</v>
      </c>
      <c r="H230" s="31" t="s">
        <v>60</v>
      </c>
      <c r="I230" s="24" t="s">
        <v>1918</v>
      </c>
      <c r="J230" s="24" t="s">
        <v>62</v>
      </c>
      <c r="K230" s="24" t="str">
        <f>IF(ISBLANK(Base_Accidentes[[#This Row],[Tipo de Accidente]])," ",Base_Accidentes[[#This Row],[Tipo de Accidente]])</f>
        <v>Acc. No Incapacitante</v>
      </c>
      <c r="L230" s="49">
        <v>45547</v>
      </c>
      <c r="M230" s="47">
        <f>_xlfn.ISOWEEKNUM(Base_Accidentes[[#This Row],[Fecha
(XX/XX/2024)]])</f>
        <v>37</v>
      </c>
      <c r="N230" s="23">
        <f>DAY(Base_Accidentes[[#This Row],[Fecha
(XX/XX/2024)]])</f>
        <v>12</v>
      </c>
      <c r="O230" s="23">
        <f>MONTH(Base_Accidentes[[#This Row],[Fecha
(XX/XX/2024)]])</f>
        <v>9</v>
      </c>
      <c r="P230" s="23">
        <f>YEAR(Base_Accidentes[[#This Row],[Fecha
(XX/XX/2024)]])</f>
        <v>2024</v>
      </c>
      <c r="Q230" s="55">
        <v>0.41666666666666669</v>
      </c>
      <c r="R230" s="31" t="s">
        <v>587</v>
      </c>
      <c r="S230" s="31" t="s">
        <v>167</v>
      </c>
      <c r="T230" s="24" t="s">
        <v>168</v>
      </c>
      <c r="U230" s="31" t="s">
        <v>1925</v>
      </c>
      <c r="V230" s="26" t="s">
        <v>1396</v>
      </c>
      <c r="W230" s="26" t="s">
        <v>1926</v>
      </c>
      <c r="X230" s="23" t="s">
        <v>68</v>
      </c>
      <c r="Y230" s="23">
        <v>27</v>
      </c>
      <c r="Z230" s="24" t="s">
        <v>172</v>
      </c>
      <c r="AA230" s="49">
        <v>45407</v>
      </c>
      <c r="AB230" s="31" t="s">
        <v>1927</v>
      </c>
      <c r="AC230" s="31" t="s">
        <v>234</v>
      </c>
      <c r="AD230" s="31" t="s">
        <v>1928</v>
      </c>
      <c r="AE230" s="31" t="s">
        <v>103</v>
      </c>
      <c r="AF230" s="31" t="s">
        <v>1929</v>
      </c>
      <c r="AG230" s="31" t="s">
        <v>1924</v>
      </c>
      <c r="AH230" s="31" t="s">
        <v>532</v>
      </c>
      <c r="AI230" s="31">
        <v>0</v>
      </c>
      <c r="AJ230" s="31">
        <v>0</v>
      </c>
      <c r="AK230" s="31">
        <v>0</v>
      </c>
      <c r="AL230" s="23" t="s">
        <v>1184</v>
      </c>
      <c r="AM230" s="31"/>
      <c r="AN230" s="26"/>
      <c r="AO230" s="31"/>
      <c r="AP230" s="23"/>
      <c r="AQ230" s="66" t="str">
        <f>+Base_Accidentes[[#This Row],[Tipo de Accidente]]</f>
        <v>Acc. No Incapacitante</v>
      </c>
      <c r="AR230" s="23" cm="1">
        <f t="array" aca="1" ref="AR230" ca="1">+Base_Accidentes[Población]</f>
        <v>0</v>
      </c>
      <c r="AS230" s="73"/>
      <c r="AT230" s="23"/>
    </row>
    <row r="231" spans="1:46" ht="24" hidden="1" x14ac:dyDescent="0.3">
      <c r="A231" s="45">
        <v>230</v>
      </c>
      <c r="B231" s="90"/>
      <c r="C231" s="23" t="s">
        <v>1</v>
      </c>
      <c r="D231" s="23" t="s">
        <v>162</v>
      </c>
      <c r="E231" s="51" t="s">
        <v>1257</v>
      </c>
      <c r="F231" s="23" t="s">
        <v>164</v>
      </c>
      <c r="G231" s="24" t="s">
        <v>228</v>
      </c>
      <c r="H231" s="31" t="s">
        <v>60</v>
      </c>
      <c r="I231" s="24" t="s">
        <v>228</v>
      </c>
      <c r="J231" s="24" t="s">
        <v>62</v>
      </c>
      <c r="K231" s="24" t="str">
        <f>IF(ISBLANK(Base_Accidentes[[#This Row],[Tipo de Accidente]])," ",Base_Accidentes[[#This Row],[Tipo de Accidente]])</f>
        <v>Acc. No Incapacitante</v>
      </c>
      <c r="L231" s="49">
        <v>45551</v>
      </c>
      <c r="M231" s="47">
        <f>_xlfn.ISOWEEKNUM(Base_Accidentes[[#This Row],[Fecha
(XX/XX/2024)]])</f>
        <v>38</v>
      </c>
      <c r="N231" s="23">
        <f>DAY(Base_Accidentes[[#This Row],[Fecha
(XX/XX/2024)]])</f>
        <v>16</v>
      </c>
      <c r="O231" s="23">
        <f>MONTH(Base_Accidentes[[#This Row],[Fecha
(XX/XX/2024)]])</f>
        <v>9</v>
      </c>
      <c r="P231" s="23">
        <f>YEAR(Base_Accidentes[[#This Row],[Fecha
(XX/XX/2024)]])</f>
        <v>2024</v>
      </c>
      <c r="Q231" s="55">
        <v>0.5541666666666667</v>
      </c>
      <c r="R231" s="31" t="s">
        <v>587</v>
      </c>
      <c r="S231" s="31" t="s">
        <v>167</v>
      </c>
      <c r="T231" s="24" t="s">
        <v>168</v>
      </c>
      <c r="U231" s="31" t="s">
        <v>1930</v>
      </c>
      <c r="V231" s="26" t="s">
        <v>1931</v>
      </c>
      <c r="W231" s="26" t="s">
        <v>1932</v>
      </c>
      <c r="X231" s="23" t="s">
        <v>68</v>
      </c>
      <c r="Y231" s="23">
        <v>30</v>
      </c>
      <c r="Z231" s="24" t="s">
        <v>172</v>
      </c>
      <c r="AA231" s="49">
        <v>45540</v>
      </c>
      <c r="AB231" s="31" t="s">
        <v>1933</v>
      </c>
      <c r="AC231" s="31" t="s">
        <v>101</v>
      </c>
      <c r="AD231" s="31" t="s">
        <v>1295</v>
      </c>
      <c r="AE231" s="31"/>
      <c r="AF231" s="31" t="s">
        <v>1934</v>
      </c>
      <c r="AG231" s="31" t="s">
        <v>270</v>
      </c>
      <c r="AH231" s="31"/>
      <c r="AI231" s="31">
        <v>0</v>
      </c>
      <c r="AJ231" s="31">
        <v>0</v>
      </c>
      <c r="AK231" s="31">
        <v>0</v>
      </c>
      <c r="AL231" s="23" t="s">
        <v>1184</v>
      </c>
      <c r="AM231" s="31">
        <v>1</v>
      </c>
      <c r="AN231" s="26" t="s">
        <v>240</v>
      </c>
      <c r="AO231" s="31"/>
      <c r="AP231" s="23"/>
      <c r="AQ231" s="66" t="str">
        <f>+Base_Accidentes[[#This Row],[Tipo de Accidente]]</f>
        <v>Acc. No Incapacitante</v>
      </c>
      <c r="AR231" s="23" cm="1">
        <f t="array" aca="1" ref="AR231" ca="1">+Base_Accidentes[Población]</f>
        <v>0</v>
      </c>
      <c r="AS231" s="73"/>
      <c r="AT231" s="23"/>
    </row>
    <row r="232" spans="1:46" ht="36" hidden="1" x14ac:dyDescent="0.3">
      <c r="A232" s="45">
        <v>231</v>
      </c>
      <c r="B232" s="23"/>
      <c r="C232" s="23" t="s">
        <v>1</v>
      </c>
      <c r="D232" s="23" t="s">
        <v>162</v>
      </c>
      <c r="E232" s="51" t="s">
        <v>1257</v>
      </c>
      <c r="F232" s="23" t="s">
        <v>164</v>
      </c>
      <c r="G232" s="24" t="s">
        <v>228</v>
      </c>
      <c r="H232" s="31" t="s">
        <v>60</v>
      </c>
      <c r="I232" s="24" t="s">
        <v>228</v>
      </c>
      <c r="J232" s="24" t="s">
        <v>62</v>
      </c>
      <c r="K232" s="24" t="str">
        <f>IF(ISBLANK(Base_Accidentes[[#This Row],[Tipo de Accidente]])," ",Base_Accidentes[[#This Row],[Tipo de Accidente]])</f>
        <v>Acc. No Incapacitante</v>
      </c>
      <c r="L232" s="49">
        <v>45552</v>
      </c>
      <c r="M232" s="47">
        <f>_xlfn.ISOWEEKNUM(Base_Accidentes[[#This Row],[Fecha
(XX/XX/2024)]])</f>
        <v>38</v>
      </c>
      <c r="N232" s="23">
        <f>DAY(Base_Accidentes[[#This Row],[Fecha
(XX/XX/2024)]])</f>
        <v>17</v>
      </c>
      <c r="O232" s="23">
        <f>MONTH(Base_Accidentes[[#This Row],[Fecha
(XX/XX/2024)]])</f>
        <v>9</v>
      </c>
      <c r="P232" s="23">
        <f>YEAR(Base_Accidentes[[#This Row],[Fecha
(XX/XX/2024)]])</f>
        <v>2024</v>
      </c>
      <c r="Q232" s="55">
        <v>0.43055555555555558</v>
      </c>
      <c r="R232" s="31" t="s">
        <v>587</v>
      </c>
      <c r="S232" s="31" t="s">
        <v>167</v>
      </c>
      <c r="T232" s="24" t="s">
        <v>168</v>
      </c>
      <c r="U232" s="31" t="s">
        <v>1935</v>
      </c>
      <c r="V232" s="26" t="s">
        <v>1936</v>
      </c>
      <c r="W232" s="26" t="s">
        <v>975</v>
      </c>
      <c r="X232" s="23" t="s">
        <v>68</v>
      </c>
      <c r="Y232" s="23">
        <v>32</v>
      </c>
      <c r="Z232" s="24" t="s">
        <v>172</v>
      </c>
      <c r="AA232" s="49">
        <v>45532</v>
      </c>
      <c r="AB232" s="31" t="s">
        <v>1937</v>
      </c>
      <c r="AC232" s="31" t="s">
        <v>281</v>
      </c>
      <c r="AD232" s="31" t="s">
        <v>1938</v>
      </c>
      <c r="AE232" s="31"/>
      <c r="AF232" s="31" t="s">
        <v>1939</v>
      </c>
      <c r="AG232" s="31" t="s">
        <v>1940</v>
      </c>
      <c r="AH232" s="31"/>
      <c r="AI232" s="31">
        <v>0</v>
      </c>
      <c r="AJ232" s="31">
        <v>0</v>
      </c>
      <c r="AK232" s="31">
        <v>0</v>
      </c>
      <c r="AL232" s="23" t="s">
        <v>1184</v>
      </c>
      <c r="AM232" s="31"/>
      <c r="AN232" s="26"/>
      <c r="AO232" s="31"/>
      <c r="AP232" s="23"/>
      <c r="AQ232" s="66" t="str">
        <f>+Base_Accidentes[[#This Row],[Tipo de Accidente]]</f>
        <v>Acc. No Incapacitante</v>
      </c>
      <c r="AR232" s="23" cm="1">
        <f t="array" aca="1" ref="AR232" ca="1">+Base_Accidentes[Población]</f>
        <v>0</v>
      </c>
      <c r="AS232" s="73"/>
      <c r="AT232" s="23"/>
    </row>
    <row r="233" spans="1:46" ht="48" hidden="1" x14ac:dyDescent="0.3">
      <c r="A233" s="45">
        <v>232</v>
      </c>
      <c r="B233" s="23" t="s">
        <v>1941</v>
      </c>
      <c r="C233" s="23" t="s">
        <v>1</v>
      </c>
      <c r="D233" s="23" t="s">
        <v>56</v>
      </c>
      <c r="E233" s="23" t="s">
        <v>109</v>
      </c>
      <c r="F233" s="23" t="s">
        <v>58</v>
      </c>
      <c r="G233" s="24" t="s">
        <v>59</v>
      </c>
      <c r="H233" s="31" t="s">
        <v>60</v>
      </c>
      <c r="I233" s="24" t="s">
        <v>60</v>
      </c>
      <c r="J233" s="24" t="s">
        <v>62</v>
      </c>
      <c r="K233" s="24" t="str">
        <f>IF(ISBLANK(Base_Accidentes[[#This Row],[Tipo de Accidente]])," ",Base_Accidentes[[#This Row],[Tipo de Accidente]])</f>
        <v>Acc. No Incapacitante</v>
      </c>
      <c r="L233" s="70">
        <v>45587</v>
      </c>
      <c r="M233" s="47">
        <f>_xlfn.ISOWEEKNUM(Base_Accidentes[[#This Row],[Fecha
(XX/XX/2024)]])</f>
        <v>43</v>
      </c>
      <c r="N233" s="23">
        <f>DAY(Base_Accidentes[[#This Row],[Fecha
(XX/XX/2024)]])</f>
        <v>22</v>
      </c>
      <c r="O233" s="23">
        <f>MONTH(Base_Accidentes[[#This Row],[Fecha
(XX/XX/2024)]])</f>
        <v>10</v>
      </c>
      <c r="P233" s="23">
        <f>YEAR(Base_Accidentes[[#This Row],[Fecha
(XX/XX/2024)]])</f>
        <v>2024</v>
      </c>
      <c r="Q233" s="55">
        <v>0.30208333333333331</v>
      </c>
      <c r="R233" s="31" t="s">
        <v>587</v>
      </c>
      <c r="S233" s="31" t="s">
        <v>10</v>
      </c>
      <c r="T233" s="24" t="s">
        <v>114</v>
      </c>
      <c r="U233" s="23" t="s">
        <v>1942</v>
      </c>
      <c r="V233" s="23" t="s">
        <v>1101</v>
      </c>
      <c r="W233" s="23" t="s">
        <v>1102</v>
      </c>
      <c r="X233" s="23" t="s">
        <v>98</v>
      </c>
      <c r="Y233" s="23">
        <v>34</v>
      </c>
      <c r="Z233" s="24" t="s">
        <v>1380</v>
      </c>
      <c r="AA233" s="23"/>
      <c r="AB233" s="31" t="s">
        <v>1943</v>
      </c>
      <c r="AC233" s="31" t="s">
        <v>120</v>
      </c>
      <c r="AD233" s="23" t="s">
        <v>122</v>
      </c>
      <c r="AE233" s="23"/>
      <c r="AF233" s="31" t="s">
        <v>1944</v>
      </c>
      <c r="AG233" s="23" t="s">
        <v>1945</v>
      </c>
      <c r="AH233" s="31" t="s">
        <v>145</v>
      </c>
      <c r="AI233" s="23">
        <v>0</v>
      </c>
      <c r="AJ233" s="23">
        <v>0</v>
      </c>
      <c r="AK233" s="23">
        <v>0</v>
      </c>
      <c r="AL233" s="23" t="s">
        <v>1184</v>
      </c>
      <c r="AM233" s="23"/>
      <c r="AN233" s="23"/>
      <c r="AO233" s="24" t="s">
        <v>1946</v>
      </c>
      <c r="AP233" s="23" t="s">
        <v>1155</v>
      </c>
      <c r="AQ233" s="27" t="str">
        <f>+Base_Accidentes[[#This Row],[Tipo de Accidente]]</f>
        <v>Acc. No Incapacitante</v>
      </c>
      <c r="AR233" s="64" cm="1">
        <f t="array" aca="1" ref="AR233" ca="1">+Base_Accidentes[Población]</f>
        <v>0</v>
      </c>
      <c r="AS233" s="23"/>
      <c r="AT233" s="23"/>
    </row>
    <row r="234" spans="1:46" ht="24" hidden="1" x14ac:dyDescent="0.3">
      <c r="A234" s="45">
        <v>233</v>
      </c>
      <c r="B234" s="23"/>
      <c r="C234" s="23" t="s">
        <v>1</v>
      </c>
      <c r="D234" s="23" t="s">
        <v>162</v>
      </c>
      <c r="E234" s="23" t="s">
        <v>1156</v>
      </c>
      <c r="F234" s="23" t="s">
        <v>164</v>
      </c>
      <c r="G234" s="24" t="s">
        <v>1314</v>
      </c>
      <c r="H234" s="24" t="s">
        <v>60</v>
      </c>
      <c r="I234" s="24" t="s">
        <v>1315</v>
      </c>
      <c r="J234" s="24" t="s">
        <v>62</v>
      </c>
      <c r="K234" s="24" t="str">
        <f>IF(ISBLANK(Base_Accidentes[[#This Row],[Tipo de Accidente]])," ",Base_Accidentes[[#This Row],[Tipo de Accidente]])</f>
        <v>Acc. No Incapacitante</v>
      </c>
      <c r="L234" s="70">
        <v>45588</v>
      </c>
      <c r="M234" s="47">
        <f>_xlfn.ISOWEEKNUM(Base_Accidentes[[#This Row],[Fecha
(XX/XX/2024)]])</f>
        <v>43</v>
      </c>
      <c r="N234" s="23">
        <f>DAY(Base_Accidentes[[#This Row],[Fecha
(XX/XX/2024)]])</f>
        <v>23</v>
      </c>
      <c r="O234" s="23">
        <f>MONTH(Base_Accidentes[[#This Row],[Fecha
(XX/XX/2024)]])</f>
        <v>10</v>
      </c>
      <c r="P234" s="23">
        <f>YEAR(Base_Accidentes[[#This Row],[Fecha
(XX/XX/2024)]])</f>
        <v>2024</v>
      </c>
      <c r="Q234" s="48">
        <v>0.47569444444444442</v>
      </c>
      <c r="R234" s="24" t="s">
        <v>587</v>
      </c>
      <c r="S234" s="24" t="s">
        <v>167</v>
      </c>
      <c r="T234" s="24" t="s">
        <v>168</v>
      </c>
      <c r="U234" s="23" t="s">
        <v>1947</v>
      </c>
      <c r="V234" s="23" t="s">
        <v>1948</v>
      </c>
      <c r="W234" s="23" t="s">
        <v>1949</v>
      </c>
      <c r="X234" s="23" t="s">
        <v>98</v>
      </c>
      <c r="Y234" s="23"/>
      <c r="Z234" s="24" t="s">
        <v>1380</v>
      </c>
      <c r="AA234" s="23"/>
      <c r="AB234" s="24" t="s">
        <v>1950</v>
      </c>
      <c r="AC234" s="24" t="s">
        <v>267</v>
      </c>
      <c r="AD234" s="23" t="s">
        <v>1592</v>
      </c>
      <c r="AE234" s="31" t="s">
        <v>435</v>
      </c>
      <c r="AF234" s="24" t="s">
        <v>1167</v>
      </c>
      <c r="AG234" s="23" t="s">
        <v>1951</v>
      </c>
      <c r="AH234" s="24" t="s">
        <v>145</v>
      </c>
      <c r="AI234" s="23">
        <v>0</v>
      </c>
      <c r="AJ234" s="23">
        <v>0</v>
      </c>
      <c r="AK234" s="23">
        <v>0</v>
      </c>
      <c r="AL234" s="23" t="s">
        <v>1184</v>
      </c>
      <c r="AM234" s="23"/>
      <c r="AN234" s="23"/>
      <c r="AO234" s="24" t="s">
        <v>829</v>
      </c>
      <c r="AP234" s="23" t="s">
        <v>92</v>
      </c>
      <c r="AQ234" s="27" t="str">
        <f>+Base_Accidentes[[#This Row],[Tipo de Accidente]]</f>
        <v>Acc. No Incapacitante</v>
      </c>
      <c r="AR234" s="64" cm="1">
        <f t="array" aca="1" ref="AR234" ca="1">+Base_Accidentes[Población]</f>
        <v>0</v>
      </c>
      <c r="AS234" s="23"/>
      <c r="AT234" s="23"/>
    </row>
    <row r="235" spans="1:46" ht="72" x14ac:dyDescent="0.3">
      <c r="A235" s="45">
        <v>234</v>
      </c>
      <c r="B235" s="23"/>
      <c r="C235" s="23" t="s">
        <v>1</v>
      </c>
      <c r="D235" s="23" t="s">
        <v>56</v>
      </c>
      <c r="E235" s="23" t="s">
        <v>109</v>
      </c>
      <c r="F235" s="23" t="s">
        <v>110</v>
      </c>
      <c r="G235" s="24" t="s">
        <v>111</v>
      </c>
      <c r="H235" s="24" t="s">
        <v>184</v>
      </c>
      <c r="I235" s="24" t="s">
        <v>1430</v>
      </c>
      <c r="J235" s="24" t="s">
        <v>113</v>
      </c>
      <c r="K235" s="24" t="str">
        <f>IF(ISBLANK(Base_Accidentes[[#This Row],[Tipo de Accidente]])," ",Base_Accidentes[[#This Row],[Tipo de Accidente]])</f>
        <v>Acc. Incapacitante</v>
      </c>
      <c r="L235" s="118">
        <v>45591</v>
      </c>
      <c r="M235" s="47">
        <f>_xlfn.ISOWEEKNUM(Base_Accidentes[[#This Row],[Fecha
(XX/XX/2024)]])</f>
        <v>43</v>
      </c>
      <c r="N235" s="23">
        <f>DAY(Base_Accidentes[[#This Row],[Fecha
(XX/XX/2024)]])</f>
        <v>26</v>
      </c>
      <c r="O235" s="23">
        <f>MONTH(Base_Accidentes[[#This Row],[Fecha
(XX/XX/2024)]])</f>
        <v>10</v>
      </c>
      <c r="P235" s="23">
        <f>YEAR(Base_Accidentes[[#This Row],[Fecha
(XX/XX/2024)]])</f>
        <v>2024</v>
      </c>
      <c r="Q235" s="69">
        <v>0.32430555555555557</v>
      </c>
      <c r="R235" s="26" t="s">
        <v>63</v>
      </c>
      <c r="S235" s="24" t="s">
        <v>11</v>
      </c>
      <c r="T235" s="23" t="s">
        <v>11</v>
      </c>
      <c r="U235" s="23" t="s">
        <v>1952</v>
      </c>
      <c r="V235" s="23" t="s">
        <v>1843</v>
      </c>
      <c r="W235" s="23" t="s">
        <v>1953</v>
      </c>
      <c r="X235" s="23" t="s">
        <v>68</v>
      </c>
      <c r="Y235" s="23">
        <v>21</v>
      </c>
      <c r="Z235" s="24" t="s">
        <v>1954</v>
      </c>
      <c r="AA235" s="23"/>
      <c r="AB235" s="24" t="s">
        <v>1955</v>
      </c>
      <c r="AC235" s="31" t="s">
        <v>201</v>
      </c>
      <c r="AD235" s="26" t="s">
        <v>1956</v>
      </c>
      <c r="AE235" s="31" t="s">
        <v>142</v>
      </c>
      <c r="AF235" s="31" t="s">
        <v>1957</v>
      </c>
      <c r="AG235" s="31" t="s">
        <v>1958</v>
      </c>
      <c r="AH235" s="31" t="s">
        <v>76</v>
      </c>
      <c r="AI235" s="26">
        <v>9</v>
      </c>
      <c r="AJ235" s="23">
        <v>0</v>
      </c>
      <c r="AK235" s="23">
        <v>9</v>
      </c>
      <c r="AL235" s="23" t="s">
        <v>1131</v>
      </c>
      <c r="AM235" s="23"/>
      <c r="AN235" s="23"/>
      <c r="AO235" s="24" t="s">
        <v>1959</v>
      </c>
      <c r="AP235" s="23" t="s">
        <v>1960</v>
      </c>
      <c r="AQ235" s="27" t="str">
        <f>+Base_Accidentes[[#This Row],[Tipo de Accidente]]</f>
        <v>Acc. Incapacitante</v>
      </c>
      <c r="AR235" s="64" cm="1">
        <f t="array" aca="1" ref="AR235" ca="1">+Base_Accidentes[Población]</f>
        <v>0</v>
      </c>
      <c r="AS235" s="23" t="s">
        <v>1830</v>
      </c>
      <c r="AT235" s="23"/>
    </row>
    <row r="236" spans="1:46" ht="60" x14ac:dyDescent="0.3">
      <c r="A236" s="45">
        <v>235</v>
      </c>
      <c r="B236" s="23" t="s">
        <v>1961</v>
      </c>
      <c r="C236" s="24" t="s">
        <v>1</v>
      </c>
      <c r="D236" s="24" t="s">
        <v>56</v>
      </c>
      <c r="E236" s="24" t="s">
        <v>1962</v>
      </c>
      <c r="F236" s="24" t="s">
        <v>323</v>
      </c>
      <c r="G236" s="24" t="s">
        <v>1962</v>
      </c>
      <c r="H236" s="24" t="s">
        <v>312</v>
      </c>
      <c r="I236" s="24" t="s">
        <v>1962</v>
      </c>
      <c r="J236" s="24" t="s">
        <v>113</v>
      </c>
      <c r="K236" s="61" t="s">
        <v>113</v>
      </c>
      <c r="L236" s="46">
        <v>45594</v>
      </c>
      <c r="M236" s="47">
        <f>_xlfn.ISOWEEKNUM(Base_Accidentes[[#This Row],[Fecha
(XX/XX/2024)]])</f>
        <v>44</v>
      </c>
      <c r="N236" s="23">
        <f>DAY(Base_Accidentes[[#This Row],[Fecha
(XX/XX/2024)]])</f>
        <v>29</v>
      </c>
      <c r="O236" s="23">
        <f>MONTH(Base_Accidentes[[#This Row],[Fecha
(XX/XX/2024)]])</f>
        <v>10</v>
      </c>
      <c r="P236" s="23">
        <f>YEAR(Base_Accidentes[[#This Row],[Fecha
(XX/XX/2024)]])</f>
        <v>2024</v>
      </c>
      <c r="Q236" s="71">
        <v>0.63541666666666663</v>
      </c>
      <c r="R236" s="23" t="s">
        <v>63</v>
      </c>
      <c r="S236" s="45" t="s">
        <v>167</v>
      </c>
      <c r="T236" s="24" t="s">
        <v>1963</v>
      </c>
      <c r="U236" s="24" t="s">
        <v>341</v>
      </c>
      <c r="V236" s="24" t="s">
        <v>1964</v>
      </c>
      <c r="W236" s="24" t="s">
        <v>1218</v>
      </c>
      <c r="X236" s="24" t="s">
        <v>68</v>
      </c>
      <c r="Y236" s="24">
        <v>30</v>
      </c>
      <c r="Z236" s="24" t="s">
        <v>1965</v>
      </c>
      <c r="AA236" s="49">
        <v>45589</v>
      </c>
      <c r="AB236" s="24" t="s">
        <v>1966</v>
      </c>
      <c r="AC236" s="24" t="s">
        <v>101</v>
      </c>
      <c r="AD236" s="24" t="s">
        <v>1967</v>
      </c>
      <c r="AE236" s="24" t="s">
        <v>157</v>
      </c>
      <c r="AF236" s="31" t="s">
        <v>1939</v>
      </c>
      <c r="AG236" s="24" t="s">
        <v>1968</v>
      </c>
      <c r="AH236" s="24" t="s">
        <v>145</v>
      </c>
      <c r="AI236" s="24">
        <v>3</v>
      </c>
      <c r="AJ236" s="24">
        <v>0</v>
      </c>
      <c r="AK236" s="24">
        <v>3</v>
      </c>
      <c r="AL236" s="23" t="s">
        <v>1184</v>
      </c>
      <c r="AM236" s="24"/>
      <c r="AN236" s="23"/>
      <c r="AO236" s="23" t="s">
        <v>1969</v>
      </c>
      <c r="AP236" s="23" t="s">
        <v>1169</v>
      </c>
      <c r="AQ236" s="27" t="str">
        <f>+Base_Accidentes[[#This Row],[Tipo de Accidente]]</f>
        <v>Acc. Incapacitante</v>
      </c>
      <c r="AR236" s="64"/>
      <c r="AS236" s="64" t="s">
        <v>1830</v>
      </c>
      <c r="AT236" s="23"/>
    </row>
    <row r="237" spans="1:46" ht="60" x14ac:dyDescent="0.3">
      <c r="A237" s="45">
        <v>236</v>
      </c>
      <c r="B237" s="23" t="s">
        <v>1970</v>
      </c>
      <c r="C237" s="24" t="s">
        <v>1</v>
      </c>
      <c r="D237" s="24" t="s">
        <v>56</v>
      </c>
      <c r="E237" s="23" t="s">
        <v>1971</v>
      </c>
      <c r="F237" s="24" t="s">
        <v>323</v>
      </c>
      <c r="G237" s="23" t="s">
        <v>1972</v>
      </c>
      <c r="H237" s="24" t="s">
        <v>312</v>
      </c>
      <c r="I237" s="23" t="s">
        <v>1973</v>
      </c>
      <c r="J237" s="24" t="s">
        <v>62</v>
      </c>
      <c r="K237" s="24" t="str">
        <f>IF(ISBLANK(Base_Accidentes[[#This Row],[Tipo de Accidente]])," ",Base_Accidentes[[#This Row],[Tipo de Accidente]])</f>
        <v>Acc. No Incapacitante</v>
      </c>
      <c r="L237" s="120">
        <v>45591</v>
      </c>
      <c r="M237" s="47">
        <f>_xlfn.ISOWEEKNUM(Base_Accidentes[[#This Row],[Fecha
(XX/XX/2024)]])</f>
        <v>43</v>
      </c>
      <c r="N237" s="23">
        <f>DAY(Base_Accidentes[[#This Row],[Fecha
(XX/XX/2024)]])</f>
        <v>26</v>
      </c>
      <c r="O237" s="23">
        <f>MONTH(Base_Accidentes[[#This Row],[Fecha
(XX/XX/2024)]])</f>
        <v>10</v>
      </c>
      <c r="P237" s="23">
        <f>YEAR(Base_Accidentes[[#This Row],[Fecha
(XX/XX/2024)]])</f>
        <v>2024</v>
      </c>
      <c r="Q237" s="121">
        <v>0.67013888888888884</v>
      </c>
      <c r="R237" s="64" t="s">
        <v>63</v>
      </c>
      <c r="S237" s="24" t="s">
        <v>1187</v>
      </c>
      <c r="T237" s="23" t="s">
        <v>1974</v>
      </c>
      <c r="U237" s="23" t="s">
        <v>1975</v>
      </c>
      <c r="V237" s="23" t="s">
        <v>1431</v>
      </c>
      <c r="W237" s="23" t="s">
        <v>1976</v>
      </c>
      <c r="X237" s="23" t="s">
        <v>68</v>
      </c>
      <c r="Y237" s="23">
        <v>38</v>
      </c>
      <c r="Z237" s="24" t="s">
        <v>1977</v>
      </c>
      <c r="AA237" s="70">
        <v>43466</v>
      </c>
      <c r="AB237" s="24" t="s">
        <v>1978</v>
      </c>
      <c r="AC237" s="24" t="s">
        <v>101</v>
      </c>
      <c r="AD237" s="24" t="s">
        <v>1295</v>
      </c>
      <c r="AE237" s="24" t="s">
        <v>103</v>
      </c>
      <c r="AF237" s="23" t="s">
        <v>1979</v>
      </c>
      <c r="AG237" s="23" t="s">
        <v>1980</v>
      </c>
      <c r="AH237" s="24" t="s">
        <v>145</v>
      </c>
      <c r="AI237" s="23">
        <v>0</v>
      </c>
      <c r="AJ237" s="23"/>
      <c r="AK237" s="23"/>
      <c r="AL237" s="23" t="s">
        <v>1184</v>
      </c>
      <c r="AM237" s="23">
        <v>7</v>
      </c>
      <c r="AN237" s="23"/>
      <c r="AO237" s="24" t="s">
        <v>1981</v>
      </c>
      <c r="AP237" s="23" t="s">
        <v>1169</v>
      </c>
      <c r="AQ237" s="27" t="str">
        <f>+Base_Accidentes[[#This Row],[Tipo de Accidente]]</f>
        <v>Acc. No Incapacitante</v>
      </c>
      <c r="AR237" s="64" cm="1">
        <f t="array" aca="1" ref="AR237" ca="1">+Base_Accidentes[Población]</f>
        <v>0</v>
      </c>
      <c r="AS237" s="23"/>
      <c r="AT237" s="23"/>
    </row>
    <row r="238" spans="1:46" ht="48" hidden="1" x14ac:dyDescent="0.3">
      <c r="A238" s="45">
        <v>237</v>
      </c>
      <c r="B238" s="23" t="s">
        <v>1982</v>
      </c>
      <c r="C238" s="24" t="s">
        <v>1</v>
      </c>
      <c r="D238" s="23" t="s">
        <v>56</v>
      </c>
      <c r="E238" s="23" t="s">
        <v>109</v>
      </c>
      <c r="F238" s="23" t="s">
        <v>58</v>
      </c>
      <c r="G238" s="24" t="s">
        <v>59</v>
      </c>
      <c r="H238" s="24" t="s">
        <v>60</v>
      </c>
      <c r="I238" s="24" t="s">
        <v>60</v>
      </c>
      <c r="J238" s="24" t="s">
        <v>62</v>
      </c>
      <c r="K238" s="24" t="str">
        <f>IF(ISBLANK(Base_Accidentes[[#This Row],[Tipo de Accidente]])," ",Base_Accidentes[[#This Row],[Tipo de Accidente]])</f>
        <v>Acc. No Incapacitante</v>
      </c>
      <c r="L238" s="70">
        <v>45602</v>
      </c>
      <c r="M238" s="47">
        <f>_xlfn.ISOWEEKNUM(Base_Accidentes[[#This Row],[Fecha
(XX/XX/2024)]])</f>
        <v>45</v>
      </c>
      <c r="N238" s="23">
        <f>DAY(Base_Accidentes[[#This Row],[Fecha
(XX/XX/2024)]])</f>
        <v>6</v>
      </c>
      <c r="O238" s="23">
        <f>MONTH(Base_Accidentes[[#This Row],[Fecha
(XX/XX/2024)]])</f>
        <v>11</v>
      </c>
      <c r="P238" s="23">
        <f>YEAR(Base_Accidentes[[#This Row],[Fecha
(XX/XX/2024)]])</f>
        <v>2024</v>
      </c>
      <c r="Q238" s="71">
        <v>0.83333333333333337</v>
      </c>
      <c r="R238" s="31" t="s">
        <v>587</v>
      </c>
      <c r="S238" s="23" t="s">
        <v>10</v>
      </c>
      <c r="T238" s="23" t="s">
        <v>1983</v>
      </c>
      <c r="U238" s="23" t="s">
        <v>1984</v>
      </c>
      <c r="V238" s="23" t="s">
        <v>1985</v>
      </c>
      <c r="W238" s="23" t="s">
        <v>1986</v>
      </c>
      <c r="X238" s="23" t="s">
        <v>68</v>
      </c>
      <c r="Y238" s="23"/>
      <c r="Z238" s="24" t="s">
        <v>172</v>
      </c>
      <c r="AA238" s="70">
        <v>45448</v>
      </c>
      <c r="AB238" s="24" t="s">
        <v>1987</v>
      </c>
      <c r="AC238" s="24" t="s">
        <v>682</v>
      </c>
      <c r="AD238" s="24" t="s">
        <v>1345</v>
      </c>
      <c r="AE238" s="24" t="s">
        <v>103</v>
      </c>
      <c r="AF238" s="24" t="s">
        <v>1988</v>
      </c>
      <c r="AG238" s="24" t="s">
        <v>1989</v>
      </c>
      <c r="AH238" s="24" t="s">
        <v>686</v>
      </c>
      <c r="AI238" s="24">
        <v>0</v>
      </c>
      <c r="AJ238" s="24">
        <v>0</v>
      </c>
      <c r="AK238" s="24">
        <v>0</v>
      </c>
      <c r="AL238" s="23" t="s">
        <v>1184</v>
      </c>
      <c r="AM238" s="24">
        <v>5</v>
      </c>
      <c r="AN238" s="23" t="s">
        <v>177</v>
      </c>
      <c r="AO238" s="24" t="s">
        <v>1990</v>
      </c>
      <c r="AP238" s="23" t="s">
        <v>81</v>
      </c>
      <c r="AQ238" s="27" t="str">
        <f>+Base_Accidentes[[#This Row],[Tipo de Accidente]]</f>
        <v>Acc. No Incapacitante</v>
      </c>
      <c r="AR238" s="23"/>
      <c r="AS238" s="73"/>
      <c r="AT238" s="23"/>
    </row>
    <row r="239" spans="1:46" ht="108" hidden="1" x14ac:dyDescent="0.3">
      <c r="A239" s="45">
        <v>238</v>
      </c>
      <c r="B239" s="23"/>
      <c r="C239" s="24" t="s">
        <v>1</v>
      </c>
      <c r="D239" s="23" t="s">
        <v>162</v>
      </c>
      <c r="E239" s="51" t="s">
        <v>1156</v>
      </c>
      <c r="F239" s="24" t="s">
        <v>164</v>
      </c>
      <c r="G239" s="24" t="s">
        <v>1314</v>
      </c>
      <c r="H239" s="31" t="s">
        <v>60</v>
      </c>
      <c r="I239" s="24" t="s">
        <v>60</v>
      </c>
      <c r="J239" s="24" t="s">
        <v>113</v>
      </c>
      <c r="K239" s="24" t="str">
        <f>IF(ISBLANK(Base_Accidentes[[#This Row],[Tipo de Accidente]])," ",Base_Accidentes[[#This Row],[Tipo de Accidente]])</f>
        <v>Acc. Incapacitante</v>
      </c>
      <c r="L239" s="70">
        <v>45600</v>
      </c>
      <c r="M239" s="47">
        <f>_xlfn.ISOWEEKNUM(Base_Accidentes[[#This Row],[Fecha
(XX/XX/2024)]])</f>
        <v>45</v>
      </c>
      <c r="N239" s="23">
        <f>DAY(Base_Accidentes[[#This Row],[Fecha
(XX/XX/2024)]])</f>
        <v>4</v>
      </c>
      <c r="O239" s="23">
        <f>MONTH(Base_Accidentes[[#This Row],[Fecha
(XX/XX/2024)]])</f>
        <v>11</v>
      </c>
      <c r="P239" s="23">
        <f>YEAR(Base_Accidentes[[#This Row],[Fecha
(XX/XX/2024)]])</f>
        <v>2024</v>
      </c>
      <c r="Q239" s="71">
        <v>0.60416666666666663</v>
      </c>
      <c r="R239" s="23" t="s">
        <v>587</v>
      </c>
      <c r="S239" s="31" t="s">
        <v>167</v>
      </c>
      <c r="T239" s="24" t="s">
        <v>168</v>
      </c>
      <c r="U239" s="23" t="s">
        <v>1991</v>
      </c>
      <c r="V239" s="23" t="s">
        <v>1992</v>
      </c>
      <c r="W239" s="23" t="s">
        <v>1993</v>
      </c>
      <c r="X239" s="23" t="s">
        <v>98</v>
      </c>
      <c r="Y239" s="23">
        <v>43</v>
      </c>
      <c r="Z239" s="24" t="s">
        <v>172</v>
      </c>
      <c r="AA239" s="23"/>
      <c r="AB239" s="24" t="s">
        <v>1994</v>
      </c>
      <c r="AC239" s="31" t="s">
        <v>71</v>
      </c>
      <c r="AD239" s="23" t="s">
        <v>1995</v>
      </c>
      <c r="AE239" s="31" t="s">
        <v>103</v>
      </c>
      <c r="AF239" s="24" t="s">
        <v>1996</v>
      </c>
      <c r="AG239" s="24" t="s">
        <v>1521</v>
      </c>
      <c r="AH239" s="31" t="s">
        <v>145</v>
      </c>
      <c r="AI239" s="24">
        <v>11</v>
      </c>
      <c r="AJ239" s="23">
        <v>0</v>
      </c>
      <c r="AK239" s="23">
        <f>SUM(Base_Accidentes[[#This Row],[Días DM Total Indicador]:[Cargo ANSI ]])</f>
        <v>11</v>
      </c>
      <c r="AL239" s="23" t="s">
        <v>354</v>
      </c>
      <c r="AM239" s="23">
        <v>10</v>
      </c>
      <c r="AN239" s="26" t="s">
        <v>177</v>
      </c>
      <c r="AO239" s="24" t="s">
        <v>1997</v>
      </c>
      <c r="AP239" s="23" t="s">
        <v>1169</v>
      </c>
      <c r="AQ239" s="27" t="str">
        <f>+Base_Accidentes[[#This Row],[Tipo de Accidente]]</f>
        <v>Acc. Incapacitante</v>
      </c>
      <c r="AR239" s="64" cm="1">
        <f t="array" aca="1" ref="AR239" ca="1">+Base_Accidentes[Población]</f>
        <v>0</v>
      </c>
      <c r="AS239" s="23" t="s">
        <v>1830</v>
      </c>
      <c r="AT239" s="23"/>
    </row>
    <row r="240" spans="1:46" ht="24" hidden="1" x14ac:dyDescent="0.3">
      <c r="A240" s="45">
        <v>239</v>
      </c>
      <c r="B240" s="23"/>
      <c r="C240" s="23" t="s">
        <v>1</v>
      </c>
      <c r="D240" s="23" t="s">
        <v>162</v>
      </c>
      <c r="E240" s="51" t="s">
        <v>1156</v>
      </c>
      <c r="F240" s="23" t="s">
        <v>164</v>
      </c>
      <c r="G240" s="24" t="s">
        <v>1314</v>
      </c>
      <c r="H240" s="24" t="s">
        <v>60</v>
      </c>
      <c r="I240" s="24" t="s">
        <v>1998</v>
      </c>
      <c r="J240" s="24" t="s">
        <v>62</v>
      </c>
      <c r="K240" s="24" t="str">
        <f>IF(ISBLANK(Base_Accidentes[[#This Row],[Tipo de Accidente]])," ",Base_Accidentes[[#This Row],[Tipo de Accidente]])</f>
        <v>Acc. No Incapacitante</v>
      </c>
      <c r="L240" s="70">
        <v>45609</v>
      </c>
      <c r="M240" s="47">
        <f>_xlfn.ISOWEEKNUM(Base_Accidentes[[#This Row],[Fecha
(XX/XX/2024)]])</f>
        <v>46</v>
      </c>
      <c r="N240" s="23">
        <f>DAY(Base_Accidentes[[#This Row],[Fecha
(XX/XX/2024)]])</f>
        <v>13</v>
      </c>
      <c r="O240" s="23">
        <f>MONTH(Base_Accidentes[[#This Row],[Fecha
(XX/XX/2024)]])</f>
        <v>11</v>
      </c>
      <c r="P240" s="23">
        <f>YEAR(Base_Accidentes[[#This Row],[Fecha
(XX/XX/2024)]])</f>
        <v>2024</v>
      </c>
      <c r="Q240" s="71">
        <v>0.53125</v>
      </c>
      <c r="R240" s="23" t="s">
        <v>587</v>
      </c>
      <c r="S240" s="24" t="s">
        <v>10</v>
      </c>
      <c r="T240" s="24" t="s">
        <v>164</v>
      </c>
      <c r="U240" s="23" t="s">
        <v>1999</v>
      </c>
      <c r="V240" s="23" t="s">
        <v>2000</v>
      </c>
      <c r="W240" s="23" t="s">
        <v>2001</v>
      </c>
      <c r="X240" s="23" t="s">
        <v>68</v>
      </c>
      <c r="Y240" s="23"/>
      <c r="Z240" s="24" t="s">
        <v>172</v>
      </c>
      <c r="AA240" s="23"/>
      <c r="AB240" s="24" t="s">
        <v>2002</v>
      </c>
      <c r="AC240" s="24" t="s">
        <v>419</v>
      </c>
      <c r="AD240" s="23" t="s">
        <v>2003</v>
      </c>
      <c r="AE240" s="24" t="s">
        <v>142</v>
      </c>
      <c r="AF240" s="24" t="s">
        <v>1301</v>
      </c>
      <c r="AG240" s="24" t="s">
        <v>1768</v>
      </c>
      <c r="AH240" s="24" t="s">
        <v>654</v>
      </c>
      <c r="AI240" s="24">
        <v>0</v>
      </c>
      <c r="AJ240" s="24">
        <v>0</v>
      </c>
      <c r="AK240" s="24">
        <v>0</v>
      </c>
      <c r="AL240" s="23" t="s">
        <v>1184</v>
      </c>
      <c r="AM240" s="23"/>
      <c r="AN240" s="23"/>
      <c r="AO240" s="24" t="s">
        <v>2004</v>
      </c>
      <c r="AP240" s="23" t="s">
        <v>81</v>
      </c>
      <c r="AQ240" s="27" t="str">
        <f>+Base_Accidentes[[#This Row],[Tipo de Accidente]]</f>
        <v>Acc. No Incapacitante</v>
      </c>
      <c r="AR240" s="64" cm="1">
        <f t="array" aca="1" ref="AR240" ca="1">+Base_Accidentes[Población]</f>
        <v>0</v>
      </c>
      <c r="AS240" s="23"/>
      <c r="AT240" s="23"/>
    </row>
    <row r="241" spans="1:46" ht="60" x14ac:dyDescent="0.3">
      <c r="A241" s="45">
        <v>240</v>
      </c>
      <c r="B241" s="23" t="s">
        <v>2005</v>
      </c>
      <c r="C241" s="24" t="s">
        <v>1</v>
      </c>
      <c r="D241" s="23" t="s">
        <v>56</v>
      </c>
      <c r="E241" s="23" t="s">
        <v>109</v>
      </c>
      <c r="F241" s="24" t="s">
        <v>110</v>
      </c>
      <c r="G241" s="23" t="s">
        <v>111</v>
      </c>
      <c r="H241" s="24" t="s">
        <v>60</v>
      </c>
      <c r="I241" s="24" t="s">
        <v>1660</v>
      </c>
      <c r="J241" s="24" t="s">
        <v>62</v>
      </c>
      <c r="K241" s="24" t="str">
        <f>IF(ISBLANK(Base_Accidentes[[#This Row],[Tipo de Accidente]])," ",Base_Accidentes[[#This Row],[Tipo de Accidente]])</f>
        <v>Acc. No Incapacitante</v>
      </c>
      <c r="L241" s="70">
        <v>45611</v>
      </c>
      <c r="M241" s="47">
        <f>_xlfn.ISOWEEKNUM(Base_Accidentes[[#This Row],[Fecha
(XX/XX/2024)]])</f>
        <v>46</v>
      </c>
      <c r="N241" s="23">
        <f>DAY(Base_Accidentes[[#This Row],[Fecha
(XX/XX/2024)]])</f>
        <v>15</v>
      </c>
      <c r="O241" s="23">
        <f>MONTH(Base_Accidentes[[#This Row],[Fecha
(XX/XX/2024)]])</f>
        <v>11</v>
      </c>
      <c r="P241" s="23">
        <f>YEAR(Base_Accidentes[[#This Row],[Fecha
(XX/XX/2024)]])</f>
        <v>2024</v>
      </c>
      <c r="Q241" s="71">
        <v>0.61458333333333337</v>
      </c>
      <c r="R241" s="23" t="s">
        <v>587</v>
      </c>
      <c r="S241" s="24" t="s">
        <v>9</v>
      </c>
      <c r="T241" s="24" t="s">
        <v>1661</v>
      </c>
      <c r="U241" s="23" t="s">
        <v>2006</v>
      </c>
      <c r="V241" s="23" t="s">
        <v>2007</v>
      </c>
      <c r="W241" s="23" t="s">
        <v>2008</v>
      </c>
      <c r="X241" s="23" t="s">
        <v>98</v>
      </c>
      <c r="Y241" s="23">
        <v>49</v>
      </c>
      <c r="Z241" s="24" t="s">
        <v>742</v>
      </c>
      <c r="AA241" s="23"/>
      <c r="AB241" s="24" t="s">
        <v>2009</v>
      </c>
      <c r="AC241" s="24" t="s">
        <v>101</v>
      </c>
      <c r="AD241" s="23" t="s">
        <v>2003</v>
      </c>
      <c r="AE241" s="24" t="s">
        <v>142</v>
      </c>
      <c r="AF241" s="23" t="s">
        <v>642</v>
      </c>
      <c r="AG241" s="24" t="s">
        <v>2010</v>
      </c>
      <c r="AH241" s="24" t="s">
        <v>145</v>
      </c>
      <c r="AI241" s="23">
        <v>0</v>
      </c>
      <c r="AJ241" s="23">
        <v>0</v>
      </c>
      <c r="AK241" s="23">
        <f>SUM(Base_Accidentes[[#This Row],[Días DM Total Indicador]:[Cargo ANSI ]])</f>
        <v>0</v>
      </c>
      <c r="AL241" s="23" t="s">
        <v>1184</v>
      </c>
      <c r="AM241" s="23"/>
      <c r="AN241" s="23"/>
      <c r="AO241" s="24" t="s">
        <v>2011</v>
      </c>
      <c r="AP241" s="23"/>
      <c r="AQ241" s="27" t="str">
        <f>+Base_Accidentes[[#This Row],[Tipo de Accidente]]</f>
        <v>Acc. No Incapacitante</v>
      </c>
      <c r="AR241" s="64" cm="1">
        <f t="array" aca="1" ref="AR241" ca="1">+Base_Accidentes[Población]</f>
        <v>0</v>
      </c>
      <c r="AS241" s="23"/>
      <c r="AT241" s="23"/>
    </row>
    <row r="242" spans="1:46" ht="36" hidden="1" x14ac:dyDescent="0.3">
      <c r="A242" s="45">
        <v>241</v>
      </c>
      <c r="B242" s="23"/>
      <c r="C242" s="24"/>
      <c r="D242" s="23" t="s">
        <v>162</v>
      </c>
      <c r="E242" s="23" t="s">
        <v>1156</v>
      </c>
      <c r="F242" s="24" t="s">
        <v>164</v>
      </c>
      <c r="G242" s="24" t="s">
        <v>165</v>
      </c>
      <c r="H242" s="31" t="s">
        <v>272</v>
      </c>
      <c r="I242" s="24" t="s">
        <v>2012</v>
      </c>
      <c r="J242" s="24" t="s">
        <v>113</v>
      </c>
      <c r="K242" s="24" t="str">
        <f>IF(ISBLANK(Base_Accidentes[[#This Row],[Tipo de Accidente]])," ",Base_Accidentes[[#This Row],[Tipo de Accidente]])</f>
        <v>Acc. Incapacitante</v>
      </c>
      <c r="L242" s="70">
        <v>45611</v>
      </c>
      <c r="M242" s="47">
        <f>_xlfn.ISOWEEKNUM(Base_Accidentes[[#This Row],[Fecha
(XX/XX/2024)]])</f>
        <v>46</v>
      </c>
      <c r="N242" s="23">
        <f>DAY(Base_Accidentes[[#This Row],[Fecha
(XX/XX/2024)]])</f>
        <v>15</v>
      </c>
      <c r="O242" s="23">
        <f>MONTH(Base_Accidentes[[#This Row],[Fecha
(XX/XX/2024)]])</f>
        <v>11</v>
      </c>
      <c r="P242" s="23">
        <f>YEAR(Base_Accidentes[[#This Row],[Fecha
(XX/XX/2024)]])</f>
        <v>2024</v>
      </c>
      <c r="Q242" s="71">
        <v>0.375</v>
      </c>
      <c r="R242" s="23" t="s">
        <v>587</v>
      </c>
      <c r="S242" s="24" t="s">
        <v>274</v>
      </c>
      <c r="T242" s="23" t="s">
        <v>275</v>
      </c>
      <c r="U242" s="23" t="s">
        <v>2013</v>
      </c>
      <c r="V242" s="23" t="s">
        <v>2014</v>
      </c>
      <c r="W242" s="23" t="s">
        <v>2015</v>
      </c>
      <c r="X242" s="23" t="s">
        <v>98</v>
      </c>
      <c r="Y242" s="23">
        <v>22</v>
      </c>
      <c r="Z242" s="24" t="s">
        <v>742</v>
      </c>
      <c r="AA242" s="23"/>
      <c r="AB242" s="24" t="s">
        <v>2016</v>
      </c>
      <c r="AC242" s="31" t="s">
        <v>512</v>
      </c>
      <c r="AD242" s="23" t="s">
        <v>807</v>
      </c>
      <c r="AE242" s="31" t="s">
        <v>103</v>
      </c>
      <c r="AF242" s="24" t="s">
        <v>2012</v>
      </c>
      <c r="AG242" s="24" t="s">
        <v>2017</v>
      </c>
      <c r="AH242" s="31" t="s">
        <v>145</v>
      </c>
      <c r="AI242" s="23">
        <v>4</v>
      </c>
      <c r="AJ242" s="23">
        <v>0</v>
      </c>
      <c r="AK242" s="23">
        <f>SUM(Base_Accidentes[[#This Row],[Días DM Total Indicador]:[Cargo ANSI ]])</f>
        <v>4</v>
      </c>
      <c r="AL242" s="23" t="s">
        <v>1184</v>
      </c>
      <c r="AM242" s="23"/>
      <c r="AN242" s="26"/>
      <c r="AO242" s="24" t="s">
        <v>2018</v>
      </c>
      <c r="AP242" s="23"/>
      <c r="AQ242" s="27" t="str">
        <f>+Base_Accidentes[[#This Row],[Tipo de Accidente]]</f>
        <v>Acc. Incapacitante</v>
      </c>
      <c r="AR242" s="64" cm="1">
        <f t="array" aca="1" ref="AR242" ca="1">+Base_Accidentes[Población]</f>
        <v>0</v>
      </c>
      <c r="AS242" s="23" t="s">
        <v>1830</v>
      </c>
      <c r="AT242" s="23"/>
    </row>
    <row r="243" spans="1:46" ht="72" hidden="1" x14ac:dyDescent="0.3">
      <c r="A243" s="45">
        <v>242</v>
      </c>
      <c r="B243" s="23"/>
      <c r="C243" s="24" t="s">
        <v>1</v>
      </c>
      <c r="D243" s="24" t="s">
        <v>56</v>
      </c>
      <c r="E243" s="24" t="s">
        <v>322</v>
      </c>
      <c r="F243" s="24" t="s">
        <v>759</v>
      </c>
      <c r="G243" s="24" t="s">
        <v>322</v>
      </c>
      <c r="H243" s="31" t="s">
        <v>184</v>
      </c>
      <c r="I243" s="24" t="s">
        <v>184</v>
      </c>
      <c r="J243" s="24" t="s">
        <v>62</v>
      </c>
      <c r="K243" s="24" t="str">
        <f>IF(ISBLANK(Base_Accidentes[[#This Row],[Tipo de Accidente]])," ",Base_Accidentes[[#This Row],[Tipo de Accidente]])</f>
        <v>Acc. No Incapacitante</v>
      </c>
      <c r="L243" s="49">
        <v>45609</v>
      </c>
      <c r="M243" s="47">
        <f>_xlfn.ISOWEEKNUM(Base_Accidentes[[#This Row],[Fecha
(XX/XX/2024)]])</f>
        <v>46</v>
      </c>
      <c r="N243" s="23">
        <f>DAY(Base_Accidentes[[#This Row],[Fecha
(XX/XX/2024)]])</f>
        <v>13</v>
      </c>
      <c r="O243" s="23">
        <f>MONTH(Base_Accidentes[[#This Row],[Fecha
(XX/XX/2024)]])</f>
        <v>11</v>
      </c>
      <c r="P243" s="23">
        <f>YEAR(Base_Accidentes[[#This Row],[Fecha
(XX/XX/2024)]])</f>
        <v>2024</v>
      </c>
      <c r="Q243" s="48">
        <v>0.625</v>
      </c>
      <c r="R243" s="24" t="s">
        <v>587</v>
      </c>
      <c r="S243" s="31" t="s">
        <v>10</v>
      </c>
      <c r="T243" s="24" t="s">
        <v>64</v>
      </c>
      <c r="U243" s="24" t="s">
        <v>2019</v>
      </c>
      <c r="V243" s="24" t="s">
        <v>589</v>
      </c>
      <c r="W243" s="24" t="s">
        <v>2020</v>
      </c>
      <c r="X243" s="24" t="s">
        <v>68</v>
      </c>
      <c r="Y243" s="24">
        <v>56</v>
      </c>
      <c r="Z243" s="23" t="s">
        <v>763</v>
      </c>
      <c r="AA243" s="49">
        <v>45609</v>
      </c>
      <c r="AB243" s="24" t="s">
        <v>2021</v>
      </c>
      <c r="AC243" s="31" t="s">
        <v>101</v>
      </c>
      <c r="AD243" s="24" t="s">
        <v>1233</v>
      </c>
      <c r="AE243" s="31" t="s">
        <v>235</v>
      </c>
      <c r="AF243" s="24" t="s">
        <v>2022</v>
      </c>
      <c r="AG243" s="24" t="s">
        <v>1361</v>
      </c>
      <c r="AH243" s="31" t="s">
        <v>76</v>
      </c>
      <c r="AI243" s="24">
        <v>0</v>
      </c>
      <c r="AJ243" s="24">
        <v>0</v>
      </c>
      <c r="AK243" s="24">
        <v>0</v>
      </c>
      <c r="AL243" s="24" t="s">
        <v>1184</v>
      </c>
      <c r="AM243" s="24">
        <v>240</v>
      </c>
      <c r="AN243" s="26" t="s">
        <v>79</v>
      </c>
      <c r="AO243" s="23" t="s">
        <v>2023</v>
      </c>
      <c r="AP243" s="23" t="s">
        <v>598</v>
      </c>
      <c r="AQ243" s="27" t="str">
        <f>+Base_Accidentes[[#This Row],[Tipo de Accidente]]</f>
        <v>Acc. No Incapacitante</v>
      </c>
      <c r="AR243" s="64" cm="1">
        <f t="array" aca="1" ref="AR243" ca="1">+Base_Accidentes[Población]</f>
        <v>0</v>
      </c>
      <c r="AS243" s="23"/>
      <c r="AT243" s="23"/>
    </row>
    <row r="244" spans="1:46" ht="60" x14ac:dyDescent="0.3">
      <c r="A244" s="45">
        <v>243</v>
      </c>
      <c r="B244" s="23"/>
      <c r="C244" s="24" t="s">
        <v>1</v>
      </c>
      <c r="D244" s="24" t="s">
        <v>56</v>
      </c>
      <c r="E244" s="24" t="s">
        <v>946</v>
      </c>
      <c r="F244" s="24" t="s">
        <v>1506</v>
      </c>
      <c r="G244" s="24" t="s">
        <v>1507</v>
      </c>
      <c r="H244" s="24" t="s">
        <v>60</v>
      </c>
      <c r="I244" s="24" t="s">
        <v>2024</v>
      </c>
      <c r="J244" s="24" t="s">
        <v>113</v>
      </c>
      <c r="K244" s="24" t="str">
        <f>IF(ISBLANK(Base_Accidentes[[#This Row],[Tipo de Accidente]])," ",Base_Accidentes[[#This Row],[Tipo de Accidente]])</f>
        <v>Acc. Incapacitante</v>
      </c>
      <c r="L244" s="49">
        <v>45614</v>
      </c>
      <c r="M244" s="47">
        <f>_xlfn.ISOWEEKNUM(Base_Accidentes[[#This Row],[Fecha
(XX/XX/2024)]])</f>
        <v>47</v>
      </c>
      <c r="N244" s="23">
        <f>DAY(Base_Accidentes[[#This Row],[Fecha
(XX/XX/2024)]])</f>
        <v>18</v>
      </c>
      <c r="O244" s="23">
        <f>MONTH(Base_Accidentes[[#This Row],[Fecha
(XX/XX/2024)]])</f>
        <v>11</v>
      </c>
      <c r="P244" s="23">
        <f>YEAR(Base_Accidentes[[#This Row],[Fecha
(XX/XX/2024)]])</f>
        <v>2024</v>
      </c>
      <c r="Q244" s="48">
        <v>0.63888888888888884</v>
      </c>
      <c r="R244" s="24" t="s">
        <v>84</v>
      </c>
      <c r="S244" s="24" t="s">
        <v>1187</v>
      </c>
      <c r="T244" s="24" t="s">
        <v>2025</v>
      </c>
      <c r="U244" s="24" t="s">
        <v>1674</v>
      </c>
      <c r="V244" s="24" t="s">
        <v>2026</v>
      </c>
      <c r="W244" s="24" t="s">
        <v>2027</v>
      </c>
      <c r="X244" s="24" t="s">
        <v>68</v>
      </c>
      <c r="Y244" s="24">
        <v>33</v>
      </c>
      <c r="Z244" s="23" t="s">
        <v>2028</v>
      </c>
      <c r="AA244" s="49"/>
      <c r="AB244" s="24" t="s">
        <v>2029</v>
      </c>
      <c r="AC244" s="31" t="s">
        <v>292</v>
      </c>
      <c r="AD244" s="24" t="s">
        <v>249</v>
      </c>
      <c r="AE244" s="24" t="s">
        <v>235</v>
      </c>
      <c r="AF244" s="24" t="s">
        <v>2030</v>
      </c>
      <c r="AG244" s="24" t="s">
        <v>2031</v>
      </c>
      <c r="AH244" s="24" t="s">
        <v>505</v>
      </c>
      <c r="AI244" s="24">
        <v>3</v>
      </c>
      <c r="AJ244" s="24">
        <v>0</v>
      </c>
      <c r="AK244" s="24">
        <v>3</v>
      </c>
      <c r="AL244" s="23" t="s">
        <v>354</v>
      </c>
      <c r="AM244" s="24"/>
      <c r="AN244" s="23" t="s">
        <v>146</v>
      </c>
      <c r="AO244" s="23" t="s">
        <v>2032</v>
      </c>
      <c r="AP244" s="23"/>
      <c r="AQ244" s="27" t="str">
        <f>+Base_Accidentes[[#This Row],[Tipo de Accidente]]</f>
        <v>Acc. Incapacitante</v>
      </c>
      <c r="AR244" s="23" cm="1">
        <f t="array" aca="1" ref="AR244" ca="1">+Base_Accidentes[Población]</f>
        <v>0</v>
      </c>
      <c r="AS244" s="23" t="s">
        <v>1830</v>
      </c>
      <c r="AT244" s="23"/>
    </row>
    <row r="245" spans="1:46" ht="72" x14ac:dyDescent="0.3">
      <c r="A245" s="45">
        <v>244</v>
      </c>
      <c r="B245" s="23"/>
      <c r="C245" s="24" t="s">
        <v>1</v>
      </c>
      <c r="D245" s="24" t="s">
        <v>56</v>
      </c>
      <c r="E245" s="24" t="s">
        <v>946</v>
      </c>
      <c r="F245" s="24" t="s">
        <v>323</v>
      </c>
      <c r="G245" s="24" t="s">
        <v>972</v>
      </c>
      <c r="H245" s="24" t="s">
        <v>312</v>
      </c>
      <c r="I245" s="24" t="s">
        <v>1709</v>
      </c>
      <c r="J245" s="24" t="s">
        <v>113</v>
      </c>
      <c r="K245" s="24" t="str">
        <f>IF(ISBLANK(Base_Accidentes[[#This Row],[Tipo de Accidente]])," ",Base_Accidentes[[#This Row],[Tipo de Accidente]])</f>
        <v>Acc. Incapacitante</v>
      </c>
      <c r="L245" s="49">
        <v>45621</v>
      </c>
      <c r="M245" s="47">
        <f>_xlfn.ISOWEEKNUM(Base_Accidentes[[#This Row],[Fecha
(XX/XX/2024)]])</f>
        <v>48</v>
      </c>
      <c r="N245" s="23">
        <f>DAY(Base_Accidentes[[#This Row],[Fecha
(XX/XX/2024)]])</f>
        <v>25</v>
      </c>
      <c r="O245" s="23">
        <f>MONTH(Base_Accidentes[[#This Row],[Fecha
(XX/XX/2024)]])</f>
        <v>11</v>
      </c>
      <c r="P245" s="23">
        <f>YEAR(Base_Accidentes[[#This Row],[Fecha
(XX/XX/2024)]])</f>
        <v>2024</v>
      </c>
      <c r="Q245" s="48">
        <v>0.57638888888888884</v>
      </c>
      <c r="R245" s="24" t="s">
        <v>587</v>
      </c>
      <c r="S245" s="24" t="s">
        <v>1187</v>
      </c>
      <c r="T245" s="24" t="s">
        <v>2033</v>
      </c>
      <c r="U245" s="24" t="s">
        <v>406</v>
      </c>
      <c r="V245" s="24" t="s">
        <v>2034</v>
      </c>
      <c r="W245" s="24" t="s">
        <v>2035</v>
      </c>
      <c r="X245" s="24" t="s">
        <v>68</v>
      </c>
      <c r="Y245" s="24"/>
      <c r="Z245" s="23" t="s">
        <v>2028</v>
      </c>
      <c r="AA245" s="49"/>
      <c r="AB245" s="24" t="s">
        <v>2036</v>
      </c>
      <c r="AC245" s="31" t="s">
        <v>281</v>
      </c>
      <c r="AD245" s="24" t="s">
        <v>2037</v>
      </c>
      <c r="AE245" s="24" t="s">
        <v>2038</v>
      </c>
      <c r="AF245" s="24" t="s">
        <v>2039</v>
      </c>
      <c r="AG245" s="24" t="s">
        <v>2017</v>
      </c>
      <c r="AH245" s="24" t="s">
        <v>145</v>
      </c>
      <c r="AI245" s="24">
        <v>20</v>
      </c>
      <c r="AJ245" s="24">
        <v>0</v>
      </c>
      <c r="AK245" s="24">
        <f>SUM(Base_Accidentes[[#This Row],[Días DM Total Indicador]:[Cargo ANSI ]])</f>
        <v>20</v>
      </c>
      <c r="AL245" s="23" t="s">
        <v>354</v>
      </c>
      <c r="AM245" s="24"/>
      <c r="AN245" s="23"/>
      <c r="AO245" s="23" t="s">
        <v>2040</v>
      </c>
      <c r="AP245" s="23"/>
      <c r="AQ245" s="27" t="str">
        <f>+Base_Accidentes[[#This Row],[Tipo de Accidente]]</f>
        <v>Acc. Incapacitante</v>
      </c>
      <c r="AR245" s="23" cm="1">
        <f t="array" aca="1" ref="AR245" ca="1">+Base_Accidentes[Población]</f>
        <v>0</v>
      </c>
      <c r="AS245" s="23" t="s">
        <v>1830</v>
      </c>
      <c r="AT245" s="23"/>
    </row>
    <row r="246" spans="1:46" ht="60" hidden="1" x14ac:dyDescent="0.3">
      <c r="A246" s="45">
        <v>245</v>
      </c>
      <c r="B246" s="23"/>
      <c r="C246" s="24" t="s">
        <v>1</v>
      </c>
      <c r="D246" s="23" t="s">
        <v>162</v>
      </c>
      <c r="E246" s="23" t="s">
        <v>2041</v>
      </c>
      <c r="F246" s="24" t="s">
        <v>164</v>
      </c>
      <c r="G246" s="23" t="s">
        <v>2042</v>
      </c>
      <c r="H246" s="24" t="s">
        <v>312</v>
      </c>
      <c r="I246" s="23" t="s">
        <v>2043</v>
      </c>
      <c r="J246" s="24" t="s">
        <v>113</v>
      </c>
      <c r="K246" s="24" t="str">
        <f>IF(ISBLANK(Base_Accidentes[[#This Row],[Tipo de Accidente]])," ",Base_Accidentes[[#This Row],[Tipo de Accidente]])</f>
        <v>Acc. Incapacitante</v>
      </c>
      <c r="L246" s="70">
        <v>45624</v>
      </c>
      <c r="M246" s="47">
        <f>_xlfn.ISOWEEKNUM(Base_Accidentes[[#This Row],[Fecha
(XX/XX/2024)]])</f>
        <v>48</v>
      </c>
      <c r="N246" s="23">
        <f>DAY(Base_Accidentes[[#This Row],[Fecha
(XX/XX/2024)]])</f>
        <v>28</v>
      </c>
      <c r="O246" s="23">
        <f>MONTH(Base_Accidentes[[#This Row],[Fecha
(XX/XX/2024)]])</f>
        <v>11</v>
      </c>
      <c r="P246" s="23">
        <f>YEAR(Base_Accidentes[[#This Row],[Fecha
(XX/XX/2024)]])</f>
        <v>2024</v>
      </c>
      <c r="Q246" s="71">
        <v>0.3611111111111111</v>
      </c>
      <c r="R246" s="23" t="s">
        <v>587</v>
      </c>
      <c r="S246" s="31" t="s">
        <v>274</v>
      </c>
      <c r="T246" s="23" t="s">
        <v>2044</v>
      </c>
      <c r="U246" s="23" t="s">
        <v>1364</v>
      </c>
      <c r="V246" s="23" t="s">
        <v>2045</v>
      </c>
      <c r="W246" s="23" t="s">
        <v>2046</v>
      </c>
      <c r="X246" s="23" t="s">
        <v>98</v>
      </c>
      <c r="Y246" s="23">
        <v>42</v>
      </c>
      <c r="Z246" s="24" t="s">
        <v>2047</v>
      </c>
      <c r="AA246" s="109">
        <v>45590</v>
      </c>
      <c r="AB246" s="24" t="s">
        <v>2048</v>
      </c>
      <c r="AC246" s="24" t="s">
        <v>120</v>
      </c>
      <c r="AD246" s="23" t="s">
        <v>2049</v>
      </c>
      <c r="AE246" s="24"/>
      <c r="AF246" s="24" t="s">
        <v>2050</v>
      </c>
      <c r="AG246" s="24" t="s">
        <v>2051</v>
      </c>
      <c r="AH246" s="24" t="s">
        <v>125</v>
      </c>
      <c r="AI246" s="23">
        <v>10</v>
      </c>
      <c r="AJ246" s="23">
        <v>0</v>
      </c>
      <c r="AK246" s="23">
        <f>SUM(Base_Accidentes[[#This Row],[Días DM Total Indicador]:[Cargo ANSI ]])</f>
        <v>10</v>
      </c>
      <c r="AL246" s="23" t="s">
        <v>354</v>
      </c>
      <c r="AM246" s="23" t="s">
        <v>2052</v>
      </c>
      <c r="AN246" s="23" t="s">
        <v>401</v>
      </c>
      <c r="AO246" s="24" t="s">
        <v>2053</v>
      </c>
      <c r="AP246" s="23"/>
      <c r="AQ246" s="27" t="str">
        <f>+Base_Accidentes[[#This Row],[Tipo de Accidente]]</f>
        <v>Acc. Incapacitante</v>
      </c>
      <c r="AR246" s="64" cm="1">
        <f t="array" aca="1" ref="AR246" ca="1">+Base_Accidentes[Población]</f>
        <v>0</v>
      </c>
      <c r="AS246" s="23" t="s">
        <v>1830</v>
      </c>
      <c r="AT246" s="23"/>
    </row>
    <row r="247" spans="1:46" ht="60" x14ac:dyDescent="0.3">
      <c r="A247" s="45">
        <v>248</v>
      </c>
      <c r="B247" s="23" t="s">
        <v>2054</v>
      </c>
      <c r="C247" s="24" t="s">
        <v>1</v>
      </c>
      <c r="D247" s="23" t="s">
        <v>56</v>
      </c>
      <c r="E247" s="23" t="s">
        <v>109</v>
      </c>
      <c r="F247" s="24" t="s">
        <v>110</v>
      </c>
      <c r="G247" s="23" t="s">
        <v>111</v>
      </c>
      <c r="H247" s="24" t="s">
        <v>60</v>
      </c>
      <c r="I247" s="24" t="s">
        <v>639</v>
      </c>
      <c r="J247" s="24" t="s">
        <v>62</v>
      </c>
      <c r="K247" s="24" t="str">
        <f>IF(ISBLANK(Base_Accidentes[[#This Row],[Tipo de Accidente]])," ",Base_Accidentes[[#This Row],[Tipo de Accidente]])</f>
        <v>Acc. No Incapacitante</v>
      </c>
      <c r="L247" s="70">
        <v>45608</v>
      </c>
      <c r="M247" s="47">
        <f>_xlfn.ISOWEEKNUM(Base_Accidentes[[#This Row],[Fecha
(XX/XX/2024)]])</f>
        <v>46</v>
      </c>
      <c r="N247" s="23">
        <f>DAY(Base_Accidentes[[#This Row],[Fecha
(XX/XX/2024)]])</f>
        <v>12</v>
      </c>
      <c r="O247" s="23">
        <f>MONTH(Base_Accidentes[[#This Row],[Fecha
(XX/XX/2024)]])</f>
        <v>11</v>
      </c>
      <c r="P247" s="23">
        <f>YEAR(Base_Accidentes[[#This Row],[Fecha
(XX/XX/2024)]])</f>
        <v>2024</v>
      </c>
      <c r="Q247" s="71">
        <v>0.50694444444444442</v>
      </c>
      <c r="R247" s="23" t="s">
        <v>587</v>
      </c>
      <c r="S247" s="31" t="s">
        <v>167</v>
      </c>
      <c r="T247" s="23" t="s">
        <v>2055</v>
      </c>
      <c r="U247" s="23" t="s">
        <v>2056</v>
      </c>
      <c r="V247" s="23" t="s">
        <v>2057</v>
      </c>
      <c r="W247" s="23" t="s">
        <v>2058</v>
      </c>
      <c r="X247" s="23" t="s">
        <v>98</v>
      </c>
      <c r="Y247" s="23">
        <v>31</v>
      </c>
      <c r="Z247" s="24" t="s">
        <v>2059</v>
      </c>
      <c r="AA247" s="23"/>
      <c r="AB247" s="24" t="s">
        <v>2060</v>
      </c>
      <c r="AC247" s="24" t="s">
        <v>120</v>
      </c>
      <c r="AD247" s="23" t="s">
        <v>122</v>
      </c>
      <c r="AE247" s="24" t="s">
        <v>122</v>
      </c>
      <c r="AF247" s="23" t="s">
        <v>756</v>
      </c>
      <c r="AG247" s="23" t="s">
        <v>2061</v>
      </c>
      <c r="AH247" s="24" t="s">
        <v>145</v>
      </c>
      <c r="AI247" s="23">
        <v>0</v>
      </c>
      <c r="AJ247" s="23">
        <v>0</v>
      </c>
      <c r="AK247" s="23">
        <f>SUM(Base_Accidentes[[#This Row],[Días DM Total Indicador]:[Cargo ANSI ]])</f>
        <v>0</v>
      </c>
      <c r="AL247" s="23" t="s">
        <v>1184</v>
      </c>
      <c r="AM247" s="23"/>
      <c r="AN247" s="23"/>
      <c r="AO247" s="24"/>
      <c r="AP247" s="23"/>
      <c r="AQ247" s="27" t="str">
        <f>+Base_Accidentes[[#This Row],[Tipo de Accidente]]</f>
        <v>Acc. No Incapacitante</v>
      </c>
      <c r="AR247" s="64" cm="1">
        <f t="array" aca="1" ref="AR247" ca="1">+Base_Accidentes[Población]</f>
        <v>0</v>
      </c>
      <c r="AS247" s="23"/>
      <c r="AT247" s="23"/>
    </row>
    <row r="248" spans="1:46" ht="48" hidden="1" x14ac:dyDescent="0.3">
      <c r="A248" s="72"/>
      <c r="B248" s="24"/>
      <c r="C248" s="24" t="s">
        <v>1</v>
      </c>
      <c r="D248" s="24" t="s">
        <v>356</v>
      </c>
      <c r="E248" s="24" t="s">
        <v>676</v>
      </c>
      <c r="F248" s="24" t="s">
        <v>358</v>
      </c>
      <c r="G248" s="24" t="s">
        <v>677</v>
      </c>
      <c r="H248" s="24" t="s">
        <v>60</v>
      </c>
      <c r="I248" s="24" t="s">
        <v>60</v>
      </c>
      <c r="J248" s="24" t="s">
        <v>113</v>
      </c>
      <c r="K248" s="24" t="s">
        <v>113</v>
      </c>
      <c r="L248" s="49">
        <v>45622</v>
      </c>
      <c r="M248" s="47">
        <f>_xlfn.ISOWEEKNUM(Base_Accidentes[[#This Row],[Fecha
(XX/XX/2024)]])</f>
        <v>48</v>
      </c>
      <c r="N248" s="23">
        <f>DAY(Base_Accidentes[[#This Row],[Fecha
(XX/XX/2024)]])</f>
        <v>26</v>
      </c>
      <c r="O248" s="23">
        <f>MONTH(Base_Accidentes[[#This Row],[Fecha
(XX/XX/2024)]])</f>
        <v>11</v>
      </c>
      <c r="P248" s="23">
        <f>YEAR(Base_Accidentes[[#This Row],[Fecha
(XX/XX/2024)]])</f>
        <v>2024</v>
      </c>
      <c r="Q248" s="48">
        <v>0.33333333333333331</v>
      </c>
      <c r="R248" s="24" t="s">
        <v>587</v>
      </c>
      <c r="S248" s="31" t="s">
        <v>10</v>
      </c>
      <c r="T248" s="24" t="s">
        <v>717</v>
      </c>
      <c r="U248" s="24" t="s">
        <v>2062</v>
      </c>
      <c r="V248" s="24" t="s">
        <v>2063</v>
      </c>
      <c r="W248" s="24" t="s">
        <v>2064</v>
      </c>
      <c r="X248" s="24" t="s">
        <v>68</v>
      </c>
      <c r="Y248" s="24">
        <v>62</v>
      </c>
      <c r="Z248" s="24" t="s">
        <v>2065</v>
      </c>
      <c r="AA248" s="49">
        <v>38120</v>
      </c>
      <c r="AB248" s="53" t="s">
        <v>2066</v>
      </c>
      <c r="AC248" s="24" t="s">
        <v>101</v>
      </c>
      <c r="AD248" s="24" t="s">
        <v>2067</v>
      </c>
      <c r="AE248" s="24" t="s">
        <v>103</v>
      </c>
      <c r="AF248" s="24" t="s">
        <v>2068</v>
      </c>
      <c r="AG248" s="24" t="s">
        <v>2069</v>
      </c>
      <c r="AH248" s="24" t="s">
        <v>76</v>
      </c>
      <c r="AI248" s="24">
        <v>8</v>
      </c>
      <c r="AJ248" s="24">
        <v>0</v>
      </c>
      <c r="AK248" s="24">
        <v>8</v>
      </c>
      <c r="AL248" s="23" t="s">
        <v>354</v>
      </c>
      <c r="AM248" s="24">
        <v>240</v>
      </c>
      <c r="AN248" s="23" t="s">
        <v>79</v>
      </c>
      <c r="AO248" s="24" t="s">
        <v>2070</v>
      </c>
      <c r="AP248" s="23" t="s">
        <v>598</v>
      </c>
      <c r="AQ248" s="27" t="str">
        <f>+Base_Accidentes[[#This Row],[Tipo de Accidente]]</f>
        <v>Acc. Incapacitante</v>
      </c>
      <c r="AR248" s="64" cm="1">
        <f t="array" aca="1" ref="AR248" ca="1">+Base_Accidentes[Población]</f>
        <v>0</v>
      </c>
      <c r="AS248" s="23" t="s">
        <v>1830</v>
      </c>
      <c r="AT248" s="23"/>
    </row>
    <row r="249" spans="1:46" ht="60" x14ac:dyDescent="0.3">
      <c r="A249" s="45">
        <v>249</v>
      </c>
      <c r="B249" s="23"/>
      <c r="C249" s="24" t="s">
        <v>1</v>
      </c>
      <c r="D249" s="23" t="s">
        <v>56</v>
      </c>
      <c r="E249" s="23" t="s">
        <v>109</v>
      </c>
      <c r="F249" s="24" t="s">
        <v>323</v>
      </c>
      <c r="G249" s="23" t="s">
        <v>2071</v>
      </c>
      <c r="H249" s="24" t="s">
        <v>324</v>
      </c>
      <c r="I249" s="23" t="s">
        <v>1466</v>
      </c>
      <c r="J249" s="24" t="s">
        <v>113</v>
      </c>
      <c r="K249" s="24" t="str">
        <f>IF(ISBLANK(Base_Accidentes[[#This Row],[Tipo de Accidente]])," ",Base_Accidentes[[#This Row],[Tipo de Accidente]])</f>
        <v>Acc. Incapacitante</v>
      </c>
      <c r="L249" s="70">
        <v>45629</v>
      </c>
      <c r="M249" s="47">
        <f>_xlfn.ISOWEEKNUM(Base_Accidentes[[#This Row],[Fecha
(XX/XX/2024)]])</f>
        <v>49</v>
      </c>
      <c r="N249" s="23">
        <f>DAY(Base_Accidentes[[#This Row],[Fecha
(XX/XX/2024)]])</f>
        <v>3</v>
      </c>
      <c r="O249" s="23">
        <f>MONTH(Base_Accidentes[[#This Row],[Fecha
(XX/XX/2024)]])</f>
        <v>12</v>
      </c>
      <c r="P249" s="23">
        <f>YEAR(Base_Accidentes[[#This Row],[Fecha
(XX/XX/2024)]])</f>
        <v>2024</v>
      </c>
      <c r="Q249" s="71">
        <v>0.5625</v>
      </c>
      <c r="R249" s="23" t="s">
        <v>587</v>
      </c>
      <c r="S249" s="31" t="s">
        <v>374</v>
      </c>
      <c r="T249" s="23" t="s">
        <v>1468</v>
      </c>
      <c r="U249" s="23" t="s">
        <v>2072</v>
      </c>
      <c r="V249" s="23" t="s">
        <v>2073</v>
      </c>
      <c r="W249" s="23" t="s">
        <v>2074</v>
      </c>
      <c r="X249" s="23" t="s">
        <v>68</v>
      </c>
      <c r="Y249" s="23">
        <v>45</v>
      </c>
      <c r="Z249" s="24" t="s">
        <v>2075</v>
      </c>
      <c r="AA249" s="70">
        <v>45110</v>
      </c>
      <c r="AB249" s="56" t="s">
        <v>2076</v>
      </c>
      <c r="AC249" s="24" t="s">
        <v>120</v>
      </c>
      <c r="AD249" s="23" t="s">
        <v>1085</v>
      </c>
      <c r="AE249" s="24" t="s">
        <v>142</v>
      </c>
      <c r="AF249" s="23" t="s">
        <v>2077</v>
      </c>
      <c r="AG249" s="23" t="s">
        <v>2078</v>
      </c>
      <c r="AH249" s="23" t="s">
        <v>2078</v>
      </c>
      <c r="AI249" s="23">
        <v>7</v>
      </c>
      <c r="AJ249" s="23">
        <v>0</v>
      </c>
      <c r="AK249" s="23">
        <f>SUM(Base_Accidentes[[#This Row],[Días DM Total Indicador]:[Cargo ANSI ]])</f>
        <v>7</v>
      </c>
      <c r="AL249" s="23" t="s">
        <v>1184</v>
      </c>
      <c r="AM249" s="23">
        <v>240</v>
      </c>
      <c r="AN249" s="23" t="s">
        <v>190</v>
      </c>
      <c r="AO249" s="24"/>
      <c r="AP249" s="23"/>
      <c r="AQ249" s="27" t="str">
        <f>+Base_Accidentes[[#This Row],[Tipo de Accidente]]</f>
        <v>Acc. Incapacitante</v>
      </c>
      <c r="AR249" s="64" cm="1">
        <f t="array" aca="1" ref="AR249" ca="1">+Base_Accidentes[Población]</f>
        <v>0</v>
      </c>
      <c r="AS249" s="23" t="s">
        <v>1830</v>
      </c>
      <c r="AT249" s="23"/>
    </row>
    <row r="250" spans="1:46" ht="72" hidden="1" x14ac:dyDescent="0.3">
      <c r="A250" s="45">
        <v>250</v>
      </c>
      <c r="B250" s="24">
        <v>247</v>
      </c>
      <c r="C250" s="24" t="s">
        <v>1</v>
      </c>
      <c r="D250" s="23" t="s">
        <v>56</v>
      </c>
      <c r="E250" s="23" t="s">
        <v>322</v>
      </c>
      <c r="F250" s="24" t="s">
        <v>323</v>
      </c>
      <c r="G250" s="23" t="s">
        <v>2079</v>
      </c>
      <c r="H250" s="24" t="s">
        <v>312</v>
      </c>
      <c r="I250" s="23" t="s">
        <v>2079</v>
      </c>
      <c r="J250" s="24" t="s">
        <v>113</v>
      </c>
      <c r="K250" s="24" t="s">
        <v>113</v>
      </c>
      <c r="L250" s="70">
        <v>45634</v>
      </c>
      <c r="M250" s="47">
        <f>_xlfn.ISOWEEKNUM(Base_Accidentes[[#This Row],[Fecha
(XX/XX/2024)]])</f>
        <v>49</v>
      </c>
      <c r="N250" s="23">
        <f>DAY(Base_Accidentes[[#This Row],[Fecha
(XX/XX/2024)]])</f>
        <v>8</v>
      </c>
      <c r="O250" s="23">
        <f>MONTH(Base_Accidentes[[#This Row],[Fecha
(XX/XX/2024)]])</f>
        <v>12</v>
      </c>
      <c r="P250" s="23">
        <f>YEAR(Base_Accidentes[[#This Row],[Fecha
(XX/XX/2024)]])</f>
        <v>2024</v>
      </c>
      <c r="Q250" s="71">
        <v>0.2638888888888889</v>
      </c>
      <c r="R250" s="23" t="s">
        <v>135</v>
      </c>
      <c r="S250" s="24" t="s">
        <v>10</v>
      </c>
      <c r="T250" s="23" t="s">
        <v>114</v>
      </c>
      <c r="U250" s="23" t="s">
        <v>2080</v>
      </c>
      <c r="V250" s="23" t="s">
        <v>340</v>
      </c>
      <c r="W250" s="23" t="s">
        <v>2081</v>
      </c>
      <c r="X250" s="23" t="s">
        <v>68</v>
      </c>
      <c r="Y250" s="23">
        <v>54</v>
      </c>
      <c r="Z250" s="24" t="s">
        <v>2082</v>
      </c>
      <c r="AA250" s="70">
        <v>36526</v>
      </c>
      <c r="AB250" s="24" t="s">
        <v>2083</v>
      </c>
      <c r="AC250" s="31" t="s">
        <v>512</v>
      </c>
      <c r="AD250" s="23" t="s">
        <v>2084</v>
      </c>
      <c r="AE250" s="24" t="s">
        <v>103</v>
      </c>
      <c r="AF250" s="23" t="s">
        <v>2085</v>
      </c>
      <c r="AG250" s="23" t="s">
        <v>2086</v>
      </c>
      <c r="AH250" s="24" t="s">
        <v>76</v>
      </c>
      <c r="AI250" s="23">
        <v>17</v>
      </c>
      <c r="AJ250" s="23">
        <v>0</v>
      </c>
      <c r="AK250" s="23">
        <f>SUM(Base_Accidentes[[#This Row],[Días DM Total Indicador]:[Cargo ANSI ]])</f>
        <v>17</v>
      </c>
      <c r="AL250" s="23"/>
      <c r="AM250" s="23">
        <v>288</v>
      </c>
      <c r="AN250" s="23" t="s">
        <v>79</v>
      </c>
      <c r="AO250" s="24" t="s">
        <v>2087</v>
      </c>
      <c r="AP250" s="23" t="s">
        <v>598</v>
      </c>
      <c r="AQ250" s="27" t="str">
        <f>+Base_Accidentes[[#This Row],[Tipo de Accidente]]</f>
        <v>Acc. Incapacitante</v>
      </c>
      <c r="AR250" s="23" cm="1">
        <f t="array" aca="1" ref="AR250" ca="1">+Base_Accidentes[Población]</f>
        <v>0</v>
      </c>
      <c r="AS250" s="23" t="s">
        <v>1830</v>
      </c>
      <c r="AT250" s="23"/>
    </row>
    <row r="251" spans="1:46" ht="24" hidden="1" x14ac:dyDescent="0.3">
      <c r="A251" s="45">
        <v>252</v>
      </c>
      <c r="B251" s="23"/>
      <c r="C251" s="24" t="s">
        <v>1</v>
      </c>
      <c r="D251" s="23" t="s">
        <v>56</v>
      </c>
      <c r="E251" s="23" t="s">
        <v>109</v>
      </c>
      <c r="F251" s="24" t="s">
        <v>110</v>
      </c>
      <c r="G251" s="23" t="s">
        <v>111</v>
      </c>
      <c r="H251" s="31" t="s">
        <v>60</v>
      </c>
      <c r="I251" s="23" t="s">
        <v>1208</v>
      </c>
      <c r="J251" s="24" t="s">
        <v>62</v>
      </c>
      <c r="K251" s="24" t="str">
        <f>IF(ISBLANK(Base_Accidentes[[#This Row],[Tipo de Accidente]])," ",Base_Accidentes[[#This Row],[Tipo de Accidente]])</f>
        <v>Acc. No Incapacitante</v>
      </c>
      <c r="L251" s="70">
        <v>45648</v>
      </c>
      <c r="M251" s="47">
        <f>_xlfn.ISOWEEKNUM(Base_Accidentes[[#This Row],[Fecha
(XX/XX/2024)]])</f>
        <v>51</v>
      </c>
      <c r="N251" s="23">
        <f>DAY(Base_Accidentes[[#This Row],[Fecha
(XX/XX/2024)]])</f>
        <v>22</v>
      </c>
      <c r="O251" s="23">
        <f>MONTH(Base_Accidentes[[#This Row],[Fecha
(XX/XX/2024)]])</f>
        <v>12</v>
      </c>
      <c r="P251" s="23">
        <f>YEAR(Base_Accidentes[[#This Row],[Fecha
(XX/XX/2024)]])</f>
        <v>2024</v>
      </c>
      <c r="Q251" s="71">
        <v>0.4375</v>
      </c>
      <c r="R251" s="23" t="s">
        <v>587</v>
      </c>
      <c r="S251" s="31" t="s">
        <v>10</v>
      </c>
      <c r="T251" s="24" t="s">
        <v>64</v>
      </c>
      <c r="U251" s="23" t="s">
        <v>2088</v>
      </c>
      <c r="V251" s="23" t="s">
        <v>2089</v>
      </c>
      <c r="W251" s="23" t="s">
        <v>2090</v>
      </c>
      <c r="X251" s="23" t="s">
        <v>68</v>
      </c>
      <c r="Y251" s="23">
        <v>53</v>
      </c>
      <c r="Z251" s="24" t="s">
        <v>2091</v>
      </c>
      <c r="AA251" s="23"/>
      <c r="AB251" s="23"/>
      <c r="AC251" s="31" t="s">
        <v>101</v>
      </c>
      <c r="AD251" s="23" t="s">
        <v>1562</v>
      </c>
      <c r="AE251" s="31" t="s">
        <v>235</v>
      </c>
      <c r="AF251" s="24" t="s">
        <v>2092</v>
      </c>
      <c r="AG251" s="23" t="s">
        <v>2093</v>
      </c>
      <c r="AH251" s="31" t="s">
        <v>76</v>
      </c>
      <c r="AI251" s="23">
        <v>0</v>
      </c>
      <c r="AJ251" s="23">
        <v>0</v>
      </c>
      <c r="AK251" s="23">
        <f>SUM(Base_Accidentes[[#This Row],[Días DM Total Indicador]:[Cargo ANSI ]])</f>
        <v>0</v>
      </c>
      <c r="AL251" s="23" t="s">
        <v>1184</v>
      </c>
      <c r="AM251" s="23"/>
      <c r="AN251" s="26"/>
      <c r="AO251" s="24" t="s">
        <v>2094</v>
      </c>
      <c r="AP251" s="23" t="s">
        <v>598</v>
      </c>
      <c r="AQ251" s="27" t="str">
        <f>+Base_Accidentes[[#This Row],[Tipo de Accidente]]</f>
        <v>Acc. No Incapacitante</v>
      </c>
      <c r="AR251" s="64" cm="1">
        <f t="array" aca="1" ref="AR251" ca="1">+Base_Accidentes[Población]</f>
        <v>0</v>
      </c>
      <c r="AS251" s="23"/>
      <c r="AT251" s="23"/>
    </row>
    <row r="252" spans="1:46" ht="108" hidden="1" x14ac:dyDescent="0.3">
      <c r="A252" s="45">
        <v>251</v>
      </c>
      <c r="B252" s="23"/>
      <c r="C252" s="24" t="s">
        <v>1</v>
      </c>
      <c r="D252" s="23" t="s">
        <v>56</v>
      </c>
      <c r="E252" s="23" t="s">
        <v>109</v>
      </c>
      <c r="F252" s="24" t="s">
        <v>1506</v>
      </c>
      <c r="G252" s="24" t="s">
        <v>1507</v>
      </c>
      <c r="H252" s="24" t="s">
        <v>60</v>
      </c>
      <c r="I252" s="23" t="s">
        <v>2095</v>
      </c>
      <c r="J252" s="24" t="s">
        <v>113</v>
      </c>
      <c r="K252" s="24" t="str">
        <f>IF(ISBLANK(Base_Accidentes[[#This Row],[Tipo de Accidente]])," ",Base_Accidentes[[#This Row],[Tipo de Accidente]])</f>
        <v>Acc. Incapacitante</v>
      </c>
      <c r="L252" s="70">
        <v>45639</v>
      </c>
      <c r="M252" s="47">
        <f>_xlfn.ISOWEEKNUM(Base_Accidentes[[#This Row],[Fecha
(XX/XX/2024)]])</f>
        <v>50</v>
      </c>
      <c r="N252" s="23">
        <f>DAY(Base_Accidentes[[#This Row],[Fecha
(XX/XX/2024)]])</f>
        <v>13</v>
      </c>
      <c r="O252" s="23">
        <f>MONTH(Base_Accidentes[[#This Row],[Fecha
(XX/XX/2024)]])</f>
        <v>12</v>
      </c>
      <c r="P252" s="23">
        <f>YEAR(Base_Accidentes[[#This Row],[Fecha
(XX/XX/2024)]])</f>
        <v>2024</v>
      </c>
      <c r="Q252" s="71">
        <v>0.9506944444444444</v>
      </c>
      <c r="R252" s="23" t="s">
        <v>135</v>
      </c>
      <c r="S252" s="24" t="s">
        <v>10</v>
      </c>
      <c r="T252" s="23" t="s">
        <v>114</v>
      </c>
      <c r="U252" s="23" t="s">
        <v>2096</v>
      </c>
      <c r="V252" s="23" t="s">
        <v>2097</v>
      </c>
      <c r="W252" s="23" t="s">
        <v>2098</v>
      </c>
      <c r="X252" s="23" t="s">
        <v>68</v>
      </c>
      <c r="Y252" s="23">
        <v>49</v>
      </c>
      <c r="Z252" s="24" t="s">
        <v>2099</v>
      </c>
      <c r="AA252" s="70"/>
      <c r="AB252" s="24" t="s">
        <v>2100</v>
      </c>
      <c r="AC252" s="24" t="s">
        <v>419</v>
      </c>
      <c r="AD252" s="23" t="s">
        <v>2101</v>
      </c>
      <c r="AE252" s="24" t="s">
        <v>1128</v>
      </c>
      <c r="AF252" s="24" t="s">
        <v>2102</v>
      </c>
      <c r="AG252" s="23" t="s">
        <v>2103</v>
      </c>
      <c r="AH252" s="24" t="s">
        <v>654</v>
      </c>
      <c r="AI252" s="23">
        <v>2</v>
      </c>
      <c r="AJ252" s="23">
        <v>0</v>
      </c>
      <c r="AK252" s="23">
        <v>2</v>
      </c>
      <c r="AL252" s="23" t="s">
        <v>1184</v>
      </c>
      <c r="AM252" s="23">
        <v>12</v>
      </c>
      <c r="AN252" s="23" t="s">
        <v>79</v>
      </c>
      <c r="AO252" s="24" t="s">
        <v>2104</v>
      </c>
      <c r="AP252" s="23" t="s">
        <v>598</v>
      </c>
      <c r="AQ252" s="27" t="str">
        <f>+Base_Accidentes[[#This Row],[Tipo de Accidente]]</f>
        <v>Acc. Incapacitante</v>
      </c>
      <c r="AR252" s="23" cm="1">
        <f t="array" aca="1" ref="AR252" ca="1">+Base_Accidentes[Población]</f>
        <v>0</v>
      </c>
      <c r="AS252" s="23" t="s">
        <v>1830</v>
      </c>
      <c r="AT252" s="23"/>
    </row>
    <row r="253" spans="1:46" ht="84" hidden="1" x14ac:dyDescent="0.3">
      <c r="A253" s="45">
        <v>254</v>
      </c>
      <c r="B253" s="23"/>
      <c r="C253" s="24" t="s">
        <v>1</v>
      </c>
      <c r="D253" s="23" t="s">
        <v>56</v>
      </c>
      <c r="E253" s="23" t="s">
        <v>109</v>
      </c>
      <c r="F253" s="24" t="s">
        <v>58</v>
      </c>
      <c r="G253" s="24" t="s">
        <v>59</v>
      </c>
      <c r="H253" s="26" t="s">
        <v>60</v>
      </c>
      <c r="I253" s="23" t="s">
        <v>60</v>
      </c>
      <c r="J253" s="24" t="s">
        <v>62</v>
      </c>
      <c r="K253" s="24" t="str">
        <f>IF(ISBLANK(Base_Accidentes[[#This Row],[Tipo de Accidente]])," ",Base_Accidentes[[#This Row],[Tipo de Accidente]])</f>
        <v>Acc. No Incapacitante</v>
      </c>
      <c r="L253" s="70">
        <v>45649</v>
      </c>
      <c r="M253" s="47">
        <f>_xlfn.ISOWEEKNUM(Base_Accidentes[[#This Row],[Fecha
(XX/XX/2024)]])</f>
        <v>52</v>
      </c>
      <c r="N253" s="23">
        <f>DAY(Base_Accidentes[[#This Row],[Fecha
(XX/XX/2024)]])</f>
        <v>23</v>
      </c>
      <c r="O253" s="23">
        <f>MONTH(Base_Accidentes[[#This Row],[Fecha
(XX/XX/2024)]])</f>
        <v>12</v>
      </c>
      <c r="P253" s="23">
        <f>YEAR(Base_Accidentes[[#This Row],[Fecha
(XX/XX/2024)]])</f>
        <v>2024</v>
      </c>
      <c r="Q253" s="71">
        <v>0.50694444444444442</v>
      </c>
      <c r="R253" s="23" t="s">
        <v>587</v>
      </c>
      <c r="S253" s="31" t="s">
        <v>10</v>
      </c>
      <c r="T253" s="23" t="s">
        <v>114</v>
      </c>
      <c r="U253" s="23" t="s">
        <v>2105</v>
      </c>
      <c r="V253" s="23" t="s">
        <v>2106</v>
      </c>
      <c r="W253" s="23" t="s">
        <v>2107</v>
      </c>
      <c r="X253" s="23" t="s">
        <v>68</v>
      </c>
      <c r="Y253" s="23">
        <v>53</v>
      </c>
      <c r="Z253" s="24" t="s">
        <v>2091</v>
      </c>
      <c r="AA253" s="23"/>
      <c r="AB253" s="24" t="s">
        <v>2108</v>
      </c>
      <c r="AC253" s="24" t="s">
        <v>101</v>
      </c>
      <c r="AD253" s="23" t="s">
        <v>73</v>
      </c>
      <c r="AE253" s="31" t="s">
        <v>73</v>
      </c>
      <c r="AF253" s="24" t="s">
        <v>2109</v>
      </c>
      <c r="AG253" s="23" t="s">
        <v>2110</v>
      </c>
      <c r="AH253" s="24" t="s">
        <v>145</v>
      </c>
      <c r="AI253" s="23">
        <v>0</v>
      </c>
      <c r="AJ253" s="23">
        <v>0</v>
      </c>
      <c r="AK253" s="23">
        <f>SUM(Base_Accidentes[[#This Row],[Días DM Total Indicador]:[Cargo ANSI ]])</f>
        <v>0</v>
      </c>
      <c r="AL253" s="23" t="s">
        <v>1184</v>
      </c>
      <c r="AM253" s="23"/>
      <c r="AN253" s="26"/>
      <c r="AO253" s="24" t="s">
        <v>2111</v>
      </c>
      <c r="AP253" s="23" t="s">
        <v>598</v>
      </c>
      <c r="AQ253" s="27" t="str">
        <f>+Base_Accidentes[[#This Row],[Tipo de Accidente]]</f>
        <v>Acc. No Incapacitante</v>
      </c>
      <c r="AR253" s="64" cm="1">
        <f t="array" aca="1" ref="AR253" ca="1">+Base_Accidentes[Población]</f>
        <v>0</v>
      </c>
      <c r="AS253" s="23"/>
      <c r="AT253" s="23"/>
    </row>
    <row r="254" spans="1:46" ht="24" hidden="1" x14ac:dyDescent="0.25">
      <c r="A254" s="45">
        <v>256</v>
      </c>
      <c r="B254" s="23"/>
      <c r="C254" s="113" t="s">
        <v>1</v>
      </c>
      <c r="D254" s="114" t="s">
        <v>56</v>
      </c>
      <c r="E254" s="114" t="s">
        <v>706</v>
      </c>
      <c r="F254" s="113" t="s">
        <v>707</v>
      </c>
      <c r="G254" s="114" t="s">
        <v>2112</v>
      </c>
      <c r="H254" s="119" t="s">
        <v>60</v>
      </c>
      <c r="I254" s="114" t="s">
        <v>60</v>
      </c>
      <c r="J254" s="113" t="s">
        <v>62</v>
      </c>
      <c r="K254" s="113" t="s">
        <v>62</v>
      </c>
      <c r="L254" s="114" t="s">
        <v>2113</v>
      </c>
      <c r="M254" s="113">
        <v>11</v>
      </c>
      <c r="N254" s="113">
        <v>15</v>
      </c>
      <c r="O254" s="113">
        <v>3</v>
      </c>
      <c r="P254" s="114">
        <v>2024</v>
      </c>
      <c r="Q254" s="114" t="s">
        <v>2114</v>
      </c>
      <c r="R254" s="114" t="s">
        <v>2114</v>
      </c>
      <c r="S254" s="122" t="s">
        <v>10</v>
      </c>
      <c r="T254" s="114" t="s">
        <v>114</v>
      </c>
      <c r="U254" s="114" t="s">
        <v>377</v>
      </c>
      <c r="V254" s="114" t="s">
        <v>2115</v>
      </c>
      <c r="W254" s="114" t="s">
        <v>2116</v>
      </c>
      <c r="X254" s="114" t="s">
        <v>68</v>
      </c>
      <c r="Y254" s="114" t="s">
        <v>2114</v>
      </c>
      <c r="Z254" s="113" t="s">
        <v>2091</v>
      </c>
      <c r="AA254" s="114" t="s">
        <v>2114</v>
      </c>
      <c r="AB254" s="113" t="s">
        <v>2117</v>
      </c>
      <c r="AC254" s="122" t="s">
        <v>419</v>
      </c>
      <c r="AD254" s="114" t="s">
        <v>1193</v>
      </c>
      <c r="AE254" s="122" t="s">
        <v>142</v>
      </c>
      <c r="AF254" s="114" t="s">
        <v>2118</v>
      </c>
      <c r="AG254" s="114" t="s">
        <v>2114</v>
      </c>
      <c r="AH254" s="122" t="s">
        <v>2114</v>
      </c>
      <c r="AI254" s="114" t="s">
        <v>2114</v>
      </c>
      <c r="AJ254" s="114" t="s">
        <v>2114</v>
      </c>
      <c r="AK254" s="114">
        <v>0</v>
      </c>
      <c r="AL254" s="114" t="s">
        <v>2114</v>
      </c>
      <c r="AM254" s="114" t="s">
        <v>2114</v>
      </c>
      <c r="AN254" s="119" t="s">
        <v>2114</v>
      </c>
      <c r="AO254" s="113" t="s">
        <v>2114</v>
      </c>
      <c r="AP254" s="114" t="s">
        <v>2114</v>
      </c>
      <c r="AQ254" s="115" t="s">
        <v>62</v>
      </c>
      <c r="AR254" s="128">
        <v>0</v>
      </c>
      <c r="AS254" s="114" t="s">
        <v>2114</v>
      </c>
      <c r="AT254" s="23"/>
    </row>
    <row r="255" spans="1:46" ht="24" hidden="1" x14ac:dyDescent="0.25">
      <c r="A255" s="45">
        <v>257</v>
      </c>
      <c r="B255" s="23"/>
      <c r="C255" s="113" t="s">
        <v>1</v>
      </c>
      <c r="D255" s="114" t="s">
        <v>56</v>
      </c>
      <c r="E255" s="114" t="s">
        <v>706</v>
      </c>
      <c r="F255" s="113" t="s">
        <v>707</v>
      </c>
      <c r="G255" s="114" t="s">
        <v>2112</v>
      </c>
      <c r="H255" s="119" t="s">
        <v>60</v>
      </c>
      <c r="I255" s="114" t="s">
        <v>60</v>
      </c>
      <c r="J255" s="113" t="s">
        <v>62</v>
      </c>
      <c r="K255" s="113" t="s">
        <v>62</v>
      </c>
      <c r="L255" s="116">
        <v>45370</v>
      </c>
      <c r="M255" s="113">
        <v>12</v>
      </c>
      <c r="N255" s="113">
        <v>19</v>
      </c>
      <c r="O255" s="113">
        <v>3</v>
      </c>
      <c r="P255" s="114">
        <v>2024</v>
      </c>
      <c r="Q255" s="114" t="s">
        <v>2114</v>
      </c>
      <c r="R255" s="114" t="s">
        <v>2114</v>
      </c>
      <c r="S255" s="122" t="s">
        <v>10</v>
      </c>
      <c r="T255" s="114" t="s">
        <v>114</v>
      </c>
      <c r="U255" s="114" t="s">
        <v>1349</v>
      </c>
      <c r="V255" s="114" t="s">
        <v>565</v>
      </c>
      <c r="W255" s="114" t="s">
        <v>2119</v>
      </c>
      <c r="X255" s="114" t="s">
        <v>98</v>
      </c>
      <c r="Y255" s="114" t="s">
        <v>2114</v>
      </c>
      <c r="Z255" s="113" t="s">
        <v>1852</v>
      </c>
      <c r="AA255" s="114" t="s">
        <v>2114</v>
      </c>
      <c r="AB255" s="113" t="s">
        <v>2120</v>
      </c>
      <c r="AC255" s="122" t="s">
        <v>120</v>
      </c>
      <c r="AD255" s="114" t="s">
        <v>2114</v>
      </c>
      <c r="AE255" s="122" t="s">
        <v>2114</v>
      </c>
      <c r="AF255" s="114" t="s">
        <v>2121</v>
      </c>
      <c r="AG255" s="114" t="s">
        <v>2114</v>
      </c>
      <c r="AH255" s="113" t="s">
        <v>2114</v>
      </c>
      <c r="AI255" s="114" t="s">
        <v>2114</v>
      </c>
      <c r="AJ255" s="114" t="s">
        <v>2114</v>
      </c>
      <c r="AK255" s="114">
        <v>0</v>
      </c>
      <c r="AL255" s="114" t="s">
        <v>2114</v>
      </c>
      <c r="AM255" s="114" t="s">
        <v>2114</v>
      </c>
      <c r="AN255" s="119" t="s">
        <v>2114</v>
      </c>
      <c r="AO255" s="113" t="s">
        <v>2114</v>
      </c>
      <c r="AP255" s="114" t="s">
        <v>2114</v>
      </c>
      <c r="AQ255" s="115" t="s">
        <v>62</v>
      </c>
      <c r="AR255" s="128">
        <v>0</v>
      </c>
      <c r="AS255" s="114" t="s">
        <v>2114</v>
      </c>
      <c r="AT255" s="23"/>
    </row>
    <row r="256" spans="1:46" ht="24" hidden="1" x14ac:dyDescent="0.25">
      <c r="A256" s="45">
        <v>258</v>
      </c>
      <c r="B256" s="23"/>
      <c r="C256" s="113" t="s">
        <v>1</v>
      </c>
      <c r="D256" s="114" t="s">
        <v>56</v>
      </c>
      <c r="E256" s="114" t="s">
        <v>706</v>
      </c>
      <c r="F256" s="113" t="s">
        <v>707</v>
      </c>
      <c r="G256" s="114" t="s">
        <v>2122</v>
      </c>
      <c r="H256" s="114" t="s">
        <v>60</v>
      </c>
      <c r="I256" s="114" t="s">
        <v>60</v>
      </c>
      <c r="J256" s="113" t="s">
        <v>62</v>
      </c>
      <c r="K256" s="113" t="s">
        <v>62</v>
      </c>
      <c r="L256" s="116">
        <v>45378</v>
      </c>
      <c r="M256" s="113">
        <v>13</v>
      </c>
      <c r="N256" s="113">
        <v>27</v>
      </c>
      <c r="O256" s="113">
        <v>3</v>
      </c>
      <c r="P256" s="114">
        <v>2024</v>
      </c>
      <c r="Q256" s="114" t="s">
        <v>2114</v>
      </c>
      <c r="R256" s="114" t="s">
        <v>2114</v>
      </c>
      <c r="S256" s="113" t="s">
        <v>10</v>
      </c>
      <c r="T256" s="114" t="s">
        <v>114</v>
      </c>
      <c r="U256" s="114" t="s">
        <v>565</v>
      </c>
      <c r="V256" s="114" t="s">
        <v>631</v>
      </c>
      <c r="W256" s="114" t="s">
        <v>2123</v>
      </c>
      <c r="X256" s="114" t="s">
        <v>997</v>
      </c>
      <c r="Y256" s="114" t="s">
        <v>2114</v>
      </c>
      <c r="Z256" s="113" t="s">
        <v>2091</v>
      </c>
      <c r="AA256" s="114" t="s">
        <v>2114</v>
      </c>
      <c r="AB256" s="113" t="s">
        <v>2124</v>
      </c>
      <c r="AC256" s="113" t="s">
        <v>267</v>
      </c>
      <c r="AD256" s="114" t="s">
        <v>2125</v>
      </c>
      <c r="AE256" s="113" t="s">
        <v>2114</v>
      </c>
      <c r="AF256" s="114" t="s">
        <v>2114</v>
      </c>
      <c r="AG256" s="114" t="s">
        <v>2114</v>
      </c>
      <c r="AH256" s="113" t="s">
        <v>2114</v>
      </c>
      <c r="AI256" s="114" t="s">
        <v>2114</v>
      </c>
      <c r="AJ256" s="114" t="s">
        <v>2114</v>
      </c>
      <c r="AK256" s="114">
        <v>0</v>
      </c>
      <c r="AL256" s="114" t="s">
        <v>2114</v>
      </c>
      <c r="AM256" s="114" t="s">
        <v>2114</v>
      </c>
      <c r="AN256" s="114" t="s">
        <v>2114</v>
      </c>
      <c r="AO256" s="113" t="s">
        <v>2114</v>
      </c>
      <c r="AP256" s="114" t="s">
        <v>2114</v>
      </c>
      <c r="AQ256" s="115" t="s">
        <v>62</v>
      </c>
      <c r="AR256" s="128">
        <v>0</v>
      </c>
      <c r="AS256" s="114" t="s">
        <v>2114</v>
      </c>
      <c r="AT256" s="23"/>
    </row>
    <row r="257" spans="1:46" ht="24" hidden="1" x14ac:dyDescent="0.25">
      <c r="A257" s="45">
        <v>259</v>
      </c>
      <c r="B257" s="72"/>
      <c r="C257" s="113" t="s">
        <v>1</v>
      </c>
      <c r="D257" s="114" t="s">
        <v>56</v>
      </c>
      <c r="E257" s="114" t="s">
        <v>706</v>
      </c>
      <c r="F257" s="113" t="s">
        <v>707</v>
      </c>
      <c r="G257" s="114" t="s">
        <v>2126</v>
      </c>
      <c r="H257" s="114" t="s">
        <v>60</v>
      </c>
      <c r="I257" s="114" t="s">
        <v>60</v>
      </c>
      <c r="J257" s="113" t="s">
        <v>62</v>
      </c>
      <c r="K257" s="113" t="s">
        <v>62</v>
      </c>
      <c r="L257" s="116">
        <v>45378</v>
      </c>
      <c r="M257" s="113">
        <v>13</v>
      </c>
      <c r="N257" s="113">
        <v>27</v>
      </c>
      <c r="O257" s="113">
        <v>3</v>
      </c>
      <c r="P257" s="114">
        <v>2024</v>
      </c>
      <c r="Q257" s="114" t="s">
        <v>2114</v>
      </c>
      <c r="R257" s="114" t="s">
        <v>2114</v>
      </c>
      <c r="S257" s="113" t="s">
        <v>10</v>
      </c>
      <c r="T257" s="114" t="s">
        <v>114</v>
      </c>
      <c r="U257" s="114" t="s">
        <v>982</v>
      </c>
      <c r="V257" s="114" t="s">
        <v>982</v>
      </c>
      <c r="W257" s="114" t="s">
        <v>2127</v>
      </c>
      <c r="X257" s="114" t="s">
        <v>68</v>
      </c>
      <c r="Y257" s="114" t="s">
        <v>2114</v>
      </c>
      <c r="Z257" s="113" t="s">
        <v>2128</v>
      </c>
      <c r="AA257" s="114" t="s">
        <v>2114</v>
      </c>
      <c r="AB257" s="113" t="s">
        <v>2129</v>
      </c>
      <c r="AC257" s="113" t="s">
        <v>512</v>
      </c>
      <c r="AD257" s="114" t="s">
        <v>1345</v>
      </c>
      <c r="AE257" s="113" t="s">
        <v>2114</v>
      </c>
      <c r="AF257" s="114" t="s">
        <v>2114</v>
      </c>
      <c r="AG257" s="114" t="s">
        <v>2114</v>
      </c>
      <c r="AH257" s="113" t="s">
        <v>2114</v>
      </c>
      <c r="AI257" s="114" t="s">
        <v>2114</v>
      </c>
      <c r="AJ257" s="114" t="s">
        <v>2114</v>
      </c>
      <c r="AK257" s="114">
        <v>0</v>
      </c>
      <c r="AL257" s="114" t="s">
        <v>2114</v>
      </c>
      <c r="AM257" s="114" t="s">
        <v>2114</v>
      </c>
      <c r="AN257" s="114" t="s">
        <v>2114</v>
      </c>
      <c r="AO257" s="113" t="s">
        <v>2114</v>
      </c>
      <c r="AP257" s="114" t="s">
        <v>2114</v>
      </c>
      <c r="AQ257" s="115" t="s">
        <v>62</v>
      </c>
      <c r="AR257" s="128">
        <v>0</v>
      </c>
      <c r="AS257" s="114" t="s">
        <v>2114</v>
      </c>
      <c r="AT257" s="23"/>
    </row>
    <row r="258" spans="1:46" ht="48" hidden="1" x14ac:dyDescent="0.25">
      <c r="A258" s="45">
        <v>260</v>
      </c>
      <c r="B258" s="72"/>
      <c r="C258" s="113" t="s">
        <v>1</v>
      </c>
      <c r="D258" s="114" t="s">
        <v>56</v>
      </c>
      <c r="E258" s="114" t="s">
        <v>706</v>
      </c>
      <c r="F258" s="113" t="s">
        <v>707</v>
      </c>
      <c r="G258" s="114" t="s">
        <v>2112</v>
      </c>
      <c r="H258" s="119" t="s">
        <v>60</v>
      </c>
      <c r="I258" s="114" t="s">
        <v>60</v>
      </c>
      <c r="J258" s="113" t="s">
        <v>62</v>
      </c>
      <c r="K258" s="113" t="s">
        <v>62</v>
      </c>
      <c r="L258" s="116">
        <v>45362</v>
      </c>
      <c r="M258" s="113">
        <v>11</v>
      </c>
      <c r="N258" s="113">
        <v>11</v>
      </c>
      <c r="O258" s="113">
        <v>3</v>
      </c>
      <c r="P258" s="114">
        <v>2024</v>
      </c>
      <c r="Q258" s="114" t="s">
        <v>2130</v>
      </c>
      <c r="R258" s="114" t="s">
        <v>2114</v>
      </c>
      <c r="S258" s="122" t="s">
        <v>10</v>
      </c>
      <c r="T258" s="114" t="s">
        <v>114</v>
      </c>
      <c r="U258" s="114" t="s">
        <v>1528</v>
      </c>
      <c r="V258" s="114" t="s">
        <v>2131</v>
      </c>
      <c r="W258" s="114" t="s">
        <v>1061</v>
      </c>
      <c r="X258" s="114" t="s">
        <v>997</v>
      </c>
      <c r="Y258" s="114" t="s">
        <v>2114</v>
      </c>
      <c r="Z258" s="113" t="s">
        <v>2132</v>
      </c>
      <c r="AA258" s="114" t="s">
        <v>2114</v>
      </c>
      <c r="AB258" s="113" t="s">
        <v>2133</v>
      </c>
      <c r="AC258" s="122" t="s">
        <v>575</v>
      </c>
      <c r="AD258" s="114" t="s">
        <v>774</v>
      </c>
      <c r="AE258" s="122" t="s">
        <v>2114</v>
      </c>
      <c r="AF258" s="114" t="s">
        <v>2114</v>
      </c>
      <c r="AG258" s="114" t="s">
        <v>2114</v>
      </c>
      <c r="AH258" s="122" t="s">
        <v>2114</v>
      </c>
      <c r="AI258" s="114" t="s">
        <v>2114</v>
      </c>
      <c r="AJ258" s="114" t="s">
        <v>2114</v>
      </c>
      <c r="AK258" s="114">
        <v>0</v>
      </c>
      <c r="AL258" s="114" t="s">
        <v>2114</v>
      </c>
      <c r="AM258" s="114" t="s">
        <v>2114</v>
      </c>
      <c r="AN258" s="119" t="s">
        <v>2114</v>
      </c>
      <c r="AO258" s="113" t="s">
        <v>2114</v>
      </c>
      <c r="AP258" s="114" t="s">
        <v>2114</v>
      </c>
      <c r="AQ258" s="115" t="s">
        <v>62</v>
      </c>
      <c r="AR258" s="128">
        <v>0</v>
      </c>
      <c r="AS258" s="114" t="s">
        <v>2114</v>
      </c>
      <c r="AT258" s="23"/>
    </row>
    <row r="259" spans="1:46" ht="120" hidden="1" x14ac:dyDescent="0.3">
      <c r="A259" s="72">
        <v>261</v>
      </c>
      <c r="B259" s="23" t="s">
        <v>129</v>
      </c>
      <c r="C259" s="24" t="s">
        <v>1</v>
      </c>
      <c r="D259" s="23" t="s">
        <v>162</v>
      </c>
      <c r="E259" s="51" t="s">
        <v>1257</v>
      </c>
      <c r="F259" s="23" t="s">
        <v>164</v>
      </c>
      <c r="G259" s="23" t="s">
        <v>1257</v>
      </c>
      <c r="H259" s="24" t="s">
        <v>60</v>
      </c>
      <c r="I259" s="24" t="s">
        <v>865</v>
      </c>
      <c r="J259" s="24" t="s">
        <v>62</v>
      </c>
      <c r="K259" s="24" t="str">
        <f>IF(ISBLANK(Base_Accidentes[[#This Row],[Tipo de Accidente]])," ",Base_Accidentes[[#This Row],[Tipo de Accidente]])</f>
        <v>Acc. No Incapacitante</v>
      </c>
      <c r="L259" s="70">
        <v>45587</v>
      </c>
      <c r="M259" s="47">
        <f>_xlfn.ISOWEEKNUM(Base_Accidentes[[#This Row],[Fecha
(XX/XX/2024)]])</f>
        <v>43</v>
      </c>
      <c r="N259" s="23">
        <v>22</v>
      </c>
      <c r="O259" s="23">
        <f>MONTH(Base_Accidentes[[#This Row],[Fecha
(XX/XX/2024)]])</f>
        <v>10</v>
      </c>
      <c r="P259" s="23">
        <v>2024</v>
      </c>
      <c r="Q259" s="71">
        <v>0.67708333333333337</v>
      </c>
      <c r="R259" s="23" t="s">
        <v>587</v>
      </c>
      <c r="S259" s="24" t="s">
        <v>167</v>
      </c>
      <c r="T259" s="24" t="s">
        <v>168</v>
      </c>
      <c r="U259" s="24" t="s">
        <v>1930</v>
      </c>
      <c r="V259" s="23" t="s">
        <v>1931</v>
      </c>
      <c r="W259" s="23" t="s">
        <v>1932</v>
      </c>
      <c r="X259" s="23" t="s">
        <v>68</v>
      </c>
      <c r="Y259" s="23">
        <v>30</v>
      </c>
      <c r="Z259" s="24" t="s">
        <v>172</v>
      </c>
      <c r="AA259" s="70">
        <v>45540</v>
      </c>
      <c r="AB259" s="24" t="s">
        <v>2134</v>
      </c>
      <c r="AC259" s="24" t="s">
        <v>234</v>
      </c>
      <c r="AD259" s="23" t="s">
        <v>1261</v>
      </c>
      <c r="AE259" s="23"/>
      <c r="AF259" s="24"/>
      <c r="AG259" s="24"/>
      <c r="AH259" s="23"/>
      <c r="AI259" s="23">
        <v>0</v>
      </c>
      <c r="AJ259" s="23">
        <v>0</v>
      </c>
      <c r="AK259" s="23">
        <v>0</v>
      </c>
      <c r="AL259" s="23" t="s">
        <v>1184</v>
      </c>
      <c r="AM259" s="23">
        <v>1</v>
      </c>
      <c r="AN259" s="23" t="s">
        <v>240</v>
      </c>
      <c r="AO259" s="24"/>
      <c r="AP259" s="23" t="s">
        <v>92</v>
      </c>
      <c r="AQ259" s="27" t="str">
        <f>+Base_Accidentes[[#This Row],[Tipo de Accidente]]</f>
        <v>Acc. No Incapacitante</v>
      </c>
      <c r="AR259" s="64" cm="1">
        <f t="array" aca="1" ref="AR259" ca="1">+Base_Accidentes[Población]</f>
        <v>0</v>
      </c>
      <c r="AS259" s="23"/>
      <c r="AT259" s="23"/>
    </row>
    <row r="260" spans="1:46" ht="24" hidden="1" x14ac:dyDescent="0.3">
      <c r="A260" s="72">
        <v>262</v>
      </c>
      <c r="B260" s="23" t="s">
        <v>129</v>
      </c>
      <c r="C260" s="24" t="s">
        <v>1</v>
      </c>
      <c r="D260" s="23" t="s">
        <v>162</v>
      </c>
      <c r="E260" s="51" t="s">
        <v>1257</v>
      </c>
      <c r="F260" s="23" t="s">
        <v>164</v>
      </c>
      <c r="G260" s="23" t="s">
        <v>1257</v>
      </c>
      <c r="H260" s="24" t="s">
        <v>60</v>
      </c>
      <c r="I260" s="24" t="s">
        <v>865</v>
      </c>
      <c r="J260" s="24" t="s">
        <v>62</v>
      </c>
      <c r="K260" s="24" t="str">
        <f>IF(ISBLANK(Base_Accidentes[[#This Row],[Tipo de Accidente]])," ",Base_Accidentes[[#This Row],[Tipo de Accidente]])</f>
        <v>Acc. No Incapacitante</v>
      </c>
      <c r="L260" s="70">
        <v>45533</v>
      </c>
      <c r="M260" s="47">
        <f>_xlfn.ISOWEEKNUM(Base_Accidentes[[#This Row],[Fecha
(XX/XX/2024)]])</f>
        <v>35</v>
      </c>
      <c r="N260" s="23">
        <v>29</v>
      </c>
      <c r="O260" s="23">
        <f>MONTH(Base_Accidentes[[#This Row],[Fecha
(XX/XX/2024)]])</f>
        <v>8</v>
      </c>
      <c r="P260" s="23">
        <v>2024</v>
      </c>
      <c r="Q260" s="71">
        <v>0.58680555555555558</v>
      </c>
      <c r="R260" s="23" t="s">
        <v>587</v>
      </c>
      <c r="S260" s="24" t="s">
        <v>167</v>
      </c>
      <c r="T260" s="24" t="s">
        <v>168</v>
      </c>
      <c r="U260" s="23" t="s">
        <v>2135</v>
      </c>
      <c r="V260" s="23" t="s">
        <v>2136</v>
      </c>
      <c r="W260" s="23" t="s">
        <v>2137</v>
      </c>
      <c r="X260" s="23" t="s">
        <v>68</v>
      </c>
      <c r="Y260" s="23">
        <v>24</v>
      </c>
      <c r="Z260" s="24" t="s">
        <v>172</v>
      </c>
      <c r="AA260" s="70">
        <v>45119</v>
      </c>
      <c r="AB260" s="24" t="s">
        <v>2138</v>
      </c>
      <c r="AC260" s="24" t="s">
        <v>101</v>
      </c>
      <c r="AD260" s="23" t="s">
        <v>1420</v>
      </c>
      <c r="AE260" s="23"/>
      <c r="AF260" s="24"/>
      <c r="AG260" s="24"/>
      <c r="AH260" s="23"/>
      <c r="AI260" s="23">
        <v>0</v>
      </c>
      <c r="AJ260" s="23">
        <v>0</v>
      </c>
      <c r="AK260" s="23">
        <v>0</v>
      </c>
      <c r="AL260" s="23" t="s">
        <v>239</v>
      </c>
      <c r="AM260" s="23">
        <v>1</v>
      </c>
      <c r="AN260" s="23" t="s">
        <v>240</v>
      </c>
      <c r="AO260" s="24"/>
      <c r="AP260" s="23" t="s">
        <v>92</v>
      </c>
      <c r="AQ260" s="27" t="str">
        <f>+Base_Accidentes[[#This Row],[Tipo de Accidente]]</f>
        <v>Acc. No Incapacitante</v>
      </c>
      <c r="AR260" s="64" cm="1">
        <f t="array" aca="1" ref="AR260" ca="1">+Base_Accidentes[Población]</f>
        <v>0</v>
      </c>
      <c r="AS260" s="23"/>
      <c r="AT260" s="23"/>
    </row>
    <row r="261" spans="1:46" ht="36" hidden="1" x14ac:dyDescent="0.3">
      <c r="A261" s="72">
        <v>263</v>
      </c>
      <c r="B261" s="23" t="s">
        <v>129</v>
      </c>
      <c r="C261" s="24" t="s">
        <v>1</v>
      </c>
      <c r="D261" s="23" t="s">
        <v>162</v>
      </c>
      <c r="E261" s="51" t="s">
        <v>1257</v>
      </c>
      <c r="F261" s="23" t="s">
        <v>164</v>
      </c>
      <c r="G261" s="23" t="s">
        <v>1257</v>
      </c>
      <c r="H261" s="24" t="s">
        <v>60</v>
      </c>
      <c r="I261" s="24" t="s">
        <v>2139</v>
      </c>
      <c r="J261" s="24" t="s">
        <v>62</v>
      </c>
      <c r="K261" s="24" t="str">
        <f>IF(ISBLANK(Base_Accidentes[[#This Row],[Tipo de Accidente]])," ",Base_Accidentes[[#This Row],[Tipo de Accidente]])</f>
        <v>Acc. No Incapacitante</v>
      </c>
      <c r="L261" s="70">
        <v>45552</v>
      </c>
      <c r="M261" s="47">
        <f>_xlfn.ISOWEEKNUM(Base_Accidentes[[#This Row],[Fecha
(XX/XX/2024)]])</f>
        <v>38</v>
      </c>
      <c r="N261" s="23">
        <v>17</v>
      </c>
      <c r="O261" s="23">
        <f>MONTH(Base_Accidentes[[#This Row],[Fecha
(XX/XX/2024)]])</f>
        <v>9</v>
      </c>
      <c r="P261" s="23">
        <v>2024</v>
      </c>
      <c r="Q261" s="71">
        <v>0.43055555555555558</v>
      </c>
      <c r="R261" s="23" t="s">
        <v>587</v>
      </c>
      <c r="S261" s="24" t="s">
        <v>167</v>
      </c>
      <c r="T261" s="24" t="s">
        <v>168</v>
      </c>
      <c r="U261" s="23" t="s">
        <v>1935</v>
      </c>
      <c r="V261" s="23" t="s">
        <v>1936</v>
      </c>
      <c r="W261" s="23" t="s">
        <v>975</v>
      </c>
      <c r="X261" s="23" t="s">
        <v>68</v>
      </c>
      <c r="Y261" s="23">
        <v>32</v>
      </c>
      <c r="Z261" s="24" t="s">
        <v>172</v>
      </c>
      <c r="AA261" s="70">
        <v>45532</v>
      </c>
      <c r="AB261" s="24" t="s">
        <v>2140</v>
      </c>
      <c r="AC261" s="24" t="s">
        <v>101</v>
      </c>
      <c r="AD261" s="23" t="s">
        <v>1367</v>
      </c>
      <c r="AE261" s="23"/>
      <c r="AF261" s="24"/>
      <c r="AG261" s="24"/>
      <c r="AH261" s="23"/>
      <c r="AI261" s="23">
        <v>0</v>
      </c>
      <c r="AJ261" s="23">
        <v>0</v>
      </c>
      <c r="AK261" s="23">
        <v>0</v>
      </c>
      <c r="AL261" s="23" t="s">
        <v>239</v>
      </c>
      <c r="AM261" s="23">
        <v>1</v>
      </c>
      <c r="AN261" s="23" t="s">
        <v>240</v>
      </c>
      <c r="AO261" s="24"/>
      <c r="AP261" s="23" t="s">
        <v>92</v>
      </c>
      <c r="AQ261" s="27" t="str">
        <f>+Base_Accidentes[[#This Row],[Tipo de Accidente]]</f>
        <v>Acc. No Incapacitante</v>
      </c>
      <c r="AR261" s="64" cm="1">
        <f t="array" aca="1" ref="AR261" ca="1">+Base_Accidentes[Población]</f>
        <v>0</v>
      </c>
      <c r="AS261" s="23"/>
      <c r="AT261" s="23"/>
    </row>
    <row r="262" spans="1:46" ht="60" hidden="1" x14ac:dyDescent="0.3">
      <c r="A262" s="72">
        <v>264</v>
      </c>
      <c r="B262" s="23" t="s">
        <v>129</v>
      </c>
      <c r="C262" s="24" t="s">
        <v>1</v>
      </c>
      <c r="D262" s="23" t="s">
        <v>162</v>
      </c>
      <c r="E262" s="51" t="s">
        <v>1257</v>
      </c>
      <c r="F262" s="23" t="s">
        <v>164</v>
      </c>
      <c r="G262" s="23" t="s">
        <v>1257</v>
      </c>
      <c r="H262" s="24" t="s">
        <v>60</v>
      </c>
      <c r="I262" s="24" t="s">
        <v>2139</v>
      </c>
      <c r="J262" s="24" t="s">
        <v>62</v>
      </c>
      <c r="K262" s="24" t="str">
        <f>IF(ISBLANK(Base_Accidentes[[#This Row],[Tipo de Accidente]])," ",Base_Accidentes[[#This Row],[Tipo de Accidente]])</f>
        <v>Acc. No Incapacitante</v>
      </c>
      <c r="L262" s="70">
        <v>45580</v>
      </c>
      <c r="M262" s="47">
        <f>_xlfn.ISOWEEKNUM(Base_Accidentes[[#This Row],[Fecha
(XX/XX/2024)]])</f>
        <v>42</v>
      </c>
      <c r="N262" s="23">
        <v>15</v>
      </c>
      <c r="O262" s="23">
        <f>MONTH(Base_Accidentes[[#This Row],[Fecha
(XX/XX/2024)]])</f>
        <v>10</v>
      </c>
      <c r="P262" s="23">
        <v>2024</v>
      </c>
      <c r="Q262" s="71">
        <v>0.44444444444444442</v>
      </c>
      <c r="R262" s="23" t="s">
        <v>587</v>
      </c>
      <c r="S262" s="24" t="s">
        <v>167</v>
      </c>
      <c r="T262" s="24" t="s">
        <v>168</v>
      </c>
      <c r="U262" s="23" t="s">
        <v>1230</v>
      </c>
      <c r="V262" s="23" t="s">
        <v>2141</v>
      </c>
      <c r="W262" s="23" t="s">
        <v>2142</v>
      </c>
      <c r="X262" s="23" t="s">
        <v>68</v>
      </c>
      <c r="Y262" s="23">
        <v>24</v>
      </c>
      <c r="Z262" s="24" t="s">
        <v>172</v>
      </c>
      <c r="AA262" s="70">
        <v>45509</v>
      </c>
      <c r="AB262" s="24" t="s">
        <v>2143</v>
      </c>
      <c r="AC262" s="24" t="s">
        <v>419</v>
      </c>
      <c r="AD262" s="23"/>
      <c r="AE262" s="23"/>
      <c r="AF262" s="24"/>
      <c r="AG262" s="24"/>
      <c r="AH262" s="23"/>
      <c r="AI262" s="23">
        <v>0</v>
      </c>
      <c r="AJ262" s="23">
        <v>0</v>
      </c>
      <c r="AK262" s="23">
        <v>0</v>
      </c>
      <c r="AL262" s="23" t="s">
        <v>1184</v>
      </c>
      <c r="AM262" s="23">
        <v>2</v>
      </c>
      <c r="AN262" s="23" t="s">
        <v>401</v>
      </c>
      <c r="AO262" s="24"/>
      <c r="AP262" s="23" t="s">
        <v>92</v>
      </c>
      <c r="AQ262" s="27" t="str">
        <f>+Base_Accidentes[[#This Row],[Tipo de Accidente]]</f>
        <v>Acc. No Incapacitante</v>
      </c>
      <c r="AR262" s="64" cm="1">
        <f t="array" aca="1" ref="AR262" ca="1">+Base_Accidentes[Población]</f>
        <v>0</v>
      </c>
      <c r="AS262" s="23"/>
      <c r="AT262" s="23"/>
    </row>
    <row r="263" spans="1:46" ht="72" hidden="1" x14ac:dyDescent="0.3">
      <c r="A263" s="72">
        <v>265</v>
      </c>
      <c r="B263" s="23" t="s">
        <v>129</v>
      </c>
      <c r="C263" s="24" t="s">
        <v>1</v>
      </c>
      <c r="D263" s="23" t="s">
        <v>162</v>
      </c>
      <c r="E263" s="51" t="s">
        <v>1257</v>
      </c>
      <c r="F263" s="23" t="s">
        <v>164</v>
      </c>
      <c r="G263" s="23" t="s">
        <v>1257</v>
      </c>
      <c r="H263" s="24" t="s">
        <v>60</v>
      </c>
      <c r="I263" s="24" t="s">
        <v>865</v>
      </c>
      <c r="J263" s="24" t="s">
        <v>62</v>
      </c>
      <c r="K263" s="24" t="str">
        <f>IF(ISBLANK(Base_Accidentes[[#This Row],[Tipo de Accidente]])," ",Base_Accidentes[[#This Row],[Tipo de Accidente]])</f>
        <v>Acc. No Incapacitante</v>
      </c>
      <c r="L263" s="70">
        <v>45603</v>
      </c>
      <c r="M263" s="47">
        <f>_xlfn.ISOWEEKNUM(Base_Accidentes[[#This Row],[Fecha
(XX/XX/2024)]])</f>
        <v>45</v>
      </c>
      <c r="N263" s="23">
        <v>7</v>
      </c>
      <c r="O263" s="23">
        <f>MONTH(Base_Accidentes[[#This Row],[Fecha
(XX/XX/2024)]])</f>
        <v>11</v>
      </c>
      <c r="P263" s="23">
        <v>2024</v>
      </c>
      <c r="Q263" s="71">
        <v>0.44444444444444442</v>
      </c>
      <c r="R263" s="23" t="s">
        <v>587</v>
      </c>
      <c r="S263" s="24" t="s">
        <v>10</v>
      </c>
      <c r="T263" s="24" t="s">
        <v>2144</v>
      </c>
      <c r="U263" s="23" t="s">
        <v>2145</v>
      </c>
      <c r="V263" s="23" t="s">
        <v>395</v>
      </c>
      <c r="W263" s="23" t="s">
        <v>1036</v>
      </c>
      <c r="X263" s="23" t="s">
        <v>68</v>
      </c>
      <c r="Y263" s="23">
        <v>45</v>
      </c>
      <c r="Z263" s="24" t="s">
        <v>172</v>
      </c>
      <c r="AA263" s="70">
        <v>39286</v>
      </c>
      <c r="AB263" s="24" t="s">
        <v>2146</v>
      </c>
      <c r="AC263" s="24" t="s">
        <v>234</v>
      </c>
      <c r="AD263" s="23" t="s">
        <v>1261</v>
      </c>
      <c r="AE263" s="23"/>
      <c r="AF263" s="24"/>
      <c r="AG263" s="24"/>
      <c r="AH263" s="23"/>
      <c r="AI263" s="23">
        <v>0</v>
      </c>
      <c r="AJ263" s="23">
        <v>0</v>
      </c>
      <c r="AK263" s="23">
        <v>0</v>
      </c>
      <c r="AL263" s="23" t="s">
        <v>1184</v>
      </c>
      <c r="AM263" s="23">
        <v>204</v>
      </c>
      <c r="AN263" s="23" t="s">
        <v>79</v>
      </c>
      <c r="AO263" s="24"/>
      <c r="AP263" s="23" t="s">
        <v>81</v>
      </c>
      <c r="AQ263" s="27" t="str">
        <f>+Base_Accidentes[[#This Row],[Tipo de Accidente]]</f>
        <v>Acc. No Incapacitante</v>
      </c>
      <c r="AR263" s="64" cm="1">
        <f t="array" aca="1" ref="AR263" ca="1">+Base_Accidentes[Población]</f>
        <v>0</v>
      </c>
      <c r="AS263" s="23"/>
      <c r="AT263" s="23"/>
    </row>
    <row r="264" spans="1:46" ht="30" hidden="1" customHeight="1" x14ac:dyDescent="0.3">
      <c r="A264" s="72">
        <v>266</v>
      </c>
      <c r="B264" s="23" t="s">
        <v>129</v>
      </c>
      <c r="C264" s="24" t="s">
        <v>1</v>
      </c>
      <c r="D264" s="23" t="s">
        <v>162</v>
      </c>
      <c r="E264" s="51" t="s">
        <v>1257</v>
      </c>
      <c r="F264" s="23" t="s">
        <v>164</v>
      </c>
      <c r="G264" s="23" t="s">
        <v>1257</v>
      </c>
      <c r="H264" s="31" t="s">
        <v>60</v>
      </c>
      <c r="I264" s="24" t="s">
        <v>2139</v>
      </c>
      <c r="J264" s="24" t="s">
        <v>62</v>
      </c>
      <c r="K264" s="24" t="str">
        <f>IF(ISBLANK(Base_Accidentes[[#This Row],[Tipo de Accidente]])," ",Base_Accidentes[[#This Row],[Tipo de Accidente]])</f>
        <v>Acc. No Incapacitante</v>
      </c>
      <c r="L264" s="70">
        <v>45617</v>
      </c>
      <c r="M264" s="47">
        <f>_xlfn.ISOWEEKNUM(Base_Accidentes[[#This Row],[Fecha
(XX/XX/2024)]])</f>
        <v>47</v>
      </c>
      <c r="N264" s="23">
        <v>21</v>
      </c>
      <c r="O264" s="23">
        <f>MONTH(Base_Accidentes[[#This Row],[Fecha
(XX/XX/2024)]])</f>
        <v>11</v>
      </c>
      <c r="P264" s="23">
        <v>2024</v>
      </c>
      <c r="Q264" s="71">
        <v>0.42152777777777778</v>
      </c>
      <c r="R264" s="23" t="s">
        <v>587</v>
      </c>
      <c r="S264" s="31" t="s">
        <v>167</v>
      </c>
      <c r="T264" s="24" t="s">
        <v>168</v>
      </c>
      <c r="U264" s="23" t="s">
        <v>982</v>
      </c>
      <c r="V264" s="23" t="s">
        <v>565</v>
      </c>
      <c r="W264" s="23" t="s">
        <v>2147</v>
      </c>
      <c r="X264" s="23" t="s">
        <v>68</v>
      </c>
      <c r="Y264" s="23">
        <v>25</v>
      </c>
      <c r="Z264" s="24" t="s">
        <v>172</v>
      </c>
      <c r="AA264" s="70">
        <v>45610</v>
      </c>
      <c r="AB264" s="24" t="s">
        <v>2148</v>
      </c>
      <c r="AC264" s="31" t="s">
        <v>101</v>
      </c>
      <c r="AD264" s="23" t="s">
        <v>1854</v>
      </c>
      <c r="AE264" s="26"/>
      <c r="AF264" s="24"/>
      <c r="AG264" s="24"/>
      <c r="AH264" s="26"/>
      <c r="AI264" s="23">
        <v>0</v>
      </c>
      <c r="AJ264" s="23">
        <v>0</v>
      </c>
      <c r="AK264" s="23">
        <v>0</v>
      </c>
      <c r="AL264" s="23" t="s">
        <v>239</v>
      </c>
      <c r="AM264" s="23">
        <v>1</v>
      </c>
      <c r="AN264" s="26" t="s">
        <v>240</v>
      </c>
      <c r="AO264" s="24"/>
      <c r="AP264" s="23" t="s">
        <v>92</v>
      </c>
      <c r="AQ264" s="27" t="str">
        <f>+Base_Accidentes[[#This Row],[Tipo de Accidente]]</f>
        <v>Acc. No Incapacitante</v>
      </c>
      <c r="AR264" s="64" cm="1">
        <f t="array" aca="1" ref="AR264" ca="1">+Base_Accidentes[Población]</f>
        <v>0</v>
      </c>
      <c r="AS264" s="23"/>
      <c r="AT264" s="23"/>
    </row>
    <row r="265" spans="1:46" ht="24" hidden="1" x14ac:dyDescent="0.3">
      <c r="A265" s="72">
        <v>267</v>
      </c>
      <c r="B265" s="23" t="s">
        <v>129</v>
      </c>
      <c r="C265" s="24" t="s">
        <v>1</v>
      </c>
      <c r="D265" s="23" t="s">
        <v>162</v>
      </c>
      <c r="E265" s="51" t="s">
        <v>1257</v>
      </c>
      <c r="F265" s="23" t="s">
        <v>164</v>
      </c>
      <c r="G265" s="23" t="s">
        <v>1257</v>
      </c>
      <c r="H265" s="24" t="s">
        <v>60</v>
      </c>
      <c r="I265" s="24" t="s">
        <v>2139</v>
      </c>
      <c r="J265" s="24" t="s">
        <v>62</v>
      </c>
      <c r="K265" s="24" t="str">
        <f>IF(ISBLANK(Base_Accidentes[[#This Row],[Tipo de Accidente]])," ",Base_Accidentes[[#This Row],[Tipo de Accidente]])</f>
        <v>Acc. No Incapacitante</v>
      </c>
      <c r="L265" s="70">
        <v>45622</v>
      </c>
      <c r="M265" s="47">
        <f>_xlfn.ISOWEEKNUM(Base_Accidentes[[#This Row],[Fecha
(XX/XX/2024)]])</f>
        <v>48</v>
      </c>
      <c r="N265" s="23">
        <v>26</v>
      </c>
      <c r="O265" s="23">
        <f>MONTH(Base_Accidentes[[#This Row],[Fecha
(XX/XX/2024)]])</f>
        <v>11</v>
      </c>
      <c r="P265" s="23">
        <v>2024</v>
      </c>
      <c r="Q265" s="71">
        <v>0.43611111111111112</v>
      </c>
      <c r="R265" s="23" t="s">
        <v>587</v>
      </c>
      <c r="S265" s="31" t="s">
        <v>167</v>
      </c>
      <c r="T265" s="24" t="s">
        <v>168</v>
      </c>
      <c r="U265" s="23" t="s">
        <v>2149</v>
      </c>
      <c r="V265" s="23" t="s">
        <v>2150</v>
      </c>
      <c r="W265" s="23" t="s">
        <v>2151</v>
      </c>
      <c r="X265" s="23" t="s">
        <v>68</v>
      </c>
      <c r="Y265" s="23">
        <v>24</v>
      </c>
      <c r="Z265" s="24" t="s">
        <v>172</v>
      </c>
      <c r="AA265" s="70">
        <v>45590</v>
      </c>
      <c r="AB265" s="24" t="s">
        <v>2152</v>
      </c>
      <c r="AC265" s="31" t="s">
        <v>201</v>
      </c>
      <c r="AD265" s="23" t="s">
        <v>673</v>
      </c>
      <c r="AE265" s="26"/>
      <c r="AF265" s="24"/>
      <c r="AG265" s="24"/>
      <c r="AH265" s="26"/>
      <c r="AI265" s="23">
        <v>0</v>
      </c>
      <c r="AJ265" s="23">
        <v>0</v>
      </c>
      <c r="AK265" s="23">
        <v>0</v>
      </c>
      <c r="AL265" s="23" t="s">
        <v>239</v>
      </c>
      <c r="AM265" s="23">
        <v>1</v>
      </c>
      <c r="AN265" s="26" t="s">
        <v>240</v>
      </c>
      <c r="AO265" s="24"/>
      <c r="AP265" s="23" t="s">
        <v>92</v>
      </c>
      <c r="AQ265" s="27" t="str">
        <f>+Base_Accidentes[[#This Row],[Tipo de Accidente]]</f>
        <v>Acc. No Incapacitante</v>
      </c>
      <c r="AR265" s="64" cm="1">
        <f t="array" aca="1" ref="AR265" ca="1">+Base_Accidentes[Población]</f>
        <v>0</v>
      </c>
      <c r="AS265" s="23"/>
      <c r="AT265" s="23"/>
    </row>
    <row r="266" spans="1:46" ht="24" hidden="1" x14ac:dyDescent="0.3">
      <c r="A266" s="72">
        <v>268</v>
      </c>
      <c r="B266" s="23" t="s">
        <v>129</v>
      </c>
      <c r="C266" s="24" t="s">
        <v>1</v>
      </c>
      <c r="D266" s="23" t="s">
        <v>162</v>
      </c>
      <c r="E266" s="51" t="s">
        <v>1257</v>
      </c>
      <c r="F266" s="23" t="s">
        <v>164</v>
      </c>
      <c r="G266" s="23" t="s">
        <v>1257</v>
      </c>
      <c r="H266" s="24" t="s">
        <v>60</v>
      </c>
      <c r="I266" s="24" t="s">
        <v>2139</v>
      </c>
      <c r="J266" s="24" t="s">
        <v>62</v>
      </c>
      <c r="K266" s="24" t="str">
        <f>IF(ISBLANK(Base_Accidentes[[#This Row],[Tipo de Accidente]])," ",Base_Accidentes[[#This Row],[Tipo de Accidente]])</f>
        <v>Acc. No Incapacitante</v>
      </c>
      <c r="L266" s="70">
        <v>45624</v>
      </c>
      <c r="M266" s="47">
        <f>_xlfn.ISOWEEKNUM(Base_Accidentes[[#This Row],[Fecha
(XX/XX/2024)]])</f>
        <v>48</v>
      </c>
      <c r="N266" s="23">
        <v>28</v>
      </c>
      <c r="O266" s="23">
        <f>MONTH(Base_Accidentes[[#This Row],[Fecha
(XX/XX/2024)]])</f>
        <v>11</v>
      </c>
      <c r="P266" s="23">
        <v>2024</v>
      </c>
      <c r="Q266" s="71">
        <v>0.19444444444444445</v>
      </c>
      <c r="R266" s="23" t="s">
        <v>63</v>
      </c>
      <c r="S266" s="31" t="s">
        <v>167</v>
      </c>
      <c r="T266" s="24" t="s">
        <v>168</v>
      </c>
      <c r="U266" s="23" t="s">
        <v>2153</v>
      </c>
      <c r="V266" s="23" t="s">
        <v>2154</v>
      </c>
      <c r="W266" s="23" t="s">
        <v>2155</v>
      </c>
      <c r="X266" s="23" t="s">
        <v>68</v>
      </c>
      <c r="Y266" s="23">
        <v>37</v>
      </c>
      <c r="Z266" s="24" t="s">
        <v>172</v>
      </c>
      <c r="AA266" s="70">
        <v>45609</v>
      </c>
      <c r="AB266" s="24" t="s">
        <v>2156</v>
      </c>
      <c r="AC266" s="31" t="s">
        <v>281</v>
      </c>
      <c r="AD266" s="24" t="s">
        <v>1928</v>
      </c>
      <c r="AE266" s="26"/>
      <c r="AF266" s="24"/>
      <c r="AG266" s="24"/>
      <c r="AH266" s="26"/>
      <c r="AI266" s="23">
        <v>0</v>
      </c>
      <c r="AJ266" s="23">
        <v>0</v>
      </c>
      <c r="AK266" s="23">
        <v>0</v>
      </c>
      <c r="AL266" s="23" t="s">
        <v>1184</v>
      </c>
      <c r="AM266" s="23">
        <v>1</v>
      </c>
      <c r="AN266" s="26" t="s">
        <v>240</v>
      </c>
      <c r="AO266" s="24"/>
      <c r="AP266" s="23" t="s">
        <v>92</v>
      </c>
      <c r="AQ266" s="27" t="str">
        <f>+Base_Accidentes[[#This Row],[Tipo de Accidente]]</f>
        <v>Acc. No Incapacitante</v>
      </c>
      <c r="AR266" s="64" cm="1">
        <f t="array" aca="1" ref="AR266" ca="1">+Base_Accidentes[Población]</f>
        <v>0</v>
      </c>
      <c r="AS266" s="23"/>
      <c r="AT266" s="23"/>
    </row>
    <row r="267" spans="1:46" ht="36" hidden="1" x14ac:dyDescent="0.3">
      <c r="A267" s="72">
        <v>269</v>
      </c>
      <c r="B267" s="23" t="s">
        <v>129</v>
      </c>
      <c r="C267" s="24" t="s">
        <v>1</v>
      </c>
      <c r="D267" s="23" t="s">
        <v>162</v>
      </c>
      <c r="E267" s="51" t="s">
        <v>1257</v>
      </c>
      <c r="F267" s="23" t="s">
        <v>164</v>
      </c>
      <c r="G267" s="23" t="s">
        <v>1257</v>
      </c>
      <c r="H267" s="24" t="s">
        <v>60</v>
      </c>
      <c r="I267" s="24" t="s">
        <v>2139</v>
      </c>
      <c r="J267" s="24" t="s">
        <v>62</v>
      </c>
      <c r="K267" s="24" t="str">
        <f>IF(ISBLANK(Base_Accidentes[[#This Row],[Tipo de Accidente]])," ",Base_Accidentes[[#This Row],[Tipo de Accidente]])</f>
        <v>Acc. No Incapacitante</v>
      </c>
      <c r="L267" s="70">
        <v>45630</v>
      </c>
      <c r="M267" s="47">
        <f>_xlfn.ISOWEEKNUM(Base_Accidentes[[#This Row],[Fecha
(XX/XX/2024)]])</f>
        <v>49</v>
      </c>
      <c r="N267" s="23">
        <v>4</v>
      </c>
      <c r="O267" s="23">
        <f>MONTH(Base_Accidentes[[#This Row],[Fecha
(XX/XX/2024)]])</f>
        <v>12</v>
      </c>
      <c r="P267" s="23">
        <v>2024</v>
      </c>
      <c r="Q267" s="71">
        <v>9.7222222222222224E-2</v>
      </c>
      <c r="R267" s="23" t="s">
        <v>63</v>
      </c>
      <c r="S267" s="31" t="s">
        <v>167</v>
      </c>
      <c r="T267" s="24" t="s">
        <v>168</v>
      </c>
      <c r="U267" s="23" t="s">
        <v>2149</v>
      </c>
      <c r="V267" s="23" t="s">
        <v>2150</v>
      </c>
      <c r="W267" s="23" t="s">
        <v>2151</v>
      </c>
      <c r="X267" s="23" t="s">
        <v>68</v>
      </c>
      <c r="Y267" s="23">
        <v>24</v>
      </c>
      <c r="Z267" s="24" t="s">
        <v>172</v>
      </c>
      <c r="AA267" s="70">
        <v>45590</v>
      </c>
      <c r="AB267" s="24" t="s">
        <v>2157</v>
      </c>
      <c r="AC267" s="31" t="s">
        <v>419</v>
      </c>
      <c r="AD267" s="23" t="s">
        <v>673</v>
      </c>
      <c r="AE267" s="26"/>
      <c r="AF267" s="24"/>
      <c r="AG267" s="24"/>
      <c r="AH267" s="26"/>
      <c r="AI267" s="23">
        <v>0</v>
      </c>
      <c r="AJ267" s="23">
        <v>0</v>
      </c>
      <c r="AK267" s="23">
        <v>0</v>
      </c>
      <c r="AL267" s="23" t="s">
        <v>239</v>
      </c>
      <c r="AM267" s="23">
        <v>2</v>
      </c>
      <c r="AN267" s="26" t="s">
        <v>401</v>
      </c>
      <c r="AO267" s="24"/>
      <c r="AP267" s="23" t="s">
        <v>92</v>
      </c>
      <c r="AQ267" s="27" t="str">
        <f>+Base_Accidentes[[#This Row],[Tipo de Accidente]]</f>
        <v>Acc. No Incapacitante</v>
      </c>
      <c r="AR267" s="64" cm="1">
        <f t="array" aca="1" ref="AR267" ca="1">+Base_Accidentes[Población]</f>
        <v>0</v>
      </c>
      <c r="AS267" s="23"/>
      <c r="AT267" s="23"/>
    </row>
    <row r="268" spans="1:46" ht="36" hidden="1" x14ac:dyDescent="0.3">
      <c r="A268" s="72">
        <v>270</v>
      </c>
      <c r="B268" s="23" t="s">
        <v>129</v>
      </c>
      <c r="C268" s="24" t="s">
        <v>1</v>
      </c>
      <c r="D268" s="23" t="s">
        <v>162</v>
      </c>
      <c r="E268" s="51" t="s">
        <v>1257</v>
      </c>
      <c r="F268" s="23" t="s">
        <v>164</v>
      </c>
      <c r="G268" s="23" t="s">
        <v>1257</v>
      </c>
      <c r="H268" s="24" t="s">
        <v>60</v>
      </c>
      <c r="I268" s="24" t="s">
        <v>2139</v>
      </c>
      <c r="J268" s="24" t="s">
        <v>62</v>
      </c>
      <c r="K268" s="24" t="str">
        <f>IF(ISBLANK(Base_Accidentes[[#This Row],[Tipo de Accidente]])," ",Base_Accidentes[[#This Row],[Tipo de Accidente]])</f>
        <v>Acc. No Incapacitante</v>
      </c>
      <c r="L268" s="70">
        <v>45638</v>
      </c>
      <c r="M268" s="47">
        <f>_xlfn.ISOWEEKNUM(Base_Accidentes[[#This Row],[Fecha
(XX/XX/2024)]])</f>
        <v>50</v>
      </c>
      <c r="N268" s="23">
        <v>12</v>
      </c>
      <c r="O268" s="23">
        <f>MONTH(Base_Accidentes[[#This Row],[Fecha
(XX/XX/2024)]])</f>
        <v>12</v>
      </c>
      <c r="P268" s="23">
        <v>2024</v>
      </c>
      <c r="Q268" s="71">
        <v>0.22083333333333333</v>
      </c>
      <c r="R268" s="23" t="s">
        <v>63</v>
      </c>
      <c r="S268" s="31" t="s">
        <v>167</v>
      </c>
      <c r="T268" s="24" t="s">
        <v>168</v>
      </c>
      <c r="U268" s="23" t="s">
        <v>327</v>
      </c>
      <c r="V268" s="23" t="s">
        <v>95</v>
      </c>
      <c r="W268" s="23" t="s">
        <v>2158</v>
      </c>
      <c r="X268" s="23" t="s">
        <v>68</v>
      </c>
      <c r="Y268" s="23">
        <v>32</v>
      </c>
      <c r="Z268" s="24" t="s">
        <v>172</v>
      </c>
      <c r="AA268" s="70">
        <v>45583</v>
      </c>
      <c r="AB268" s="24" t="s">
        <v>2159</v>
      </c>
      <c r="AC268" s="31" t="s">
        <v>101</v>
      </c>
      <c r="AD268" s="23" t="s">
        <v>1193</v>
      </c>
      <c r="AE268" s="26"/>
      <c r="AF268" s="24"/>
      <c r="AG268" s="24"/>
      <c r="AH268" s="26"/>
      <c r="AI268" s="23">
        <v>0</v>
      </c>
      <c r="AJ268" s="23">
        <v>0</v>
      </c>
      <c r="AK268" s="23">
        <v>0</v>
      </c>
      <c r="AL268" s="23" t="s">
        <v>1184</v>
      </c>
      <c r="AM268" s="23">
        <v>2</v>
      </c>
      <c r="AN268" s="26" t="s">
        <v>401</v>
      </c>
      <c r="AO268" s="24"/>
      <c r="AP268" s="23" t="s">
        <v>92</v>
      </c>
      <c r="AQ268" s="27" t="str">
        <f>+Base_Accidentes[[#This Row],[Tipo de Accidente]]</f>
        <v>Acc. No Incapacitante</v>
      </c>
      <c r="AR268" s="64" cm="1">
        <f t="array" aca="1" ref="AR268" ca="1">+Base_Accidentes[Población]</f>
        <v>0</v>
      </c>
      <c r="AS268" s="23"/>
      <c r="AT268" s="23"/>
    </row>
    <row r="269" spans="1:46" ht="36" hidden="1" x14ac:dyDescent="0.3">
      <c r="A269" s="45"/>
      <c r="B269" s="23"/>
      <c r="C269" s="24" t="s">
        <v>1</v>
      </c>
      <c r="D269" s="23" t="s">
        <v>162</v>
      </c>
      <c r="E269" s="23" t="s">
        <v>1156</v>
      </c>
      <c r="F269" s="23" t="s">
        <v>164</v>
      </c>
      <c r="G269" s="24" t="s">
        <v>428</v>
      </c>
      <c r="H269" s="24" t="s">
        <v>60</v>
      </c>
      <c r="I269" s="24" t="s">
        <v>438</v>
      </c>
      <c r="J269" s="24" t="s">
        <v>62</v>
      </c>
      <c r="K269" s="24" t="str">
        <f>IF(ISBLANK(Base_Accidentes[[#This Row],[Tipo de Accidente]])," ",Base_Accidentes[[#This Row],[Tipo de Accidente]])</f>
        <v>Acc. No Incapacitante</v>
      </c>
      <c r="L269" s="70">
        <v>45637</v>
      </c>
      <c r="M269" s="47">
        <f>_xlfn.ISOWEEKNUM(Base_Accidentes[[#This Row],[Fecha
(XX/XX/2024)]])</f>
        <v>50</v>
      </c>
      <c r="N269" s="23">
        <f>DAY(Base_Accidentes[[#This Row],[Fecha
(XX/XX/2024)]])</f>
        <v>11</v>
      </c>
      <c r="O269" s="23">
        <f>MONTH(Base_Accidentes[[#This Row],[Fecha
(XX/XX/2024)]])</f>
        <v>12</v>
      </c>
      <c r="P269" s="23">
        <f>YEAR(Base_Accidentes[[#This Row],[Fecha
(XX/XX/2024)]])</f>
        <v>2024</v>
      </c>
      <c r="Q269" s="71">
        <v>6.25E-2</v>
      </c>
      <c r="R269" s="23" t="s">
        <v>135</v>
      </c>
      <c r="S269" s="31" t="s">
        <v>167</v>
      </c>
      <c r="T269" s="23" t="s">
        <v>168</v>
      </c>
      <c r="U269" s="23" t="s">
        <v>208</v>
      </c>
      <c r="V269" s="23" t="s">
        <v>2160</v>
      </c>
      <c r="W269" s="23" t="s">
        <v>2161</v>
      </c>
      <c r="X269" s="23" t="s">
        <v>997</v>
      </c>
      <c r="Y269" s="23"/>
      <c r="Z269" s="24" t="s">
        <v>172</v>
      </c>
      <c r="AA269" s="70"/>
      <c r="AB269" s="24" t="s">
        <v>2162</v>
      </c>
      <c r="AC269" s="31" t="s">
        <v>512</v>
      </c>
      <c r="AD269" s="23" t="s">
        <v>2163</v>
      </c>
      <c r="AE269" s="31" t="s">
        <v>103</v>
      </c>
      <c r="AF269" s="24" t="s">
        <v>2164</v>
      </c>
      <c r="AG269" s="23" t="s">
        <v>2165</v>
      </c>
      <c r="AH269" s="31" t="s">
        <v>145</v>
      </c>
      <c r="AI269" s="23">
        <v>0</v>
      </c>
      <c r="AJ269" s="23">
        <v>0</v>
      </c>
      <c r="AK269" s="23">
        <f>SUM(Base_Accidentes[[#This Row],[Días DM Total Indicador]:[Cargo ANSI ]])</f>
        <v>0</v>
      </c>
      <c r="AL269" s="23" t="s">
        <v>1184</v>
      </c>
      <c r="AM269" s="23"/>
      <c r="AN269" s="26"/>
      <c r="AO269" s="24"/>
      <c r="AP269" s="23" t="s">
        <v>92</v>
      </c>
      <c r="AQ269" s="27" t="str">
        <f>+Base_Accidentes[[#This Row],[Tipo de Accidente]]</f>
        <v>Acc. No Incapacitante</v>
      </c>
      <c r="AR269" s="64" cm="1">
        <f t="array" aca="1" ref="AR269" ca="1">+Base_Accidentes[Población]</f>
        <v>0</v>
      </c>
      <c r="AS269" s="23"/>
      <c r="AT269" s="23"/>
    </row>
    <row r="270" spans="1:46" ht="108" hidden="1" x14ac:dyDescent="0.3">
      <c r="A270" s="45">
        <v>253</v>
      </c>
      <c r="B270" s="23"/>
      <c r="C270" s="24" t="s">
        <v>1</v>
      </c>
      <c r="D270" s="23" t="s">
        <v>162</v>
      </c>
      <c r="E270" s="23" t="s">
        <v>2041</v>
      </c>
      <c r="F270" s="24" t="s">
        <v>164</v>
      </c>
      <c r="G270" s="24" t="s">
        <v>165</v>
      </c>
      <c r="H270" s="23" t="s">
        <v>60</v>
      </c>
      <c r="I270" s="23" t="s">
        <v>60</v>
      </c>
      <c r="J270" s="24" t="s">
        <v>113</v>
      </c>
      <c r="K270" s="24" t="str">
        <f>IF(ISBLANK(Base_Accidentes[[#This Row],[Tipo de Accidente]])," ",Base_Accidentes[[#This Row],[Tipo de Accidente]])</f>
        <v>Acc. Incapacitante</v>
      </c>
      <c r="L270" s="70">
        <v>45649</v>
      </c>
      <c r="M270" s="47">
        <f>_xlfn.ISOWEEKNUM(Base_Accidentes[[#This Row],[Fecha
(XX/XX/2024)]])</f>
        <v>52</v>
      </c>
      <c r="N270" s="23">
        <f>DAY(Base_Accidentes[[#This Row],[Fecha
(XX/XX/2024)]])</f>
        <v>23</v>
      </c>
      <c r="O270" s="23">
        <f>MONTH(Base_Accidentes[[#This Row],[Fecha
(XX/XX/2024)]])</f>
        <v>12</v>
      </c>
      <c r="P270" s="23">
        <f>YEAR(Base_Accidentes[[#This Row],[Fecha
(XX/XX/2024)]])</f>
        <v>2024</v>
      </c>
      <c r="Q270" s="71">
        <v>0.52083333333333337</v>
      </c>
      <c r="R270" s="23" t="s">
        <v>587</v>
      </c>
      <c r="S270" s="31" t="s">
        <v>167</v>
      </c>
      <c r="T270" s="24" t="s">
        <v>168</v>
      </c>
      <c r="U270" s="23" t="s">
        <v>288</v>
      </c>
      <c r="V270" s="23" t="s">
        <v>2166</v>
      </c>
      <c r="W270" s="23" t="s">
        <v>2167</v>
      </c>
      <c r="X270" s="23" t="s">
        <v>98</v>
      </c>
      <c r="Y270" s="23">
        <v>22</v>
      </c>
      <c r="Z270" s="24" t="s">
        <v>1677</v>
      </c>
      <c r="AA270" s="70">
        <v>45554</v>
      </c>
      <c r="AB270" s="24" t="s">
        <v>2168</v>
      </c>
      <c r="AC270" s="31" t="s">
        <v>281</v>
      </c>
      <c r="AD270" s="23" t="s">
        <v>1295</v>
      </c>
      <c r="AE270" s="31" t="s">
        <v>103</v>
      </c>
      <c r="AF270" s="24" t="s">
        <v>2169</v>
      </c>
      <c r="AG270" s="24" t="s">
        <v>2017</v>
      </c>
      <c r="AH270" s="31" t="s">
        <v>145</v>
      </c>
      <c r="AI270" s="23">
        <v>5</v>
      </c>
      <c r="AJ270" s="23">
        <v>0</v>
      </c>
      <c r="AK270" s="23">
        <v>5</v>
      </c>
      <c r="AL270" s="23" t="s">
        <v>1184</v>
      </c>
      <c r="AM270" s="23">
        <v>3</v>
      </c>
      <c r="AN270" s="26" t="s">
        <v>401</v>
      </c>
      <c r="AO270" s="24" t="s">
        <v>2170</v>
      </c>
      <c r="AP270" s="23" t="s">
        <v>2171</v>
      </c>
      <c r="AQ270" s="27" t="str">
        <f>+Base_Accidentes[[#This Row],[Tipo de Accidente]]</f>
        <v>Acc. Incapacitante</v>
      </c>
      <c r="AR270" s="64" cm="1">
        <f t="array" aca="1" ref="AR270" ca="1">+Base_Accidentes[Población]</f>
        <v>0</v>
      </c>
      <c r="AS270" s="23" t="s">
        <v>128</v>
      </c>
      <c r="AT270" s="23"/>
    </row>
    <row r="271" spans="1:46" ht="48" hidden="1" x14ac:dyDescent="0.3">
      <c r="A271" s="45"/>
      <c r="B271" s="23"/>
      <c r="C271" s="24" t="s">
        <v>1</v>
      </c>
      <c r="D271" s="23" t="s">
        <v>162</v>
      </c>
      <c r="E271" s="24" t="s">
        <v>1156</v>
      </c>
      <c r="F271" s="23" t="s">
        <v>164</v>
      </c>
      <c r="G271" s="24" t="s">
        <v>428</v>
      </c>
      <c r="H271" s="24" t="s">
        <v>60</v>
      </c>
      <c r="I271" s="24" t="s">
        <v>475</v>
      </c>
      <c r="J271" s="24" t="s">
        <v>62</v>
      </c>
      <c r="K271" s="24" t="str">
        <f>IF(ISBLANK(Base_Accidentes[[#This Row],[Tipo de Accidente]])," ",Base_Accidentes[[#This Row],[Tipo de Accidente]])</f>
        <v>Acc. No Incapacitante</v>
      </c>
      <c r="L271" s="49">
        <v>45622</v>
      </c>
      <c r="M271" s="47">
        <f>_xlfn.ISOWEEKNUM(Base_Accidentes[[#This Row],[Fecha
(XX/XX/2024)]])</f>
        <v>48</v>
      </c>
      <c r="N271" s="23">
        <f>DAY(Base_Accidentes[[#This Row],[Fecha
(XX/XX/2024)]])</f>
        <v>26</v>
      </c>
      <c r="O271" s="23">
        <f>MONTH(Base_Accidentes[[#This Row],[Fecha
(XX/XX/2024)]])</f>
        <v>11</v>
      </c>
      <c r="P271" s="23">
        <f>YEAR(Base_Accidentes[[#This Row],[Fecha
(XX/XX/2024)]])</f>
        <v>2024</v>
      </c>
      <c r="Q271" s="48">
        <v>0.35069444444444442</v>
      </c>
      <c r="R271" s="24" t="s">
        <v>587</v>
      </c>
      <c r="S271" s="31" t="s">
        <v>167</v>
      </c>
      <c r="T271" s="24" t="s">
        <v>168</v>
      </c>
      <c r="U271" s="24" t="s">
        <v>1136</v>
      </c>
      <c r="V271" s="24" t="s">
        <v>2172</v>
      </c>
      <c r="W271" s="24" t="s">
        <v>2173</v>
      </c>
      <c r="X271" s="23" t="s">
        <v>98</v>
      </c>
      <c r="Y271" s="24"/>
      <c r="Z271" s="24" t="s">
        <v>172</v>
      </c>
      <c r="AA271" s="49"/>
      <c r="AB271" s="24" t="s">
        <v>2174</v>
      </c>
      <c r="AC271" s="31" t="s">
        <v>281</v>
      </c>
      <c r="AD271" s="24" t="s">
        <v>2175</v>
      </c>
      <c r="AE271" s="31" t="s">
        <v>103</v>
      </c>
      <c r="AF271" s="24" t="s">
        <v>2176</v>
      </c>
      <c r="AG271" s="24" t="s">
        <v>2177</v>
      </c>
      <c r="AH271" s="31" t="s">
        <v>145</v>
      </c>
      <c r="AI271" s="24">
        <v>0</v>
      </c>
      <c r="AJ271" s="24">
        <v>0</v>
      </c>
      <c r="AK271" s="24">
        <v>0</v>
      </c>
      <c r="AL271" s="24" t="s">
        <v>1184</v>
      </c>
      <c r="AM271" s="24"/>
      <c r="AN271" s="26"/>
      <c r="AO271" s="23"/>
      <c r="AP271" s="23" t="s">
        <v>92</v>
      </c>
      <c r="AQ271" s="27" t="str">
        <f>+Base_Accidentes[[#This Row],[Tipo de Accidente]]</f>
        <v>Acc. No Incapacitante</v>
      </c>
      <c r="AR271" s="77" cm="1">
        <f t="array" aca="1" ref="AR271" ca="1">+Base_Accidentes[Población]</f>
        <v>0</v>
      </c>
      <c r="AS271" s="23"/>
      <c r="AT271" s="23"/>
    </row>
    <row r="272" spans="1:46" ht="72" hidden="1" x14ac:dyDescent="0.3">
      <c r="A272" s="57"/>
      <c r="B272" s="26"/>
      <c r="C272" s="24" t="s">
        <v>1</v>
      </c>
      <c r="D272" s="23" t="s">
        <v>162</v>
      </c>
      <c r="E272" s="24" t="s">
        <v>1156</v>
      </c>
      <c r="F272" s="23" t="s">
        <v>164</v>
      </c>
      <c r="G272" s="31" t="s">
        <v>428</v>
      </c>
      <c r="H272" s="24" t="s">
        <v>60</v>
      </c>
      <c r="I272" s="24" t="s">
        <v>857</v>
      </c>
      <c r="J272" s="24" t="s">
        <v>62</v>
      </c>
      <c r="K272" s="31" t="str">
        <f>IF(ISBLANK(Base_Accidentes[[#This Row],[Tipo de Accidente]])," ",Base_Accidentes[[#This Row],[Tipo de Accidente]])</f>
        <v>Acc. No Incapacitante</v>
      </c>
      <c r="L272" s="54">
        <v>45619</v>
      </c>
      <c r="M272" s="47">
        <f>_xlfn.ISOWEEKNUM(Base_Accidentes[[#This Row],[Fecha
(XX/XX/2024)]])</f>
        <v>47</v>
      </c>
      <c r="N272" s="26">
        <f>DAY(Base_Accidentes[[#This Row],[Fecha
(XX/XX/2024)]])</f>
        <v>23</v>
      </c>
      <c r="O272" s="26">
        <f>MONTH(Base_Accidentes[[#This Row],[Fecha
(XX/XX/2024)]])</f>
        <v>11</v>
      </c>
      <c r="P272" s="26">
        <f>YEAR(Base_Accidentes[[#This Row],[Fecha
(XX/XX/2024)]])</f>
        <v>2024</v>
      </c>
      <c r="Q272" s="55">
        <v>4.1666666666666664E-2</v>
      </c>
      <c r="R272" s="31" t="s">
        <v>587</v>
      </c>
      <c r="S272" s="31" t="s">
        <v>167</v>
      </c>
      <c r="T272" s="24" t="s">
        <v>168</v>
      </c>
      <c r="U272" s="31" t="s">
        <v>1700</v>
      </c>
      <c r="V272" s="31" t="s">
        <v>2178</v>
      </c>
      <c r="W272" s="31" t="s">
        <v>2179</v>
      </c>
      <c r="X272" s="23" t="s">
        <v>98</v>
      </c>
      <c r="Y272" s="24"/>
      <c r="Z272" s="24" t="s">
        <v>172</v>
      </c>
      <c r="AA272" s="54"/>
      <c r="AB272" s="31" t="s">
        <v>2180</v>
      </c>
      <c r="AC272" s="24" t="s">
        <v>120</v>
      </c>
      <c r="AD272" s="31" t="s">
        <v>1140</v>
      </c>
      <c r="AE272" s="31" t="s">
        <v>122</v>
      </c>
      <c r="AF272" s="31" t="s">
        <v>1267</v>
      </c>
      <c r="AG272" s="31" t="s">
        <v>1376</v>
      </c>
      <c r="AH272" s="31" t="s">
        <v>145</v>
      </c>
      <c r="AI272" s="31">
        <v>0</v>
      </c>
      <c r="AJ272" s="31">
        <v>0</v>
      </c>
      <c r="AK272" s="31">
        <v>0</v>
      </c>
      <c r="AL272" s="24" t="s">
        <v>1184</v>
      </c>
      <c r="AM272" s="31"/>
      <c r="AN272" s="26"/>
      <c r="AO272" s="26"/>
      <c r="AP272" s="23" t="s">
        <v>92</v>
      </c>
      <c r="AQ272" s="66" t="str">
        <f>+Base_Accidentes[[#This Row],[Tipo de Accidente]]</f>
        <v>Acc. No Incapacitante</v>
      </c>
      <c r="AR272" s="67" cm="1">
        <f t="array" aca="1" ref="AR272" ca="1">+Base_Accidentes[Población]</f>
        <v>0</v>
      </c>
      <c r="AS272" s="73"/>
      <c r="AT272" s="26"/>
    </row>
    <row r="273" spans="1:46" ht="48" hidden="1" x14ac:dyDescent="0.3">
      <c r="A273" s="45"/>
      <c r="B273" s="26"/>
      <c r="C273" s="24" t="s">
        <v>1</v>
      </c>
      <c r="D273" s="23" t="s">
        <v>162</v>
      </c>
      <c r="E273" s="24" t="s">
        <v>1156</v>
      </c>
      <c r="F273" s="23" t="s">
        <v>164</v>
      </c>
      <c r="G273" s="24" t="s">
        <v>428</v>
      </c>
      <c r="H273" s="24" t="s">
        <v>60</v>
      </c>
      <c r="I273" s="24" t="s">
        <v>475</v>
      </c>
      <c r="J273" s="24" t="s">
        <v>62</v>
      </c>
      <c r="K273" s="24" t="str">
        <f>IF(ISBLANK(Base_Accidentes[[#This Row],[Tipo de Accidente]])," ",Base_Accidentes[[#This Row],[Tipo de Accidente]])</f>
        <v>Acc. No Incapacitante</v>
      </c>
      <c r="L273" s="49">
        <v>45618</v>
      </c>
      <c r="M273" s="47">
        <f>_xlfn.ISOWEEKNUM(Base_Accidentes[[#This Row],[Fecha
(XX/XX/2024)]])</f>
        <v>47</v>
      </c>
      <c r="N273" s="23">
        <f>DAY(Base_Accidentes[[#This Row],[Fecha
(XX/XX/2024)]])</f>
        <v>22</v>
      </c>
      <c r="O273" s="23">
        <f>MONTH(Base_Accidentes[[#This Row],[Fecha
(XX/XX/2024)]])</f>
        <v>11</v>
      </c>
      <c r="P273" s="26">
        <f>YEAR(Base_Accidentes[[#This Row],[Fecha
(XX/XX/2024)]])</f>
        <v>2024</v>
      </c>
      <c r="Q273" s="48">
        <v>0.4548611111111111</v>
      </c>
      <c r="R273" s="24" t="s">
        <v>587</v>
      </c>
      <c r="S273" s="31" t="s">
        <v>167</v>
      </c>
      <c r="T273" s="24" t="s">
        <v>168</v>
      </c>
      <c r="U273" s="24" t="s">
        <v>2181</v>
      </c>
      <c r="V273" s="24" t="s">
        <v>2182</v>
      </c>
      <c r="W273" s="24" t="s">
        <v>2183</v>
      </c>
      <c r="X273" s="23" t="s">
        <v>98</v>
      </c>
      <c r="Y273" s="24"/>
      <c r="Z273" s="24" t="s">
        <v>172</v>
      </c>
      <c r="AA273" s="49"/>
      <c r="AB273" s="31" t="s">
        <v>2184</v>
      </c>
      <c r="AC273" s="24" t="s">
        <v>682</v>
      </c>
      <c r="AD273" s="24" t="s">
        <v>1295</v>
      </c>
      <c r="AE273" s="24" t="s">
        <v>103</v>
      </c>
      <c r="AF273" s="24" t="s">
        <v>2185</v>
      </c>
      <c r="AG273" s="24" t="s">
        <v>2186</v>
      </c>
      <c r="AH273" s="24" t="s">
        <v>686</v>
      </c>
      <c r="AI273" s="31">
        <v>0</v>
      </c>
      <c r="AJ273" s="31">
        <v>0</v>
      </c>
      <c r="AK273" s="31">
        <v>0</v>
      </c>
      <c r="AL273" s="24" t="s">
        <v>1184</v>
      </c>
      <c r="AM273" s="24"/>
      <c r="AN273" s="26"/>
      <c r="AO273" s="23" t="s">
        <v>1059</v>
      </c>
      <c r="AP273" s="23" t="s">
        <v>92</v>
      </c>
      <c r="AQ273" s="27" t="str">
        <f>+Base_Accidentes[[#This Row],[Tipo de Accidente]]</f>
        <v>Acc. No Incapacitante</v>
      </c>
      <c r="AR273" s="67" cm="1">
        <f t="array" aca="1" ref="AR273" ca="1">+Base_Accidentes[Población]</f>
        <v>0</v>
      </c>
      <c r="AS273" s="72"/>
      <c r="AT273" s="23"/>
    </row>
    <row r="274" spans="1:46" ht="48" hidden="1" x14ac:dyDescent="0.3">
      <c r="A274" s="45"/>
      <c r="B274" s="26"/>
      <c r="C274" s="24" t="s">
        <v>1</v>
      </c>
      <c r="D274" s="23" t="s">
        <v>162</v>
      </c>
      <c r="E274" s="23" t="s">
        <v>1156</v>
      </c>
      <c r="F274" s="23" t="s">
        <v>164</v>
      </c>
      <c r="G274" s="24" t="s">
        <v>428</v>
      </c>
      <c r="H274" s="24" t="s">
        <v>60</v>
      </c>
      <c r="I274" s="24" t="s">
        <v>475</v>
      </c>
      <c r="J274" s="24" t="s">
        <v>62</v>
      </c>
      <c r="K274" s="24" t="str">
        <f>IF(ISBLANK(Base_Accidentes[[#This Row],[Tipo de Accidente]])," ",Base_Accidentes[[#This Row],[Tipo de Accidente]])</f>
        <v>Acc. No Incapacitante</v>
      </c>
      <c r="L274" s="70">
        <v>45644</v>
      </c>
      <c r="M274" s="47">
        <f>_xlfn.ISOWEEKNUM(Base_Accidentes[[#This Row],[Fecha
(XX/XX/2024)]])</f>
        <v>51</v>
      </c>
      <c r="N274" s="23">
        <f>DAY(Base_Accidentes[[#This Row],[Fecha
(XX/XX/2024)]])</f>
        <v>18</v>
      </c>
      <c r="O274" s="23">
        <f>MONTH(Base_Accidentes[[#This Row],[Fecha
(XX/XX/2024)]])</f>
        <v>12</v>
      </c>
      <c r="P274" s="26">
        <f>YEAR(Base_Accidentes[[#This Row],[Fecha
(XX/XX/2024)]])</f>
        <v>2024</v>
      </c>
      <c r="Q274" s="71">
        <v>0.12569444444444444</v>
      </c>
      <c r="R274" s="23" t="s">
        <v>135</v>
      </c>
      <c r="S274" s="31" t="s">
        <v>167</v>
      </c>
      <c r="T274" s="23" t="s">
        <v>168</v>
      </c>
      <c r="U274" s="23" t="s">
        <v>406</v>
      </c>
      <c r="V274" s="23" t="s">
        <v>2187</v>
      </c>
      <c r="W274" s="23" t="s">
        <v>2188</v>
      </c>
      <c r="X274" s="23" t="s">
        <v>68</v>
      </c>
      <c r="Y274" s="23"/>
      <c r="Z274" s="24" t="s">
        <v>172</v>
      </c>
      <c r="AA274" s="70"/>
      <c r="AB274" s="31" t="s">
        <v>2189</v>
      </c>
      <c r="AC274" s="24" t="s">
        <v>71</v>
      </c>
      <c r="AD274" s="23" t="s">
        <v>2101</v>
      </c>
      <c r="AE274" s="24" t="s">
        <v>333</v>
      </c>
      <c r="AF274" s="24" t="s">
        <v>2190</v>
      </c>
      <c r="AG274" s="23" t="s">
        <v>2191</v>
      </c>
      <c r="AH274" s="24" t="s">
        <v>145</v>
      </c>
      <c r="AI274" s="26">
        <v>0</v>
      </c>
      <c r="AJ274" s="26">
        <v>0</v>
      </c>
      <c r="AK274" s="26">
        <f>SUM(Base_Accidentes[[#This Row],[Días DM Total Indicador]:[Cargo ANSI ]])</f>
        <v>0</v>
      </c>
      <c r="AL274" s="23" t="s">
        <v>1184</v>
      </c>
      <c r="AM274" s="23"/>
      <c r="AN274" s="26"/>
      <c r="AO274" s="24"/>
      <c r="AP274" s="23" t="s">
        <v>92</v>
      </c>
      <c r="AQ274" s="27" t="str">
        <f>+Base_Accidentes[[#This Row],[Tipo de Accidente]]</f>
        <v>Acc. No Incapacitante</v>
      </c>
      <c r="AR274" s="67" cm="1">
        <f t="array" aca="1" ref="AR274" ca="1">+Base_Accidentes[Población]</f>
        <v>0</v>
      </c>
      <c r="AS274" s="72"/>
      <c r="AT274" s="23"/>
    </row>
    <row r="275" spans="1:46" ht="48" hidden="1" x14ac:dyDescent="0.3">
      <c r="A275" s="45"/>
      <c r="B275" s="26"/>
      <c r="C275" s="24" t="s">
        <v>1</v>
      </c>
      <c r="D275" s="23" t="s">
        <v>162</v>
      </c>
      <c r="E275" s="23" t="s">
        <v>1156</v>
      </c>
      <c r="F275" s="23" t="s">
        <v>164</v>
      </c>
      <c r="G275" s="24" t="s">
        <v>428</v>
      </c>
      <c r="H275" s="24" t="s">
        <v>60</v>
      </c>
      <c r="I275" s="24" t="s">
        <v>438</v>
      </c>
      <c r="J275" s="24" t="s">
        <v>62</v>
      </c>
      <c r="K275" s="24" t="str">
        <f>IF(ISBLANK(Base_Accidentes[[#This Row],[Tipo de Accidente]])," ",Base_Accidentes[[#This Row],[Tipo de Accidente]])</f>
        <v>Acc. No Incapacitante</v>
      </c>
      <c r="L275" s="70">
        <v>45644</v>
      </c>
      <c r="M275" s="47">
        <f>_xlfn.ISOWEEKNUM(Base_Accidentes[[#This Row],[Fecha
(XX/XX/2024)]])</f>
        <v>51</v>
      </c>
      <c r="N275" s="23">
        <f>DAY(Base_Accidentes[[#This Row],[Fecha
(XX/XX/2024)]])</f>
        <v>18</v>
      </c>
      <c r="O275" s="23">
        <f>MONTH(Base_Accidentes[[#This Row],[Fecha
(XX/XX/2024)]])</f>
        <v>12</v>
      </c>
      <c r="P275" s="26">
        <f>YEAR(Base_Accidentes[[#This Row],[Fecha
(XX/XX/2024)]])</f>
        <v>2024</v>
      </c>
      <c r="Q275" s="71">
        <v>0.74652777777777779</v>
      </c>
      <c r="R275" s="23" t="s">
        <v>587</v>
      </c>
      <c r="S275" s="31" t="s">
        <v>167</v>
      </c>
      <c r="T275" s="23" t="s">
        <v>168</v>
      </c>
      <c r="U275" s="23" t="s">
        <v>2192</v>
      </c>
      <c r="V275" s="23" t="s">
        <v>2193</v>
      </c>
      <c r="W275" s="23" t="s">
        <v>2194</v>
      </c>
      <c r="X275" s="23" t="s">
        <v>68</v>
      </c>
      <c r="Y275" s="23"/>
      <c r="Z275" s="24" t="s">
        <v>172</v>
      </c>
      <c r="AA275" s="70"/>
      <c r="AB275" s="31" t="s">
        <v>2195</v>
      </c>
      <c r="AC275" s="24" t="s">
        <v>71</v>
      </c>
      <c r="AD275" s="23" t="s">
        <v>1575</v>
      </c>
      <c r="AE275" s="24" t="s">
        <v>435</v>
      </c>
      <c r="AF275" s="24" t="s">
        <v>2196</v>
      </c>
      <c r="AG275" s="23" t="s">
        <v>2197</v>
      </c>
      <c r="AH275" s="24" t="s">
        <v>145</v>
      </c>
      <c r="AI275" s="26">
        <v>0</v>
      </c>
      <c r="AJ275" s="26">
        <v>0</v>
      </c>
      <c r="AK275" s="26">
        <f>SUM(Base_Accidentes[[#This Row],[Días DM Total Indicador]:[Cargo ANSI ]])</f>
        <v>0</v>
      </c>
      <c r="AL275" s="23" t="s">
        <v>1184</v>
      </c>
      <c r="AM275" s="23"/>
      <c r="AN275" s="26"/>
      <c r="AO275" s="24"/>
      <c r="AP275" s="23" t="s">
        <v>92</v>
      </c>
      <c r="AQ275" s="27" t="str">
        <f>+Base_Accidentes[[#This Row],[Tipo de Accidente]]</f>
        <v>Acc. No Incapacitante</v>
      </c>
      <c r="AR275" s="67" cm="1">
        <f t="array" aca="1" ref="AR275" ca="1">+Base_Accidentes[Población]</f>
        <v>0</v>
      </c>
      <c r="AS275" s="72"/>
      <c r="AT275" s="23"/>
    </row>
    <row r="276" spans="1:46" ht="60" hidden="1" x14ac:dyDescent="0.3">
      <c r="A276" s="45"/>
      <c r="B276" s="26"/>
      <c r="C276" s="24" t="s">
        <v>1</v>
      </c>
      <c r="D276" s="23" t="s">
        <v>162</v>
      </c>
      <c r="E276" s="23" t="s">
        <v>1156</v>
      </c>
      <c r="F276" s="23" t="s">
        <v>164</v>
      </c>
      <c r="G276" s="24" t="s">
        <v>428</v>
      </c>
      <c r="H276" s="24" t="s">
        <v>60</v>
      </c>
      <c r="I276" s="24" t="s">
        <v>475</v>
      </c>
      <c r="J276" s="24" t="s">
        <v>62</v>
      </c>
      <c r="K276" s="24" t="str">
        <f>IF(ISBLANK(Base_Accidentes[[#This Row],[Tipo de Accidente]])," ",Base_Accidentes[[#This Row],[Tipo de Accidente]])</f>
        <v>Acc. No Incapacitante</v>
      </c>
      <c r="L276" s="70">
        <v>45647</v>
      </c>
      <c r="M276" s="47">
        <f>_xlfn.ISOWEEKNUM(Base_Accidentes[[#This Row],[Fecha
(XX/XX/2024)]])</f>
        <v>51</v>
      </c>
      <c r="N276" s="23">
        <f>DAY(Base_Accidentes[[#This Row],[Fecha
(XX/XX/2024)]])</f>
        <v>21</v>
      </c>
      <c r="O276" s="23">
        <f>MONTH(Base_Accidentes[[#This Row],[Fecha
(XX/XX/2024)]])</f>
        <v>12</v>
      </c>
      <c r="P276" s="26">
        <f>YEAR(Base_Accidentes[[#This Row],[Fecha
(XX/XX/2024)]])</f>
        <v>2024</v>
      </c>
      <c r="Q276" s="71">
        <v>0.14444444444444443</v>
      </c>
      <c r="R276" s="23" t="s">
        <v>135</v>
      </c>
      <c r="S276" s="31" t="s">
        <v>167</v>
      </c>
      <c r="T276" s="23" t="s">
        <v>168</v>
      </c>
      <c r="U276" s="23" t="s">
        <v>1053</v>
      </c>
      <c r="V276" s="23" t="s">
        <v>1054</v>
      </c>
      <c r="W276" s="23" t="s">
        <v>2198</v>
      </c>
      <c r="X276" s="23" t="s">
        <v>68</v>
      </c>
      <c r="Y276" s="23"/>
      <c r="Z276" s="24" t="s">
        <v>172</v>
      </c>
      <c r="AA276" s="70"/>
      <c r="AB276" s="31" t="s">
        <v>2199</v>
      </c>
      <c r="AC276" s="24" t="s">
        <v>71</v>
      </c>
      <c r="AD276" s="23" t="s">
        <v>73</v>
      </c>
      <c r="AE276" s="24" t="s">
        <v>73</v>
      </c>
      <c r="AF276" s="24" t="s">
        <v>2200</v>
      </c>
      <c r="AG276" s="23" t="s">
        <v>2201</v>
      </c>
      <c r="AH276" s="24" t="s">
        <v>145</v>
      </c>
      <c r="AI276" s="26">
        <v>0</v>
      </c>
      <c r="AJ276" s="26">
        <v>0</v>
      </c>
      <c r="AK276" s="26">
        <f>SUM(Base_Accidentes[[#This Row],[Días DM Total Indicador]:[Cargo ANSI ]])</f>
        <v>0</v>
      </c>
      <c r="AL276" s="23" t="s">
        <v>1184</v>
      </c>
      <c r="AM276" s="23"/>
      <c r="AN276" s="26"/>
      <c r="AO276" s="24"/>
      <c r="AP276" s="23" t="s">
        <v>92</v>
      </c>
      <c r="AQ276" s="27" t="str">
        <f>+Base_Accidentes[[#This Row],[Tipo de Accidente]]</f>
        <v>Acc. No Incapacitante</v>
      </c>
      <c r="AR276" s="67" cm="1">
        <f t="array" aca="1" ref="AR276" ca="1">+Base_Accidentes[Población]</f>
        <v>0</v>
      </c>
      <c r="AS276" s="72"/>
      <c r="AT276" s="23"/>
    </row>
    <row r="277" spans="1:46" ht="36" hidden="1" x14ac:dyDescent="0.3">
      <c r="A277" s="45"/>
      <c r="B277" s="26"/>
      <c r="C277" s="24" t="s">
        <v>1</v>
      </c>
      <c r="D277" s="23" t="s">
        <v>162</v>
      </c>
      <c r="E277" s="24" t="s">
        <v>1156</v>
      </c>
      <c r="F277" s="23" t="s">
        <v>164</v>
      </c>
      <c r="G277" s="24" t="s">
        <v>428</v>
      </c>
      <c r="H277" s="24" t="s">
        <v>60</v>
      </c>
      <c r="I277" s="24" t="s">
        <v>438</v>
      </c>
      <c r="J277" s="24" t="s">
        <v>62</v>
      </c>
      <c r="K277" s="24" t="str">
        <f>IF(ISBLANK(Base_Accidentes[[#This Row],[Tipo de Accidente]])," ",Base_Accidentes[[#This Row],[Tipo de Accidente]])</f>
        <v>Acc. No Incapacitante</v>
      </c>
      <c r="L277" s="49">
        <v>45619</v>
      </c>
      <c r="M277" s="47">
        <f>_xlfn.ISOWEEKNUM(Base_Accidentes[[#This Row],[Fecha
(XX/XX/2024)]])</f>
        <v>47</v>
      </c>
      <c r="N277" s="23">
        <f>DAY(Base_Accidentes[[#This Row],[Fecha
(XX/XX/2024)]])</f>
        <v>23</v>
      </c>
      <c r="O277" s="23">
        <f>MONTH(Base_Accidentes[[#This Row],[Fecha
(XX/XX/2024)]])</f>
        <v>11</v>
      </c>
      <c r="P277" s="26">
        <f>YEAR(Base_Accidentes[[#This Row],[Fecha
(XX/XX/2024)]])</f>
        <v>2024</v>
      </c>
      <c r="Q277" s="48">
        <v>0.23958333333333334</v>
      </c>
      <c r="R277" s="24" t="s">
        <v>135</v>
      </c>
      <c r="S277" s="31" t="s">
        <v>167</v>
      </c>
      <c r="T277" s="24" t="s">
        <v>168</v>
      </c>
      <c r="U277" s="24" t="s">
        <v>564</v>
      </c>
      <c r="V277" s="24" t="s">
        <v>565</v>
      </c>
      <c r="W277" s="24" t="s">
        <v>566</v>
      </c>
      <c r="X277" s="24" t="s">
        <v>68</v>
      </c>
      <c r="Y277" s="24"/>
      <c r="Z277" s="24" t="s">
        <v>172</v>
      </c>
      <c r="AA277" s="49"/>
      <c r="AB277" s="31" t="s">
        <v>2202</v>
      </c>
      <c r="AC277" s="24" t="s">
        <v>101</v>
      </c>
      <c r="AD277" s="24" t="s">
        <v>2203</v>
      </c>
      <c r="AE277" s="24" t="s">
        <v>333</v>
      </c>
      <c r="AF277" s="24" t="s">
        <v>2164</v>
      </c>
      <c r="AG277" s="24" t="s">
        <v>2204</v>
      </c>
      <c r="AH277" s="24" t="s">
        <v>145</v>
      </c>
      <c r="AI277" s="31">
        <v>0</v>
      </c>
      <c r="AJ277" s="31">
        <v>0</v>
      </c>
      <c r="AK277" s="31">
        <v>0</v>
      </c>
      <c r="AL277" s="24" t="s">
        <v>1184</v>
      </c>
      <c r="AM277" s="24"/>
      <c r="AN277" s="26"/>
      <c r="AO277" s="23"/>
      <c r="AP277" s="23" t="s">
        <v>92</v>
      </c>
      <c r="AQ277" s="27" t="str">
        <f>+Base_Accidentes[[#This Row],[Tipo de Accidente]]</f>
        <v>Acc. No Incapacitante</v>
      </c>
      <c r="AR277" s="67" cm="1">
        <f t="array" aca="1" ref="AR277" ca="1">+Base_Accidentes[Población]</f>
        <v>0</v>
      </c>
      <c r="AS277" s="72"/>
      <c r="AT277" s="23"/>
    </row>
    <row r="278" spans="1:46" ht="72" hidden="1" x14ac:dyDescent="0.3">
      <c r="A278" s="45"/>
      <c r="B278" s="26"/>
      <c r="C278" s="24" t="s">
        <v>1</v>
      </c>
      <c r="D278" s="23" t="s">
        <v>162</v>
      </c>
      <c r="E278" s="23" t="s">
        <v>1156</v>
      </c>
      <c r="F278" s="23" t="s">
        <v>164</v>
      </c>
      <c r="G278" s="24" t="s">
        <v>428</v>
      </c>
      <c r="H278" s="24" t="s">
        <v>60</v>
      </c>
      <c r="I278" s="23" t="s">
        <v>475</v>
      </c>
      <c r="J278" s="24" t="s">
        <v>62</v>
      </c>
      <c r="K278" s="31" t="str">
        <f>IF(ISBLANK(Base_Accidentes[[#This Row],[Tipo de Accidente]])," ",Base_Accidentes[[#This Row],[Tipo de Accidente]])</f>
        <v>Acc. No Incapacitante</v>
      </c>
      <c r="L278" s="118">
        <v>45630</v>
      </c>
      <c r="M278" s="47">
        <f>_xlfn.ISOWEEKNUM(Base_Accidentes[[#This Row],[Fecha
(XX/XX/2024)]])</f>
        <v>49</v>
      </c>
      <c r="N278" s="23">
        <f>DAY(Base_Accidentes[[#This Row],[Fecha
(XX/XX/2024)]])</f>
        <v>4</v>
      </c>
      <c r="O278" s="23">
        <f>MONTH(Base_Accidentes[[#This Row],[Fecha
(XX/XX/2024)]])</f>
        <v>12</v>
      </c>
      <c r="P278" s="26">
        <f>YEAR(Base_Accidentes[[#This Row],[Fecha
(XX/XX/2024)]])</f>
        <v>2024</v>
      </c>
      <c r="Q278" s="71">
        <v>0.61805555555555558</v>
      </c>
      <c r="R278" s="23" t="s">
        <v>587</v>
      </c>
      <c r="S278" s="31" t="s">
        <v>167</v>
      </c>
      <c r="T278" s="23" t="s">
        <v>168</v>
      </c>
      <c r="U278" s="23" t="s">
        <v>2205</v>
      </c>
      <c r="V278" s="23" t="s">
        <v>2206</v>
      </c>
      <c r="W278" s="23" t="s">
        <v>2207</v>
      </c>
      <c r="X278" s="23" t="s">
        <v>98</v>
      </c>
      <c r="Y278" s="23"/>
      <c r="Z278" s="24" t="s">
        <v>172</v>
      </c>
      <c r="AA278" s="23"/>
      <c r="AB278" s="31" t="s">
        <v>2208</v>
      </c>
      <c r="AC278" s="24" t="s">
        <v>101</v>
      </c>
      <c r="AD278" s="23" t="s">
        <v>1085</v>
      </c>
      <c r="AE278" s="24" t="s">
        <v>142</v>
      </c>
      <c r="AF278" s="24" t="s">
        <v>2209</v>
      </c>
      <c r="AG278" s="24" t="s">
        <v>2210</v>
      </c>
      <c r="AH278" s="24" t="s">
        <v>145</v>
      </c>
      <c r="AI278" s="26">
        <v>0</v>
      </c>
      <c r="AJ278" s="26">
        <v>0</v>
      </c>
      <c r="AK278" s="26">
        <f>SUM(Base_Accidentes[[#This Row],[Días DM Total Indicador]:[Cargo ANSI ]])</f>
        <v>0</v>
      </c>
      <c r="AL278" s="23" t="s">
        <v>1184</v>
      </c>
      <c r="AM278" s="23"/>
      <c r="AN278" s="26"/>
      <c r="AO278" s="24"/>
      <c r="AP278" s="23" t="s">
        <v>92</v>
      </c>
      <c r="AQ278" s="27" t="str">
        <f>+Base_Accidentes[[#This Row],[Tipo de Accidente]]</f>
        <v>Acc. No Incapacitante</v>
      </c>
      <c r="AR278" s="67" cm="1">
        <f t="array" aca="1" ref="AR278" ca="1">+Base_Accidentes[Población]</f>
        <v>0</v>
      </c>
      <c r="AS278" s="72"/>
      <c r="AT278" s="23"/>
    </row>
    <row r="279" spans="1:46" ht="36" hidden="1" x14ac:dyDescent="0.3">
      <c r="A279" s="57"/>
      <c r="B279" s="31">
        <v>246</v>
      </c>
      <c r="C279" s="24" t="s">
        <v>1</v>
      </c>
      <c r="D279" s="23" t="s">
        <v>162</v>
      </c>
      <c r="E279" s="23" t="s">
        <v>1156</v>
      </c>
      <c r="F279" s="23" t="s">
        <v>164</v>
      </c>
      <c r="G279" s="31" t="s">
        <v>428</v>
      </c>
      <c r="H279" s="24" t="s">
        <v>60</v>
      </c>
      <c r="I279" s="23" t="s">
        <v>475</v>
      </c>
      <c r="J279" s="24" t="s">
        <v>62</v>
      </c>
      <c r="K279" s="31" t="str">
        <f>IF(ISBLANK(Base_Accidentes[[#This Row],[Tipo de Accidente]])," ",Base_Accidentes[[#This Row],[Tipo de Accidente]])</f>
        <v>Acc. No Incapacitante</v>
      </c>
      <c r="L279" s="118">
        <v>45631</v>
      </c>
      <c r="M279" s="47">
        <f>_xlfn.ISOWEEKNUM(Base_Accidentes[[#This Row],[Fecha
(XX/XX/2024)]])</f>
        <v>49</v>
      </c>
      <c r="N279" s="26">
        <f>DAY(Base_Accidentes[[#This Row],[Fecha
(XX/XX/2024)]])</f>
        <v>5</v>
      </c>
      <c r="O279" s="26">
        <f>MONTH(Base_Accidentes[[#This Row],[Fecha
(XX/XX/2024)]])</f>
        <v>12</v>
      </c>
      <c r="P279" s="26">
        <f>YEAR(Base_Accidentes[[#This Row],[Fecha
(XX/XX/2024)]])</f>
        <v>2024</v>
      </c>
      <c r="Q279" s="69">
        <v>5.5555555555555552E-2</v>
      </c>
      <c r="R279" s="26" t="s">
        <v>135</v>
      </c>
      <c r="S279" s="31" t="s">
        <v>167</v>
      </c>
      <c r="T279" s="23" t="s">
        <v>168</v>
      </c>
      <c r="U279" s="26" t="s">
        <v>2211</v>
      </c>
      <c r="V279" s="26" t="s">
        <v>2212</v>
      </c>
      <c r="W279" s="26" t="s">
        <v>2213</v>
      </c>
      <c r="X279" s="26" t="s">
        <v>98</v>
      </c>
      <c r="Y279" s="26"/>
      <c r="Z279" s="31" t="s">
        <v>172</v>
      </c>
      <c r="AA279" s="26"/>
      <c r="AB279" s="31" t="s">
        <v>2214</v>
      </c>
      <c r="AC279" s="24" t="s">
        <v>101</v>
      </c>
      <c r="AD279" s="26" t="s">
        <v>1182</v>
      </c>
      <c r="AE279" s="31" t="s">
        <v>333</v>
      </c>
      <c r="AF279" s="26" t="s">
        <v>293</v>
      </c>
      <c r="AG279" s="26" t="s">
        <v>2215</v>
      </c>
      <c r="AH279" s="31" t="s">
        <v>145</v>
      </c>
      <c r="AI279" s="26">
        <v>0</v>
      </c>
      <c r="AJ279" s="26">
        <v>0</v>
      </c>
      <c r="AK279" s="26">
        <f>SUM(Base_Accidentes[[#This Row],[Días DM Total Indicador]:[Cargo ANSI ]])</f>
        <v>0</v>
      </c>
      <c r="AL279" s="26" t="s">
        <v>1184</v>
      </c>
      <c r="AM279" s="26"/>
      <c r="AN279" s="26"/>
      <c r="AO279" s="31"/>
      <c r="AP279" s="23" t="s">
        <v>92</v>
      </c>
      <c r="AQ279" s="66" t="str">
        <f>+Base_Accidentes[[#This Row],[Tipo de Accidente]]</f>
        <v>Acc. No Incapacitante</v>
      </c>
      <c r="AR279" s="67" cm="1">
        <f t="array" aca="1" ref="AR279" ca="1">+Base_Accidentes[Población]</f>
        <v>0</v>
      </c>
      <c r="AS279" s="73"/>
      <c r="AT279" s="26"/>
    </row>
    <row r="280" spans="1:46" hidden="1" x14ac:dyDescent="0.3">
      <c r="A280" s="57"/>
      <c r="B280" s="31"/>
      <c r="C280" s="23"/>
      <c r="D280" s="23"/>
      <c r="E280" s="24"/>
      <c r="F280" s="23"/>
      <c r="G280" s="31"/>
      <c r="H280" s="24"/>
      <c r="I280" s="24"/>
      <c r="J280" s="24"/>
      <c r="K280" s="31" t="str">
        <f>IF(ISBLANK(Base_Accidentes[[#This Row],[Tipo de Accidente]])," ",Base_Accidentes[[#This Row],[Tipo de Accidente]])</f>
        <v xml:space="preserve"> </v>
      </c>
      <c r="L280" s="54"/>
      <c r="M280" s="49">
        <f>_xlfn.ISOWEEKNUM(Base_Accidentes[[#This Row],[Fecha
(XX/XX/2024)]])</f>
        <v>52</v>
      </c>
      <c r="N280" s="26"/>
      <c r="O280" s="26">
        <f>MONTH(Base_Accidentes[[#This Row],[Fecha
(XX/XX/2024)]])</f>
        <v>1</v>
      </c>
      <c r="P280" s="26"/>
      <c r="Q280" s="55"/>
      <c r="R280" s="31"/>
      <c r="S280" s="31"/>
      <c r="T280" s="24"/>
      <c r="U280" s="24"/>
      <c r="V280" s="24"/>
      <c r="W280" s="24"/>
      <c r="X280" s="24"/>
      <c r="Y280" s="24"/>
      <c r="Z280" s="31"/>
      <c r="AA280" s="49"/>
      <c r="AB280" s="31"/>
      <c r="AC280" s="24"/>
      <c r="AD280" s="31"/>
      <c r="AE280" s="31"/>
      <c r="AF280" s="31"/>
      <c r="AG280" s="31"/>
      <c r="AH280" s="31"/>
      <c r="AI280" s="31"/>
      <c r="AJ280" s="31"/>
      <c r="AK280" s="31"/>
      <c r="AL280" s="31"/>
      <c r="AM280" s="31"/>
      <c r="AN280" s="26"/>
      <c r="AO280" s="26"/>
      <c r="AP280" s="23"/>
      <c r="AQ280" s="66">
        <f>+Base_Accidentes[[#This Row],[Tipo de Accidente]]</f>
        <v>0</v>
      </c>
      <c r="AR280" s="67" cm="1">
        <f t="array" aca="1" ref="AR280" ca="1">+Base_Accidentes[Población]</f>
        <v>0</v>
      </c>
      <c r="AS280" s="73"/>
      <c r="AT280" s="26"/>
    </row>
    <row r="281" spans="1:46" ht="48" hidden="1" x14ac:dyDescent="0.3">
      <c r="A281" s="73"/>
      <c r="B281" s="26"/>
      <c r="C281" s="24" t="s">
        <v>1</v>
      </c>
      <c r="D281" s="23" t="s">
        <v>56</v>
      </c>
      <c r="E281" s="23" t="s">
        <v>706</v>
      </c>
      <c r="F281" s="23" t="s">
        <v>706</v>
      </c>
      <c r="G281" s="26" t="s">
        <v>706</v>
      </c>
      <c r="H281" s="24" t="s">
        <v>60</v>
      </c>
      <c r="I281" s="24" t="s">
        <v>2216</v>
      </c>
      <c r="J281" s="24" t="s">
        <v>62</v>
      </c>
      <c r="K281" s="31" t="str">
        <f>IF(ISBLANK(Base_Accidentes[[#This Row],[Tipo de Accidente]])," ",Base_Accidentes[[#This Row],[Tipo de Accidente]])</f>
        <v>Acc. No Incapacitante</v>
      </c>
      <c r="L281" s="118">
        <v>45619</v>
      </c>
      <c r="M281" s="47">
        <f>_xlfn.ISOWEEKNUM(Base_Accidentes[[#This Row],[Fecha
(XX/XX/2024)]])</f>
        <v>47</v>
      </c>
      <c r="N281" s="26">
        <f>DAY(Base_Accidentes[[#This Row],[Fecha
(XX/XX/2024)]])</f>
        <v>23</v>
      </c>
      <c r="O281" s="26">
        <f>MONTH(Base_Accidentes[[#This Row],[Fecha
(XX/XX/2024)]])</f>
        <v>11</v>
      </c>
      <c r="P281" s="26">
        <f>YEAR(Base_Accidentes[[#This Row],[Fecha
(XX/XX/2024)]])</f>
        <v>2024</v>
      </c>
      <c r="Q281" s="69">
        <v>0.29166666666666669</v>
      </c>
      <c r="R281" s="26" t="s">
        <v>2217</v>
      </c>
      <c r="S281" s="31" t="s">
        <v>10</v>
      </c>
      <c r="T281" s="23" t="s">
        <v>64</v>
      </c>
      <c r="U281" s="26" t="s">
        <v>2218</v>
      </c>
      <c r="V281" s="26" t="s">
        <v>444</v>
      </c>
      <c r="W281" s="26" t="s">
        <v>2219</v>
      </c>
      <c r="X281" s="26" t="s">
        <v>68</v>
      </c>
      <c r="Y281" s="26"/>
      <c r="Z281" s="31"/>
      <c r="AA281" s="118">
        <v>41386</v>
      </c>
      <c r="AB281" s="31" t="s">
        <v>2220</v>
      </c>
      <c r="AC281" s="24" t="s">
        <v>101</v>
      </c>
      <c r="AD281" s="26" t="s">
        <v>1627</v>
      </c>
      <c r="AE281" s="31" t="s">
        <v>103</v>
      </c>
      <c r="AF281" s="31" t="s">
        <v>2221</v>
      </c>
      <c r="AG281" s="26" t="s">
        <v>2222</v>
      </c>
      <c r="AH281" s="31" t="s">
        <v>76</v>
      </c>
      <c r="AI281" s="26">
        <v>0</v>
      </c>
      <c r="AJ281" s="26"/>
      <c r="AK281" s="26">
        <f>SUM(Base_Accidentes[[#This Row],[Días DM Total Indicador]:[Cargo ANSI ]])</f>
        <v>0</v>
      </c>
      <c r="AL281" s="26" t="s">
        <v>1184</v>
      </c>
      <c r="AM281" s="26"/>
      <c r="AN281" s="26"/>
      <c r="AO281" s="31"/>
      <c r="AP281" s="23"/>
      <c r="AQ281" s="66" t="str">
        <f>+Base_Accidentes[[#This Row],[Tipo de Accidente]]</f>
        <v>Acc. No Incapacitante</v>
      </c>
      <c r="AR281" s="67" cm="1">
        <f t="array" aca="1" ref="AR281" ca="1">+Base_Accidentes[Población]</f>
        <v>0</v>
      </c>
      <c r="AS281" s="73"/>
      <c r="AT281" s="26"/>
    </row>
    <row r="282" spans="1:46" ht="48" hidden="1" x14ac:dyDescent="0.3">
      <c r="A282" s="57">
        <v>44</v>
      </c>
      <c r="B282" s="31" t="s">
        <v>129</v>
      </c>
      <c r="C282" s="26" t="s">
        <v>1</v>
      </c>
      <c r="D282" s="26" t="s">
        <v>356</v>
      </c>
      <c r="E282" s="31" t="s">
        <v>357</v>
      </c>
      <c r="F282" s="26" t="s">
        <v>323</v>
      </c>
      <c r="G282" s="31" t="s">
        <v>359</v>
      </c>
      <c r="H282" s="31" t="s">
        <v>360</v>
      </c>
      <c r="I282" s="31" t="s">
        <v>525</v>
      </c>
      <c r="J282" s="31" t="s">
        <v>62</v>
      </c>
      <c r="K282" s="31" t="str">
        <f>IF(ISBLANK(Base_Accidentes[[#This Row],[Tipo de Accidente]])," ",Base_Accidentes[[#This Row],[Tipo de Accidente]])</f>
        <v>Acc. No Incapacitante</v>
      </c>
      <c r="L282" s="54">
        <v>45343</v>
      </c>
      <c r="M282" s="54">
        <f>_xlfn.ISOWEEKNUM(Base_Accidentes[[#This Row],[Fecha
(XX/XX/2024)]])</f>
        <v>8</v>
      </c>
      <c r="N282" s="26">
        <f>DAY(Base_Accidentes[[#This Row],[Fecha
(XX/XX/2024)]])</f>
        <v>21</v>
      </c>
      <c r="O282" s="26">
        <f>MONTH(Base_Accidentes[[#This Row],[Fecha
(XX/XX/2024)]])</f>
        <v>2</v>
      </c>
      <c r="P282" s="26">
        <f>YEAR(Base_Accidentes[[#This Row],[Fecha
(XX/XX/2024)]])</f>
        <v>2024</v>
      </c>
      <c r="Q282" s="55">
        <v>0.39583333333333331</v>
      </c>
      <c r="R282" s="31" t="s">
        <v>63</v>
      </c>
      <c r="S282" s="31" t="s">
        <v>274</v>
      </c>
      <c r="T282" s="31" t="s">
        <v>362</v>
      </c>
      <c r="U282" s="31" t="s">
        <v>526</v>
      </c>
      <c r="V282" s="31" t="s">
        <v>527</v>
      </c>
      <c r="W282" s="31" t="s">
        <v>528</v>
      </c>
      <c r="X282" s="31" t="s">
        <v>98</v>
      </c>
      <c r="Y282" s="31">
        <v>35</v>
      </c>
      <c r="Z282" s="31" t="s">
        <v>366</v>
      </c>
      <c r="AA282" s="54" t="s">
        <v>129</v>
      </c>
      <c r="AB282" s="31" t="s">
        <v>529</v>
      </c>
      <c r="AC282" s="31" t="s">
        <v>234</v>
      </c>
      <c r="AD282" s="31" t="s">
        <v>141</v>
      </c>
      <c r="AE282" s="31" t="s">
        <v>142</v>
      </c>
      <c r="AF282" s="31" t="s">
        <v>530</v>
      </c>
      <c r="AG282" s="31" t="s">
        <v>531</v>
      </c>
      <c r="AH282" s="31" t="s">
        <v>532</v>
      </c>
      <c r="AI282" s="31">
        <v>0</v>
      </c>
      <c r="AJ282" s="31">
        <v>0</v>
      </c>
      <c r="AK282" s="31">
        <v>0</v>
      </c>
      <c r="AL282" s="31" t="s">
        <v>78</v>
      </c>
      <c r="AM282" s="31">
        <v>27</v>
      </c>
      <c r="AN282" s="26" t="s">
        <v>240</v>
      </c>
      <c r="AO282" s="26" t="s">
        <v>533</v>
      </c>
      <c r="AP282" s="26" t="s">
        <v>92</v>
      </c>
      <c r="AQ282" s="66" t="str">
        <f>+Base_Accidentes[[#This Row],[Tipo de Accidente]]</f>
        <v>Acc. No Incapacitante</v>
      </c>
      <c r="AR282" s="77" cm="1">
        <f t="array" aca="1" ref="AR282" ca="1">+Base_Accidentes[Población]</f>
        <v>0</v>
      </c>
      <c r="AS282" s="26"/>
      <c r="AT282" s="26"/>
    </row>
  </sheetData>
  <phoneticPr fontId="6" type="noConversion"/>
  <dataValidations count="1">
    <dataValidation allowBlank="1" showInputMessage="1" showErrorMessage="1" sqref="I164 G1:G252 G254:G266 G272:G1048576" xr:uid="{00000000-0002-0000-0000-000000000000}"/>
  </dataValidations>
  <pageMargins left="0.7" right="0.7" top="0.75" bottom="0.75" header="0" footer="0"/>
  <pageSetup paperSize="9" orientation="portrait" r:id="rId1"/>
  <customProperties>
    <customPr name="_pios_id" r:id="rId2"/>
    <customPr name="IbpWorksheetKeyString_GUID" r:id="rId3"/>
  </customProperties>
  <tableParts count="1">
    <tablePart r:id="rId4"/>
  </tableParts>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01000000}">
          <x14:formula1>
            <xm:f>Desplegables!$N$4:$N$17</xm:f>
          </x14:formula1>
          <xm:sqref>AC2:AC11 AC89:AC94 AC63 AC66:AC69 AC72 AC74:AC77 AC87 AC13:AC60 AC119:AC123 AC187 AC189:AC190 AC192:AC193 AC126:AC183 AC98:AC117 AC195:AC266 AC272:AC282</xm:sqref>
        </x14:dataValidation>
        <x14:dataValidation type="list" allowBlank="1" showInputMessage="1" showErrorMessage="1" xr:uid="{00000000-0002-0000-0000-000002000000}">
          <x14:formula1>
            <xm:f>Desplegables!$J$4:$J$17</xm:f>
          </x14:formula1>
          <xm:sqref>S28:S91 S2:S25 S119:S123 S126:S193 S98:S117 S195 S197:S237 S239:S266 S282</xm:sqref>
        </x14:dataValidation>
        <x14:dataValidation type="list" allowBlank="1" showInputMessage="1" showErrorMessage="1" xr:uid="{00000000-0002-0000-0000-000003000000}">
          <x14:formula1>
            <xm:f>Desplegables!$J$4:$J$18</xm:f>
          </x14:formula1>
          <xm:sqref>S26:S27</xm:sqref>
        </x14:dataValidation>
        <x14:dataValidation type="list" allowBlank="1" showInputMessage="1" showErrorMessage="1" xr:uid="{00000000-0002-0000-0000-000004000000}">
          <x14:formula1>
            <xm:f>Desplegables!$B$4:$B$8</xm:f>
          </x14:formula1>
          <xm:sqref>C202:C266 C126:C193 C198:C199 C96:C124 C2:C94 C282</xm:sqref>
        </x14:dataValidation>
        <x14:dataValidation type="list" allowBlank="1" showInputMessage="1" showErrorMessage="1" xr:uid="{00000000-0002-0000-0000-000005000000}">
          <x14:formula1>
            <xm:f>Desplegables!$D$4:$D$8</xm:f>
          </x14:formula1>
          <xm:sqref>D202:D266 D189:D195 D126:D187 D197:D200 D98:D123 D2:D94 D272:D282</xm:sqref>
        </x14:dataValidation>
        <x14:dataValidation type="list" allowBlank="1" showInputMessage="1" showErrorMessage="1" xr:uid="{00000000-0002-0000-0000-000006000000}">
          <x14:formula1>
            <xm:f>Desplegables!$B$14:$B$15</xm:f>
          </x14:formula1>
          <xm:sqref>J239:J266 J187:K187 J194:J196 J189:K193 J126:K183 J197:K199 J96:K123 J200:J201 J221 J202:K220 J237 J238:K238 J222:K236 K252 K244:K250 K258:K266 J2:K94 J272:J281 J282:K282</xm:sqref>
        </x14:dataValidation>
        <x14:dataValidation type="list" allowBlank="1" showInputMessage="1" showErrorMessage="1" xr:uid="{00000000-0002-0000-0000-000007000000}">
          <x14:formula1>
            <xm:f>Desplegables!$P$4:$P$16</xm:f>
          </x14:formula1>
          <xm:sqref>AE119:AE124 AE2:AE91 AE126:AE183 AE98:AE117 AE187:AE232 AE234:AE249 AE251:AE266 AE282</xm:sqref>
        </x14:dataValidation>
        <x14:dataValidation type="list" allowBlank="1" showInputMessage="1" showErrorMessage="1" xr:uid="{00000000-0002-0000-0000-000008000000}">
          <x14:formula1>
            <xm:f>Desplegables!$R$4:$R$17</xm:f>
          </x14:formula1>
          <xm:sqref>AH82:AH94 AH2:AH78 AH119:AH123 AG138:AG139 AG175 AG178 AH187 AH126:AH183 AH96:AH117 AH189:AH254 AH256:AH266 AH282</xm:sqref>
        </x14:dataValidation>
        <x14:dataValidation type="list" allowBlank="1" showInputMessage="1" showErrorMessage="1" xr:uid="{00000000-0002-0000-0000-000009000000}">
          <x14:formula1>
            <xm:f>Desplegables!$L$4:$L$10</xm:f>
          </x14:formula1>
          <xm:sqref>AN95:AN117 AN119:AN124 AN187 AN126:AN183 AN2:AN91 AN189:AN232 AN236 AN238:AN266 AN272:AN282</xm:sqref>
        </x14:dataValidation>
        <x14:dataValidation type="list" allowBlank="1" showInputMessage="1" showErrorMessage="1" xr:uid="{00000000-0002-0000-0000-00000A000000}">
          <x14:formula1>
            <xm:f>Desplegables!$H$4:$H$14</xm:f>
          </x14:formula1>
          <xm:sqref>H238:H264 H119:H123 I153:I154 I149:I150 I185 H126:H187 H98:H117 H189:H235 H21:H94 H282</xm:sqref>
        </x14:dataValidation>
        <x14:dataValidation type="list" allowBlank="1" showInputMessage="1" showErrorMessage="1" xr:uid="{00000000-0002-0000-0000-00000B000000}">
          <x14:formula1>
            <xm:f>Desplegables!$B$20:$B$34</xm:f>
          </x14:formula1>
          <xm:sqref>F254:F266 F187 F189:F193 F126:F184 F197:F199 F96:F123 F202:F252 F2:F94 F272:F282</xm:sqref>
        </x14:dataValidation>
        <x14:dataValidation type="list" allowBlank="1" showInputMessage="1" showErrorMessage="1" xr:uid="{00000000-0002-0000-0000-00000C000000}">
          <x14:formula1>
            <xm:f>Desplegables!$H$4:$H$13</xm:f>
          </x14:formula1>
          <xm:sqref>H2:H20 H236:H237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4CDF9-2CCE-4F4A-971F-DF29388B9BEC}">
  <dimension ref="A1:D62"/>
  <sheetViews>
    <sheetView workbookViewId="0">
      <selection activeCell="D20" sqref="D20"/>
    </sheetView>
  </sheetViews>
  <sheetFormatPr baseColWidth="10" defaultColWidth="8.5546875" defaultRowHeight="14.4" x14ac:dyDescent="0.3"/>
  <cols>
    <col min="1" max="1" width="24.6640625" bestFit="1" customWidth="1"/>
    <col min="2" max="3" width="19.33203125" bestFit="1" customWidth="1"/>
    <col min="4" max="4" width="11.44140625" bestFit="1" customWidth="1"/>
    <col min="5" max="5" width="3" customWidth="1"/>
    <col min="6" max="6" width="22.44140625" bestFit="1" customWidth="1"/>
    <col min="7" max="7" width="22.44140625" customWidth="1"/>
    <col min="8" max="9" width="2" bestFit="1" customWidth="1"/>
    <col min="10" max="11" width="3" bestFit="1" customWidth="1"/>
    <col min="12" max="12" width="25.44140625" bestFit="1" customWidth="1"/>
    <col min="13" max="13" width="12.44140625" bestFit="1" customWidth="1"/>
    <col min="14" max="17" width="11" bestFit="1" customWidth="1"/>
    <col min="18" max="18" width="25.44140625" bestFit="1" customWidth="1"/>
    <col min="19" max="19" width="12.44140625" bestFit="1" customWidth="1"/>
    <col min="20" max="32" width="3" bestFit="1" customWidth="1"/>
    <col min="33" max="36" width="4.44140625" bestFit="1" customWidth="1"/>
    <col min="37" max="37" width="10.5546875" bestFit="1" customWidth="1"/>
    <col min="38" max="38" width="12.44140625" bestFit="1" customWidth="1"/>
  </cols>
  <sheetData>
    <row r="1" spans="1:4" x14ac:dyDescent="0.3">
      <c r="A1" s="8" t="s">
        <v>17</v>
      </c>
      <c r="B1" t="s">
        <v>110</v>
      </c>
    </row>
    <row r="3" spans="1:4" x14ac:dyDescent="0.3">
      <c r="A3" s="8" t="s">
        <v>2223</v>
      </c>
      <c r="B3" s="8" t="s">
        <v>4</v>
      </c>
    </row>
    <row r="4" spans="1:4" x14ac:dyDescent="0.3">
      <c r="A4" s="8" t="s">
        <v>23</v>
      </c>
      <c r="B4" s="1" t="s">
        <v>113</v>
      </c>
      <c r="C4" s="1" t="s">
        <v>62</v>
      </c>
      <c r="D4" s="1" t="s">
        <v>12</v>
      </c>
    </row>
    <row r="5" spans="1:4" x14ac:dyDescent="0.3">
      <c r="A5">
        <v>1</v>
      </c>
      <c r="B5" s="1">
        <v>1</v>
      </c>
      <c r="C5" s="1"/>
      <c r="D5" s="1">
        <v>1</v>
      </c>
    </row>
    <row r="6" spans="1:4" x14ac:dyDescent="0.3">
      <c r="A6">
        <v>4</v>
      </c>
      <c r="B6" s="1"/>
      <c r="C6" s="1">
        <v>2</v>
      </c>
      <c r="D6" s="1">
        <v>2</v>
      </c>
    </row>
    <row r="7" spans="1:4" x14ac:dyDescent="0.3">
      <c r="A7">
        <v>7</v>
      </c>
      <c r="B7" s="1"/>
      <c r="C7" s="1">
        <v>1</v>
      </c>
      <c r="D7" s="1">
        <v>1</v>
      </c>
    </row>
    <row r="8" spans="1:4" x14ac:dyDescent="0.3">
      <c r="A8">
        <v>8</v>
      </c>
      <c r="B8" s="1">
        <v>1</v>
      </c>
      <c r="C8" s="1"/>
      <c r="D8" s="1">
        <v>1</v>
      </c>
    </row>
    <row r="9" spans="1:4" x14ac:dyDescent="0.3">
      <c r="A9">
        <v>9</v>
      </c>
      <c r="B9" s="1">
        <v>4</v>
      </c>
      <c r="C9" s="1">
        <v>2</v>
      </c>
      <c r="D9" s="1">
        <v>6</v>
      </c>
    </row>
    <row r="10" spans="1:4" x14ac:dyDescent="0.3">
      <c r="A10">
        <v>10</v>
      </c>
      <c r="B10" s="1">
        <v>1</v>
      </c>
      <c r="C10" s="1"/>
      <c r="D10" s="1">
        <v>1</v>
      </c>
    </row>
    <row r="11" spans="1:4" x14ac:dyDescent="0.3">
      <c r="A11">
        <v>11</v>
      </c>
      <c r="B11" s="1"/>
      <c r="C11" s="1">
        <v>2</v>
      </c>
      <c r="D11" s="1">
        <v>2</v>
      </c>
    </row>
    <row r="12" spans="1:4" x14ac:dyDescent="0.3">
      <c r="A12">
        <v>12</v>
      </c>
      <c r="B12" s="1"/>
      <c r="C12" s="1">
        <v>1</v>
      </c>
      <c r="D12" s="1">
        <v>1</v>
      </c>
    </row>
    <row r="13" spans="1:4" x14ac:dyDescent="0.3">
      <c r="A13" t="s">
        <v>12</v>
      </c>
      <c r="B13" s="1">
        <v>7</v>
      </c>
      <c r="C13" s="1">
        <v>8</v>
      </c>
      <c r="D13" s="1">
        <v>15</v>
      </c>
    </row>
    <row r="18" spans="1:2" x14ac:dyDescent="0.3">
      <c r="A18" s="8" t="s">
        <v>17</v>
      </c>
      <c r="B18" t="s">
        <v>110</v>
      </c>
    </row>
    <row r="20" spans="1:2" x14ac:dyDescent="0.3">
      <c r="A20" s="8" t="s">
        <v>18</v>
      </c>
    </row>
    <row r="21" spans="1:2" x14ac:dyDescent="0.3">
      <c r="A21" t="s">
        <v>1208</v>
      </c>
    </row>
    <row r="22" spans="1:2" x14ac:dyDescent="0.3">
      <c r="A22" t="s">
        <v>2224</v>
      </c>
    </row>
    <row r="23" spans="1:2" x14ac:dyDescent="0.3">
      <c r="A23" t="s">
        <v>184</v>
      </c>
    </row>
    <row r="24" spans="1:2" x14ac:dyDescent="0.3">
      <c r="A24" t="s">
        <v>1660</v>
      </c>
    </row>
    <row r="25" spans="1:2" x14ac:dyDescent="0.3">
      <c r="A25" t="s">
        <v>639</v>
      </c>
    </row>
    <row r="26" spans="1:2" x14ac:dyDescent="0.3">
      <c r="A26" t="s">
        <v>112</v>
      </c>
    </row>
    <row r="27" spans="1:2" x14ac:dyDescent="0.3">
      <c r="A27" t="s">
        <v>12</v>
      </c>
    </row>
    <row r="34" spans="1:4" x14ac:dyDescent="0.3">
      <c r="A34" s="8" t="s">
        <v>17</v>
      </c>
      <c r="B34" t="s">
        <v>110</v>
      </c>
    </row>
    <row r="36" spans="1:4" x14ac:dyDescent="0.3">
      <c r="A36" s="8" t="s">
        <v>2223</v>
      </c>
      <c r="B36" s="8" t="s">
        <v>4</v>
      </c>
    </row>
    <row r="37" spans="1:4" x14ac:dyDescent="0.3">
      <c r="A37" s="8" t="s">
        <v>27</v>
      </c>
      <c r="B37" t="s">
        <v>113</v>
      </c>
      <c r="C37" t="s">
        <v>62</v>
      </c>
      <c r="D37" t="s">
        <v>12</v>
      </c>
    </row>
    <row r="38" spans="1:4" x14ac:dyDescent="0.3">
      <c r="A38" t="s">
        <v>9</v>
      </c>
      <c r="B38">
        <v>1</v>
      </c>
      <c r="C38">
        <v>3</v>
      </c>
      <c r="D38">
        <v>4</v>
      </c>
    </row>
    <row r="39" spans="1:4" x14ac:dyDescent="0.3">
      <c r="A39" t="s">
        <v>10</v>
      </c>
      <c r="B39">
        <v>5</v>
      </c>
      <c r="C39">
        <v>3</v>
      </c>
      <c r="D39">
        <v>8</v>
      </c>
    </row>
    <row r="40" spans="1:4" x14ac:dyDescent="0.3">
      <c r="A40" t="s">
        <v>11</v>
      </c>
      <c r="B40">
        <v>1</v>
      </c>
      <c r="C40">
        <v>1</v>
      </c>
      <c r="D40">
        <v>2</v>
      </c>
    </row>
    <row r="41" spans="1:4" x14ac:dyDescent="0.3">
      <c r="A41" t="s">
        <v>167</v>
      </c>
      <c r="C41">
        <v>1</v>
      </c>
      <c r="D41">
        <v>1</v>
      </c>
    </row>
    <row r="42" spans="1:4" x14ac:dyDescent="0.3">
      <c r="A42" t="s">
        <v>12</v>
      </c>
      <c r="B42">
        <v>7</v>
      </c>
      <c r="C42">
        <v>8</v>
      </c>
      <c r="D42">
        <v>15</v>
      </c>
    </row>
    <row r="51" spans="1:4" x14ac:dyDescent="0.3">
      <c r="A51" s="8" t="s">
        <v>17</v>
      </c>
      <c r="B51" t="s">
        <v>110</v>
      </c>
    </row>
    <row r="53" spans="1:4" x14ac:dyDescent="0.3">
      <c r="A53" s="8" t="s">
        <v>2225</v>
      </c>
      <c r="B53" s="8" t="s">
        <v>4</v>
      </c>
    </row>
    <row r="54" spans="1:4" x14ac:dyDescent="0.3">
      <c r="A54" s="8" t="s">
        <v>28</v>
      </c>
      <c r="B54" t="s">
        <v>113</v>
      </c>
      <c r="C54" t="s">
        <v>62</v>
      </c>
      <c r="D54" t="s">
        <v>12</v>
      </c>
    </row>
    <row r="55" spans="1:4" x14ac:dyDescent="0.3">
      <c r="A55" t="s">
        <v>1735</v>
      </c>
      <c r="C55">
        <v>1</v>
      </c>
      <c r="D55">
        <v>1</v>
      </c>
    </row>
    <row r="56" spans="1:4" x14ac:dyDescent="0.3">
      <c r="A56" t="s">
        <v>114</v>
      </c>
      <c r="B56">
        <v>5</v>
      </c>
      <c r="D56">
        <v>5</v>
      </c>
    </row>
    <row r="57" spans="1:4" x14ac:dyDescent="0.3">
      <c r="A57" t="s">
        <v>64</v>
      </c>
      <c r="C57">
        <v>3</v>
      </c>
      <c r="D57">
        <v>3</v>
      </c>
    </row>
    <row r="58" spans="1:4" x14ac:dyDescent="0.3">
      <c r="A58" t="s">
        <v>2055</v>
      </c>
      <c r="C58">
        <v>1</v>
      </c>
      <c r="D58">
        <v>1</v>
      </c>
    </row>
    <row r="59" spans="1:4" x14ac:dyDescent="0.3">
      <c r="A59" t="s">
        <v>1209</v>
      </c>
      <c r="C59">
        <v>1</v>
      </c>
      <c r="D59">
        <v>1</v>
      </c>
    </row>
    <row r="60" spans="1:4" x14ac:dyDescent="0.3">
      <c r="A60" t="s">
        <v>11</v>
      </c>
      <c r="B60">
        <v>1</v>
      </c>
      <c r="C60">
        <v>1</v>
      </c>
      <c r="D60">
        <v>2</v>
      </c>
    </row>
    <row r="61" spans="1:4" x14ac:dyDescent="0.3">
      <c r="A61" t="s">
        <v>1661</v>
      </c>
      <c r="B61">
        <v>1</v>
      </c>
      <c r="C61">
        <v>1</v>
      </c>
      <c r="D61">
        <v>2</v>
      </c>
    </row>
    <row r="62" spans="1:4" x14ac:dyDescent="0.3">
      <c r="A62" t="s">
        <v>12</v>
      </c>
      <c r="B62">
        <v>7</v>
      </c>
      <c r="C62">
        <v>8</v>
      </c>
      <c r="D62">
        <v>15</v>
      </c>
    </row>
  </sheetData>
  <pageMargins left="0.7" right="0.7" top="0.75" bottom="0.75" header="0.3" footer="0.3"/>
  <customProperties>
    <customPr name="_pios_id" r:id="rId5"/>
    <customPr name="IbpWorksheetKeyString_GUID" r:id="rId6"/>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53"/>
  <sheetViews>
    <sheetView zoomScale="80" zoomScaleNormal="80" workbookViewId="0">
      <selection activeCell="F27" sqref="F27"/>
    </sheetView>
  </sheetViews>
  <sheetFormatPr baseColWidth="10" defaultColWidth="11.44140625" defaultRowHeight="14.4" x14ac:dyDescent="0.3"/>
  <cols>
    <col min="2" max="2" width="22.44140625" customWidth="1"/>
    <col min="3" max="3" width="4" customWidth="1"/>
    <col min="4" max="4" width="32.44140625" customWidth="1"/>
    <col min="5" max="5" width="5.44140625" customWidth="1"/>
    <col min="6" max="6" width="29.5546875" customWidth="1"/>
    <col min="7" max="7" width="6" customWidth="1"/>
    <col min="8" max="8" width="24.44140625" customWidth="1"/>
    <col min="9" max="9" width="3.5546875" customWidth="1"/>
    <col min="10" max="10" width="22.44140625" customWidth="1"/>
    <col min="11" max="11" width="4.5546875" customWidth="1"/>
    <col min="12" max="12" width="19.5546875" customWidth="1"/>
    <col min="13" max="13" width="5.44140625" customWidth="1"/>
    <col min="14" max="14" width="32.44140625" customWidth="1"/>
    <col min="15" max="15" width="4.5546875" customWidth="1"/>
    <col min="16" max="16" width="39.5546875" customWidth="1"/>
    <col min="17" max="17" width="4.5546875" customWidth="1"/>
    <col min="18" max="18" width="31.5546875" customWidth="1"/>
  </cols>
  <sheetData>
    <row r="1" spans="2:18" x14ac:dyDescent="0.3">
      <c r="F1" s="7" t="s">
        <v>2226</v>
      </c>
    </row>
    <row r="3" spans="2:18" x14ac:dyDescent="0.3">
      <c r="B3" s="5" t="s">
        <v>2227</v>
      </c>
      <c r="D3" s="6" t="s">
        <v>2228</v>
      </c>
      <c r="E3" s="3"/>
      <c r="F3" s="19" t="s">
        <v>162</v>
      </c>
      <c r="H3" s="2" t="s">
        <v>2229</v>
      </c>
      <c r="I3" s="3"/>
      <c r="J3" s="2" t="s">
        <v>2230</v>
      </c>
      <c r="K3" s="3"/>
      <c r="L3" s="2" t="s">
        <v>2231</v>
      </c>
      <c r="M3" s="3"/>
      <c r="N3" s="2" t="s">
        <v>2232</v>
      </c>
      <c r="O3" s="3"/>
      <c r="P3" s="2" t="s">
        <v>2233</v>
      </c>
      <c r="Q3" s="1"/>
      <c r="R3" s="4" t="s">
        <v>2234</v>
      </c>
    </row>
    <row r="4" spans="2:18" x14ac:dyDescent="0.3">
      <c r="B4" s="20" t="s">
        <v>1</v>
      </c>
      <c r="D4" s="21" t="s">
        <v>56</v>
      </c>
      <c r="F4" s="22" t="s">
        <v>228</v>
      </c>
      <c r="H4" s="22" t="s">
        <v>60</v>
      </c>
      <c r="J4" s="22" t="s">
        <v>10</v>
      </c>
      <c r="L4" s="22" t="s">
        <v>240</v>
      </c>
      <c r="N4" s="22" t="s">
        <v>281</v>
      </c>
      <c r="P4" t="s">
        <v>435</v>
      </c>
      <c r="R4" t="s">
        <v>2235</v>
      </c>
    </row>
    <row r="5" spans="2:18" x14ac:dyDescent="0.3">
      <c r="B5" s="20" t="s">
        <v>130</v>
      </c>
      <c r="D5" s="21" t="s">
        <v>131</v>
      </c>
      <c r="F5" s="22" t="s">
        <v>2236</v>
      </c>
      <c r="H5" s="22" t="s">
        <v>184</v>
      </c>
      <c r="J5" s="22" t="s">
        <v>167</v>
      </c>
      <c r="L5" s="22" t="s">
        <v>401</v>
      </c>
      <c r="N5" s="22" t="s">
        <v>234</v>
      </c>
      <c r="P5" t="s">
        <v>157</v>
      </c>
      <c r="R5" t="s">
        <v>874</v>
      </c>
    </row>
    <row r="6" spans="2:18" x14ac:dyDescent="0.3">
      <c r="B6" s="20" t="s">
        <v>334</v>
      </c>
      <c r="D6" s="19" t="s">
        <v>162</v>
      </c>
      <c r="F6" s="22" t="s">
        <v>1332</v>
      </c>
      <c r="H6" s="22" t="s">
        <v>1415</v>
      </c>
      <c r="J6" s="22" t="s">
        <v>274</v>
      </c>
      <c r="L6" s="22" t="s">
        <v>105</v>
      </c>
      <c r="N6" s="22" t="s">
        <v>2237</v>
      </c>
      <c r="P6" t="s">
        <v>122</v>
      </c>
      <c r="R6" t="s">
        <v>686</v>
      </c>
    </row>
    <row r="7" spans="2:18" x14ac:dyDescent="0.3">
      <c r="B7" s="20" t="s">
        <v>2238</v>
      </c>
      <c r="D7" t="s">
        <v>356</v>
      </c>
      <c r="F7" s="22" t="s">
        <v>242</v>
      </c>
      <c r="H7" s="22" t="s">
        <v>312</v>
      </c>
      <c r="J7" s="22" t="s">
        <v>374</v>
      </c>
      <c r="L7" s="22" t="s">
        <v>177</v>
      </c>
      <c r="N7" s="22" t="s">
        <v>292</v>
      </c>
      <c r="P7" t="s">
        <v>103</v>
      </c>
      <c r="R7" t="s">
        <v>224</v>
      </c>
    </row>
    <row r="8" spans="2:18" x14ac:dyDescent="0.3">
      <c r="B8" s="20" t="s">
        <v>179</v>
      </c>
      <c r="D8" t="s">
        <v>180</v>
      </c>
      <c r="F8" s="22" t="s">
        <v>252</v>
      </c>
      <c r="H8" s="22" t="s">
        <v>150</v>
      </c>
      <c r="J8" s="22" t="s">
        <v>2239</v>
      </c>
      <c r="L8" s="22" t="s">
        <v>190</v>
      </c>
      <c r="N8" s="22" t="s">
        <v>512</v>
      </c>
      <c r="P8" t="s">
        <v>142</v>
      </c>
      <c r="R8" t="s">
        <v>125</v>
      </c>
    </row>
    <row r="9" spans="2:18" x14ac:dyDescent="0.3">
      <c r="D9" s="19" t="s">
        <v>2240</v>
      </c>
      <c r="F9" s="22" t="s">
        <v>428</v>
      </c>
      <c r="H9" s="22" t="s">
        <v>272</v>
      </c>
      <c r="J9" s="22" t="s">
        <v>2241</v>
      </c>
      <c r="L9" s="22" t="s">
        <v>146</v>
      </c>
      <c r="N9" s="22" t="s">
        <v>201</v>
      </c>
      <c r="P9" t="s">
        <v>333</v>
      </c>
      <c r="R9" t="s">
        <v>145</v>
      </c>
    </row>
    <row r="10" spans="2:18" x14ac:dyDescent="0.3">
      <c r="F10" s="22" t="s">
        <v>2242</v>
      </c>
      <c r="H10" s="22" t="s">
        <v>585</v>
      </c>
      <c r="J10" s="22" t="s">
        <v>9</v>
      </c>
      <c r="L10" s="22" t="s">
        <v>79</v>
      </c>
      <c r="N10" s="22" t="s">
        <v>101</v>
      </c>
      <c r="P10" t="s">
        <v>1128</v>
      </c>
      <c r="R10" t="s">
        <v>262</v>
      </c>
    </row>
    <row r="11" spans="2:18" x14ac:dyDescent="0.3">
      <c r="F11" s="22" t="s">
        <v>2243</v>
      </c>
      <c r="H11" s="22" t="s">
        <v>360</v>
      </c>
      <c r="J11" s="22" t="s">
        <v>2244</v>
      </c>
      <c r="N11" s="22" t="s">
        <v>575</v>
      </c>
      <c r="P11" t="s">
        <v>249</v>
      </c>
      <c r="R11" t="s">
        <v>2245</v>
      </c>
    </row>
    <row r="12" spans="2:18" x14ac:dyDescent="0.3">
      <c r="F12" s="22" t="s">
        <v>2246</v>
      </c>
      <c r="H12" s="22" t="s">
        <v>324</v>
      </c>
      <c r="J12" s="22" t="s">
        <v>1120</v>
      </c>
      <c r="N12" s="22" t="s">
        <v>120</v>
      </c>
      <c r="P12" t="s">
        <v>235</v>
      </c>
      <c r="R12" t="s">
        <v>76</v>
      </c>
    </row>
    <row r="13" spans="2:18" x14ac:dyDescent="0.3">
      <c r="B13" s="22" t="s">
        <v>4</v>
      </c>
      <c r="H13" s="22" t="s">
        <v>2247</v>
      </c>
      <c r="J13" s="22" t="s">
        <v>1187</v>
      </c>
      <c r="N13" s="22" t="s">
        <v>267</v>
      </c>
      <c r="P13" t="s">
        <v>73</v>
      </c>
      <c r="R13" t="s">
        <v>654</v>
      </c>
    </row>
    <row r="14" spans="2:18" x14ac:dyDescent="0.3">
      <c r="B14" s="22" t="s">
        <v>113</v>
      </c>
      <c r="H14" s="22" t="s">
        <v>337</v>
      </c>
      <c r="J14" s="22" t="s">
        <v>1284</v>
      </c>
      <c r="N14" s="22" t="s">
        <v>2248</v>
      </c>
      <c r="P14" t="s">
        <v>260</v>
      </c>
      <c r="R14" t="s">
        <v>532</v>
      </c>
    </row>
    <row r="15" spans="2:18" x14ac:dyDescent="0.3">
      <c r="B15" s="22" t="s">
        <v>62</v>
      </c>
      <c r="F15" s="21" t="s">
        <v>56</v>
      </c>
      <c r="J15" s="22" t="s">
        <v>11</v>
      </c>
      <c r="N15" s="22" t="s">
        <v>682</v>
      </c>
      <c r="P15" t="s">
        <v>2249</v>
      </c>
      <c r="R15" t="s">
        <v>505</v>
      </c>
    </row>
    <row r="16" spans="2:18" x14ac:dyDescent="0.3">
      <c r="F16" t="s">
        <v>59</v>
      </c>
      <c r="J16" s="22" t="s">
        <v>2250</v>
      </c>
      <c r="N16" s="22" t="s">
        <v>71</v>
      </c>
      <c r="P16" t="s">
        <v>1802</v>
      </c>
      <c r="R16" t="s">
        <v>294</v>
      </c>
    </row>
    <row r="17" spans="2:18" x14ac:dyDescent="0.3">
      <c r="F17" t="s">
        <v>947</v>
      </c>
      <c r="J17" s="22" t="s">
        <v>2251</v>
      </c>
      <c r="N17" s="22" t="s">
        <v>419</v>
      </c>
      <c r="R17" t="s">
        <v>238</v>
      </c>
    </row>
    <row r="18" spans="2:18" x14ac:dyDescent="0.3">
      <c r="F18" t="s">
        <v>2252</v>
      </c>
      <c r="J18" s="22" t="s">
        <v>393</v>
      </c>
    </row>
    <row r="19" spans="2:18" x14ac:dyDescent="0.3">
      <c r="B19" t="s">
        <v>17</v>
      </c>
      <c r="F19" t="s">
        <v>2253</v>
      </c>
    </row>
    <row r="20" spans="2:18" x14ac:dyDescent="0.3">
      <c r="B20" s="15" t="s">
        <v>358</v>
      </c>
      <c r="C20" s="14"/>
      <c r="F20" t="s">
        <v>2254</v>
      </c>
    </row>
    <row r="21" spans="2:18" x14ac:dyDescent="0.3">
      <c r="B21" s="15" t="s">
        <v>736</v>
      </c>
      <c r="C21" s="14"/>
      <c r="F21" t="s">
        <v>111</v>
      </c>
    </row>
    <row r="22" spans="2:18" x14ac:dyDescent="0.3">
      <c r="B22" s="15" t="s">
        <v>58</v>
      </c>
      <c r="C22" s="14"/>
      <c r="F22" t="s">
        <v>205</v>
      </c>
    </row>
    <row r="23" spans="2:18" x14ac:dyDescent="0.3">
      <c r="B23" s="15" t="s">
        <v>707</v>
      </c>
      <c r="C23" s="14"/>
      <c r="F23" t="s">
        <v>2255</v>
      </c>
    </row>
    <row r="24" spans="2:18" x14ac:dyDescent="0.3">
      <c r="B24" s="15" t="s">
        <v>1506</v>
      </c>
      <c r="C24" s="14"/>
      <c r="F24" t="s">
        <v>972</v>
      </c>
    </row>
    <row r="25" spans="2:18" x14ac:dyDescent="0.3">
      <c r="B25" s="28" t="s">
        <v>759</v>
      </c>
      <c r="C25" s="14"/>
      <c r="F25" t="s">
        <v>498</v>
      </c>
    </row>
    <row r="26" spans="2:18" x14ac:dyDescent="0.3">
      <c r="B26" s="15" t="s">
        <v>2256</v>
      </c>
      <c r="C26" s="14"/>
      <c r="F26" t="s">
        <v>322</v>
      </c>
    </row>
    <row r="27" spans="2:18" x14ac:dyDescent="0.3">
      <c r="B27" s="15" t="s">
        <v>110</v>
      </c>
      <c r="C27" s="14"/>
      <c r="F27" t="s">
        <v>2257</v>
      </c>
    </row>
    <row r="28" spans="2:18" x14ac:dyDescent="0.3">
      <c r="B28" s="15" t="s">
        <v>164</v>
      </c>
      <c r="C28" s="14"/>
      <c r="F28" t="s">
        <v>769</v>
      </c>
    </row>
    <row r="29" spans="2:18" x14ac:dyDescent="0.3">
      <c r="B29" s="15" t="s">
        <v>204</v>
      </c>
      <c r="C29" s="14"/>
      <c r="F29" t="s">
        <v>706</v>
      </c>
    </row>
    <row r="30" spans="2:18" x14ac:dyDescent="0.3">
      <c r="B30" s="15" t="s">
        <v>192</v>
      </c>
      <c r="C30" s="14"/>
      <c r="F30" t="s">
        <v>372</v>
      </c>
    </row>
    <row r="31" spans="2:18" x14ac:dyDescent="0.3">
      <c r="B31" s="15" t="s">
        <v>148</v>
      </c>
      <c r="C31" s="14"/>
      <c r="F31" t="s">
        <v>391</v>
      </c>
    </row>
    <row r="32" spans="2:18" x14ac:dyDescent="0.3">
      <c r="B32" s="15" t="s">
        <v>132</v>
      </c>
      <c r="C32" s="14"/>
      <c r="F32" s="21" t="s">
        <v>131</v>
      </c>
    </row>
    <row r="33" spans="2:6" x14ac:dyDescent="0.3">
      <c r="B33" s="15" t="s">
        <v>182</v>
      </c>
      <c r="C33" s="14"/>
      <c r="F33" s="22" t="s">
        <v>149</v>
      </c>
    </row>
    <row r="34" spans="2:6" x14ac:dyDescent="0.3">
      <c r="B34" s="15" t="s">
        <v>323</v>
      </c>
      <c r="F34" s="22" t="s">
        <v>193</v>
      </c>
    </row>
    <row r="35" spans="2:6" x14ac:dyDescent="0.3">
      <c r="B35" s="15"/>
      <c r="F35" s="22" t="s">
        <v>133</v>
      </c>
    </row>
    <row r="36" spans="2:6" x14ac:dyDescent="0.3">
      <c r="F36" s="22" t="s">
        <v>811</v>
      </c>
    </row>
    <row r="37" spans="2:6" x14ac:dyDescent="0.3">
      <c r="F37" s="22" t="s">
        <v>1133</v>
      </c>
    </row>
    <row r="38" spans="2:6" x14ac:dyDescent="0.3">
      <c r="F38" s="22" t="s">
        <v>2258</v>
      </c>
    </row>
    <row r="39" spans="2:6" x14ac:dyDescent="0.3">
      <c r="F39" s="22" t="s">
        <v>2259</v>
      </c>
    </row>
    <row r="40" spans="2:6" x14ac:dyDescent="0.3">
      <c r="F40" s="22" t="s">
        <v>2260</v>
      </c>
    </row>
    <row r="42" spans="2:6" x14ac:dyDescent="0.3">
      <c r="F42" t="s">
        <v>356</v>
      </c>
    </row>
    <row r="43" spans="2:6" x14ac:dyDescent="0.3">
      <c r="F43" t="s">
        <v>2261</v>
      </c>
    </row>
    <row r="44" spans="2:6" x14ac:dyDescent="0.3">
      <c r="F44" t="s">
        <v>2262</v>
      </c>
    </row>
    <row r="45" spans="2:6" x14ac:dyDescent="0.3">
      <c r="F45" t="s">
        <v>2263</v>
      </c>
    </row>
    <row r="46" spans="2:6" x14ac:dyDescent="0.3">
      <c r="F46" t="s">
        <v>359</v>
      </c>
    </row>
    <row r="47" spans="2:6" x14ac:dyDescent="0.3">
      <c r="F47" t="s">
        <v>677</v>
      </c>
    </row>
    <row r="49" spans="6:6" x14ac:dyDescent="0.3">
      <c r="F49" t="s">
        <v>180</v>
      </c>
    </row>
    <row r="50" spans="6:6" x14ac:dyDescent="0.3">
      <c r="F50" t="s">
        <v>889</v>
      </c>
    </row>
    <row r="51" spans="6:6" x14ac:dyDescent="0.3">
      <c r="F51" t="s">
        <v>336</v>
      </c>
    </row>
    <row r="52" spans="6:6" x14ac:dyDescent="0.3">
      <c r="F52" t="s">
        <v>183</v>
      </c>
    </row>
    <row r="53" spans="6:6" x14ac:dyDescent="0.3">
      <c r="F53" t="s">
        <v>2238</v>
      </c>
    </row>
  </sheetData>
  <pageMargins left="0.7" right="0.7" top="0.75" bottom="0.75" header="0.3" footer="0.3"/>
  <pageSetup paperSize="9" orientation="portrait" r:id="rId1"/>
  <customProperties>
    <customPr name="_pios_id" r:id="rId2"/>
    <customPr name="IbpWorksheetKeyString_GUID" r:id="rId3"/>
  </customProperties>
  <tableParts count="15">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51"/>
  <sheetViews>
    <sheetView topLeftCell="A34" workbookViewId="0">
      <selection activeCell="N8" sqref="N8"/>
    </sheetView>
  </sheetViews>
  <sheetFormatPr baseColWidth="10" defaultColWidth="8.5546875" defaultRowHeight="14.4" x14ac:dyDescent="0.3"/>
  <cols>
    <col min="2" max="2" width="35.44140625" bestFit="1" customWidth="1"/>
    <col min="3" max="3" width="23.5546875" style="1" bestFit="1" customWidth="1"/>
    <col min="4" max="4" width="7.33203125" style="1" bestFit="1" customWidth="1"/>
    <col min="5" max="5" width="5.6640625" style="1" bestFit="1" customWidth="1"/>
    <col min="6" max="6" width="4.6640625" style="1" bestFit="1" customWidth="1"/>
    <col min="7" max="8" width="5.33203125" bestFit="1" customWidth="1"/>
    <col min="9" max="11" width="1.6640625" bestFit="1" customWidth="1"/>
    <col min="12" max="14" width="2.6640625" bestFit="1" customWidth="1"/>
    <col min="15" max="34" width="6.44140625" customWidth="1"/>
  </cols>
  <sheetData>
    <row r="1" spans="2:18" x14ac:dyDescent="0.3">
      <c r="B1" s="8" t="s">
        <v>4</v>
      </c>
      <c r="C1" t="s">
        <v>113</v>
      </c>
    </row>
    <row r="2" spans="2:18" x14ac:dyDescent="0.3">
      <c r="B2" s="8" t="s">
        <v>6</v>
      </c>
      <c r="C2" t="s">
        <v>3</v>
      </c>
      <c r="D2"/>
      <c r="E2"/>
      <c r="F2"/>
    </row>
    <row r="3" spans="2:18" x14ac:dyDescent="0.3">
      <c r="C3"/>
      <c r="D3"/>
      <c r="E3"/>
      <c r="F3"/>
    </row>
    <row r="4" spans="2:18" s="11" customFormat="1" ht="15" customHeight="1" x14ac:dyDescent="0.3">
      <c r="B4" s="8" t="s">
        <v>2264</v>
      </c>
      <c r="C4" s="10" t="s">
        <v>2265</v>
      </c>
      <c r="D4" s="1"/>
      <c r="E4" s="1"/>
      <c r="F4" s="1"/>
      <c r="G4" s="1"/>
      <c r="H4" s="1"/>
      <c r="I4" s="1"/>
      <c r="J4" s="1"/>
      <c r="K4" s="1"/>
      <c r="L4" s="1"/>
      <c r="M4" s="1"/>
      <c r="N4" s="1"/>
      <c r="O4" s="1"/>
      <c r="P4"/>
      <c r="Q4"/>
      <c r="R4"/>
    </row>
    <row r="5" spans="2:18" ht="41.4" x14ac:dyDescent="0.3">
      <c r="B5" s="8" t="s">
        <v>7</v>
      </c>
      <c r="C5" s="32" t="s">
        <v>2266</v>
      </c>
      <c r="D5" s="32" t="s">
        <v>2267</v>
      </c>
      <c r="E5" s="29" t="s">
        <v>2268</v>
      </c>
      <c r="F5" s="29" t="s">
        <v>2269</v>
      </c>
      <c r="G5" s="29" t="s">
        <v>2270</v>
      </c>
      <c r="H5" s="29" t="s">
        <v>2271</v>
      </c>
      <c r="I5" s="34">
        <v>7</v>
      </c>
      <c r="J5" s="34">
        <v>8</v>
      </c>
      <c r="K5">
        <v>9</v>
      </c>
      <c r="L5">
        <v>10</v>
      </c>
      <c r="M5">
        <v>11</v>
      </c>
      <c r="N5">
        <v>12</v>
      </c>
      <c r="O5" s="131" t="s">
        <v>12</v>
      </c>
    </row>
    <row r="6" spans="2:18" x14ac:dyDescent="0.3">
      <c r="B6" s="33" t="s">
        <v>111</v>
      </c>
      <c r="C6" s="29">
        <v>1</v>
      </c>
      <c r="D6" s="29"/>
      <c r="E6" s="29"/>
      <c r="F6" s="29"/>
      <c r="G6" s="29"/>
      <c r="H6" s="29"/>
      <c r="I6" s="29"/>
      <c r="J6" s="29">
        <v>1</v>
      </c>
      <c r="K6" s="29">
        <v>4</v>
      </c>
      <c r="L6" s="29">
        <v>1</v>
      </c>
      <c r="M6" s="29"/>
      <c r="N6" s="29"/>
      <c r="O6" s="29">
        <v>7</v>
      </c>
    </row>
    <row r="7" spans="2:18" x14ac:dyDescent="0.3">
      <c r="B7" s="33" t="s">
        <v>59</v>
      </c>
      <c r="C7" s="29"/>
      <c r="D7" s="29">
        <v>2</v>
      </c>
      <c r="E7" s="29">
        <v>1</v>
      </c>
      <c r="F7" s="29"/>
      <c r="G7" s="29"/>
      <c r="H7" s="29"/>
      <c r="I7" s="29"/>
      <c r="J7" s="29"/>
      <c r="K7" s="29">
        <v>2</v>
      </c>
      <c r="L7" s="29">
        <v>2</v>
      </c>
      <c r="M7" s="29"/>
      <c r="N7" s="29"/>
      <c r="O7" s="29">
        <v>7</v>
      </c>
    </row>
    <row r="8" spans="2:18" x14ac:dyDescent="0.3">
      <c r="B8" s="33" t="s">
        <v>149</v>
      </c>
      <c r="C8" s="29">
        <v>1</v>
      </c>
      <c r="D8" s="29"/>
      <c r="E8" s="29"/>
      <c r="F8" s="29"/>
      <c r="G8" s="29"/>
      <c r="H8" s="29"/>
      <c r="I8" s="29"/>
      <c r="J8" s="29"/>
      <c r="K8" s="29"/>
      <c r="L8" s="29">
        <v>1</v>
      </c>
      <c r="M8" s="29"/>
      <c r="N8" s="29"/>
      <c r="O8" s="29">
        <v>2</v>
      </c>
    </row>
    <row r="9" spans="2:18" x14ac:dyDescent="0.3">
      <c r="B9" s="33" t="s">
        <v>193</v>
      </c>
      <c r="C9" s="29"/>
      <c r="D9" s="29"/>
      <c r="E9" s="29"/>
      <c r="F9" s="29">
        <v>1</v>
      </c>
      <c r="G9" s="29"/>
      <c r="H9" s="29"/>
      <c r="I9" s="29"/>
      <c r="J9" s="29"/>
      <c r="K9" s="29"/>
      <c r="L9" s="29"/>
      <c r="M9" s="29"/>
      <c r="N9" s="29"/>
      <c r="O9" s="29">
        <v>1</v>
      </c>
    </row>
    <row r="10" spans="2:18" x14ac:dyDescent="0.3">
      <c r="B10" s="33" t="s">
        <v>428</v>
      </c>
      <c r="C10" s="29"/>
      <c r="D10" s="29">
        <v>1</v>
      </c>
      <c r="E10" s="29">
        <v>1</v>
      </c>
      <c r="F10" s="29">
        <v>1</v>
      </c>
      <c r="G10" s="29"/>
      <c r="H10" s="29">
        <v>1</v>
      </c>
      <c r="I10" s="29">
        <v>2</v>
      </c>
      <c r="J10" s="29"/>
      <c r="K10" s="29">
        <v>2</v>
      </c>
      <c r="L10" s="29"/>
      <c r="M10" s="29"/>
      <c r="N10" s="29"/>
      <c r="O10" s="29">
        <v>8</v>
      </c>
    </row>
    <row r="11" spans="2:18" x14ac:dyDescent="0.3">
      <c r="B11" s="33" t="s">
        <v>228</v>
      </c>
      <c r="C11" s="29"/>
      <c r="D11" s="29"/>
      <c r="E11" s="29">
        <v>1</v>
      </c>
      <c r="F11" s="29">
        <v>1</v>
      </c>
      <c r="G11" s="29">
        <v>1</v>
      </c>
      <c r="H11" s="29"/>
      <c r="I11" s="29">
        <v>2</v>
      </c>
      <c r="J11" s="29"/>
      <c r="K11" s="29"/>
      <c r="L11" s="29"/>
      <c r="M11" s="29"/>
      <c r="N11" s="29"/>
      <c r="O11" s="29">
        <v>5</v>
      </c>
    </row>
    <row r="12" spans="2:18" x14ac:dyDescent="0.3">
      <c r="B12" s="9" t="s">
        <v>322</v>
      </c>
      <c r="C12" s="29"/>
      <c r="D12" s="29"/>
      <c r="E12" s="29"/>
      <c r="F12" s="29"/>
      <c r="G12" s="29"/>
      <c r="H12" s="29">
        <v>1</v>
      </c>
      <c r="I12" s="29"/>
      <c r="J12" s="29"/>
      <c r="K12" s="29"/>
      <c r="L12" s="29"/>
      <c r="M12" s="29"/>
      <c r="N12" s="29"/>
      <c r="O12" s="29">
        <v>1</v>
      </c>
    </row>
    <row r="13" spans="2:18" x14ac:dyDescent="0.3">
      <c r="B13" s="9" t="s">
        <v>183</v>
      </c>
      <c r="C13" s="29">
        <v>1</v>
      </c>
      <c r="D13" s="29"/>
      <c r="E13" s="29"/>
      <c r="F13" s="29"/>
      <c r="G13" s="29"/>
      <c r="H13" s="29"/>
      <c r="I13" s="29"/>
      <c r="J13" s="29"/>
      <c r="K13" s="29"/>
      <c r="L13" s="29"/>
      <c r="M13" s="29"/>
      <c r="N13" s="29"/>
      <c r="O13" s="29">
        <v>1</v>
      </c>
    </row>
    <row r="14" spans="2:18" ht="17.100000000000001" customHeight="1" x14ac:dyDescent="0.3">
      <c r="B14" s="9" t="s">
        <v>205</v>
      </c>
      <c r="C14" s="29">
        <v>1</v>
      </c>
      <c r="D14" s="29"/>
      <c r="E14" s="29">
        <v>1</v>
      </c>
      <c r="F14" s="29"/>
      <c r="G14" s="29"/>
      <c r="H14" s="29"/>
      <c r="I14" s="29"/>
      <c r="J14" s="29"/>
      <c r="K14" s="29"/>
      <c r="L14" s="29"/>
      <c r="M14" s="29"/>
      <c r="N14" s="29"/>
      <c r="O14" s="29">
        <v>2</v>
      </c>
    </row>
    <row r="15" spans="2:18" x14ac:dyDescent="0.3">
      <c r="B15" s="9" t="s">
        <v>677</v>
      </c>
      <c r="C15" s="29"/>
      <c r="D15" s="29"/>
      <c r="E15" s="29"/>
      <c r="F15" s="29"/>
      <c r="G15" s="29"/>
      <c r="H15" s="29"/>
      <c r="I15" s="29"/>
      <c r="J15" s="29"/>
      <c r="K15" s="29"/>
      <c r="L15" s="29"/>
      <c r="M15" s="29">
        <v>1</v>
      </c>
      <c r="N15" s="29"/>
      <c r="O15" s="29">
        <v>1</v>
      </c>
    </row>
    <row r="16" spans="2:18" x14ac:dyDescent="0.3">
      <c r="B16" s="9" t="s">
        <v>737</v>
      </c>
      <c r="C16" s="29"/>
      <c r="D16" s="29"/>
      <c r="E16" s="29"/>
      <c r="F16" s="29"/>
      <c r="G16" s="29"/>
      <c r="H16" s="29"/>
      <c r="I16" s="29"/>
      <c r="J16" s="29"/>
      <c r="K16" s="29">
        <v>1</v>
      </c>
      <c r="L16" s="29">
        <v>1</v>
      </c>
      <c r="M16" s="29"/>
      <c r="N16" s="29"/>
      <c r="O16" s="29">
        <v>2</v>
      </c>
    </row>
    <row r="17" spans="2:18" x14ac:dyDescent="0.3">
      <c r="B17" s="9" t="s">
        <v>706</v>
      </c>
      <c r="C17" s="29"/>
      <c r="D17" s="29"/>
      <c r="E17" s="29"/>
      <c r="F17" s="29">
        <v>1</v>
      </c>
      <c r="G17" s="29">
        <v>2</v>
      </c>
      <c r="H17" s="29"/>
      <c r="I17" s="29"/>
      <c r="J17" s="29"/>
      <c r="K17" s="29"/>
      <c r="L17" s="29"/>
      <c r="M17" s="29"/>
      <c r="N17" s="29"/>
      <c r="O17" s="29">
        <v>3</v>
      </c>
    </row>
    <row r="18" spans="2:18" s="12" customFormat="1" ht="16.350000000000001" customHeight="1" x14ac:dyDescent="0.3">
      <c r="B18" s="9" t="s">
        <v>889</v>
      </c>
      <c r="C18" s="29"/>
      <c r="D18" s="29"/>
      <c r="E18" s="29"/>
      <c r="F18" s="29">
        <v>1</v>
      </c>
      <c r="G18" s="29"/>
      <c r="H18" s="29"/>
      <c r="I18" s="29"/>
      <c r="J18" s="29"/>
      <c r="K18" s="29"/>
      <c r="L18" s="29"/>
      <c r="M18" s="29"/>
      <c r="N18" s="29"/>
      <c r="O18" s="29">
        <v>1</v>
      </c>
      <c r="P18"/>
      <c r="Q18"/>
      <c r="R18"/>
    </row>
    <row r="19" spans="2:18" x14ac:dyDescent="0.3">
      <c r="B19" s="9" t="s">
        <v>947</v>
      </c>
      <c r="C19" s="29"/>
      <c r="D19" s="29"/>
      <c r="E19" s="29"/>
      <c r="F19" s="29"/>
      <c r="G19" s="29">
        <v>1</v>
      </c>
      <c r="H19" s="29"/>
      <c r="I19" s="29"/>
      <c r="J19" s="29"/>
      <c r="K19" s="29"/>
      <c r="L19" s="29"/>
      <c r="M19" s="29"/>
      <c r="N19" s="29"/>
      <c r="O19" s="29">
        <v>1</v>
      </c>
    </row>
    <row r="20" spans="2:18" x14ac:dyDescent="0.3">
      <c r="B20" s="9" t="s">
        <v>1314</v>
      </c>
      <c r="C20" s="29"/>
      <c r="D20" s="29"/>
      <c r="E20" s="29"/>
      <c r="F20" s="29"/>
      <c r="G20" s="29"/>
      <c r="H20" s="29"/>
      <c r="I20" s="29"/>
      <c r="J20" s="29">
        <v>1</v>
      </c>
      <c r="K20" s="29"/>
      <c r="L20" s="29"/>
      <c r="M20" s="29">
        <v>1</v>
      </c>
      <c r="N20" s="29"/>
      <c r="O20" s="29">
        <v>2</v>
      </c>
    </row>
    <row r="21" spans="2:18" ht="12" customHeight="1" x14ac:dyDescent="0.3">
      <c r="B21" s="9" t="s">
        <v>1507</v>
      </c>
      <c r="C21" s="29"/>
      <c r="D21" s="29"/>
      <c r="E21" s="29"/>
      <c r="F21" s="29"/>
      <c r="G21" s="29"/>
      <c r="H21" s="29"/>
      <c r="I21" s="29"/>
      <c r="J21" s="29">
        <v>1</v>
      </c>
      <c r="K21" s="29"/>
      <c r="L21" s="29">
        <v>1</v>
      </c>
      <c r="M21" s="29">
        <v>1</v>
      </c>
      <c r="N21" s="29">
        <v>1</v>
      </c>
      <c r="O21" s="29">
        <v>4</v>
      </c>
    </row>
    <row r="22" spans="2:18" x14ac:dyDescent="0.3">
      <c r="B22" s="9" t="s">
        <v>165</v>
      </c>
      <c r="C22" s="29">
        <v>1</v>
      </c>
      <c r="D22" s="29"/>
      <c r="E22" s="29"/>
      <c r="F22" s="29">
        <v>1</v>
      </c>
      <c r="G22" s="29"/>
      <c r="H22" s="29"/>
      <c r="I22" s="29">
        <v>2</v>
      </c>
      <c r="J22" s="29"/>
      <c r="K22" s="29"/>
      <c r="L22" s="29"/>
      <c r="M22" s="29">
        <v>1</v>
      </c>
      <c r="N22" s="29">
        <v>1</v>
      </c>
      <c r="O22" s="29">
        <v>6</v>
      </c>
    </row>
    <row r="23" spans="2:18" x14ac:dyDescent="0.3">
      <c r="B23" s="30" t="s">
        <v>12</v>
      </c>
      <c r="C23" s="32">
        <v>5</v>
      </c>
      <c r="D23" s="32">
        <v>3</v>
      </c>
      <c r="E23" s="32">
        <v>4</v>
      </c>
      <c r="F23" s="32">
        <v>6</v>
      </c>
      <c r="G23" s="32">
        <v>4</v>
      </c>
      <c r="H23" s="32">
        <v>2</v>
      </c>
      <c r="I23" s="32">
        <v>6</v>
      </c>
      <c r="J23" s="32">
        <v>3</v>
      </c>
      <c r="K23" s="32">
        <v>9</v>
      </c>
      <c r="L23" s="32">
        <v>6</v>
      </c>
      <c r="M23" s="32">
        <v>4</v>
      </c>
      <c r="N23" s="32">
        <v>2</v>
      </c>
      <c r="O23" s="32">
        <v>54</v>
      </c>
    </row>
    <row r="24" spans="2:18" x14ac:dyDescent="0.3">
      <c r="C24"/>
      <c r="D24"/>
      <c r="E24"/>
      <c r="F24"/>
    </row>
    <row r="25" spans="2:18" x14ac:dyDescent="0.3">
      <c r="C25"/>
      <c r="D25"/>
      <c r="E25"/>
      <c r="F25"/>
    </row>
    <row r="26" spans="2:18" x14ac:dyDescent="0.3">
      <c r="C26"/>
      <c r="D26"/>
      <c r="E26"/>
      <c r="F26"/>
    </row>
    <row r="27" spans="2:18" x14ac:dyDescent="0.3">
      <c r="C27"/>
      <c r="D27"/>
      <c r="E27"/>
      <c r="F27"/>
    </row>
    <row r="28" spans="2:18" x14ac:dyDescent="0.3">
      <c r="C28"/>
      <c r="D28"/>
      <c r="E28"/>
      <c r="F28"/>
    </row>
    <row r="29" spans="2:18" x14ac:dyDescent="0.3">
      <c r="C29"/>
      <c r="D29"/>
      <c r="E29"/>
      <c r="F29"/>
    </row>
    <row r="30" spans="2:18" x14ac:dyDescent="0.3">
      <c r="C30"/>
      <c r="D30"/>
      <c r="E30"/>
      <c r="F30"/>
    </row>
    <row r="31" spans="2:18" x14ac:dyDescent="0.3">
      <c r="C31"/>
      <c r="D31"/>
      <c r="E31"/>
      <c r="F31"/>
    </row>
    <row r="32" spans="2:18" x14ac:dyDescent="0.3">
      <c r="C32"/>
      <c r="D32"/>
      <c r="E32"/>
      <c r="F32"/>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sheetData>
  <pageMargins left="0.7" right="0.7" top="0.75" bottom="0.75" header="0.3" footer="0.3"/>
  <customProperties>
    <customPr name="_pios_id" r:id="rId2"/>
    <customPr name="IbpWorksheetKeyString_GUID" r:id="rId3"/>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B54"/>
  <sheetViews>
    <sheetView topLeftCell="B18" workbookViewId="0">
      <selection activeCell="B18" sqref="B18"/>
    </sheetView>
  </sheetViews>
  <sheetFormatPr baseColWidth="10" defaultColWidth="11.44140625" defaultRowHeight="14.4" x14ac:dyDescent="0.3"/>
  <cols>
    <col min="2" max="2" width="28.5546875" bestFit="1" customWidth="1"/>
    <col min="3" max="3" width="25.44140625" bestFit="1" customWidth="1"/>
  </cols>
  <sheetData>
    <row r="3" spans="2:2" x14ac:dyDescent="0.3">
      <c r="B3" s="8" t="s">
        <v>7</v>
      </c>
    </row>
    <row r="4" spans="2:2" x14ac:dyDescent="0.3">
      <c r="B4" s="9" t="s">
        <v>131</v>
      </c>
    </row>
    <row r="5" spans="2:2" x14ac:dyDescent="0.3">
      <c r="B5" s="9" t="s">
        <v>56</v>
      </c>
    </row>
    <row r="6" spans="2:2" x14ac:dyDescent="0.3">
      <c r="B6" s="16" t="s">
        <v>498</v>
      </c>
    </row>
    <row r="7" spans="2:2" x14ac:dyDescent="0.3">
      <c r="B7" s="18" t="s">
        <v>324</v>
      </c>
    </row>
    <row r="8" spans="2:2" x14ac:dyDescent="0.3">
      <c r="B8" s="16" t="s">
        <v>372</v>
      </c>
    </row>
    <row r="9" spans="2:2" x14ac:dyDescent="0.3">
      <c r="B9" s="16" t="s">
        <v>111</v>
      </c>
    </row>
    <row r="10" spans="2:2" x14ac:dyDescent="0.3">
      <c r="B10" s="16" t="s">
        <v>205</v>
      </c>
    </row>
    <row r="11" spans="2:2" x14ac:dyDescent="0.3">
      <c r="B11" s="17" t="s">
        <v>60</v>
      </c>
    </row>
    <row r="12" spans="2:2" x14ac:dyDescent="0.3">
      <c r="B12" s="16" t="s">
        <v>391</v>
      </c>
    </row>
    <row r="13" spans="2:2" x14ac:dyDescent="0.3">
      <c r="B13" s="18" t="s">
        <v>324</v>
      </c>
    </row>
    <row r="14" spans="2:2" x14ac:dyDescent="0.3">
      <c r="B14" s="16" t="s">
        <v>59</v>
      </c>
    </row>
    <row r="15" spans="2:2" x14ac:dyDescent="0.3">
      <c r="B15" s="17" t="s">
        <v>60</v>
      </c>
    </row>
    <row r="16" spans="2:2" x14ac:dyDescent="0.3">
      <c r="B16" s="16" t="s">
        <v>322</v>
      </c>
    </row>
    <row r="17" spans="2:2" x14ac:dyDescent="0.3">
      <c r="B17" s="17" t="s">
        <v>184</v>
      </c>
    </row>
    <row r="18" spans="2:2" x14ac:dyDescent="0.3">
      <c r="B18" s="16" t="s">
        <v>769</v>
      </c>
    </row>
    <row r="19" spans="2:2" x14ac:dyDescent="0.3">
      <c r="B19" s="17" t="s">
        <v>312</v>
      </c>
    </row>
    <row r="20" spans="2:2" x14ac:dyDescent="0.3">
      <c r="B20" s="16" t="s">
        <v>706</v>
      </c>
    </row>
    <row r="21" spans="2:2" x14ac:dyDescent="0.3">
      <c r="B21" s="17" t="s">
        <v>60</v>
      </c>
    </row>
    <row r="22" spans="2:2" x14ac:dyDescent="0.3">
      <c r="B22" s="16" t="s">
        <v>324</v>
      </c>
    </row>
    <row r="23" spans="2:2" x14ac:dyDescent="0.3">
      <c r="B23" s="17" t="s">
        <v>324</v>
      </c>
    </row>
    <row r="24" spans="2:2" x14ac:dyDescent="0.3">
      <c r="B24" s="16" t="s">
        <v>847</v>
      </c>
    </row>
    <row r="25" spans="2:2" x14ac:dyDescent="0.3">
      <c r="B25" s="17" t="s">
        <v>360</v>
      </c>
    </row>
    <row r="26" spans="2:2" x14ac:dyDescent="0.3">
      <c r="B26" s="9" t="s">
        <v>162</v>
      </c>
    </row>
    <row r="27" spans="2:2" x14ac:dyDescent="0.3">
      <c r="B27" s="16" t="s">
        <v>228</v>
      </c>
    </row>
    <row r="28" spans="2:2" x14ac:dyDescent="0.3">
      <c r="B28" s="17" t="s">
        <v>60</v>
      </c>
    </row>
    <row r="29" spans="2:2" x14ac:dyDescent="0.3">
      <c r="B29" s="17" t="s">
        <v>585</v>
      </c>
    </row>
    <row r="30" spans="2:2" x14ac:dyDescent="0.3">
      <c r="B30" s="16" t="s">
        <v>242</v>
      </c>
    </row>
    <row r="31" spans="2:2" x14ac:dyDescent="0.3">
      <c r="B31" s="17" t="s">
        <v>272</v>
      </c>
    </row>
    <row r="32" spans="2:2" x14ac:dyDescent="0.3">
      <c r="B32" s="17" t="s">
        <v>60</v>
      </c>
    </row>
    <row r="33" spans="2:2" x14ac:dyDescent="0.3">
      <c r="B33" s="16" t="s">
        <v>252</v>
      </c>
    </row>
    <row r="34" spans="2:2" x14ac:dyDescent="0.3">
      <c r="B34" s="17" t="s">
        <v>60</v>
      </c>
    </row>
    <row r="35" spans="2:2" x14ac:dyDescent="0.3">
      <c r="B35" s="16" t="s">
        <v>428</v>
      </c>
    </row>
    <row r="36" spans="2:2" x14ac:dyDescent="0.3">
      <c r="B36" s="17" t="s">
        <v>60</v>
      </c>
    </row>
    <row r="37" spans="2:2" x14ac:dyDescent="0.3">
      <c r="B37" s="16" t="s">
        <v>311</v>
      </c>
    </row>
    <row r="38" spans="2:2" x14ac:dyDescent="0.3">
      <c r="B38" s="17" t="s">
        <v>312</v>
      </c>
    </row>
    <row r="39" spans="2:2" x14ac:dyDescent="0.3">
      <c r="B39" s="16" t="s">
        <v>165</v>
      </c>
    </row>
    <row r="40" spans="2:2" x14ac:dyDescent="0.3">
      <c r="B40" s="17" t="s">
        <v>60</v>
      </c>
    </row>
    <row r="41" spans="2:2" x14ac:dyDescent="0.3">
      <c r="B41" s="9" t="s">
        <v>356</v>
      </c>
    </row>
    <row r="42" spans="2:2" x14ac:dyDescent="0.3">
      <c r="B42" s="16" t="s">
        <v>359</v>
      </c>
    </row>
    <row r="43" spans="2:2" x14ac:dyDescent="0.3">
      <c r="B43" s="17" t="s">
        <v>360</v>
      </c>
    </row>
    <row r="44" spans="2:2" x14ac:dyDescent="0.3">
      <c r="B44" s="16" t="s">
        <v>677</v>
      </c>
    </row>
    <row r="45" spans="2:2" x14ac:dyDescent="0.3">
      <c r="B45" s="17" t="s">
        <v>60</v>
      </c>
    </row>
    <row r="46" spans="2:2" x14ac:dyDescent="0.3">
      <c r="B46" s="17" t="s">
        <v>360</v>
      </c>
    </row>
    <row r="47" spans="2:2" x14ac:dyDescent="0.3">
      <c r="B47" s="16" t="s">
        <v>737</v>
      </c>
    </row>
    <row r="48" spans="2:2" x14ac:dyDescent="0.3">
      <c r="B48" s="17" t="s">
        <v>60</v>
      </c>
    </row>
    <row r="49" spans="2:2" x14ac:dyDescent="0.3">
      <c r="B49" s="9" t="s">
        <v>180</v>
      </c>
    </row>
    <row r="50" spans="2:2" x14ac:dyDescent="0.3">
      <c r="B50" s="16" t="s">
        <v>336</v>
      </c>
    </row>
    <row r="51" spans="2:2" x14ac:dyDescent="0.3">
      <c r="B51" s="17" t="s">
        <v>337</v>
      </c>
    </row>
    <row r="52" spans="2:2" x14ac:dyDescent="0.3">
      <c r="B52" s="16" t="s">
        <v>183</v>
      </c>
    </row>
    <row r="53" spans="2:2" x14ac:dyDescent="0.3">
      <c r="B53" s="17" t="s">
        <v>184</v>
      </c>
    </row>
    <row r="54" spans="2:2" x14ac:dyDescent="0.3">
      <c r="B54" s="9" t="s">
        <v>12</v>
      </c>
    </row>
  </sheetData>
  <pageMargins left="0.7" right="0.7" top="0.75" bottom="0.75" header="0.3" footer="0.3"/>
  <customProperties>
    <customPr name="_pios_id" r:id="rId2"/>
    <customPr name="IbpWorksheetKeyString_GUID"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O45"/>
  <sheetViews>
    <sheetView workbookViewId="0">
      <selection activeCell="B11" sqref="B11"/>
    </sheetView>
  </sheetViews>
  <sheetFormatPr baseColWidth="10" defaultColWidth="8.5546875" defaultRowHeight="14.4" x14ac:dyDescent="0.3"/>
  <cols>
    <col min="2" max="2" width="28.5546875" bestFit="1" customWidth="1"/>
    <col min="3" max="3" width="32.5546875" style="1" bestFit="1" customWidth="1"/>
    <col min="4" max="4" width="25.44140625" style="1" bestFit="1" customWidth="1"/>
    <col min="5" max="5" width="35.44140625" style="1" bestFit="1" customWidth="1"/>
    <col min="6" max="6" width="28.44140625" style="1" hidden="1" customWidth="1"/>
    <col min="7" max="7" width="28.5546875" hidden="1" customWidth="1"/>
    <col min="8" max="8" width="23.44140625" hidden="1" customWidth="1"/>
    <col min="9" max="9" width="6.44140625" bestFit="1" customWidth="1"/>
    <col min="10" max="10" width="16.5546875" bestFit="1" customWidth="1"/>
    <col min="11" max="11" width="21.44140625" bestFit="1" customWidth="1"/>
    <col min="12" max="12" width="19.5546875" bestFit="1" customWidth="1"/>
    <col min="13" max="13" width="23.5546875" bestFit="1" customWidth="1"/>
    <col min="14" max="14" width="6.44140625" bestFit="1" customWidth="1"/>
    <col min="15" max="15" width="7" bestFit="1" customWidth="1"/>
  </cols>
  <sheetData>
    <row r="1" spans="2:15" x14ac:dyDescent="0.3">
      <c r="C1"/>
    </row>
    <row r="2" spans="2:15" x14ac:dyDescent="0.3">
      <c r="B2" s="10" t="s">
        <v>23</v>
      </c>
      <c r="C2" s="9">
        <v>4</v>
      </c>
      <c r="D2"/>
      <c r="E2"/>
      <c r="F2"/>
    </row>
    <row r="3" spans="2:15" x14ac:dyDescent="0.3">
      <c r="B3" s="1"/>
      <c r="C3"/>
      <c r="D3"/>
      <c r="E3"/>
      <c r="F3"/>
    </row>
    <row r="4" spans="2:15" s="11" customFormat="1" ht="15" customHeight="1" x14ac:dyDescent="0.3">
      <c r="B4" s="132" t="s">
        <v>7</v>
      </c>
      <c r="C4" s="11" t="s">
        <v>2264</v>
      </c>
      <c r="D4"/>
      <c r="E4"/>
      <c r="F4"/>
      <c r="G4"/>
      <c r="H4"/>
      <c r="I4"/>
      <c r="J4"/>
      <c r="K4"/>
      <c r="L4"/>
      <c r="M4"/>
      <c r="N4"/>
      <c r="O4"/>
    </row>
    <row r="5" spans="2:15" x14ac:dyDescent="0.3">
      <c r="B5" s="9" t="s">
        <v>56</v>
      </c>
      <c r="C5" s="1">
        <v>7</v>
      </c>
      <c r="D5"/>
      <c r="E5"/>
      <c r="F5"/>
    </row>
    <row r="6" spans="2:15" x14ac:dyDescent="0.3">
      <c r="B6" s="16" t="s">
        <v>111</v>
      </c>
      <c r="C6" s="1">
        <v>2</v>
      </c>
      <c r="D6"/>
      <c r="E6"/>
      <c r="F6"/>
    </row>
    <row r="7" spans="2:15" x14ac:dyDescent="0.3">
      <c r="B7" s="17" t="s">
        <v>60</v>
      </c>
      <c r="C7" s="1">
        <v>2</v>
      </c>
      <c r="D7"/>
      <c r="E7"/>
      <c r="F7"/>
    </row>
    <row r="8" spans="2:15" x14ac:dyDescent="0.3">
      <c r="B8" s="16" t="s">
        <v>59</v>
      </c>
      <c r="C8" s="1">
        <v>1</v>
      </c>
      <c r="D8"/>
      <c r="E8"/>
      <c r="F8"/>
    </row>
    <row r="9" spans="2:15" x14ac:dyDescent="0.3">
      <c r="B9" s="17" t="s">
        <v>60</v>
      </c>
      <c r="C9" s="1">
        <v>1</v>
      </c>
      <c r="D9"/>
      <c r="E9"/>
      <c r="F9"/>
    </row>
    <row r="10" spans="2:15" x14ac:dyDescent="0.3">
      <c r="B10" s="16" t="s">
        <v>322</v>
      </c>
      <c r="C10" s="1">
        <v>1</v>
      </c>
      <c r="D10"/>
      <c r="E10"/>
      <c r="F10"/>
    </row>
    <row r="11" spans="2:15" x14ac:dyDescent="0.3">
      <c r="B11" s="17" t="s">
        <v>184</v>
      </c>
      <c r="C11" s="1">
        <v>1</v>
      </c>
      <c r="D11"/>
      <c r="E11"/>
      <c r="F11"/>
    </row>
    <row r="12" spans="2:15" x14ac:dyDescent="0.3">
      <c r="B12" s="16" t="s">
        <v>205</v>
      </c>
      <c r="C12" s="1">
        <v>1</v>
      </c>
      <c r="D12"/>
      <c r="E12"/>
      <c r="F12"/>
    </row>
    <row r="13" spans="2:15" x14ac:dyDescent="0.3">
      <c r="B13" s="17" t="s">
        <v>60</v>
      </c>
      <c r="C13" s="1">
        <v>1</v>
      </c>
      <c r="D13"/>
      <c r="E13"/>
      <c r="F13"/>
    </row>
    <row r="14" spans="2:15" ht="17.100000000000001" customHeight="1" x14ac:dyDescent="0.3">
      <c r="B14" s="16" t="s">
        <v>706</v>
      </c>
      <c r="C14" s="1">
        <v>1</v>
      </c>
      <c r="D14"/>
      <c r="E14"/>
      <c r="F14"/>
    </row>
    <row r="15" spans="2:15" x14ac:dyDescent="0.3">
      <c r="B15" s="17" t="s">
        <v>60</v>
      </c>
      <c r="C15" s="1">
        <v>1</v>
      </c>
      <c r="D15"/>
      <c r="E15"/>
      <c r="F15"/>
    </row>
    <row r="16" spans="2:15" x14ac:dyDescent="0.3">
      <c r="B16" s="16" t="s">
        <v>847</v>
      </c>
      <c r="C16" s="1">
        <v>1</v>
      </c>
      <c r="D16"/>
      <c r="E16"/>
      <c r="F16"/>
    </row>
    <row r="17" spans="2:15" x14ac:dyDescent="0.3">
      <c r="B17" s="17" t="s">
        <v>360</v>
      </c>
      <c r="C17" s="1">
        <v>1</v>
      </c>
      <c r="D17"/>
      <c r="E17"/>
      <c r="F17"/>
    </row>
    <row r="18" spans="2:15" s="12" customFormat="1" ht="16.350000000000001" customHeight="1" x14ac:dyDescent="0.3">
      <c r="B18" s="9" t="s">
        <v>356</v>
      </c>
      <c r="C18" s="1">
        <v>3</v>
      </c>
      <c r="D18"/>
      <c r="E18"/>
      <c r="F18"/>
      <c r="G18"/>
      <c r="H18"/>
      <c r="I18"/>
      <c r="J18"/>
      <c r="K18"/>
      <c r="L18"/>
      <c r="M18"/>
      <c r="N18"/>
      <c r="O18"/>
    </row>
    <row r="19" spans="2:15" x14ac:dyDescent="0.3">
      <c r="B19" s="16" t="s">
        <v>677</v>
      </c>
      <c r="C19" s="1">
        <v>2</v>
      </c>
      <c r="D19"/>
      <c r="E19"/>
      <c r="F19"/>
    </row>
    <row r="20" spans="2:15" x14ac:dyDescent="0.3">
      <c r="B20" s="17" t="s">
        <v>60</v>
      </c>
      <c r="C20" s="1">
        <v>1</v>
      </c>
      <c r="D20"/>
      <c r="E20"/>
      <c r="F20"/>
    </row>
    <row r="21" spans="2:15" x14ac:dyDescent="0.3">
      <c r="B21" s="17" t="s">
        <v>360</v>
      </c>
      <c r="C21" s="1">
        <v>1</v>
      </c>
      <c r="D21"/>
      <c r="E21"/>
      <c r="F21"/>
    </row>
    <row r="22" spans="2:15" x14ac:dyDescent="0.3">
      <c r="B22" s="16" t="s">
        <v>737</v>
      </c>
      <c r="C22" s="1">
        <v>1</v>
      </c>
      <c r="D22"/>
      <c r="E22"/>
      <c r="F22"/>
    </row>
    <row r="23" spans="2:15" x14ac:dyDescent="0.3">
      <c r="B23" s="17" t="s">
        <v>60</v>
      </c>
      <c r="C23" s="1">
        <v>1</v>
      </c>
      <c r="D23"/>
      <c r="E23"/>
      <c r="F23"/>
    </row>
    <row r="24" spans="2:15" x14ac:dyDescent="0.3">
      <c r="B24" s="9" t="s">
        <v>162</v>
      </c>
      <c r="C24" s="1">
        <v>15</v>
      </c>
      <c r="D24"/>
      <c r="E24"/>
      <c r="F24"/>
    </row>
    <row r="25" spans="2:15" x14ac:dyDescent="0.3">
      <c r="B25" s="16" t="s">
        <v>242</v>
      </c>
      <c r="C25" s="1">
        <v>2</v>
      </c>
      <c r="D25"/>
      <c r="E25"/>
      <c r="F25"/>
    </row>
    <row r="26" spans="2:15" x14ac:dyDescent="0.3">
      <c r="B26" s="17" t="s">
        <v>60</v>
      </c>
      <c r="C26" s="1">
        <v>2</v>
      </c>
      <c r="D26"/>
      <c r="E26"/>
      <c r="F26"/>
    </row>
    <row r="27" spans="2:15" x14ac:dyDescent="0.3">
      <c r="B27" s="16" t="s">
        <v>428</v>
      </c>
      <c r="C27" s="1">
        <v>9</v>
      </c>
      <c r="D27"/>
      <c r="E27"/>
      <c r="F27"/>
    </row>
    <row r="28" spans="2:15" x14ac:dyDescent="0.3">
      <c r="B28" s="17" t="s">
        <v>60</v>
      </c>
      <c r="C28" s="1">
        <v>9</v>
      </c>
      <c r="D28"/>
      <c r="E28"/>
      <c r="F28"/>
    </row>
    <row r="29" spans="2:15" x14ac:dyDescent="0.3">
      <c r="B29" s="16" t="s">
        <v>228</v>
      </c>
      <c r="C29" s="1">
        <v>3</v>
      </c>
      <c r="D29"/>
      <c r="E29"/>
      <c r="F29"/>
    </row>
    <row r="30" spans="2:15" x14ac:dyDescent="0.3">
      <c r="B30" s="17" t="s">
        <v>60</v>
      </c>
      <c r="C30" s="1">
        <v>3</v>
      </c>
      <c r="D30"/>
      <c r="E30"/>
      <c r="F30"/>
    </row>
    <row r="31" spans="2:15" x14ac:dyDescent="0.3">
      <c r="B31" s="16" t="s">
        <v>165</v>
      </c>
      <c r="C31" s="1">
        <v>1</v>
      </c>
      <c r="D31"/>
      <c r="E31"/>
      <c r="F31"/>
    </row>
    <row r="32" spans="2:15" x14ac:dyDescent="0.3">
      <c r="B32" s="17" t="s">
        <v>60</v>
      </c>
      <c r="C32" s="1">
        <v>1</v>
      </c>
      <c r="D32"/>
      <c r="E32"/>
      <c r="F32"/>
    </row>
    <row r="33" spans="2:6" x14ac:dyDescent="0.3">
      <c r="B33" s="9" t="s">
        <v>131</v>
      </c>
      <c r="C33" s="1">
        <v>4</v>
      </c>
      <c r="D33"/>
      <c r="E33"/>
      <c r="F33"/>
    </row>
    <row r="34" spans="2:6" x14ac:dyDescent="0.3">
      <c r="B34" s="16" t="s">
        <v>149</v>
      </c>
      <c r="C34" s="1">
        <v>2</v>
      </c>
      <c r="D34"/>
      <c r="E34"/>
      <c r="F34"/>
    </row>
    <row r="35" spans="2:6" x14ac:dyDescent="0.3">
      <c r="B35" s="17" t="s">
        <v>60</v>
      </c>
      <c r="C35" s="1">
        <v>2</v>
      </c>
      <c r="D35"/>
      <c r="E35"/>
      <c r="F35"/>
    </row>
    <row r="36" spans="2:6" x14ac:dyDescent="0.3">
      <c r="B36" s="16" t="s">
        <v>193</v>
      </c>
      <c r="C36" s="1">
        <v>1</v>
      </c>
      <c r="D36"/>
      <c r="E36"/>
      <c r="F36"/>
    </row>
    <row r="37" spans="2:6" x14ac:dyDescent="0.3">
      <c r="B37" s="17" t="s">
        <v>60</v>
      </c>
      <c r="C37" s="1">
        <v>1</v>
      </c>
      <c r="D37"/>
      <c r="E37"/>
      <c r="F37"/>
    </row>
    <row r="38" spans="2:6" x14ac:dyDescent="0.3">
      <c r="B38" s="16" t="s">
        <v>811</v>
      </c>
      <c r="C38" s="1">
        <v>1</v>
      </c>
      <c r="D38"/>
      <c r="E38"/>
      <c r="F38"/>
    </row>
    <row r="39" spans="2:6" x14ac:dyDescent="0.3">
      <c r="B39" s="17" t="s">
        <v>60</v>
      </c>
      <c r="C39" s="1">
        <v>1</v>
      </c>
      <c r="D39"/>
      <c r="E39"/>
      <c r="F39"/>
    </row>
    <row r="40" spans="2:6" x14ac:dyDescent="0.3">
      <c r="B40" s="9" t="s">
        <v>180</v>
      </c>
      <c r="C40" s="1">
        <v>1</v>
      </c>
      <c r="D40"/>
      <c r="E40"/>
      <c r="F40"/>
    </row>
    <row r="41" spans="2:6" x14ac:dyDescent="0.3">
      <c r="B41" s="16" t="s">
        <v>889</v>
      </c>
      <c r="C41" s="1">
        <v>1</v>
      </c>
      <c r="D41"/>
      <c r="E41"/>
      <c r="F41"/>
    </row>
    <row r="42" spans="2:6" x14ac:dyDescent="0.3">
      <c r="B42" s="17" t="s">
        <v>60</v>
      </c>
      <c r="C42" s="1">
        <v>1</v>
      </c>
      <c r="D42"/>
      <c r="E42"/>
      <c r="F42"/>
    </row>
    <row r="43" spans="2:6" x14ac:dyDescent="0.3">
      <c r="B43" s="13" t="s">
        <v>12</v>
      </c>
      <c r="C43" s="129">
        <v>30</v>
      </c>
      <c r="D43"/>
      <c r="E43"/>
      <c r="F43"/>
    </row>
    <row r="44" spans="2:6" x14ac:dyDescent="0.3">
      <c r="C44"/>
      <c r="D44"/>
      <c r="E44"/>
      <c r="F44"/>
    </row>
    <row r="45" spans="2:6" x14ac:dyDescent="0.3">
      <c r="C45"/>
      <c r="D45"/>
      <c r="E45"/>
      <c r="F45"/>
    </row>
  </sheetData>
  <pageMargins left="0.7" right="0.7" top="0.75" bottom="0.75" header="0.3" footer="0.3"/>
  <customProperties>
    <customPr name="_pios_id" r:id="rId2"/>
    <customPr name="IbpWorksheetKeyString_GUID"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17E03-0B08-4391-9D4F-5585376BDDC6}">
  <dimension ref="C4:M12"/>
  <sheetViews>
    <sheetView workbookViewId="0">
      <selection activeCell="L5" sqref="L5"/>
    </sheetView>
  </sheetViews>
  <sheetFormatPr baseColWidth="10" defaultColWidth="11.44140625" defaultRowHeight="14.4" x14ac:dyDescent="0.3"/>
  <cols>
    <col min="3" max="3" width="13.5546875" customWidth="1"/>
    <col min="4" max="4" width="10" customWidth="1"/>
    <col min="6" max="6" width="9.44140625" customWidth="1"/>
    <col min="7" max="7" width="9.5546875" customWidth="1"/>
    <col min="8" max="8" width="54" customWidth="1"/>
    <col min="10" max="10" width="10" customWidth="1"/>
    <col min="12" max="12" width="10.5546875" customWidth="1"/>
    <col min="13" max="13" width="6" customWidth="1"/>
  </cols>
  <sheetData>
    <row r="4" spans="3:13" ht="27" customHeight="1" x14ac:dyDescent="0.3">
      <c r="C4" s="103" t="s">
        <v>5</v>
      </c>
      <c r="D4" s="103" t="s">
        <v>18</v>
      </c>
      <c r="E4" s="103" t="s">
        <v>20</v>
      </c>
      <c r="F4" s="103" t="s">
        <v>27</v>
      </c>
      <c r="G4" s="103" t="s">
        <v>28</v>
      </c>
      <c r="H4" s="104" t="s">
        <v>36</v>
      </c>
      <c r="I4" s="104" t="s">
        <v>37</v>
      </c>
      <c r="J4" s="104" t="s">
        <v>2272</v>
      </c>
      <c r="K4" s="104" t="s">
        <v>40</v>
      </c>
      <c r="L4" s="104" t="s">
        <v>42</v>
      </c>
      <c r="M4" s="105" t="s">
        <v>2273</v>
      </c>
    </row>
    <row r="5" spans="3:13" ht="32.4" x14ac:dyDescent="0.3">
      <c r="C5" s="93" t="s">
        <v>111</v>
      </c>
      <c r="D5" s="93" t="s">
        <v>1820</v>
      </c>
      <c r="E5" s="94">
        <v>45567</v>
      </c>
      <c r="F5" s="93" t="s">
        <v>9</v>
      </c>
      <c r="G5" s="93" t="s">
        <v>1821</v>
      </c>
      <c r="H5" s="106" t="s">
        <v>2274</v>
      </c>
      <c r="I5" s="93" t="s">
        <v>101</v>
      </c>
      <c r="J5" s="95" t="s">
        <v>1562</v>
      </c>
      <c r="K5" s="93" t="s">
        <v>1827</v>
      </c>
      <c r="L5" s="93" t="s">
        <v>76</v>
      </c>
      <c r="M5" s="93">
        <v>3</v>
      </c>
    </row>
    <row r="6" spans="3:13" ht="43.2" x14ac:dyDescent="0.3">
      <c r="C6" s="96" t="s">
        <v>1507</v>
      </c>
      <c r="D6" s="96" t="s">
        <v>1840</v>
      </c>
      <c r="E6" s="97">
        <v>45569</v>
      </c>
      <c r="F6" s="96" t="s">
        <v>9</v>
      </c>
      <c r="G6" s="96" t="s">
        <v>1841</v>
      </c>
      <c r="H6" s="107" t="s">
        <v>2275</v>
      </c>
      <c r="I6" s="96" t="s">
        <v>281</v>
      </c>
      <c r="J6" s="96" t="s">
        <v>1846</v>
      </c>
      <c r="K6" s="96" t="s">
        <v>1847</v>
      </c>
      <c r="L6" s="96" t="s">
        <v>76</v>
      </c>
      <c r="M6" s="96">
        <v>3</v>
      </c>
    </row>
    <row r="7" spans="3:13" ht="29.85" customHeight="1" x14ac:dyDescent="0.3">
      <c r="C7" s="93" t="s">
        <v>59</v>
      </c>
      <c r="D7" s="93" t="s">
        <v>1858</v>
      </c>
      <c r="E7" s="94">
        <v>45577</v>
      </c>
      <c r="F7" s="93" t="s">
        <v>10</v>
      </c>
      <c r="G7" s="93" t="s">
        <v>64</v>
      </c>
      <c r="H7" s="106" t="s">
        <v>2276</v>
      </c>
      <c r="I7" s="93" t="s">
        <v>120</v>
      </c>
      <c r="J7" s="93" t="s">
        <v>1436</v>
      </c>
      <c r="K7" s="93" t="s">
        <v>756</v>
      </c>
      <c r="L7" s="93" t="s">
        <v>145</v>
      </c>
      <c r="M7" s="93">
        <v>22</v>
      </c>
    </row>
    <row r="8" spans="3:13" ht="32.4" x14ac:dyDescent="0.3">
      <c r="C8" s="96" t="s">
        <v>59</v>
      </c>
      <c r="D8" s="98" t="s">
        <v>1865</v>
      </c>
      <c r="E8" s="97">
        <v>45582</v>
      </c>
      <c r="F8" s="98" t="s">
        <v>10</v>
      </c>
      <c r="G8" s="96" t="s">
        <v>114</v>
      </c>
      <c r="H8" s="108" t="s">
        <v>2277</v>
      </c>
      <c r="I8" s="98" t="s">
        <v>120</v>
      </c>
      <c r="J8" s="98" t="s">
        <v>1854</v>
      </c>
      <c r="K8" s="98" t="s">
        <v>1870</v>
      </c>
      <c r="L8" s="98" t="s">
        <v>145</v>
      </c>
      <c r="M8" s="98">
        <v>8</v>
      </c>
    </row>
    <row r="9" spans="3:13" ht="43.2" x14ac:dyDescent="0.3">
      <c r="C9" s="93" t="s">
        <v>737</v>
      </c>
      <c r="D9" s="93" t="s">
        <v>1388</v>
      </c>
      <c r="E9" s="94">
        <v>45581</v>
      </c>
      <c r="F9" s="93" t="s">
        <v>10</v>
      </c>
      <c r="G9" s="93" t="s">
        <v>717</v>
      </c>
      <c r="H9" s="92" t="s">
        <v>2278</v>
      </c>
      <c r="I9" s="95" t="s">
        <v>101</v>
      </c>
      <c r="J9" s="93" t="s">
        <v>1875</v>
      </c>
      <c r="K9" s="93" t="s">
        <v>1876</v>
      </c>
      <c r="L9" s="93" t="s">
        <v>76</v>
      </c>
      <c r="M9" s="93">
        <v>9</v>
      </c>
    </row>
    <row r="10" spans="3:13" ht="69" customHeight="1" x14ac:dyDescent="0.3">
      <c r="C10" s="96" t="s">
        <v>149</v>
      </c>
      <c r="D10" s="96" t="s">
        <v>1909</v>
      </c>
      <c r="E10" s="97">
        <v>45580</v>
      </c>
      <c r="F10" s="98" t="s">
        <v>10</v>
      </c>
      <c r="G10" s="96" t="s">
        <v>2279</v>
      </c>
      <c r="H10" s="108" t="s">
        <v>2280</v>
      </c>
      <c r="I10" s="98" t="s">
        <v>101</v>
      </c>
      <c r="J10" s="98" t="s">
        <v>1381</v>
      </c>
      <c r="K10" s="98" t="s">
        <v>1915</v>
      </c>
      <c r="L10" s="98" t="s">
        <v>145</v>
      </c>
      <c r="M10" s="98">
        <v>6</v>
      </c>
    </row>
    <row r="11" spans="3:13" ht="68.849999999999994" customHeight="1" x14ac:dyDescent="0.3">
      <c r="C11" s="93" t="s">
        <v>111</v>
      </c>
      <c r="D11" s="93" t="s">
        <v>184</v>
      </c>
      <c r="E11" s="99">
        <v>45591</v>
      </c>
      <c r="F11" s="95" t="s">
        <v>2250</v>
      </c>
      <c r="G11" s="100" t="s">
        <v>11</v>
      </c>
      <c r="H11" s="106" t="s">
        <v>2281</v>
      </c>
      <c r="I11" s="95" t="s">
        <v>201</v>
      </c>
      <c r="J11" s="101" t="s">
        <v>1956</v>
      </c>
      <c r="K11" s="95" t="s">
        <v>1957</v>
      </c>
      <c r="L11" s="95" t="s">
        <v>76</v>
      </c>
      <c r="M11" s="100">
        <v>9</v>
      </c>
    </row>
    <row r="12" spans="3:13" ht="60.6" customHeight="1" x14ac:dyDescent="0.3">
      <c r="C12" s="96" t="s">
        <v>1962</v>
      </c>
      <c r="D12" s="96" t="s">
        <v>1962</v>
      </c>
      <c r="E12" s="102">
        <v>45594</v>
      </c>
      <c r="F12" s="96" t="s">
        <v>167</v>
      </c>
      <c r="G12" s="96" t="s">
        <v>1963</v>
      </c>
      <c r="H12" s="107" t="s">
        <v>2282</v>
      </c>
      <c r="I12" s="96" t="s">
        <v>101</v>
      </c>
      <c r="J12" s="96" t="s">
        <v>1967</v>
      </c>
      <c r="K12" s="96" t="s">
        <v>1939</v>
      </c>
      <c r="L12" s="96" t="s">
        <v>145</v>
      </c>
      <c r="M12" s="96">
        <v>3</v>
      </c>
    </row>
  </sheetData>
  <dataValidations count="1">
    <dataValidation allowBlank="1" showInputMessage="1" showErrorMessage="1" sqref="C4:C12" xr:uid="{9A5A7B92-514F-4EEC-88F0-60B482C03964}"/>
  </dataValidations>
  <pageMargins left="0.7" right="0.7" top="0.75" bottom="0.75" header="0.3" footer="0.3"/>
  <customProperties>
    <customPr name="_pios_id" r:id="rId1"/>
    <customPr name="IbpWorksheetKeyString_GUID" r:id="rId2"/>
  </customProperties>
  <extLst>
    <ext xmlns:x14="http://schemas.microsoft.com/office/spreadsheetml/2009/9/main" uri="{CCE6A557-97BC-4b89-ADB6-D9C93CAAB3DF}">
      <x14:dataValidations xmlns:xm="http://schemas.microsoft.com/office/excel/2006/main" count="3">
        <x14:dataValidation type="list" allowBlank="1" showInputMessage="1" showErrorMessage="1" xr:uid="{28B88101-C461-4954-B2AC-0FB39A72A4D3}">
          <x14:formula1>
            <xm:f>Desplegables!$R$4:$R$17</xm:f>
          </x14:formula1>
          <xm:sqref>L5:L12</xm:sqref>
        </x14:dataValidation>
        <x14:dataValidation type="list" allowBlank="1" showInputMessage="1" showErrorMessage="1" xr:uid="{BE6D641A-4546-4361-B515-9389BD3C929A}">
          <x14:formula1>
            <xm:f>Desplegables!$J$4:$J$17</xm:f>
          </x14:formula1>
          <xm:sqref>F5:F12</xm:sqref>
        </x14:dataValidation>
        <x14:dataValidation type="list" allowBlank="1" showInputMessage="1" showErrorMessage="1" xr:uid="{806032A6-E115-41BD-ABA8-C2096C670B1B}">
          <x14:formula1>
            <xm:f>Desplegables!$N$4:$N$17</xm:f>
          </x14:formula1>
          <xm:sqref>I5:I12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407E-0728-4B32-8AC7-7BE2815A701B}">
  <dimension ref="B5:L17"/>
  <sheetViews>
    <sheetView workbookViewId="0">
      <selection activeCell="F10" sqref="F10"/>
    </sheetView>
  </sheetViews>
  <sheetFormatPr baseColWidth="10" defaultColWidth="11.44140625" defaultRowHeight="14.4" x14ac:dyDescent="0.3"/>
  <cols>
    <col min="2" max="2" width="4.5546875" customWidth="1"/>
    <col min="8" max="8" width="57.5546875" customWidth="1"/>
  </cols>
  <sheetData>
    <row r="5" spans="2:12" ht="36" x14ac:dyDescent="0.3">
      <c r="B5" s="81" t="s">
        <v>2283</v>
      </c>
      <c r="C5" s="81" t="s">
        <v>5</v>
      </c>
      <c r="D5" s="81" t="s">
        <v>18</v>
      </c>
      <c r="E5" s="81" t="s">
        <v>2284</v>
      </c>
      <c r="F5" s="81" t="s">
        <v>27</v>
      </c>
      <c r="G5" s="81" t="s">
        <v>28</v>
      </c>
      <c r="H5" s="82" t="s">
        <v>36</v>
      </c>
      <c r="I5" s="82" t="s">
        <v>37</v>
      </c>
      <c r="J5" s="82" t="s">
        <v>39</v>
      </c>
      <c r="K5" s="82" t="s">
        <v>40</v>
      </c>
      <c r="L5" s="82" t="s">
        <v>42</v>
      </c>
    </row>
    <row r="6" spans="2:12" ht="48" x14ac:dyDescent="0.3">
      <c r="B6" s="78">
        <v>1</v>
      </c>
      <c r="C6" s="78" t="s">
        <v>1314</v>
      </c>
      <c r="D6" s="78" t="s">
        <v>60</v>
      </c>
      <c r="E6" s="111">
        <v>45600</v>
      </c>
      <c r="F6" s="80" t="s">
        <v>167</v>
      </c>
      <c r="G6" s="78" t="s">
        <v>168</v>
      </c>
      <c r="H6" s="78" t="s">
        <v>2285</v>
      </c>
      <c r="I6" s="80" t="s">
        <v>71</v>
      </c>
      <c r="J6" s="80" t="s">
        <v>103</v>
      </c>
      <c r="K6" s="78" t="s">
        <v>1996</v>
      </c>
      <c r="L6" s="80" t="s">
        <v>145</v>
      </c>
    </row>
    <row r="7" spans="2:12" ht="48" x14ac:dyDescent="0.3">
      <c r="B7" s="24">
        <v>2</v>
      </c>
      <c r="C7" s="24" t="s">
        <v>242</v>
      </c>
      <c r="D7" s="24" t="s">
        <v>2012</v>
      </c>
      <c r="E7" s="70">
        <v>45611</v>
      </c>
      <c r="F7" s="31" t="s">
        <v>274</v>
      </c>
      <c r="G7" s="23" t="s">
        <v>275</v>
      </c>
      <c r="H7" s="24" t="s">
        <v>2286</v>
      </c>
      <c r="I7" s="31" t="s">
        <v>512</v>
      </c>
      <c r="J7" s="31" t="s">
        <v>103</v>
      </c>
      <c r="K7" s="24" t="s">
        <v>2012</v>
      </c>
      <c r="L7" s="31" t="s">
        <v>145</v>
      </c>
    </row>
    <row r="8" spans="2:12" ht="48" x14ac:dyDescent="0.3">
      <c r="B8" s="78">
        <v>3</v>
      </c>
      <c r="C8" s="78" t="s">
        <v>1507</v>
      </c>
      <c r="D8" s="78" t="s">
        <v>2024</v>
      </c>
      <c r="E8" s="79">
        <v>45614</v>
      </c>
      <c r="F8" s="78" t="s">
        <v>1187</v>
      </c>
      <c r="G8" s="78" t="s">
        <v>2025</v>
      </c>
      <c r="H8" s="78" t="s">
        <v>2287</v>
      </c>
      <c r="I8" s="80" t="s">
        <v>292</v>
      </c>
      <c r="J8" s="78" t="s">
        <v>235</v>
      </c>
      <c r="K8" s="78" t="s">
        <v>2030</v>
      </c>
      <c r="L8" s="78" t="s">
        <v>505</v>
      </c>
    </row>
    <row r="9" spans="2:12" ht="48" x14ac:dyDescent="0.3">
      <c r="B9" s="24">
        <v>4</v>
      </c>
      <c r="C9" s="24" t="s">
        <v>972</v>
      </c>
      <c r="D9" s="24" t="s">
        <v>1709</v>
      </c>
      <c r="E9" s="49">
        <v>45621</v>
      </c>
      <c r="F9" s="24" t="s">
        <v>1187</v>
      </c>
      <c r="G9" s="24" t="s">
        <v>2033</v>
      </c>
      <c r="H9" s="24" t="s">
        <v>2288</v>
      </c>
      <c r="I9" s="31" t="s">
        <v>281</v>
      </c>
      <c r="J9" s="24" t="s">
        <v>2038</v>
      </c>
      <c r="K9" s="24" t="s">
        <v>2039</v>
      </c>
      <c r="L9" s="24" t="s">
        <v>145</v>
      </c>
    </row>
    <row r="10" spans="2:12" ht="48" x14ac:dyDescent="0.3">
      <c r="B10" s="25">
        <v>5</v>
      </c>
      <c r="C10" s="25" t="s">
        <v>2042</v>
      </c>
      <c r="D10" s="25" t="s">
        <v>2043</v>
      </c>
      <c r="E10" s="111">
        <v>45624</v>
      </c>
      <c r="F10" s="80" t="s">
        <v>274</v>
      </c>
      <c r="G10" s="25" t="s">
        <v>2044</v>
      </c>
      <c r="H10" s="78" t="s">
        <v>2289</v>
      </c>
      <c r="I10" s="80" t="s">
        <v>120</v>
      </c>
      <c r="J10" s="80" t="s">
        <v>435</v>
      </c>
      <c r="K10" s="78" t="s">
        <v>2050</v>
      </c>
      <c r="L10" s="80" t="s">
        <v>125</v>
      </c>
    </row>
    <row r="11" spans="2:12" ht="56.1" customHeight="1" x14ac:dyDescent="0.3">
      <c r="B11" s="24">
        <v>6</v>
      </c>
      <c r="C11" s="24" t="s">
        <v>677</v>
      </c>
      <c r="D11" s="24" t="s">
        <v>60</v>
      </c>
      <c r="E11" s="49">
        <v>45622</v>
      </c>
      <c r="F11" s="24" t="s">
        <v>10</v>
      </c>
      <c r="G11" s="24" t="s">
        <v>717</v>
      </c>
      <c r="H11" s="24" t="s">
        <v>2290</v>
      </c>
      <c r="I11" s="24" t="s">
        <v>101</v>
      </c>
      <c r="J11" s="24" t="s">
        <v>103</v>
      </c>
      <c r="K11" s="24" t="s">
        <v>2068</v>
      </c>
      <c r="L11" s="24" t="s">
        <v>76</v>
      </c>
    </row>
    <row r="13" spans="2:12" x14ac:dyDescent="0.3">
      <c r="C13" s="112" t="s">
        <v>5</v>
      </c>
    </row>
    <row r="14" spans="2:12" x14ac:dyDescent="0.3">
      <c r="C14" s="25" t="s">
        <v>2071</v>
      </c>
    </row>
    <row r="15" spans="2:12" x14ac:dyDescent="0.3">
      <c r="C15" s="23" t="s">
        <v>2079</v>
      </c>
    </row>
    <row r="16" spans="2:12" x14ac:dyDescent="0.3">
      <c r="C16" s="78" t="s">
        <v>1507</v>
      </c>
    </row>
    <row r="17" spans="3:3" ht="24" x14ac:dyDescent="0.3">
      <c r="C17" s="24" t="s">
        <v>165</v>
      </c>
    </row>
  </sheetData>
  <dataValidations count="1">
    <dataValidation allowBlank="1" showInputMessage="1" showErrorMessage="1" sqref="C5:C11 B5 C13:C17" xr:uid="{9BCE06BB-A173-44A4-92B6-268FBECBAF28}"/>
  </dataValidations>
  <pageMargins left="0.7" right="0.7" top="0.75" bottom="0.75" header="0.3" footer="0.3"/>
  <customProperties>
    <customPr name="_pios_id" r:id="rId1"/>
    <customPr name="IbpWorksheetKeyString_GUID" r:id="rId2"/>
  </customProperties>
  <extLst>
    <ext xmlns:x14="http://schemas.microsoft.com/office/spreadsheetml/2009/9/main" uri="{CCE6A557-97BC-4b89-ADB6-D9C93CAAB3DF}">
      <x14:dataValidations xmlns:xm="http://schemas.microsoft.com/office/excel/2006/main" count="4">
        <x14:dataValidation type="list" allowBlank="1" showInputMessage="1" showErrorMessage="1" xr:uid="{14E56977-6471-460D-962B-5D9EB944F1F9}">
          <x14:formula1>
            <xm:f>Desplegables!$J$4:$J$17</xm:f>
          </x14:formula1>
          <xm:sqref>F6:F11</xm:sqref>
        </x14:dataValidation>
        <x14:dataValidation type="list" allowBlank="1" showInputMessage="1" showErrorMessage="1" xr:uid="{9B4839D1-859F-4D1A-8A55-FA52E6A3B7AC}">
          <x14:formula1>
            <xm:f>Desplegables!$N$4:$N$17</xm:f>
          </x14:formula1>
          <xm:sqref>I6:I11</xm:sqref>
        </x14:dataValidation>
        <x14:dataValidation type="list" allowBlank="1" showInputMessage="1" showErrorMessage="1" xr:uid="{AD4845F6-5D8F-44A3-8B7E-EE2884CBFF7F}">
          <x14:formula1>
            <xm:f>Desplegables!$P$4:$P$16</xm:f>
          </x14:formula1>
          <xm:sqref>J6:J8 J10:J11</xm:sqref>
        </x14:dataValidation>
        <x14:dataValidation type="list" allowBlank="1" showInputMessage="1" showErrorMessage="1" xr:uid="{88A67DF1-F23D-4301-B4A6-81E087BCF4A7}">
          <x14:formula1>
            <xm:f>Desplegables!$R$4:$R$17</xm:f>
          </x14:formula1>
          <xm:sqref>L6:L11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59A8E-B351-4076-ABB3-79C20CC743FB}">
  <dimension ref="E4:F5"/>
  <sheetViews>
    <sheetView workbookViewId="0">
      <selection activeCell="F20" sqref="F20"/>
    </sheetView>
  </sheetViews>
  <sheetFormatPr baseColWidth="10" defaultColWidth="11.44140625" defaultRowHeight="14.4" x14ac:dyDescent="0.3"/>
  <sheetData>
    <row r="4" spans="5:6" x14ac:dyDescent="0.3">
      <c r="E4">
        <f>1915/E5</f>
        <v>0.46122350674373797</v>
      </c>
      <c r="F4">
        <f>170/E5</f>
        <v>4.0944123314065509E-2</v>
      </c>
    </row>
    <row r="5" spans="5:6" x14ac:dyDescent="0.3">
      <c r="E5">
        <f>346*12</f>
        <v>4152</v>
      </c>
    </row>
  </sheetData>
  <pageMargins left="0.7" right="0.7" top="0.75" bottom="0.75" header="0.3" footer="0.3"/>
  <customProperties>
    <customPr name="_pios_id" r:id="rId1"/>
    <customPr name="IbpWorksheetKeyString_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6D3DC-B1B3-47C9-8302-9126025175F9}">
  <dimension ref="A2:F243"/>
  <sheetViews>
    <sheetView workbookViewId="0">
      <selection activeCell="C15" sqref="C15"/>
    </sheetView>
  </sheetViews>
  <sheetFormatPr baseColWidth="10" defaultColWidth="9.44140625" defaultRowHeight="14.4" x14ac:dyDescent="0.3"/>
  <cols>
    <col min="1" max="1" width="13.5546875" bestFit="1" customWidth="1"/>
    <col min="2" max="2" width="19.5546875" bestFit="1" customWidth="1"/>
    <col min="3" max="3" width="26.5546875" bestFit="1" customWidth="1"/>
    <col min="4" max="4" width="26.44140625" bestFit="1" customWidth="1"/>
    <col min="5" max="5" width="6.44140625" bestFit="1" customWidth="1"/>
    <col min="6" max="6" width="24.6640625" bestFit="1" customWidth="1"/>
  </cols>
  <sheetData>
    <row r="2" spans="1:6" x14ac:dyDescent="0.3">
      <c r="A2" s="8" t="s">
        <v>53</v>
      </c>
      <c r="B2" s="8" t="s">
        <v>4</v>
      </c>
      <c r="C2" s="8" t="s">
        <v>15</v>
      </c>
      <c r="D2" s="8" t="s">
        <v>5</v>
      </c>
      <c r="E2" s="8" t="s">
        <v>23</v>
      </c>
      <c r="F2" t="s">
        <v>2291</v>
      </c>
    </row>
    <row r="3" spans="1:6" x14ac:dyDescent="0.3">
      <c r="A3" t="s">
        <v>780</v>
      </c>
      <c r="B3" t="s">
        <v>113</v>
      </c>
      <c r="C3" t="s">
        <v>162</v>
      </c>
      <c r="D3" t="s">
        <v>428</v>
      </c>
      <c r="E3">
        <v>7</v>
      </c>
      <c r="F3">
        <v>2</v>
      </c>
    </row>
    <row r="4" spans="1:6" x14ac:dyDescent="0.3">
      <c r="D4" t="s">
        <v>2292</v>
      </c>
      <c r="F4">
        <v>2</v>
      </c>
    </row>
    <row r="5" spans="1:6" x14ac:dyDescent="0.3">
      <c r="D5" t="s">
        <v>1414</v>
      </c>
      <c r="E5">
        <v>7</v>
      </c>
      <c r="F5">
        <v>1</v>
      </c>
    </row>
    <row r="6" spans="1:6" x14ac:dyDescent="0.3">
      <c r="D6" t="s">
        <v>2293</v>
      </c>
      <c r="F6">
        <v>1</v>
      </c>
    </row>
    <row r="7" spans="1:6" x14ac:dyDescent="0.3">
      <c r="C7" t="s">
        <v>2294</v>
      </c>
      <c r="F7">
        <v>3</v>
      </c>
    </row>
    <row r="8" spans="1:6" x14ac:dyDescent="0.3">
      <c r="B8" t="s">
        <v>2295</v>
      </c>
      <c r="F8">
        <v>3</v>
      </c>
    </row>
    <row r="9" spans="1:6" x14ac:dyDescent="0.3">
      <c r="B9" t="s">
        <v>62</v>
      </c>
      <c r="C9" t="s">
        <v>131</v>
      </c>
      <c r="D9" t="s">
        <v>149</v>
      </c>
      <c r="E9">
        <v>5</v>
      </c>
      <c r="F9">
        <v>1</v>
      </c>
    </row>
    <row r="10" spans="1:6" x14ac:dyDescent="0.3">
      <c r="D10" t="s">
        <v>2296</v>
      </c>
      <c r="F10">
        <v>1</v>
      </c>
    </row>
    <row r="11" spans="1:6" x14ac:dyDescent="0.3">
      <c r="C11" t="s">
        <v>2297</v>
      </c>
      <c r="F11">
        <v>1</v>
      </c>
    </row>
    <row r="12" spans="1:6" x14ac:dyDescent="0.3">
      <c r="C12" t="s">
        <v>56</v>
      </c>
      <c r="D12" t="s">
        <v>769</v>
      </c>
      <c r="E12">
        <v>3</v>
      </c>
      <c r="F12">
        <v>1</v>
      </c>
    </row>
    <row r="13" spans="1:6" x14ac:dyDescent="0.3">
      <c r="E13">
        <v>5</v>
      </c>
      <c r="F13">
        <v>1</v>
      </c>
    </row>
    <row r="14" spans="1:6" x14ac:dyDescent="0.3">
      <c r="E14">
        <v>7</v>
      </c>
      <c r="F14">
        <v>2</v>
      </c>
    </row>
    <row r="15" spans="1:6" x14ac:dyDescent="0.3">
      <c r="E15">
        <v>8</v>
      </c>
      <c r="F15">
        <v>1</v>
      </c>
    </row>
    <row r="16" spans="1:6" x14ac:dyDescent="0.3">
      <c r="D16" t="s">
        <v>2298</v>
      </c>
      <c r="F16">
        <v>5</v>
      </c>
    </row>
    <row r="17" spans="1:6" x14ac:dyDescent="0.3">
      <c r="C17" t="s">
        <v>2299</v>
      </c>
      <c r="F17">
        <v>5</v>
      </c>
    </row>
    <row r="18" spans="1:6" x14ac:dyDescent="0.3">
      <c r="B18" t="s">
        <v>2300</v>
      </c>
      <c r="F18">
        <v>6</v>
      </c>
    </row>
    <row r="19" spans="1:6" x14ac:dyDescent="0.3">
      <c r="A19" t="s">
        <v>2301</v>
      </c>
      <c r="F19">
        <v>9</v>
      </c>
    </row>
    <row r="20" spans="1:6" x14ac:dyDescent="0.3">
      <c r="A20" t="s">
        <v>128</v>
      </c>
      <c r="B20" t="s">
        <v>113</v>
      </c>
      <c r="C20" t="s">
        <v>131</v>
      </c>
      <c r="D20" t="s">
        <v>1133</v>
      </c>
      <c r="E20">
        <v>6</v>
      </c>
      <c r="F20">
        <v>1</v>
      </c>
    </row>
    <row r="21" spans="1:6" x14ac:dyDescent="0.3">
      <c r="D21" t="s">
        <v>2302</v>
      </c>
      <c r="F21">
        <v>1</v>
      </c>
    </row>
    <row r="22" spans="1:6" x14ac:dyDescent="0.3">
      <c r="D22" t="s">
        <v>133</v>
      </c>
      <c r="E22">
        <v>7</v>
      </c>
      <c r="F22">
        <v>1</v>
      </c>
    </row>
    <row r="23" spans="1:6" x14ac:dyDescent="0.3">
      <c r="D23" t="s">
        <v>2303</v>
      </c>
      <c r="F23">
        <v>1</v>
      </c>
    </row>
    <row r="24" spans="1:6" x14ac:dyDescent="0.3">
      <c r="D24" t="s">
        <v>149</v>
      </c>
      <c r="E24">
        <v>1</v>
      </c>
      <c r="F24">
        <v>1</v>
      </c>
    </row>
    <row r="25" spans="1:6" x14ac:dyDescent="0.3">
      <c r="E25">
        <v>9</v>
      </c>
      <c r="F25">
        <v>1</v>
      </c>
    </row>
    <row r="26" spans="1:6" x14ac:dyDescent="0.3">
      <c r="E26">
        <v>10</v>
      </c>
      <c r="F26">
        <v>1</v>
      </c>
    </row>
    <row r="27" spans="1:6" x14ac:dyDescent="0.3">
      <c r="D27" t="s">
        <v>2296</v>
      </c>
      <c r="F27">
        <v>3</v>
      </c>
    </row>
    <row r="28" spans="1:6" x14ac:dyDescent="0.3">
      <c r="D28" t="s">
        <v>193</v>
      </c>
      <c r="E28">
        <v>4</v>
      </c>
      <c r="F28">
        <v>1</v>
      </c>
    </row>
    <row r="29" spans="1:6" x14ac:dyDescent="0.3">
      <c r="D29" t="s">
        <v>2304</v>
      </c>
      <c r="F29">
        <v>1</v>
      </c>
    </row>
    <row r="30" spans="1:6" x14ac:dyDescent="0.3">
      <c r="C30" t="s">
        <v>2297</v>
      </c>
      <c r="F30">
        <v>6</v>
      </c>
    </row>
    <row r="31" spans="1:6" x14ac:dyDescent="0.3">
      <c r="C31" t="s">
        <v>56</v>
      </c>
      <c r="D31" t="s">
        <v>324</v>
      </c>
      <c r="E31">
        <v>1</v>
      </c>
      <c r="F31">
        <v>1</v>
      </c>
    </row>
    <row r="32" spans="1:6" x14ac:dyDescent="0.3">
      <c r="D32" t="s">
        <v>2305</v>
      </c>
      <c r="F32">
        <v>1</v>
      </c>
    </row>
    <row r="33" spans="4:6" x14ac:dyDescent="0.3">
      <c r="D33" t="s">
        <v>2079</v>
      </c>
      <c r="E33">
        <v>12</v>
      </c>
      <c r="F33">
        <v>1</v>
      </c>
    </row>
    <row r="34" spans="4:6" x14ac:dyDescent="0.3">
      <c r="D34" t="s">
        <v>2306</v>
      </c>
      <c r="F34">
        <v>1</v>
      </c>
    </row>
    <row r="35" spans="4:6" x14ac:dyDescent="0.3">
      <c r="D35" t="s">
        <v>498</v>
      </c>
      <c r="E35">
        <v>9</v>
      </c>
      <c r="F35">
        <v>1</v>
      </c>
    </row>
    <row r="36" spans="4:6" x14ac:dyDescent="0.3">
      <c r="D36" t="s">
        <v>2307</v>
      </c>
      <c r="F36">
        <v>1</v>
      </c>
    </row>
    <row r="37" spans="4:6" x14ac:dyDescent="0.3">
      <c r="D37" t="s">
        <v>972</v>
      </c>
      <c r="E37">
        <v>11</v>
      </c>
      <c r="F37">
        <v>1</v>
      </c>
    </row>
    <row r="38" spans="4:6" x14ac:dyDescent="0.3">
      <c r="D38" t="s">
        <v>2308</v>
      </c>
      <c r="F38">
        <v>1</v>
      </c>
    </row>
    <row r="39" spans="4:6" x14ac:dyDescent="0.3">
      <c r="D39" t="s">
        <v>2071</v>
      </c>
      <c r="E39">
        <v>12</v>
      </c>
      <c r="F39">
        <v>1</v>
      </c>
    </row>
    <row r="40" spans="4:6" x14ac:dyDescent="0.3">
      <c r="D40" t="s">
        <v>2309</v>
      </c>
      <c r="F40">
        <v>1</v>
      </c>
    </row>
    <row r="41" spans="4:6" x14ac:dyDescent="0.3">
      <c r="D41" t="s">
        <v>1466</v>
      </c>
      <c r="E41">
        <v>8</v>
      </c>
      <c r="F41">
        <v>1</v>
      </c>
    </row>
    <row r="42" spans="4:6" x14ac:dyDescent="0.3">
      <c r="D42" t="s">
        <v>2310</v>
      </c>
      <c r="F42">
        <v>1</v>
      </c>
    </row>
    <row r="43" spans="4:6" x14ac:dyDescent="0.3">
      <c r="D43" t="s">
        <v>111</v>
      </c>
      <c r="E43">
        <v>1</v>
      </c>
      <c r="F43">
        <v>1</v>
      </c>
    </row>
    <row r="44" spans="4:6" x14ac:dyDescent="0.3">
      <c r="E44">
        <v>8</v>
      </c>
      <c r="F44">
        <v>2</v>
      </c>
    </row>
    <row r="45" spans="4:6" x14ac:dyDescent="0.3">
      <c r="E45">
        <v>9</v>
      </c>
      <c r="F45">
        <v>4</v>
      </c>
    </row>
    <row r="46" spans="4:6" x14ac:dyDescent="0.3">
      <c r="E46">
        <v>10</v>
      </c>
      <c r="F46">
        <v>2</v>
      </c>
    </row>
    <row r="47" spans="4:6" x14ac:dyDescent="0.3">
      <c r="D47" t="s">
        <v>2311</v>
      </c>
      <c r="F47">
        <v>9</v>
      </c>
    </row>
    <row r="48" spans="4:6" x14ac:dyDescent="0.3">
      <c r="D48" t="s">
        <v>205</v>
      </c>
      <c r="E48">
        <v>1</v>
      </c>
      <c r="F48">
        <v>1</v>
      </c>
    </row>
    <row r="49" spans="4:6" x14ac:dyDescent="0.3">
      <c r="E49">
        <v>3</v>
      </c>
      <c r="F49">
        <v>1</v>
      </c>
    </row>
    <row r="50" spans="4:6" x14ac:dyDescent="0.3">
      <c r="E50">
        <v>9</v>
      </c>
      <c r="F50">
        <v>1</v>
      </c>
    </row>
    <row r="51" spans="4:6" x14ac:dyDescent="0.3">
      <c r="D51" t="s">
        <v>2312</v>
      </c>
      <c r="F51">
        <v>3</v>
      </c>
    </row>
    <row r="52" spans="4:6" x14ac:dyDescent="0.3">
      <c r="D52" t="s">
        <v>769</v>
      </c>
      <c r="E52">
        <v>7</v>
      </c>
      <c r="F52">
        <v>1</v>
      </c>
    </row>
    <row r="53" spans="4:6" x14ac:dyDescent="0.3">
      <c r="E53">
        <v>9</v>
      </c>
      <c r="F53">
        <v>1</v>
      </c>
    </row>
    <row r="54" spans="4:6" x14ac:dyDescent="0.3">
      <c r="D54" t="s">
        <v>2298</v>
      </c>
      <c r="F54">
        <v>2</v>
      </c>
    </row>
    <row r="55" spans="4:6" x14ac:dyDescent="0.3">
      <c r="D55" t="s">
        <v>391</v>
      </c>
      <c r="E55">
        <v>2</v>
      </c>
      <c r="F55">
        <v>1</v>
      </c>
    </row>
    <row r="56" spans="4:6" x14ac:dyDescent="0.3">
      <c r="E56">
        <v>6</v>
      </c>
      <c r="F56">
        <v>1</v>
      </c>
    </row>
    <row r="57" spans="4:6" x14ac:dyDescent="0.3">
      <c r="E57">
        <v>7</v>
      </c>
      <c r="F57">
        <v>1</v>
      </c>
    </row>
    <row r="58" spans="4:6" x14ac:dyDescent="0.3">
      <c r="D58" t="s">
        <v>2313</v>
      </c>
      <c r="F58">
        <v>3</v>
      </c>
    </row>
    <row r="59" spans="4:6" x14ac:dyDescent="0.3">
      <c r="D59" t="s">
        <v>1118</v>
      </c>
      <c r="E59">
        <v>6</v>
      </c>
      <c r="F59">
        <v>1</v>
      </c>
    </row>
    <row r="60" spans="4:6" x14ac:dyDescent="0.3">
      <c r="D60" t="s">
        <v>2314</v>
      </c>
      <c r="F60">
        <v>1</v>
      </c>
    </row>
    <row r="61" spans="4:6" x14ac:dyDescent="0.3">
      <c r="D61" t="s">
        <v>1507</v>
      </c>
      <c r="E61">
        <v>8</v>
      </c>
      <c r="F61">
        <v>1</v>
      </c>
    </row>
    <row r="62" spans="4:6" x14ac:dyDescent="0.3">
      <c r="E62">
        <v>10</v>
      </c>
      <c r="F62">
        <v>1</v>
      </c>
    </row>
    <row r="63" spans="4:6" x14ac:dyDescent="0.3">
      <c r="E63">
        <v>11</v>
      </c>
      <c r="F63">
        <v>1</v>
      </c>
    </row>
    <row r="64" spans="4:6" x14ac:dyDescent="0.3">
      <c r="E64">
        <v>12</v>
      </c>
      <c r="F64">
        <v>1</v>
      </c>
    </row>
    <row r="65" spans="4:6" x14ac:dyDescent="0.3">
      <c r="D65" t="s">
        <v>2315</v>
      </c>
      <c r="F65">
        <v>4</v>
      </c>
    </row>
    <row r="66" spans="4:6" x14ac:dyDescent="0.3">
      <c r="D66" t="s">
        <v>59</v>
      </c>
      <c r="E66">
        <v>2</v>
      </c>
      <c r="F66">
        <v>2</v>
      </c>
    </row>
    <row r="67" spans="4:6" x14ac:dyDescent="0.3">
      <c r="E67">
        <v>3</v>
      </c>
      <c r="F67">
        <v>1</v>
      </c>
    </row>
    <row r="68" spans="4:6" x14ac:dyDescent="0.3">
      <c r="E68">
        <v>9</v>
      </c>
      <c r="F68">
        <v>2</v>
      </c>
    </row>
    <row r="69" spans="4:6" x14ac:dyDescent="0.3">
      <c r="E69">
        <v>10</v>
      </c>
      <c r="F69">
        <v>2</v>
      </c>
    </row>
    <row r="70" spans="4:6" x14ac:dyDescent="0.3">
      <c r="D70" t="s">
        <v>2316</v>
      </c>
      <c r="F70">
        <v>7</v>
      </c>
    </row>
    <row r="71" spans="4:6" x14ac:dyDescent="0.3">
      <c r="D71" t="s">
        <v>1962</v>
      </c>
      <c r="E71">
        <v>10</v>
      </c>
      <c r="F71">
        <v>1</v>
      </c>
    </row>
    <row r="72" spans="4:6" x14ac:dyDescent="0.3">
      <c r="D72" t="s">
        <v>2317</v>
      </c>
      <c r="F72">
        <v>1</v>
      </c>
    </row>
    <row r="73" spans="4:6" x14ac:dyDescent="0.3">
      <c r="D73" t="s">
        <v>322</v>
      </c>
      <c r="E73">
        <v>6</v>
      </c>
      <c r="F73">
        <v>1</v>
      </c>
    </row>
    <row r="74" spans="4:6" x14ac:dyDescent="0.3">
      <c r="D74" t="s">
        <v>2318</v>
      </c>
      <c r="F74">
        <v>1</v>
      </c>
    </row>
    <row r="75" spans="4:6" x14ac:dyDescent="0.3">
      <c r="D75" t="s">
        <v>947</v>
      </c>
      <c r="E75">
        <v>5</v>
      </c>
      <c r="F75">
        <v>1</v>
      </c>
    </row>
    <row r="76" spans="4:6" x14ac:dyDescent="0.3">
      <c r="D76" t="s">
        <v>2319</v>
      </c>
      <c r="F76">
        <v>1</v>
      </c>
    </row>
    <row r="77" spans="4:6" x14ac:dyDescent="0.3">
      <c r="D77" t="s">
        <v>847</v>
      </c>
      <c r="E77">
        <v>4</v>
      </c>
      <c r="F77">
        <v>1</v>
      </c>
    </row>
    <row r="78" spans="4:6" x14ac:dyDescent="0.3">
      <c r="E78">
        <v>8</v>
      </c>
      <c r="F78">
        <v>1</v>
      </c>
    </row>
    <row r="79" spans="4:6" x14ac:dyDescent="0.3">
      <c r="D79" t="s">
        <v>2320</v>
      </c>
      <c r="F79">
        <v>2</v>
      </c>
    </row>
    <row r="80" spans="4:6" x14ac:dyDescent="0.3">
      <c r="D80" t="s">
        <v>706</v>
      </c>
      <c r="E80">
        <v>4</v>
      </c>
      <c r="F80">
        <v>1</v>
      </c>
    </row>
    <row r="81" spans="3:6" x14ac:dyDescent="0.3">
      <c r="E81">
        <v>5</v>
      </c>
      <c r="F81">
        <v>2</v>
      </c>
    </row>
    <row r="82" spans="3:6" x14ac:dyDescent="0.3">
      <c r="D82" t="s">
        <v>2321</v>
      </c>
      <c r="F82">
        <v>3</v>
      </c>
    </row>
    <row r="83" spans="3:6" x14ac:dyDescent="0.3">
      <c r="C83" t="s">
        <v>2299</v>
      </c>
      <c r="F83">
        <v>43</v>
      </c>
    </row>
    <row r="84" spans="3:6" x14ac:dyDescent="0.3">
      <c r="C84" t="s">
        <v>162</v>
      </c>
      <c r="D84" t="s">
        <v>2042</v>
      </c>
      <c r="E84">
        <v>11</v>
      </c>
      <c r="F84">
        <v>1</v>
      </c>
    </row>
    <row r="85" spans="3:6" x14ac:dyDescent="0.3">
      <c r="D85" t="s">
        <v>2322</v>
      </c>
      <c r="F85">
        <v>1</v>
      </c>
    </row>
    <row r="86" spans="3:6" x14ac:dyDescent="0.3">
      <c r="D86" t="s">
        <v>311</v>
      </c>
      <c r="E86">
        <v>9</v>
      </c>
      <c r="F86">
        <v>1</v>
      </c>
    </row>
    <row r="87" spans="3:6" x14ac:dyDescent="0.3">
      <c r="D87" t="s">
        <v>2323</v>
      </c>
      <c r="F87">
        <v>1</v>
      </c>
    </row>
    <row r="88" spans="3:6" x14ac:dyDescent="0.3">
      <c r="D88" t="s">
        <v>228</v>
      </c>
      <c r="E88">
        <v>3</v>
      </c>
      <c r="F88">
        <v>1</v>
      </c>
    </row>
    <row r="89" spans="3:6" x14ac:dyDescent="0.3">
      <c r="E89">
        <v>4</v>
      </c>
      <c r="F89">
        <v>1</v>
      </c>
    </row>
    <row r="90" spans="3:6" x14ac:dyDescent="0.3">
      <c r="E90">
        <v>5</v>
      </c>
      <c r="F90">
        <v>1</v>
      </c>
    </row>
    <row r="91" spans="3:6" x14ac:dyDescent="0.3">
      <c r="E91">
        <v>6</v>
      </c>
      <c r="F91">
        <v>1</v>
      </c>
    </row>
    <row r="92" spans="3:6" x14ac:dyDescent="0.3">
      <c r="E92">
        <v>7</v>
      </c>
      <c r="F92">
        <v>2</v>
      </c>
    </row>
    <row r="93" spans="3:6" x14ac:dyDescent="0.3">
      <c r="D93" t="s">
        <v>2324</v>
      </c>
      <c r="F93">
        <v>6</v>
      </c>
    </row>
    <row r="94" spans="3:6" x14ac:dyDescent="0.3">
      <c r="D94" t="s">
        <v>165</v>
      </c>
      <c r="E94">
        <v>1</v>
      </c>
      <c r="F94">
        <v>1</v>
      </c>
    </row>
    <row r="95" spans="3:6" x14ac:dyDescent="0.3">
      <c r="E95">
        <v>4</v>
      </c>
      <c r="F95">
        <v>1</v>
      </c>
    </row>
    <row r="96" spans="3:6" x14ac:dyDescent="0.3">
      <c r="E96">
        <v>7</v>
      </c>
      <c r="F96">
        <v>2</v>
      </c>
    </row>
    <row r="97" spans="3:6" x14ac:dyDescent="0.3">
      <c r="E97">
        <v>11</v>
      </c>
      <c r="F97">
        <v>1</v>
      </c>
    </row>
    <row r="98" spans="3:6" x14ac:dyDescent="0.3">
      <c r="E98">
        <v>12</v>
      </c>
      <c r="F98">
        <v>1</v>
      </c>
    </row>
    <row r="99" spans="3:6" x14ac:dyDescent="0.3">
      <c r="D99" t="s">
        <v>2325</v>
      </c>
      <c r="F99">
        <v>6</v>
      </c>
    </row>
    <row r="100" spans="3:6" x14ac:dyDescent="0.3">
      <c r="D100" t="s">
        <v>428</v>
      </c>
      <c r="E100">
        <v>2</v>
      </c>
      <c r="F100">
        <v>1</v>
      </c>
    </row>
    <row r="101" spans="3:6" x14ac:dyDescent="0.3">
      <c r="E101">
        <v>3</v>
      </c>
      <c r="F101">
        <v>1</v>
      </c>
    </row>
    <row r="102" spans="3:6" x14ac:dyDescent="0.3">
      <c r="E102">
        <v>4</v>
      </c>
      <c r="F102">
        <v>1</v>
      </c>
    </row>
    <row r="103" spans="3:6" x14ac:dyDescent="0.3">
      <c r="E103">
        <v>6</v>
      </c>
      <c r="F103">
        <v>1</v>
      </c>
    </row>
    <row r="104" spans="3:6" x14ac:dyDescent="0.3">
      <c r="E104">
        <v>9</v>
      </c>
      <c r="F104">
        <v>2</v>
      </c>
    </row>
    <row r="105" spans="3:6" x14ac:dyDescent="0.3">
      <c r="D105" t="s">
        <v>2292</v>
      </c>
      <c r="F105">
        <v>6</v>
      </c>
    </row>
    <row r="106" spans="3:6" x14ac:dyDescent="0.3">
      <c r="D106" t="s">
        <v>1314</v>
      </c>
      <c r="E106">
        <v>8</v>
      </c>
      <c r="F106">
        <v>1</v>
      </c>
    </row>
    <row r="107" spans="3:6" x14ac:dyDescent="0.3">
      <c r="E107">
        <v>11</v>
      </c>
      <c r="F107">
        <v>1</v>
      </c>
    </row>
    <row r="108" spans="3:6" x14ac:dyDescent="0.3">
      <c r="D108" t="s">
        <v>2326</v>
      </c>
      <c r="F108">
        <v>2</v>
      </c>
    </row>
    <row r="109" spans="3:6" x14ac:dyDescent="0.3">
      <c r="C109" t="s">
        <v>2294</v>
      </c>
      <c r="F109">
        <v>22</v>
      </c>
    </row>
    <row r="110" spans="3:6" x14ac:dyDescent="0.3">
      <c r="C110" t="s">
        <v>356</v>
      </c>
      <c r="D110" t="s">
        <v>359</v>
      </c>
      <c r="E110">
        <v>2</v>
      </c>
      <c r="F110">
        <v>1</v>
      </c>
    </row>
    <row r="111" spans="3:6" x14ac:dyDescent="0.3">
      <c r="D111" t="s">
        <v>2327</v>
      </c>
      <c r="F111">
        <v>1</v>
      </c>
    </row>
    <row r="112" spans="3:6" x14ac:dyDescent="0.3">
      <c r="D112" t="s">
        <v>677</v>
      </c>
      <c r="E112">
        <v>11</v>
      </c>
      <c r="F112">
        <v>1</v>
      </c>
    </row>
    <row r="113" spans="1:6" x14ac:dyDescent="0.3">
      <c r="D113" t="s">
        <v>2328</v>
      </c>
      <c r="F113">
        <v>1</v>
      </c>
    </row>
    <row r="114" spans="1:6" x14ac:dyDescent="0.3">
      <c r="D114" t="s">
        <v>737</v>
      </c>
      <c r="E114">
        <v>9</v>
      </c>
      <c r="F114">
        <v>1</v>
      </c>
    </row>
    <row r="115" spans="1:6" x14ac:dyDescent="0.3">
      <c r="E115">
        <v>10</v>
      </c>
      <c r="F115">
        <v>1</v>
      </c>
    </row>
    <row r="116" spans="1:6" x14ac:dyDescent="0.3">
      <c r="D116" t="s">
        <v>2329</v>
      </c>
      <c r="F116">
        <v>2</v>
      </c>
    </row>
    <row r="117" spans="1:6" x14ac:dyDescent="0.3">
      <c r="C117" t="s">
        <v>2330</v>
      </c>
      <c r="F117">
        <v>4</v>
      </c>
    </row>
    <row r="118" spans="1:6" x14ac:dyDescent="0.3">
      <c r="B118" t="s">
        <v>2295</v>
      </c>
      <c r="F118">
        <v>75</v>
      </c>
    </row>
    <row r="119" spans="1:6" x14ac:dyDescent="0.3">
      <c r="A119" t="s">
        <v>2331</v>
      </c>
      <c r="F119">
        <v>75</v>
      </c>
    </row>
    <row r="120" spans="1:6" x14ac:dyDescent="0.3">
      <c r="A120" t="s">
        <v>2332</v>
      </c>
      <c r="B120" t="s">
        <v>62</v>
      </c>
      <c r="C120" t="s">
        <v>131</v>
      </c>
      <c r="D120" t="s">
        <v>811</v>
      </c>
      <c r="E120">
        <v>4</v>
      </c>
      <c r="F120">
        <v>1</v>
      </c>
    </row>
    <row r="121" spans="1:6" x14ac:dyDescent="0.3">
      <c r="D121" t="s">
        <v>2333</v>
      </c>
      <c r="F121">
        <v>1</v>
      </c>
    </row>
    <row r="122" spans="1:6" x14ac:dyDescent="0.3">
      <c r="D122" t="s">
        <v>133</v>
      </c>
      <c r="E122">
        <v>1</v>
      </c>
      <c r="F122">
        <v>1</v>
      </c>
    </row>
    <row r="123" spans="1:6" x14ac:dyDescent="0.3">
      <c r="E123">
        <v>2</v>
      </c>
      <c r="F123">
        <v>1</v>
      </c>
    </row>
    <row r="124" spans="1:6" x14ac:dyDescent="0.3">
      <c r="E124">
        <v>3</v>
      </c>
      <c r="F124">
        <v>2</v>
      </c>
    </row>
    <row r="125" spans="1:6" x14ac:dyDescent="0.3">
      <c r="E125">
        <v>7</v>
      </c>
      <c r="F125">
        <v>1</v>
      </c>
    </row>
    <row r="126" spans="1:6" x14ac:dyDescent="0.3">
      <c r="E126">
        <v>8</v>
      </c>
      <c r="F126">
        <v>2</v>
      </c>
    </row>
    <row r="127" spans="1:6" x14ac:dyDescent="0.3">
      <c r="E127">
        <v>9</v>
      </c>
      <c r="F127">
        <v>1</v>
      </c>
    </row>
    <row r="128" spans="1:6" x14ac:dyDescent="0.3">
      <c r="D128" t="s">
        <v>2303</v>
      </c>
      <c r="F128">
        <v>8</v>
      </c>
    </row>
    <row r="129" spans="3:6" x14ac:dyDescent="0.3">
      <c r="D129" t="s">
        <v>149</v>
      </c>
      <c r="E129">
        <v>1</v>
      </c>
      <c r="F129">
        <v>1</v>
      </c>
    </row>
    <row r="130" spans="3:6" x14ac:dyDescent="0.3">
      <c r="E130">
        <v>2</v>
      </c>
      <c r="F130">
        <v>1</v>
      </c>
    </row>
    <row r="131" spans="3:6" x14ac:dyDescent="0.3">
      <c r="E131">
        <v>4</v>
      </c>
      <c r="F131">
        <v>2</v>
      </c>
    </row>
    <row r="132" spans="3:6" x14ac:dyDescent="0.3">
      <c r="E132">
        <v>8</v>
      </c>
      <c r="F132">
        <v>1</v>
      </c>
    </row>
    <row r="133" spans="3:6" x14ac:dyDescent="0.3">
      <c r="D133" t="s">
        <v>2296</v>
      </c>
      <c r="F133">
        <v>5</v>
      </c>
    </row>
    <row r="134" spans="3:6" x14ac:dyDescent="0.3">
      <c r="D134" t="s">
        <v>193</v>
      </c>
      <c r="E134">
        <v>1</v>
      </c>
      <c r="F134">
        <v>1</v>
      </c>
    </row>
    <row r="135" spans="3:6" x14ac:dyDescent="0.3">
      <c r="E135">
        <v>5</v>
      </c>
      <c r="F135">
        <v>1</v>
      </c>
    </row>
    <row r="136" spans="3:6" x14ac:dyDescent="0.3">
      <c r="E136">
        <v>9</v>
      </c>
      <c r="F136">
        <v>1</v>
      </c>
    </row>
    <row r="137" spans="3:6" x14ac:dyDescent="0.3">
      <c r="D137" t="s">
        <v>2304</v>
      </c>
      <c r="F137">
        <v>3</v>
      </c>
    </row>
    <row r="138" spans="3:6" x14ac:dyDescent="0.3">
      <c r="C138" t="s">
        <v>2297</v>
      </c>
      <c r="F138">
        <v>17</v>
      </c>
    </row>
    <row r="139" spans="3:6" x14ac:dyDescent="0.3">
      <c r="C139" t="s">
        <v>56</v>
      </c>
      <c r="D139" t="s">
        <v>498</v>
      </c>
      <c r="E139">
        <v>2</v>
      </c>
      <c r="F139">
        <v>2</v>
      </c>
    </row>
    <row r="140" spans="3:6" x14ac:dyDescent="0.3">
      <c r="D140" t="s">
        <v>2307</v>
      </c>
      <c r="F140">
        <v>2</v>
      </c>
    </row>
    <row r="141" spans="3:6" x14ac:dyDescent="0.3">
      <c r="D141" t="s">
        <v>1972</v>
      </c>
      <c r="E141">
        <v>10</v>
      </c>
      <c r="F141">
        <v>1</v>
      </c>
    </row>
    <row r="142" spans="3:6" x14ac:dyDescent="0.3">
      <c r="D142" t="s">
        <v>2334</v>
      </c>
      <c r="F142">
        <v>1</v>
      </c>
    </row>
    <row r="143" spans="3:6" x14ac:dyDescent="0.3">
      <c r="D143" t="s">
        <v>372</v>
      </c>
      <c r="E143">
        <v>2</v>
      </c>
      <c r="F143">
        <v>1</v>
      </c>
    </row>
    <row r="144" spans="3:6" x14ac:dyDescent="0.3">
      <c r="D144" t="s">
        <v>2335</v>
      </c>
      <c r="F144">
        <v>1</v>
      </c>
    </row>
    <row r="145" spans="4:6" x14ac:dyDescent="0.3">
      <c r="D145" t="s">
        <v>111</v>
      </c>
      <c r="E145">
        <v>4</v>
      </c>
      <c r="F145">
        <v>2</v>
      </c>
    </row>
    <row r="146" spans="4:6" x14ac:dyDescent="0.3">
      <c r="E146">
        <v>7</v>
      </c>
      <c r="F146">
        <v>1</v>
      </c>
    </row>
    <row r="147" spans="4:6" x14ac:dyDescent="0.3">
      <c r="E147">
        <v>9</v>
      </c>
      <c r="F147">
        <v>2</v>
      </c>
    </row>
    <row r="148" spans="4:6" x14ac:dyDescent="0.3">
      <c r="E148">
        <v>11</v>
      </c>
      <c r="F148">
        <v>2</v>
      </c>
    </row>
    <row r="149" spans="4:6" x14ac:dyDescent="0.3">
      <c r="E149">
        <v>12</v>
      </c>
      <c r="F149">
        <v>1</v>
      </c>
    </row>
    <row r="150" spans="4:6" x14ac:dyDescent="0.3">
      <c r="D150" t="s">
        <v>2311</v>
      </c>
      <c r="F150">
        <v>8</v>
      </c>
    </row>
    <row r="151" spans="4:6" x14ac:dyDescent="0.3">
      <c r="D151" t="s">
        <v>205</v>
      </c>
      <c r="E151">
        <v>4</v>
      </c>
      <c r="F151">
        <v>1</v>
      </c>
    </row>
    <row r="152" spans="4:6" x14ac:dyDescent="0.3">
      <c r="D152" t="s">
        <v>2312</v>
      </c>
      <c r="F152">
        <v>1</v>
      </c>
    </row>
    <row r="153" spans="4:6" x14ac:dyDescent="0.3">
      <c r="D153" t="s">
        <v>59</v>
      </c>
      <c r="E153">
        <v>1</v>
      </c>
      <c r="F153">
        <v>3</v>
      </c>
    </row>
    <row r="154" spans="4:6" x14ac:dyDescent="0.3">
      <c r="E154">
        <v>4</v>
      </c>
      <c r="F154">
        <v>1</v>
      </c>
    </row>
    <row r="155" spans="4:6" x14ac:dyDescent="0.3">
      <c r="E155">
        <v>5</v>
      </c>
      <c r="F155">
        <v>1</v>
      </c>
    </row>
    <row r="156" spans="4:6" x14ac:dyDescent="0.3">
      <c r="E156">
        <v>6</v>
      </c>
      <c r="F156">
        <v>2</v>
      </c>
    </row>
    <row r="157" spans="4:6" x14ac:dyDescent="0.3">
      <c r="E157">
        <v>7</v>
      </c>
      <c r="F157">
        <v>1</v>
      </c>
    </row>
    <row r="158" spans="4:6" x14ac:dyDescent="0.3">
      <c r="E158">
        <v>8</v>
      </c>
      <c r="F158">
        <v>2</v>
      </c>
    </row>
    <row r="159" spans="4:6" x14ac:dyDescent="0.3">
      <c r="E159">
        <v>9</v>
      </c>
      <c r="F159">
        <v>3</v>
      </c>
    </row>
    <row r="160" spans="4:6" x14ac:dyDescent="0.3">
      <c r="E160">
        <v>10</v>
      </c>
      <c r="F160">
        <v>3</v>
      </c>
    </row>
    <row r="161" spans="3:6" x14ac:dyDescent="0.3">
      <c r="E161">
        <v>11</v>
      </c>
      <c r="F161">
        <v>1</v>
      </c>
    </row>
    <row r="162" spans="3:6" x14ac:dyDescent="0.3">
      <c r="E162">
        <v>12</v>
      </c>
      <c r="F162">
        <v>1</v>
      </c>
    </row>
    <row r="163" spans="3:6" x14ac:dyDescent="0.3">
      <c r="D163" t="s">
        <v>2316</v>
      </c>
      <c r="F163">
        <v>18</v>
      </c>
    </row>
    <row r="164" spans="3:6" x14ac:dyDescent="0.3">
      <c r="D164" t="s">
        <v>322</v>
      </c>
      <c r="E164">
        <v>4</v>
      </c>
      <c r="F164">
        <v>1</v>
      </c>
    </row>
    <row r="165" spans="3:6" x14ac:dyDescent="0.3">
      <c r="E165">
        <v>8</v>
      </c>
      <c r="F165">
        <v>1</v>
      </c>
    </row>
    <row r="166" spans="3:6" x14ac:dyDescent="0.3">
      <c r="E166">
        <v>11</v>
      </c>
      <c r="F166">
        <v>1</v>
      </c>
    </row>
    <row r="167" spans="3:6" x14ac:dyDescent="0.3">
      <c r="D167" t="s">
        <v>2318</v>
      </c>
      <c r="F167">
        <v>3</v>
      </c>
    </row>
    <row r="168" spans="3:6" x14ac:dyDescent="0.3">
      <c r="D168" t="s">
        <v>847</v>
      </c>
      <c r="E168">
        <v>8</v>
      </c>
      <c r="F168">
        <v>2</v>
      </c>
    </row>
    <row r="169" spans="3:6" x14ac:dyDescent="0.3">
      <c r="E169">
        <v>9</v>
      </c>
      <c r="F169">
        <v>1</v>
      </c>
    </row>
    <row r="170" spans="3:6" x14ac:dyDescent="0.3">
      <c r="D170" t="s">
        <v>2320</v>
      </c>
      <c r="F170">
        <v>3</v>
      </c>
    </row>
    <row r="171" spans="3:6" x14ac:dyDescent="0.3">
      <c r="D171" t="s">
        <v>706</v>
      </c>
      <c r="E171">
        <v>7</v>
      </c>
      <c r="F171">
        <v>3</v>
      </c>
    </row>
    <row r="172" spans="3:6" x14ac:dyDescent="0.3">
      <c r="E172">
        <v>8</v>
      </c>
      <c r="F172">
        <v>1</v>
      </c>
    </row>
    <row r="173" spans="3:6" x14ac:dyDescent="0.3">
      <c r="E173">
        <v>10</v>
      </c>
      <c r="F173">
        <v>1</v>
      </c>
    </row>
    <row r="174" spans="3:6" x14ac:dyDescent="0.3">
      <c r="E174">
        <v>11</v>
      </c>
      <c r="F174">
        <v>1</v>
      </c>
    </row>
    <row r="175" spans="3:6" x14ac:dyDescent="0.3">
      <c r="D175" t="s">
        <v>2321</v>
      </c>
      <c r="F175">
        <v>6</v>
      </c>
    </row>
    <row r="176" spans="3:6" x14ac:dyDescent="0.3">
      <c r="C176" t="s">
        <v>2299</v>
      </c>
      <c r="F176">
        <v>43</v>
      </c>
    </row>
    <row r="177" spans="3:6" x14ac:dyDescent="0.3">
      <c r="C177" t="s">
        <v>162</v>
      </c>
      <c r="D177" t="s">
        <v>311</v>
      </c>
      <c r="E177">
        <v>1</v>
      </c>
      <c r="F177">
        <v>1</v>
      </c>
    </row>
    <row r="178" spans="3:6" x14ac:dyDescent="0.3">
      <c r="E178">
        <v>6</v>
      </c>
      <c r="F178">
        <v>1</v>
      </c>
    </row>
    <row r="179" spans="3:6" x14ac:dyDescent="0.3">
      <c r="D179" t="s">
        <v>2323</v>
      </c>
      <c r="F179">
        <v>2</v>
      </c>
    </row>
    <row r="180" spans="3:6" x14ac:dyDescent="0.3">
      <c r="D180" t="s">
        <v>228</v>
      </c>
      <c r="E180">
        <v>1</v>
      </c>
      <c r="F180">
        <v>1</v>
      </c>
    </row>
    <row r="181" spans="3:6" x14ac:dyDescent="0.3">
      <c r="E181">
        <v>4</v>
      </c>
      <c r="F181">
        <v>2</v>
      </c>
    </row>
    <row r="182" spans="3:6" x14ac:dyDescent="0.3">
      <c r="E182">
        <v>7</v>
      </c>
      <c r="F182">
        <v>1</v>
      </c>
    </row>
    <row r="183" spans="3:6" x14ac:dyDescent="0.3">
      <c r="E183">
        <v>8</v>
      </c>
      <c r="F183">
        <v>1</v>
      </c>
    </row>
    <row r="184" spans="3:6" x14ac:dyDescent="0.3">
      <c r="E184">
        <v>9</v>
      </c>
      <c r="F184">
        <v>5</v>
      </c>
    </row>
    <row r="185" spans="3:6" x14ac:dyDescent="0.3">
      <c r="E185">
        <v>10</v>
      </c>
      <c r="F185">
        <v>2</v>
      </c>
    </row>
    <row r="186" spans="3:6" x14ac:dyDescent="0.3">
      <c r="E186">
        <v>11</v>
      </c>
      <c r="F186">
        <v>4</v>
      </c>
    </row>
    <row r="187" spans="3:6" x14ac:dyDescent="0.3">
      <c r="E187">
        <v>12</v>
      </c>
      <c r="F187">
        <v>2</v>
      </c>
    </row>
    <row r="188" spans="3:6" x14ac:dyDescent="0.3">
      <c r="D188" t="s">
        <v>2324</v>
      </c>
      <c r="F188">
        <v>18</v>
      </c>
    </row>
    <row r="189" spans="3:6" x14ac:dyDescent="0.3">
      <c r="D189" t="s">
        <v>1332</v>
      </c>
      <c r="E189">
        <v>7</v>
      </c>
      <c r="F189">
        <v>1</v>
      </c>
    </row>
    <row r="190" spans="3:6" x14ac:dyDescent="0.3">
      <c r="D190" t="s">
        <v>2336</v>
      </c>
      <c r="F190">
        <v>1</v>
      </c>
    </row>
    <row r="191" spans="3:6" x14ac:dyDescent="0.3">
      <c r="D191" t="s">
        <v>242</v>
      </c>
      <c r="E191">
        <v>1</v>
      </c>
      <c r="F191">
        <v>1</v>
      </c>
    </row>
    <row r="192" spans="3:6" x14ac:dyDescent="0.3">
      <c r="E192">
        <v>2</v>
      </c>
      <c r="F192">
        <v>4</v>
      </c>
    </row>
    <row r="193" spans="4:6" x14ac:dyDescent="0.3">
      <c r="E193">
        <v>3</v>
      </c>
      <c r="F193">
        <v>1</v>
      </c>
    </row>
    <row r="194" spans="4:6" x14ac:dyDescent="0.3">
      <c r="E194">
        <v>4</v>
      </c>
      <c r="F194">
        <v>2</v>
      </c>
    </row>
    <row r="195" spans="4:6" x14ac:dyDescent="0.3">
      <c r="E195">
        <v>7</v>
      </c>
      <c r="F195">
        <v>1</v>
      </c>
    </row>
    <row r="196" spans="4:6" x14ac:dyDescent="0.3">
      <c r="E196">
        <v>8</v>
      </c>
      <c r="F196">
        <v>3</v>
      </c>
    </row>
    <row r="197" spans="4:6" x14ac:dyDescent="0.3">
      <c r="E197">
        <v>9</v>
      </c>
      <c r="F197">
        <v>1</v>
      </c>
    </row>
    <row r="198" spans="4:6" x14ac:dyDescent="0.3">
      <c r="D198" t="s">
        <v>2337</v>
      </c>
      <c r="F198">
        <v>13</v>
      </c>
    </row>
    <row r="199" spans="4:6" x14ac:dyDescent="0.3">
      <c r="D199" t="s">
        <v>252</v>
      </c>
      <c r="E199">
        <v>1</v>
      </c>
      <c r="F199">
        <v>1</v>
      </c>
    </row>
    <row r="200" spans="4:6" x14ac:dyDescent="0.3">
      <c r="D200" t="s">
        <v>2338</v>
      </c>
      <c r="F200">
        <v>1</v>
      </c>
    </row>
    <row r="201" spans="4:6" x14ac:dyDescent="0.3">
      <c r="D201" t="s">
        <v>428</v>
      </c>
      <c r="E201">
        <v>1</v>
      </c>
      <c r="F201">
        <v>4</v>
      </c>
    </row>
    <row r="202" spans="4:6" x14ac:dyDescent="0.3">
      <c r="E202">
        <v>2</v>
      </c>
      <c r="F202">
        <v>7</v>
      </c>
    </row>
    <row r="203" spans="4:6" x14ac:dyDescent="0.3">
      <c r="E203">
        <v>3</v>
      </c>
      <c r="F203">
        <v>7</v>
      </c>
    </row>
    <row r="204" spans="4:6" x14ac:dyDescent="0.3">
      <c r="E204">
        <v>4</v>
      </c>
      <c r="F204">
        <v>8</v>
      </c>
    </row>
    <row r="205" spans="4:6" x14ac:dyDescent="0.3">
      <c r="E205">
        <v>5</v>
      </c>
      <c r="F205">
        <v>10</v>
      </c>
    </row>
    <row r="206" spans="4:6" x14ac:dyDescent="0.3">
      <c r="E206">
        <v>6</v>
      </c>
      <c r="F206">
        <v>7</v>
      </c>
    </row>
    <row r="207" spans="4:6" x14ac:dyDescent="0.3">
      <c r="E207">
        <v>7</v>
      </c>
      <c r="F207">
        <v>8</v>
      </c>
    </row>
    <row r="208" spans="4:6" x14ac:dyDescent="0.3">
      <c r="E208">
        <v>8</v>
      </c>
      <c r="F208">
        <v>9</v>
      </c>
    </row>
    <row r="209" spans="3:6" x14ac:dyDescent="0.3">
      <c r="E209">
        <v>9</v>
      </c>
      <c r="F209">
        <v>6</v>
      </c>
    </row>
    <row r="210" spans="3:6" x14ac:dyDescent="0.3">
      <c r="E210">
        <v>10</v>
      </c>
      <c r="F210">
        <v>4</v>
      </c>
    </row>
    <row r="211" spans="3:6" x14ac:dyDescent="0.3">
      <c r="E211">
        <v>11</v>
      </c>
      <c r="F211">
        <v>4</v>
      </c>
    </row>
    <row r="212" spans="3:6" x14ac:dyDescent="0.3">
      <c r="E212">
        <v>12</v>
      </c>
      <c r="F212">
        <v>6</v>
      </c>
    </row>
    <row r="213" spans="3:6" x14ac:dyDescent="0.3">
      <c r="D213" t="s">
        <v>2292</v>
      </c>
      <c r="F213">
        <v>80</v>
      </c>
    </row>
    <row r="214" spans="3:6" x14ac:dyDescent="0.3">
      <c r="D214" t="s">
        <v>1314</v>
      </c>
      <c r="E214">
        <v>9</v>
      </c>
      <c r="F214">
        <v>2</v>
      </c>
    </row>
    <row r="215" spans="3:6" x14ac:dyDescent="0.3">
      <c r="E215">
        <v>10</v>
      </c>
      <c r="F215">
        <v>1</v>
      </c>
    </row>
    <row r="216" spans="3:6" x14ac:dyDescent="0.3">
      <c r="E216">
        <v>11</v>
      </c>
      <c r="F216">
        <v>1</v>
      </c>
    </row>
    <row r="217" spans="3:6" x14ac:dyDescent="0.3">
      <c r="D217" t="s">
        <v>2326</v>
      </c>
      <c r="F217">
        <v>4</v>
      </c>
    </row>
    <row r="218" spans="3:6" x14ac:dyDescent="0.3">
      <c r="C218" t="s">
        <v>2294</v>
      </c>
      <c r="F218">
        <v>119</v>
      </c>
    </row>
    <row r="219" spans="3:6" x14ac:dyDescent="0.3">
      <c r="C219" t="s">
        <v>356</v>
      </c>
      <c r="D219" t="s">
        <v>359</v>
      </c>
      <c r="E219">
        <v>2</v>
      </c>
      <c r="F219">
        <v>1</v>
      </c>
    </row>
    <row r="220" spans="3:6" x14ac:dyDescent="0.3">
      <c r="D220" t="s">
        <v>2327</v>
      </c>
      <c r="F220">
        <v>1</v>
      </c>
    </row>
    <row r="221" spans="3:6" x14ac:dyDescent="0.3">
      <c r="D221" t="s">
        <v>677</v>
      </c>
      <c r="E221">
        <v>4</v>
      </c>
      <c r="F221">
        <v>2</v>
      </c>
    </row>
    <row r="222" spans="3:6" x14ac:dyDescent="0.3">
      <c r="D222" t="s">
        <v>2328</v>
      </c>
      <c r="F222">
        <v>2</v>
      </c>
    </row>
    <row r="223" spans="3:6" x14ac:dyDescent="0.3">
      <c r="D223" t="s">
        <v>737</v>
      </c>
      <c r="E223">
        <v>4</v>
      </c>
      <c r="F223">
        <v>1</v>
      </c>
    </row>
    <row r="224" spans="3:6" x14ac:dyDescent="0.3">
      <c r="E224">
        <v>6</v>
      </c>
      <c r="F224">
        <v>1</v>
      </c>
    </row>
    <row r="225" spans="1:6" x14ac:dyDescent="0.3">
      <c r="E225">
        <v>8</v>
      </c>
      <c r="F225">
        <v>2</v>
      </c>
    </row>
    <row r="226" spans="1:6" x14ac:dyDescent="0.3">
      <c r="D226" t="s">
        <v>2329</v>
      </c>
      <c r="F226">
        <v>4</v>
      </c>
    </row>
    <row r="227" spans="1:6" x14ac:dyDescent="0.3">
      <c r="C227" t="s">
        <v>2330</v>
      </c>
      <c r="F227">
        <v>7</v>
      </c>
    </row>
    <row r="228" spans="1:6" x14ac:dyDescent="0.3">
      <c r="B228" t="s">
        <v>2300</v>
      </c>
      <c r="F228">
        <v>186</v>
      </c>
    </row>
    <row r="229" spans="1:6" x14ac:dyDescent="0.3">
      <c r="B229" t="s">
        <v>2332</v>
      </c>
      <c r="C229" t="s">
        <v>2332</v>
      </c>
      <c r="D229" t="s">
        <v>2332</v>
      </c>
      <c r="E229">
        <v>1</v>
      </c>
    </row>
    <row r="230" spans="1:6" x14ac:dyDescent="0.3">
      <c r="D230" t="s">
        <v>2339</v>
      </c>
    </row>
    <row r="231" spans="1:6" x14ac:dyDescent="0.3">
      <c r="C231" t="s">
        <v>2339</v>
      </c>
    </row>
    <row r="232" spans="1:6" x14ac:dyDescent="0.3">
      <c r="B232" t="s">
        <v>2339</v>
      </c>
    </row>
    <row r="233" spans="1:6" x14ac:dyDescent="0.3">
      <c r="A233" t="s">
        <v>2339</v>
      </c>
      <c r="F233">
        <v>186</v>
      </c>
    </row>
    <row r="234" spans="1:6" x14ac:dyDescent="0.3">
      <c r="A234" t="s">
        <v>2114</v>
      </c>
      <c r="B234" t="s">
        <v>62</v>
      </c>
      <c r="C234" t="s">
        <v>56</v>
      </c>
      <c r="D234" t="s">
        <v>2112</v>
      </c>
      <c r="E234">
        <v>3</v>
      </c>
      <c r="F234">
        <v>3</v>
      </c>
    </row>
    <row r="235" spans="1:6" x14ac:dyDescent="0.3">
      <c r="D235" t="s">
        <v>2340</v>
      </c>
      <c r="F235">
        <v>3</v>
      </c>
    </row>
    <row r="236" spans="1:6" x14ac:dyDescent="0.3">
      <c r="D236" t="s">
        <v>2122</v>
      </c>
      <c r="E236">
        <v>3</v>
      </c>
      <c r="F236">
        <v>1</v>
      </c>
    </row>
    <row r="237" spans="1:6" x14ac:dyDescent="0.3">
      <c r="D237" t="s">
        <v>2341</v>
      </c>
      <c r="F237">
        <v>1</v>
      </c>
    </row>
    <row r="238" spans="1:6" x14ac:dyDescent="0.3">
      <c r="D238" t="s">
        <v>2126</v>
      </c>
      <c r="E238">
        <v>3</v>
      </c>
      <c r="F238">
        <v>1</v>
      </c>
    </row>
    <row r="239" spans="1:6" x14ac:dyDescent="0.3">
      <c r="D239" t="s">
        <v>2342</v>
      </c>
      <c r="F239">
        <v>1</v>
      </c>
    </row>
    <row r="240" spans="1:6" x14ac:dyDescent="0.3">
      <c r="C240" t="s">
        <v>2299</v>
      </c>
      <c r="F240">
        <v>5</v>
      </c>
    </row>
    <row r="241" spans="1:6" x14ac:dyDescent="0.3">
      <c r="B241" t="s">
        <v>2300</v>
      </c>
      <c r="F241">
        <v>5</v>
      </c>
    </row>
    <row r="242" spans="1:6" x14ac:dyDescent="0.3">
      <c r="A242" t="s">
        <v>2343</v>
      </c>
      <c r="F242">
        <v>5</v>
      </c>
    </row>
    <row r="243" spans="1:6" x14ac:dyDescent="0.3">
      <c r="A243" t="s">
        <v>12</v>
      </c>
      <c r="F243">
        <v>275</v>
      </c>
    </row>
  </sheetData>
  <pageMargins left="0.7" right="0.7" top="0.75" bottom="0.75" header="0.3" footer="0.3"/>
  <customProperties>
    <customPr name="_pios_id" r:id="rId2"/>
    <customPr name="IbpWorksheetKeyString_GUID" r:id="rId3"/>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06B8B-939F-4A49-B3CA-66F3F67A018D}">
  <dimension ref="A2:G77"/>
  <sheetViews>
    <sheetView topLeftCell="A45" workbookViewId="0">
      <selection activeCell="A5" sqref="A5"/>
    </sheetView>
  </sheetViews>
  <sheetFormatPr baseColWidth="10" defaultColWidth="8.5546875" defaultRowHeight="14.4" x14ac:dyDescent="0.3"/>
  <cols>
    <col min="1" max="1" width="26.5546875" bestFit="1" customWidth="1"/>
    <col min="2" max="2" width="19" bestFit="1" customWidth="1"/>
    <col min="3" max="4" width="24.6640625" bestFit="1" customWidth="1"/>
    <col min="5" max="5" width="26" bestFit="1" customWidth="1"/>
  </cols>
  <sheetData>
    <row r="2" spans="1:7" x14ac:dyDescent="0.3">
      <c r="A2" s="8" t="s">
        <v>15</v>
      </c>
      <c r="B2" s="8" t="s">
        <v>19</v>
      </c>
      <c r="C2" s="8" t="s">
        <v>5</v>
      </c>
      <c r="D2" t="s">
        <v>2291</v>
      </c>
    </row>
    <row r="3" spans="1:7" x14ac:dyDescent="0.3">
      <c r="A3" t="s">
        <v>131</v>
      </c>
      <c r="B3" t="s">
        <v>113</v>
      </c>
      <c r="C3" t="s">
        <v>1133</v>
      </c>
      <c r="D3">
        <v>1</v>
      </c>
    </row>
    <row r="4" spans="1:7" x14ac:dyDescent="0.3">
      <c r="C4" t="s">
        <v>133</v>
      </c>
      <c r="D4">
        <v>1</v>
      </c>
    </row>
    <row r="5" spans="1:7" x14ac:dyDescent="0.3">
      <c r="C5" t="s">
        <v>149</v>
      </c>
      <c r="D5">
        <v>3</v>
      </c>
    </row>
    <row r="6" spans="1:7" x14ac:dyDescent="0.3">
      <c r="C6" t="s">
        <v>193</v>
      </c>
      <c r="D6">
        <v>1</v>
      </c>
    </row>
    <row r="7" spans="1:7" x14ac:dyDescent="0.3">
      <c r="B7" t="s">
        <v>2295</v>
      </c>
      <c r="D7">
        <v>6</v>
      </c>
    </row>
    <row r="8" spans="1:7" x14ac:dyDescent="0.3">
      <c r="B8" t="s">
        <v>62</v>
      </c>
      <c r="C8" t="s">
        <v>811</v>
      </c>
      <c r="D8">
        <v>1</v>
      </c>
    </row>
    <row r="9" spans="1:7" x14ac:dyDescent="0.3">
      <c r="C9" t="s">
        <v>133</v>
      </c>
      <c r="D9">
        <v>8</v>
      </c>
    </row>
    <row r="10" spans="1:7" x14ac:dyDescent="0.3">
      <c r="C10" t="s">
        <v>149</v>
      </c>
      <c r="D10">
        <v>6</v>
      </c>
    </row>
    <row r="11" spans="1:7" x14ac:dyDescent="0.3">
      <c r="C11" t="s">
        <v>193</v>
      </c>
      <c r="D11">
        <v>3</v>
      </c>
    </row>
    <row r="12" spans="1:7" x14ac:dyDescent="0.3">
      <c r="B12" t="s">
        <v>2300</v>
      </c>
      <c r="D12">
        <v>18</v>
      </c>
    </row>
    <row r="13" spans="1:7" x14ac:dyDescent="0.3">
      <c r="A13" t="s">
        <v>2297</v>
      </c>
      <c r="D13">
        <v>24</v>
      </c>
    </row>
    <row r="14" spans="1:7" x14ac:dyDescent="0.3">
      <c r="A14" t="s">
        <v>56</v>
      </c>
      <c r="B14" t="s">
        <v>113</v>
      </c>
      <c r="C14" t="s">
        <v>324</v>
      </c>
      <c r="D14">
        <v>1</v>
      </c>
      <c r="G14">
        <f>+D12+D14</f>
        <v>19</v>
      </c>
    </row>
    <row r="15" spans="1:7" x14ac:dyDescent="0.3">
      <c r="C15" t="s">
        <v>2079</v>
      </c>
      <c r="D15">
        <v>1</v>
      </c>
      <c r="G15">
        <f>+D11+D13+D15+D16+D17+D18+D19</f>
        <v>32</v>
      </c>
    </row>
    <row r="16" spans="1:7" x14ac:dyDescent="0.3">
      <c r="C16" t="s">
        <v>498</v>
      </c>
      <c r="D16">
        <v>1</v>
      </c>
    </row>
    <row r="17" spans="2:6" x14ac:dyDescent="0.3">
      <c r="C17" t="s">
        <v>972</v>
      </c>
      <c r="D17">
        <v>1</v>
      </c>
    </row>
    <row r="18" spans="2:6" x14ac:dyDescent="0.3">
      <c r="C18" t="s">
        <v>2071</v>
      </c>
      <c r="D18">
        <v>1</v>
      </c>
    </row>
    <row r="19" spans="2:6" x14ac:dyDescent="0.3">
      <c r="C19" t="s">
        <v>1466</v>
      </c>
      <c r="D19">
        <v>1</v>
      </c>
    </row>
    <row r="20" spans="2:6" x14ac:dyDescent="0.3">
      <c r="C20" t="s">
        <v>111</v>
      </c>
      <c r="D20">
        <v>9</v>
      </c>
    </row>
    <row r="21" spans="2:6" x14ac:dyDescent="0.3">
      <c r="C21" t="s">
        <v>205</v>
      </c>
      <c r="D21">
        <v>3</v>
      </c>
    </row>
    <row r="22" spans="2:6" x14ac:dyDescent="0.3">
      <c r="C22" t="s">
        <v>769</v>
      </c>
      <c r="D22">
        <v>2</v>
      </c>
    </row>
    <row r="23" spans="2:6" x14ac:dyDescent="0.3">
      <c r="C23" t="s">
        <v>391</v>
      </c>
      <c r="D23">
        <v>3</v>
      </c>
      <c r="F23">
        <f>+D23+D24</f>
        <v>4</v>
      </c>
    </row>
    <row r="24" spans="2:6" x14ac:dyDescent="0.3">
      <c r="C24" t="s">
        <v>1118</v>
      </c>
      <c r="D24">
        <v>1</v>
      </c>
      <c r="F24">
        <f>+D21+D22+D25+D26+D27+D28+D29</f>
        <v>19</v>
      </c>
    </row>
    <row r="25" spans="2:6" x14ac:dyDescent="0.3">
      <c r="C25" t="s">
        <v>1507</v>
      </c>
      <c r="D25">
        <v>4</v>
      </c>
      <c r="F25">
        <f>+F23+F24</f>
        <v>23</v>
      </c>
    </row>
    <row r="26" spans="2:6" x14ac:dyDescent="0.3">
      <c r="C26" t="s">
        <v>59</v>
      </c>
      <c r="D26">
        <v>7</v>
      </c>
    </row>
    <row r="27" spans="2:6" x14ac:dyDescent="0.3">
      <c r="C27" t="s">
        <v>1962</v>
      </c>
      <c r="D27">
        <v>1</v>
      </c>
    </row>
    <row r="28" spans="2:6" x14ac:dyDescent="0.3">
      <c r="C28" t="s">
        <v>322</v>
      </c>
      <c r="D28">
        <v>1</v>
      </c>
    </row>
    <row r="29" spans="2:6" x14ac:dyDescent="0.3">
      <c r="C29" t="s">
        <v>947</v>
      </c>
      <c r="D29">
        <v>1</v>
      </c>
    </row>
    <row r="30" spans="2:6" x14ac:dyDescent="0.3">
      <c r="C30" t="s">
        <v>847</v>
      </c>
      <c r="D30">
        <v>2</v>
      </c>
    </row>
    <row r="31" spans="2:6" x14ac:dyDescent="0.3">
      <c r="C31" t="s">
        <v>706</v>
      </c>
      <c r="D31">
        <v>3</v>
      </c>
    </row>
    <row r="32" spans="2:6" x14ac:dyDescent="0.3">
      <c r="B32" t="s">
        <v>2295</v>
      </c>
      <c r="D32">
        <v>43</v>
      </c>
    </row>
    <row r="33" spans="1:4" x14ac:dyDescent="0.3">
      <c r="B33" t="s">
        <v>62</v>
      </c>
      <c r="C33" t="s">
        <v>498</v>
      </c>
      <c r="D33">
        <v>2</v>
      </c>
    </row>
    <row r="34" spans="1:4" x14ac:dyDescent="0.3">
      <c r="C34" t="s">
        <v>2126</v>
      </c>
      <c r="D34">
        <v>1</v>
      </c>
    </row>
    <row r="35" spans="1:4" x14ac:dyDescent="0.3">
      <c r="C35" t="s">
        <v>1972</v>
      </c>
      <c r="D35">
        <v>1</v>
      </c>
    </row>
    <row r="36" spans="1:4" x14ac:dyDescent="0.3">
      <c r="C36" t="s">
        <v>372</v>
      </c>
      <c r="D36">
        <v>1</v>
      </c>
    </row>
    <row r="37" spans="1:4" x14ac:dyDescent="0.3">
      <c r="C37" t="s">
        <v>111</v>
      </c>
      <c r="D37">
        <v>8</v>
      </c>
    </row>
    <row r="38" spans="1:4" x14ac:dyDescent="0.3">
      <c r="C38" t="s">
        <v>205</v>
      </c>
      <c r="D38">
        <v>1</v>
      </c>
    </row>
    <row r="39" spans="1:4" x14ac:dyDescent="0.3">
      <c r="C39" t="s">
        <v>769</v>
      </c>
      <c r="D39">
        <v>5</v>
      </c>
    </row>
    <row r="40" spans="1:4" x14ac:dyDescent="0.3">
      <c r="C40" t="s">
        <v>2112</v>
      </c>
      <c r="D40">
        <v>3</v>
      </c>
    </row>
    <row r="41" spans="1:4" x14ac:dyDescent="0.3">
      <c r="C41" t="s">
        <v>59</v>
      </c>
      <c r="D41">
        <v>18</v>
      </c>
    </row>
    <row r="42" spans="1:4" x14ac:dyDescent="0.3">
      <c r="C42" t="s">
        <v>322</v>
      </c>
      <c r="D42">
        <v>3</v>
      </c>
    </row>
    <row r="43" spans="1:4" x14ac:dyDescent="0.3">
      <c r="C43" t="s">
        <v>847</v>
      </c>
      <c r="D43">
        <v>3</v>
      </c>
    </row>
    <row r="44" spans="1:4" x14ac:dyDescent="0.3">
      <c r="C44" t="s">
        <v>2122</v>
      </c>
      <c r="D44">
        <v>1</v>
      </c>
    </row>
    <row r="45" spans="1:4" x14ac:dyDescent="0.3">
      <c r="C45" t="s">
        <v>706</v>
      </c>
      <c r="D45">
        <v>6</v>
      </c>
    </row>
    <row r="46" spans="1:4" x14ac:dyDescent="0.3">
      <c r="B46" t="s">
        <v>2300</v>
      </c>
      <c r="D46">
        <v>53</v>
      </c>
    </row>
    <row r="47" spans="1:4" x14ac:dyDescent="0.3">
      <c r="A47" t="s">
        <v>2299</v>
      </c>
      <c r="D47">
        <v>96</v>
      </c>
    </row>
    <row r="48" spans="1:4" x14ac:dyDescent="0.3">
      <c r="A48" t="s">
        <v>162</v>
      </c>
      <c r="B48" t="s">
        <v>113</v>
      </c>
      <c r="C48" t="s">
        <v>2042</v>
      </c>
      <c r="D48">
        <v>1</v>
      </c>
    </row>
    <row r="49" spans="1:5" x14ac:dyDescent="0.3">
      <c r="C49" t="s">
        <v>311</v>
      </c>
      <c r="D49">
        <v>1</v>
      </c>
    </row>
    <row r="50" spans="1:5" x14ac:dyDescent="0.3">
      <c r="C50" t="s">
        <v>228</v>
      </c>
      <c r="D50">
        <v>6</v>
      </c>
    </row>
    <row r="51" spans="1:5" x14ac:dyDescent="0.3">
      <c r="C51" t="s">
        <v>165</v>
      </c>
      <c r="D51">
        <v>6</v>
      </c>
    </row>
    <row r="52" spans="1:5" x14ac:dyDescent="0.3">
      <c r="C52" t="s">
        <v>428</v>
      </c>
      <c r="D52">
        <v>8</v>
      </c>
    </row>
    <row r="53" spans="1:5" x14ac:dyDescent="0.3">
      <c r="C53" t="s">
        <v>1314</v>
      </c>
      <c r="D53">
        <v>2</v>
      </c>
      <c r="E53">
        <f>25+43+4+6</f>
        <v>78</v>
      </c>
    </row>
    <row r="54" spans="1:5" x14ac:dyDescent="0.3">
      <c r="C54" t="s">
        <v>1414</v>
      </c>
      <c r="D54">
        <v>1</v>
      </c>
    </row>
    <row r="55" spans="1:5" x14ac:dyDescent="0.3">
      <c r="B55" t="s">
        <v>2295</v>
      </c>
      <c r="D55">
        <v>25</v>
      </c>
    </row>
    <row r="56" spans="1:5" x14ac:dyDescent="0.3">
      <c r="B56" t="s">
        <v>62</v>
      </c>
      <c r="C56" t="s">
        <v>311</v>
      </c>
      <c r="D56">
        <v>2</v>
      </c>
    </row>
    <row r="57" spans="1:5" x14ac:dyDescent="0.3">
      <c r="C57" t="s">
        <v>228</v>
      </c>
      <c r="D57">
        <v>18</v>
      </c>
    </row>
    <row r="58" spans="1:5" x14ac:dyDescent="0.3">
      <c r="C58" t="s">
        <v>1332</v>
      </c>
      <c r="D58">
        <v>1</v>
      </c>
    </row>
    <row r="59" spans="1:5" x14ac:dyDescent="0.3">
      <c r="C59" t="s">
        <v>242</v>
      </c>
      <c r="D59">
        <v>13</v>
      </c>
    </row>
    <row r="60" spans="1:5" x14ac:dyDescent="0.3">
      <c r="C60" t="s">
        <v>252</v>
      </c>
      <c r="D60">
        <v>1</v>
      </c>
    </row>
    <row r="61" spans="1:5" x14ac:dyDescent="0.3">
      <c r="C61" t="s">
        <v>428</v>
      </c>
      <c r="D61">
        <v>80</v>
      </c>
    </row>
    <row r="62" spans="1:5" x14ac:dyDescent="0.3">
      <c r="C62" t="s">
        <v>1314</v>
      </c>
      <c r="D62">
        <v>4</v>
      </c>
    </row>
    <row r="63" spans="1:5" x14ac:dyDescent="0.3">
      <c r="B63" t="s">
        <v>2300</v>
      </c>
      <c r="D63">
        <v>119</v>
      </c>
    </row>
    <row r="64" spans="1:5" x14ac:dyDescent="0.3">
      <c r="A64" t="s">
        <v>2294</v>
      </c>
      <c r="D64">
        <v>144</v>
      </c>
    </row>
    <row r="65" spans="1:4" x14ac:dyDescent="0.3">
      <c r="A65" t="s">
        <v>356</v>
      </c>
      <c r="B65" t="s">
        <v>113</v>
      </c>
      <c r="C65" t="s">
        <v>359</v>
      </c>
      <c r="D65">
        <v>1</v>
      </c>
    </row>
    <row r="66" spans="1:4" x14ac:dyDescent="0.3">
      <c r="C66" t="s">
        <v>677</v>
      </c>
      <c r="D66">
        <v>1</v>
      </c>
    </row>
    <row r="67" spans="1:4" x14ac:dyDescent="0.3">
      <c r="C67" t="s">
        <v>737</v>
      </c>
      <c r="D67">
        <v>2</v>
      </c>
    </row>
    <row r="68" spans="1:4" x14ac:dyDescent="0.3">
      <c r="B68" t="s">
        <v>2295</v>
      </c>
      <c r="D68">
        <v>4</v>
      </c>
    </row>
    <row r="69" spans="1:4" x14ac:dyDescent="0.3">
      <c r="B69" t="s">
        <v>62</v>
      </c>
      <c r="C69" t="s">
        <v>359</v>
      </c>
      <c r="D69">
        <v>1</v>
      </c>
    </row>
    <row r="70" spans="1:4" x14ac:dyDescent="0.3">
      <c r="C70" t="s">
        <v>677</v>
      </c>
      <c r="D70">
        <v>2</v>
      </c>
    </row>
    <row r="71" spans="1:4" x14ac:dyDescent="0.3">
      <c r="C71" t="s">
        <v>737</v>
      </c>
      <c r="D71">
        <v>4</v>
      </c>
    </row>
    <row r="72" spans="1:4" x14ac:dyDescent="0.3">
      <c r="B72" t="s">
        <v>2300</v>
      </c>
      <c r="D72">
        <v>7</v>
      </c>
    </row>
    <row r="73" spans="1:4" x14ac:dyDescent="0.3">
      <c r="A73" t="s">
        <v>2330</v>
      </c>
      <c r="D73">
        <v>11</v>
      </c>
    </row>
    <row r="74" spans="1:4" x14ac:dyDescent="0.3">
      <c r="A74" t="s">
        <v>2332</v>
      </c>
      <c r="B74" t="s">
        <v>2344</v>
      </c>
      <c r="C74" t="s">
        <v>2332</v>
      </c>
    </row>
    <row r="75" spans="1:4" x14ac:dyDescent="0.3">
      <c r="B75" t="s">
        <v>2345</v>
      </c>
    </row>
    <row r="76" spans="1:4" x14ac:dyDescent="0.3">
      <c r="A76" t="s">
        <v>2339</v>
      </c>
    </row>
    <row r="77" spans="1:4" x14ac:dyDescent="0.3">
      <c r="A77" t="s">
        <v>12</v>
      </c>
      <c r="D77">
        <v>275</v>
      </c>
    </row>
  </sheetData>
  <pageMargins left="0.7" right="0.7" top="0.75" bottom="0.75" header="0.3" footer="0.3"/>
  <customProperties>
    <customPr name="_pios_id" r:id="rId2"/>
    <customPr name="IbpWorksheetKeyString_GUID" r:id="rId3"/>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F2B01-E8F0-47A4-A43F-D1921378BC25}">
  <dimension ref="A1:I17"/>
  <sheetViews>
    <sheetView workbookViewId="0">
      <selection activeCell="B10" sqref="B10"/>
    </sheetView>
  </sheetViews>
  <sheetFormatPr baseColWidth="10" defaultColWidth="8.6640625" defaultRowHeight="14.4" x14ac:dyDescent="0.3"/>
  <cols>
    <col min="1" max="1" width="30.33203125" bestFit="1" customWidth="1"/>
    <col min="2" max="2" width="18.44140625" bestFit="1" customWidth="1"/>
    <col min="3" max="3" width="11.44140625" bestFit="1" customWidth="1"/>
    <col min="4" max="4" width="12.5546875" bestFit="1" customWidth="1"/>
  </cols>
  <sheetData>
    <row r="1" spans="1:9" x14ac:dyDescent="0.3">
      <c r="A1" s="8" t="s">
        <v>23</v>
      </c>
      <c r="B1" t="s">
        <v>3</v>
      </c>
    </row>
    <row r="2" spans="1:9" x14ac:dyDescent="0.3">
      <c r="A2" s="8" t="s">
        <v>4</v>
      </c>
      <c r="B2" t="s">
        <v>113</v>
      </c>
    </row>
    <row r="4" spans="1:9" x14ac:dyDescent="0.3">
      <c r="A4" s="8" t="s">
        <v>2346</v>
      </c>
      <c r="B4" s="8" t="s">
        <v>53</v>
      </c>
      <c r="E4" t="s">
        <v>2347</v>
      </c>
      <c r="F4" t="s">
        <v>2348</v>
      </c>
      <c r="G4" t="s">
        <v>891</v>
      </c>
      <c r="H4" t="s">
        <v>587</v>
      </c>
      <c r="I4" t="s">
        <v>2349</v>
      </c>
    </row>
    <row r="5" spans="1:9" x14ac:dyDescent="0.3">
      <c r="A5" s="8" t="s">
        <v>28</v>
      </c>
      <c r="B5" t="s">
        <v>128</v>
      </c>
      <c r="C5" t="s">
        <v>12</v>
      </c>
    </row>
    <row r="6" spans="1:9" x14ac:dyDescent="0.3">
      <c r="A6" t="s">
        <v>114</v>
      </c>
      <c r="B6">
        <v>11</v>
      </c>
      <c r="C6">
        <v>11</v>
      </c>
      <c r="F6">
        <v>1</v>
      </c>
    </row>
    <row r="7" spans="1:9" x14ac:dyDescent="0.3">
      <c r="A7" t="s">
        <v>275</v>
      </c>
      <c r="B7">
        <v>1</v>
      </c>
      <c r="C7">
        <v>1</v>
      </c>
      <c r="E7">
        <v>1</v>
      </c>
    </row>
    <row r="8" spans="1:9" x14ac:dyDescent="0.3">
      <c r="A8" t="s">
        <v>423</v>
      </c>
      <c r="B8">
        <v>1</v>
      </c>
      <c r="C8">
        <v>1</v>
      </c>
      <c r="F8">
        <v>1</v>
      </c>
    </row>
    <row r="9" spans="1:9" x14ac:dyDescent="0.3">
      <c r="A9" t="s">
        <v>588</v>
      </c>
      <c r="B9">
        <v>1</v>
      </c>
      <c r="C9">
        <v>1</v>
      </c>
      <c r="E9">
        <v>1</v>
      </c>
    </row>
    <row r="10" spans="1:9" x14ac:dyDescent="0.3">
      <c r="A10" t="s">
        <v>216</v>
      </c>
      <c r="B10">
        <v>1</v>
      </c>
      <c r="C10">
        <v>1</v>
      </c>
      <c r="E10">
        <v>1</v>
      </c>
    </row>
    <row r="11" spans="1:9" x14ac:dyDescent="0.3">
      <c r="A11" t="s">
        <v>326</v>
      </c>
      <c r="B11">
        <v>1</v>
      </c>
      <c r="C11">
        <v>1</v>
      </c>
      <c r="F11">
        <v>1</v>
      </c>
    </row>
    <row r="12" spans="1:9" x14ac:dyDescent="0.3">
      <c r="A12" t="s">
        <v>394</v>
      </c>
      <c r="B12">
        <v>1</v>
      </c>
      <c r="C12">
        <v>1</v>
      </c>
      <c r="E12">
        <v>1</v>
      </c>
    </row>
    <row r="13" spans="1:9" x14ac:dyDescent="0.3">
      <c r="A13" t="s">
        <v>339</v>
      </c>
      <c r="B13">
        <v>1</v>
      </c>
      <c r="C13">
        <v>1</v>
      </c>
      <c r="G13">
        <v>6</v>
      </c>
    </row>
    <row r="14" spans="1:9" x14ac:dyDescent="0.3">
      <c r="A14" t="s">
        <v>168</v>
      </c>
      <c r="B14">
        <v>6</v>
      </c>
      <c r="C14">
        <v>6</v>
      </c>
      <c r="E14">
        <v>1</v>
      </c>
    </row>
    <row r="15" spans="1:9" x14ac:dyDescent="0.3">
      <c r="A15" t="s">
        <v>164</v>
      </c>
      <c r="B15">
        <v>1</v>
      </c>
      <c r="C15">
        <v>1</v>
      </c>
      <c r="E15">
        <f>SUM(E6:E14)</f>
        <v>5</v>
      </c>
      <c r="F15">
        <f t="shared" ref="F15:G15" si="0">SUM(F6:F14)</f>
        <v>3</v>
      </c>
      <c r="G15">
        <f t="shared" si="0"/>
        <v>6</v>
      </c>
    </row>
    <row r="16" spans="1:9" x14ac:dyDescent="0.3">
      <c r="A16" t="s">
        <v>849</v>
      </c>
      <c r="B16">
        <v>1</v>
      </c>
      <c r="C16">
        <v>1</v>
      </c>
    </row>
    <row r="17" spans="1:3" x14ac:dyDescent="0.3">
      <c r="A17" t="s">
        <v>12</v>
      </c>
      <c r="B17">
        <v>26</v>
      </c>
      <c r="C17">
        <v>26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F9DACA816DC814BB2219E5FD4246BDC" ma:contentTypeVersion="17" ma:contentTypeDescription="Crear nuevo documento." ma:contentTypeScope="" ma:versionID="a94e9633f41dcb376914ff910ac7df6c">
  <xsd:schema xmlns:xsd="http://www.w3.org/2001/XMLSchema" xmlns:xs="http://www.w3.org/2001/XMLSchema" xmlns:p="http://schemas.microsoft.com/office/2006/metadata/properties" xmlns:ns2="f68fe145-c78a-49db-b01b-c0e7554ba85d" xmlns:ns3="83e37528-d30e-4058-a9de-866c8a9428eb" targetNamespace="http://schemas.microsoft.com/office/2006/metadata/properties" ma:root="true" ma:fieldsID="8f5deb7df442fa50cb44ce7fef2b24a7" ns2:_="" ns3:_="">
    <xsd:import namespace="f68fe145-c78a-49db-b01b-c0e7554ba85d"/>
    <xsd:import namespace="83e37528-d30e-4058-a9de-866c8a9428e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8fe145-c78a-49db-b01b-c0e7554ba8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68d7a1ca-a630-45fb-8922-c7d008bf595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e37528-d30e-4058-a9de-866c8a9428eb"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d099aeb-f553-4c88-ab68-6fc49f0e5eb2}" ma:internalName="TaxCatchAll" ma:showField="CatchAllData" ma:web="83e37528-d30e-4058-a9de-866c8a9428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83e37528-d30e-4058-a9de-866c8a9428eb">
      <UserInfo>
        <DisplayName>Jose Carlos Dorado Chavarria</DisplayName>
        <AccountId>60</AccountId>
        <AccountType/>
      </UserInfo>
      <UserInfo>
        <DisplayName>Sofia Mercedes Pretell Alvarez</DisplayName>
        <AccountId>9</AccountId>
        <AccountType/>
      </UserInfo>
      <UserInfo>
        <DisplayName>Luisa Marlene Rocio Laos Laines</DisplayName>
        <AccountId>64</AccountId>
        <AccountType/>
      </UserInfo>
      <UserInfo>
        <DisplayName>Isaias Eduardo Arenas Osorio</DisplayName>
        <AccountId>46</AccountId>
        <AccountType/>
      </UserInfo>
      <UserInfo>
        <DisplayName>Gian Franco Huaya Alarcon</DisplayName>
        <AccountId>45</AccountId>
        <AccountType/>
      </UserInfo>
      <UserInfo>
        <DisplayName>Noemi Avila Prieto</DisplayName>
        <AccountId>25</AccountId>
        <AccountType/>
      </UserInfo>
    </SharedWithUsers>
    <lcf76f155ced4ddcb4097134ff3c332f xmlns="f68fe145-c78a-49db-b01b-c0e7554ba85d">
      <Terms xmlns="http://schemas.microsoft.com/office/infopath/2007/PartnerControls"/>
    </lcf76f155ced4ddcb4097134ff3c332f>
    <TaxCatchAll xmlns="83e37528-d30e-4058-a9de-866c8a9428eb"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E9E405-B170-4106-880F-40FC477511D5}">
  <ds:schemaRefs>
    <ds:schemaRef ds:uri="http://schemas.microsoft.com/DataMashup"/>
  </ds:schemaRefs>
</ds:datastoreItem>
</file>

<file path=customXml/itemProps2.xml><?xml version="1.0" encoding="utf-8"?>
<ds:datastoreItem xmlns:ds="http://schemas.openxmlformats.org/officeDocument/2006/customXml" ds:itemID="{6C3CA4F6-DDF9-4E1B-A6A3-E29BD7B544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8fe145-c78a-49db-b01b-c0e7554ba85d"/>
    <ds:schemaRef ds:uri="83e37528-d30e-4058-a9de-866c8a9428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BF4230-1F2C-4AE8-B3E5-60A53E4B89BE}">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www.w3.org/XML/1998/namespace"/>
    <ds:schemaRef ds:uri="http://schemas.microsoft.com/office/2006/documentManagement/types"/>
    <ds:schemaRef ds:uri="http://schemas.openxmlformats.org/package/2006/metadata/core-properties"/>
    <ds:schemaRef ds:uri="83e37528-d30e-4058-a9de-866c8a9428eb"/>
    <ds:schemaRef ds:uri="f68fe145-c78a-49db-b01b-c0e7554ba85d"/>
  </ds:schemaRefs>
</ds:datastoreItem>
</file>

<file path=customXml/itemProps4.xml><?xml version="1.0" encoding="utf-8"?>
<ds:datastoreItem xmlns:ds="http://schemas.openxmlformats.org/officeDocument/2006/customXml" ds:itemID="{855BCA1B-9F91-4FCE-B787-D7DB51D42AF7}">
  <ds:schemaRefs>
    <ds:schemaRef ds:uri="http://schemas.microsoft.com/sharepoint/v3/contenttype/forms"/>
  </ds:schemaRefs>
</ds:datastoreItem>
</file>

<file path=docMetadata/LabelInfo.xml><?xml version="1.0" encoding="utf-8"?>
<clbl:labelList xmlns:clbl="http://schemas.microsoft.com/office/2020/mipLabelMetadata">
  <clbl:label id="{d64a6fc3-496d-44ea-86a8-5b93f17e3566}" enabled="1" method="Standard" siteId="{3b16616d-f174-497a-a1ae-900d8510699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Hoja9</vt:lpstr>
      <vt:lpstr>Base</vt:lpstr>
      <vt:lpstr>Hoja5</vt:lpstr>
      <vt:lpstr>Desplegables</vt:lpstr>
      <vt:lpstr>Tablas</vt:lpstr>
      <vt:lpstr>Hoja1</vt:lpstr>
      <vt:lpstr>Tablas (2)</vt:lpstr>
      <vt:lpstr>Hoja3</vt:lpstr>
      <vt:lpstr>Hoja2</vt:lpstr>
      <vt:lpstr>Hoja4</vt:lpstr>
      <vt:lpstr>Hoja6</vt:lpstr>
      <vt:lpstr>Hoja7</vt:lpstr>
      <vt:lpstr>Hoja8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Sofia Mercedes Pretell Alvarez</dc:creator>
  <cp:keywords/>
  <dc:description/>
  <cp:lastModifiedBy>Gianella Arcela Ponte Carrasco</cp:lastModifiedBy>
  <cp:revision/>
  <dcterms:created xsi:type="dcterms:W3CDTF">2024-01-15T20:28:31Z</dcterms:created>
  <dcterms:modified xsi:type="dcterms:W3CDTF">2026-08-18T16:29:43Z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64a6fc3-496d-44ea-86a8-5b93f17e3566_Enabled">
    <vt:lpwstr>true</vt:lpwstr>
  </property>
  <property fmtid="{D5CDD505-2E9C-101B-9397-08002B2CF9AE}" pid="3" name="MSIP_Label_d64a6fc3-496d-44ea-86a8-5b93f17e3566_SetDate">
    <vt:lpwstr>2024-01-15T21:05:10Z</vt:lpwstr>
  </property>
  <property fmtid="{D5CDD505-2E9C-101B-9397-08002B2CF9AE}" pid="4" name="MSIP_Label_d64a6fc3-496d-44ea-86a8-5b93f17e3566_Method">
    <vt:lpwstr>Standard</vt:lpwstr>
  </property>
  <property fmtid="{D5CDD505-2E9C-101B-9397-08002B2CF9AE}" pid="5" name="MSIP_Label_d64a6fc3-496d-44ea-86a8-5b93f17e3566_Name">
    <vt:lpwstr>GRUPOALICORP_Uso-Interno</vt:lpwstr>
  </property>
  <property fmtid="{D5CDD505-2E9C-101B-9397-08002B2CF9AE}" pid="6" name="MSIP_Label_d64a6fc3-496d-44ea-86a8-5b93f17e3566_SiteId">
    <vt:lpwstr>3b16616d-f174-497a-a1ae-900d85106996</vt:lpwstr>
  </property>
  <property fmtid="{D5CDD505-2E9C-101B-9397-08002B2CF9AE}" pid="7" name="MSIP_Label_d64a6fc3-496d-44ea-86a8-5b93f17e3566_ActionId">
    <vt:lpwstr>5cabef9f-c45d-4749-bfcf-ec0edd11ee44</vt:lpwstr>
  </property>
  <property fmtid="{D5CDD505-2E9C-101B-9397-08002B2CF9AE}" pid="8" name="MSIP_Label_d64a6fc3-496d-44ea-86a8-5b93f17e3566_ContentBits">
    <vt:lpwstr>0</vt:lpwstr>
  </property>
  <property fmtid="{D5CDD505-2E9C-101B-9397-08002B2CF9AE}" pid="9" name="ContentTypeId">
    <vt:lpwstr>0x0101007F9DACA816DC814BB2219E5FD4246BDC</vt:lpwstr>
  </property>
  <property fmtid="{D5CDD505-2E9C-101B-9397-08002B2CF9AE}" pid="10" name="MediaServiceImageTags">
    <vt:lpwstr/>
  </property>
  <property fmtid="{D5CDD505-2E9C-101B-9397-08002B2CF9AE}" pid="11" name="IbpWorkbookKeyString_GUID">
    <vt:lpwstr>d502cb5d-b47c-43d8-9e7c-9bccd64160a1</vt:lpwstr>
  </property>
</Properties>
</file>